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5" codeName="{37E998C4-C9E5-D4B9-71C8-EB1FF731991C}"/>
  <workbookPr codeName="ThisWorkbook" defaultThemeVersion="124226"/>
  <workbookProtection lockStructure="1"/>
  <bookViews>
    <workbookView xWindow="330" yWindow="90" windowWidth="15060" windowHeight="10320" tabRatio="664" activeTab="1"/>
  </bookViews>
  <sheets>
    <sheet name="Customer-Readme" sheetId="18" r:id="rId1"/>
    <sheet name="Jetson-TX2-Config-Template" sheetId="62" r:id="rId2"/>
  </sheets>
  <definedNames>
    <definedName name="_xlnm._FilterDatabase" localSheetId="1" hidden="1">'Jetson-TX2-Config-Template'!$B$1:$B$803</definedName>
    <definedName name="AllowedPinDirection_GPIO" localSheetId="1">'Jetson-TX2-Config-Template'!$L$7</definedName>
    <definedName name="AllowedPinDirection_SFIO0" localSheetId="1">'Jetson-TX2-Config-Template'!$M$7</definedName>
    <definedName name="AllowedPinDirection_SFIO1" localSheetId="1">'Jetson-TX2-Config-Template'!$N$7</definedName>
    <definedName name="AllowedPinDirection_SFIO2" localSheetId="1">'Jetson-TX2-Config-Template'!$O$7</definedName>
    <definedName name="AllowedPinDirection_SFIO3" localSheetId="1">'Jetson-TX2-Config-Template'!$P$7</definedName>
    <definedName name="ConfigFirstCell" localSheetId="1">'Jetson-TX2-Config-Template'!$AD$10</definedName>
    <definedName name="ConfigLastCell" localSheetId="1">'Jetson-TX2-Config-Template'!$AI$248</definedName>
    <definedName name="Customer_Usage" localSheetId="1">'Jetson-TX2-Config-Template'!$AQ$7</definedName>
    <definedName name="Customer_Usage_Checker" localSheetId="1">'Jetson-TX2-Config-Template'!$AJ$7</definedName>
    <definedName name="CV_Config_Table">#REF!</definedName>
    <definedName name="DriveCX_Config_Table">#REF!</definedName>
    <definedName name="E_Input" localSheetId="1">'Jetson-TX2-Config-Template'!$AH$7</definedName>
    <definedName name="E2379A_Config_Table">#REF!</definedName>
    <definedName name="E2379B_Config_Table">#REF!</definedName>
    <definedName name="E2679A_Config_Table">#REF!</definedName>
    <definedName name="E2679B_Config_Table">#REF!</definedName>
    <definedName name="E2681_Config_Table">#REF!</definedName>
    <definedName name="E2785_Drew_CX_Config">#REF!</definedName>
    <definedName name="E3301_1000_Config_Table">#REF!</definedName>
    <definedName name="E3301_1080_Config_Table">#REF!</definedName>
    <definedName name="E3301E2598A01_Config">#REF!</definedName>
    <definedName name="E3340CHAR_Config_Table">#REF!</definedName>
    <definedName name="E3340E2598A01_config">#REF!</definedName>
    <definedName name="E3340VCM_Config_Table">#REF!</definedName>
    <definedName name="E3341MIDCHAR_config_table">#REF!</definedName>
    <definedName name="E3341SLTMID_config_table">#REF!</definedName>
    <definedName name="EQOS_LPBK_Enable" localSheetId="1">'Jetson-TX2-Config-Template'!$AX$7</definedName>
    <definedName name="Error_Check" localSheetId="1">'Jetson-TX2-Config-Template'!$AP$7</definedName>
    <definedName name="Ext_Pull_Down" localSheetId="1">'Jetson-TX2-Config-Template'!$AZ$7</definedName>
    <definedName name="Ext_Pull_Up" localSheetId="1">'Jetson-TX2-Config-Template'!$AY$7</definedName>
    <definedName name="FirstMPIO" localSheetId="1">'Jetson-TX2-Config-Template'!$C$9</definedName>
    <definedName name="FirstPadVoltageConfig" localSheetId="1">'Jetson-TX2-Config-Template'!$AD$673</definedName>
    <definedName name="FirstPinMuxingOption" localSheetId="1">'Jetson-TX2-Config-Template'!$G$10</definedName>
    <definedName name="Function_0" localSheetId="1">'Jetson-TX2-Config-Template'!$Q$7</definedName>
    <definedName name="Function_Safe" localSheetId="1">'Jetson-TX2-Config-Template'!$U$7</definedName>
    <definedName name="GPIO_Init_Value" localSheetId="1">'Jetson-TX2-Config-Template'!$AI$7</definedName>
    <definedName name="Initial_State" localSheetId="1">'Jetson-TX2-Config-Template'!$AS$7</definedName>
    <definedName name="Initial_State_Checker" localSheetId="1">'Jetson-TX2-Config-Template'!$AK$7</definedName>
    <definedName name="LastMPIO" localSheetId="1">'Jetson-TX2-Config-Template'!$C$248</definedName>
    <definedName name="LastPadVoltageConfig" localSheetId="1">'Jetson-TX2-Config-Template'!$AD$678</definedName>
    <definedName name="LastSignameRow">#REF!</definedName>
    <definedName name="Lock" localSheetId="1">'Jetson-TX2-Config-Template'!$AU$7</definedName>
    <definedName name="LPDR_Enable" localSheetId="1">'Jetson-TX2-Config-Template'!$AW$7</definedName>
    <definedName name="MPIOName" localSheetId="1">'Jetson-TX2-Config-Template'!$V$7</definedName>
    <definedName name="NTG6_Config_table">#REF!</definedName>
    <definedName name="P3310_A03_Config_Table">#REF!</definedName>
    <definedName name="PadVoltageConfig" localSheetId="1">'Jetson-TX2-Config-Template'!$AE$672</definedName>
    <definedName name="Pin_Direction" localSheetId="1">'Jetson-TX2-Config-Template'!$AR$7</definedName>
    <definedName name="Pin_Direction_Checker" localSheetId="1">'Jetson-TX2-Config-Template'!$AL$7</definedName>
    <definedName name="Pin_Group" localSheetId="1">'Jetson-TX2-Config-Template'!$AD$7</definedName>
    <definedName name="Pinmux_GPIO" localSheetId="1">'Jetson-TX2-Config-Template'!$G$7</definedName>
    <definedName name="Pinmux_SFIO0" localSheetId="1">'Jetson-TX2-Config-Template'!$H$7</definedName>
    <definedName name="Pinmux_SFIO1" localSheetId="1">'Jetson-TX2-Config-Template'!$I$7</definedName>
    <definedName name="Pinmux_SFIO2" localSheetId="1">'Jetson-TX2-Config-Template'!$J$7</definedName>
    <definedName name="Pinmux_SFIO3" localSheetId="1">'Jetson-TX2-Config-Template'!$K$7</definedName>
    <definedName name="Pinmux_Unused" localSheetId="1">'Jetson-TX2-Config-Template'!$F$7</definedName>
    <definedName name="PUPD" localSheetId="1">'Jetson-TX2-Config-Template'!$AF$7</definedName>
    <definedName name="PX2_E2379C00A_Config_Table">#REF!</definedName>
    <definedName name="PX2_E2379C00B_Config_Table">#REF!</definedName>
    <definedName name="PX2_E2379C01A_Config_Table">#REF!</definedName>
    <definedName name="RCV_SEL" localSheetId="1">'Jetson-TX2-Config-Template'!$AV$7</definedName>
    <definedName name="RCV_SEL_Checker" localSheetId="1">'Jetson-TX2-Config-Template'!$AO$7</definedName>
    <definedName name="Resistor_Checker" localSheetId="1">'Jetson-TX2-Config-Template'!$AN$7</definedName>
    <definedName name="Tristate" localSheetId="1">'Jetson-TX2-Config-Template'!$AG$7</definedName>
    <definedName name="Wake_Checker" localSheetId="1">'Jetson-TX2-Config-Template'!$AM$7</definedName>
    <definedName name="Wake_Pin" localSheetId="1">'Jetson-TX2-Config-Template'!$AT$7</definedName>
  </definedNames>
  <calcPr calcId="124519"/>
</workbook>
</file>

<file path=xl/calcChain.xml><?xml version="1.0" encoding="utf-8"?>
<calcChain xmlns="http://schemas.openxmlformats.org/spreadsheetml/2006/main">
  <c r="C9" i="18"/>
  <c r="B3" i="62" s="1"/>
  <c r="AE678" l="1"/>
  <c r="AE677"/>
  <c r="AE676"/>
  <c r="AE675"/>
  <c r="AE674"/>
  <c r="AE673"/>
  <c r="AP247"/>
  <c r="AD247"/>
  <c r="AP246"/>
  <c r="AH246"/>
  <c r="AP244"/>
  <c r="AD244"/>
  <c r="AP243"/>
  <c r="AF243"/>
  <c r="AD243"/>
  <c r="AP242"/>
  <c r="AD242"/>
  <c r="AH242"/>
  <c r="AP241"/>
  <c r="AG241"/>
  <c r="AP240"/>
  <c r="AG240"/>
  <c r="AP239"/>
  <c r="AG239"/>
  <c r="AP238"/>
  <c r="AF238"/>
  <c r="AH238"/>
  <c r="AP237"/>
  <c r="AH237"/>
  <c r="AP236"/>
  <c r="AP235"/>
  <c r="AH235"/>
  <c r="AP234"/>
  <c r="AG234"/>
  <c r="AF234"/>
  <c r="AP232"/>
  <c r="AF232"/>
  <c r="AP231"/>
  <c r="AD231"/>
  <c r="AP230"/>
  <c r="AP229"/>
  <c r="AD229"/>
  <c r="AP228"/>
  <c r="AD228"/>
  <c r="AP227"/>
  <c r="AH227"/>
  <c r="AP226"/>
  <c r="AG226"/>
  <c r="AP224"/>
  <c r="AG224"/>
  <c r="AP223"/>
  <c r="AP222"/>
  <c r="AF222"/>
  <c r="AP221"/>
  <c r="AP220"/>
  <c r="AD220"/>
  <c r="AP219"/>
  <c r="AF219"/>
  <c r="AD219"/>
  <c r="AP218"/>
  <c r="AD218"/>
  <c r="AH218"/>
  <c r="AP217"/>
  <c r="AH217"/>
  <c r="AP216"/>
  <c r="AH216"/>
  <c r="AD216"/>
  <c r="AF216"/>
  <c r="AP215"/>
  <c r="AG215"/>
  <c r="AP214"/>
  <c r="AF214"/>
  <c r="AP213"/>
  <c r="AF213"/>
  <c r="AP211"/>
  <c r="AH211"/>
  <c r="AD211"/>
  <c r="AF211"/>
  <c r="AP210"/>
  <c r="AG210"/>
  <c r="AP209"/>
  <c r="AG209"/>
  <c r="AP208"/>
  <c r="AD208"/>
  <c r="AG208"/>
  <c r="AP207"/>
  <c r="AD207"/>
  <c r="AF207"/>
  <c r="AP206"/>
  <c r="AF206"/>
  <c r="AP205"/>
  <c r="AP204"/>
  <c r="AD204"/>
  <c r="AP203"/>
  <c r="AD203"/>
  <c r="AP202"/>
  <c r="AF202"/>
  <c r="AD202"/>
  <c r="AP201"/>
  <c r="AG201"/>
  <c r="AH201"/>
  <c r="AP200"/>
  <c r="AG200"/>
  <c r="AP199"/>
  <c r="AG199"/>
  <c r="AP198"/>
  <c r="AH198"/>
  <c r="AP197"/>
  <c r="AD197"/>
  <c r="AP196"/>
  <c r="AP195"/>
  <c r="AD195"/>
  <c r="AP194"/>
  <c r="AH194"/>
  <c r="AD194"/>
  <c r="AP193"/>
  <c r="AD193"/>
  <c r="AH193"/>
  <c r="AP191"/>
  <c r="AF191"/>
  <c r="AG191"/>
  <c r="AP190"/>
  <c r="AH190"/>
  <c r="AP189"/>
  <c r="AH189"/>
  <c r="AP188"/>
  <c r="AG188"/>
  <c r="AF188"/>
  <c r="AP187"/>
  <c r="AF187"/>
  <c r="AG187"/>
  <c r="AP186"/>
  <c r="AP185"/>
  <c r="AF185"/>
  <c r="AP184"/>
  <c r="AD184"/>
  <c r="AF184"/>
  <c r="AP183"/>
  <c r="AP182"/>
  <c r="AG182"/>
  <c r="AP180"/>
  <c r="AH180"/>
  <c r="AP179"/>
  <c r="AF179"/>
  <c r="AP178"/>
  <c r="AG178"/>
  <c r="AP177"/>
  <c r="AG177"/>
  <c r="AP176"/>
  <c r="AG176"/>
  <c r="AH176"/>
  <c r="AP175"/>
  <c r="AF175"/>
  <c r="AP174"/>
  <c r="AG174"/>
  <c r="AP173"/>
  <c r="AH173"/>
  <c r="AP172"/>
  <c r="AH172"/>
  <c r="AP171"/>
  <c r="AP170"/>
  <c r="AH170"/>
  <c r="AD170"/>
  <c r="AF170"/>
  <c r="AP169"/>
  <c r="AP168"/>
  <c r="AF168"/>
  <c r="AP167"/>
  <c r="AP166"/>
  <c r="AD166"/>
  <c r="AP165"/>
  <c r="AH165"/>
  <c r="AD165"/>
  <c r="AP164"/>
  <c r="AH164"/>
  <c r="AP163"/>
  <c r="AG163"/>
  <c r="AP162"/>
  <c r="AG162"/>
  <c r="AP161"/>
  <c r="AP160"/>
  <c r="AH160"/>
  <c r="AP159"/>
  <c r="AF159"/>
  <c r="AP158"/>
  <c r="AF158"/>
  <c r="AP157"/>
  <c r="AD157"/>
  <c r="AP156"/>
  <c r="AG156"/>
  <c r="AH156"/>
  <c r="AP155"/>
  <c r="AG155"/>
  <c r="AP154"/>
  <c r="AP153"/>
  <c r="AH153"/>
  <c r="AD153"/>
  <c r="AP152"/>
  <c r="AP151"/>
  <c r="AH151"/>
  <c r="AG151"/>
  <c r="AP150"/>
  <c r="AG150"/>
  <c r="AP149"/>
  <c r="AH149"/>
  <c r="AD149"/>
  <c r="AP147"/>
  <c r="AH147"/>
  <c r="AP146"/>
  <c r="AG146"/>
  <c r="AF146"/>
  <c r="AP145"/>
  <c r="AP144"/>
  <c r="AP143"/>
  <c r="AH143"/>
  <c r="AP142"/>
  <c r="AG142"/>
  <c r="AH142"/>
  <c r="AP141"/>
  <c r="AH141"/>
  <c r="AP140"/>
  <c r="AH140"/>
  <c r="AD140"/>
  <c r="AF140"/>
  <c r="AP139"/>
  <c r="AP138"/>
  <c r="AH138"/>
  <c r="AP137"/>
  <c r="AG137"/>
  <c r="AP136"/>
  <c r="AG136"/>
  <c r="AH136"/>
  <c r="AP135"/>
  <c r="AF135"/>
  <c r="AP134"/>
  <c r="AH134"/>
  <c r="AD134"/>
  <c r="AF134"/>
  <c r="AP133"/>
  <c r="AF133"/>
  <c r="AD133"/>
  <c r="AP132"/>
  <c r="AP131"/>
  <c r="AD131"/>
  <c r="AG131"/>
  <c r="AP130"/>
  <c r="AP129"/>
  <c r="AH129"/>
  <c r="AD129"/>
  <c r="AP128"/>
  <c r="AF128"/>
  <c r="AP127"/>
  <c r="AH127"/>
  <c r="AG127"/>
  <c r="AP112"/>
  <c r="AP111"/>
  <c r="AP110"/>
  <c r="AG110"/>
  <c r="AP109"/>
  <c r="AG109"/>
  <c r="AP108"/>
  <c r="AG108"/>
  <c r="AP107"/>
  <c r="AP106"/>
  <c r="AG106"/>
  <c r="AP88"/>
  <c r="AP87"/>
  <c r="AG87"/>
  <c r="AP86"/>
  <c r="AP85"/>
  <c r="AP84"/>
  <c r="AH84"/>
  <c r="AD84"/>
  <c r="AE84" s="1"/>
  <c r="AG84"/>
  <c r="AP83"/>
  <c r="AG83"/>
  <c r="AP82"/>
  <c r="AF82"/>
  <c r="AP80"/>
  <c r="AH80"/>
  <c r="AP79"/>
  <c r="AH79"/>
  <c r="AP78"/>
  <c r="AP77"/>
  <c r="AP76"/>
  <c r="AH76"/>
  <c r="AP75"/>
  <c r="AH75"/>
  <c r="AF75"/>
  <c r="AP73"/>
  <c r="AF73"/>
  <c r="AP72"/>
  <c r="AD72"/>
  <c r="AP71"/>
  <c r="AD71"/>
  <c r="AG71"/>
  <c r="AP70"/>
  <c r="AG70"/>
  <c r="AD70"/>
  <c r="AP69"/>
  <c r="AF69"/>
  <c r="AP68"/>
  <c r="AD68"/>
  <c r="AP67"/>
  <c r="AP65"/>
  <c r="AD65"/>
  <c r="AP64"/>
  <c r="AF64"/>
  <c r="AP63"/>
  <c r="AD63"/>
  <c r="AP62"/>
  <c r="AF62"/>
  <c r="AP61"/>
  <c r="AD61"/>
  <c r="AP60"/>
  <c r="AF60"/>
  <c r="AP59"/>
  <c r="AD59"/>
  <c r="AP58"/>
  <c r="AH58"/>
  <c r="AD58"/>
  <c r="AF58"/>
  <c r="AP57"/>
  <c r="AG57"/>
  <c r="AD57"/>
  <c r="AP56"/>
  <c r="AF56"/>
  <c r="AP55"/>
  <c r="AD55"/>
  <c r="AP53"/>
  <c r="AH53"/>
  <c r="AF53"/>
  <c r="AP52"/>
  <c r="AD52"/>
  <c r="AP51"/>
  <c r="AH51"/>
  <c r="AP50"/>
  <c r="AG50"/>
  <c r="AP49"/>
  <c r="AH49"/>
  <c r="AF49"/>
  <c r="AP48"/>
  <c r="AD48"/>
  <c r="AP47"/>
  <c r="AH47"/>
  <c r="AP46"/>
  <c r="AG46"/>
  <c r="AP44"/>
  <c r="AH44"/>
  <c r="AD44"/>
  <c r="AF44"/>
  <c r="AP43"/>
  <c r="AD43"/>
  <c r="AP42"/>
  <c r="AH42"/>
  <c r="AP41"/>
  <c r="AG41"/>
  <c r="AP40"/>
  <c r="AH40"/>
  <c r="AD40"/>
  <c r="AF40"/>
  <c r="AP39"/>
  <c r="AD39"/>
  <c r="AP38"/>
  <c r="AH38"/>
  <c r="AP37"/>
  <c r="AG37"/>
  <c r="AP36"/>
  <c r="AH36"/>
  <c r="AF36"/>
  <c r="AP35"/>
  <c r="AD35"/>
  <c r="AP33"/>
  <c r="AH33"/>
  <c r="AP32"/>
  <c r="AG32"/>
  <c r="AP31"/>
  <c r="AH31"/>
  <c r="AF31"/>
  <c r="AP30"/>
  <c r="AD30"/>
  <c r="AP29"/>
  <c r="AH29"/>
  <c r="AP28"/>
  <c r="AG28"/>
  <c r="AP27"/>
  <c r="AH27"/>
  <c r="AD27"/>
  <c r="AF27"/>
  <c r="AP26"/>
  <c r="AD26"/>
  <c r="AP25"/>
  <c r="AH25"/>
  <c r="AP23"/>
  <c r="AG23"/>
  <c r="AP22"/>
  <c r="AF22"/>
  <c r="AP21"/>
  <c r="AF21"/>
  <c r="AP20"/>
  <c r="AF20"/>
  <c r="AP19"/>
  <c r="AD19"/>
  <c r="AH19"/>
  <c r="AP18"/>
  <c r="AH18"/>
  <c r="AF18"/>
  <c r="AP17"/>
  <c r="AF17"/>
  <c r="AP16"/>
  <c r="AG16"/>
  <c r="AP15"/>
  <c r="AD15"/>
  <c r="AH15"/>
  <c r="AP14"/>
  <c r="AH14"/>
  <c r="AF14"/>
  <c r="AP13"/>
  <c r="AF13"/>
  <c r="AP12"/>
  <c r="AG12"/>
  <c r="AP11"/>
  <c r="AD11"/>
  <c r="AF11"/>
  <c r="AP10"/>
  <c r="AH10"/>
  <c r="AF10"/>
  <c r="AF154" l="1"/>
  <c r="AD154"/>
  <c r="AG10"/>
  <c r="AH13"/>
  <c r="AG14"/>
  <c r="AH17"/>
  <c r="AG18"/>
  <c r="AH21"/>
  <c r="AH22"/>
  <c r="AG25"/>
  <c r="AH28"/>
  <c r="AD29"/>
  <c r="AH30"/>
  <c r="AG31"/>
  <c r="AD32"/>
  <c r="AH35"/>
  <c r="AG36"/>
  <c r="AD37"/>
  <c r="AG38"/>
  <c r="AG42"/>
  <c r="AH46"/>
  <c r="AD47"/>
  <c r="AH48"/>
  <c r="AG49"/>
  <c r="AD50"/>
  <c r="AH52"/>
  <c r="AG53"/>
  <c r="AG61"/>
  <c r="AD62"/>
  <c r="AH65"/>
  <c r="AF67"/>
  <c r="AH67"/>
  <c r="AG67"/>
  <c r="AD110"/>
  <c r="AE110" s="1"/>
  <c r="AF110" s="1"/>
  <c r="AF130"/>
  <c r="AH130"/>
  <c r="AG130"/>
  <c r="AH132"/>
  <c r="AG132"/>
  <c r="AF139"/>
  <c r="AH139"/>
  <c r="AG144"/>
  <c r="AF144"/>
  <c r="AG154"/>
  <c r="AD155"/>
  <c r="AF157"/>
  <c r="AD158"/>
  <c r="AG160"/>
  <c r="AG164"/>
  <c r="AG167"/>
  <c r="AH167"/>
  <c r="AG171"/>
  <c r="AD171"/>
  <c r="AD178"/>
  <c r="AH179"/>
  <c r="AG180"/>
  <c r="AF180"/>
  <c r="AH187"/>
  <c r="AD200"/>
  <c r="AH202"/>
  <c r="AF203"/>
  <c r="AH203"/>
  <c r="AG203"/>
  <c r="AD227"/>
  <c r="AF228"/>
  <c r="AH50"/>
  <c r="AG138"/>
  <c r="AF138"/>
  <c r="AH178"/>
  <c r="AF195"/>
  <c r="AH195"/>
  <c r="AG195"/>
  <c r="AF199"/>
  <c r="AD199"/>
  <c r="AH199"/>
  <c r="AH200"/>
  <c r="AG227"/>
  <c r="AH228"/>
  <c r="AF229"/>
  <c r="AH229"/>
  <c r="AG229"/>
  <c r="AG235"/>
  <c r="AF235"/>
  <c r="AH61"/>
  <c r="AG62"/>
  <c r="AH78"/>
  <c r="AF78"/>
  <c r="AH109"/>
  <c r="AH157"/>
  <c r="AH70"/>
  <c r="AF77"/>
  <c r="AH77"/>
  <c r="AH110"/>
  <c r="AG141"/>
  <c r="AD141"/>
  <c r="AF150"/>
  <c r="AD150"/>
  <c r="AH150"/>
  <c r="AH158"/>
  <c r="AD169"/>
  <c r="AH169"/>
  <c r="AF174"/>
  <c r="AD174"/>
  <c r="AH174"/>
  <c r="AG217"/>
  <c r="AD217"/>
  <c r="AG218"/>
  <c r="AH219"/>
  <c r="AF220"/>
  <c r="AH220"/>
  <c r="AG220"/>
  <c r="AF224"/>
  <c r="AD224"/>
  <c r="AH224"/>
  <c r="AG242"/>
  <c r="AH243"/>
  <c r="AF244"/>
  <c r="AH244"/>
  <c r="AG244"/>
  <c r="AH32"/>
  <c r="AD143"/>
  <c r="AF143"/>
  <c r="AH154"/>
  <c r="AH155"/>
  <c r="AG158"/>
  <c r="AH62"/>
  <c r="AF71"/>
  <c r="AH71"/>
  <c r="AD10"/>
  <c r="AG13"/>
  <c r="AD14"/>
  <c r="AG17"/>
  <c r="AD18"/>
  <c r="AG21"/>
  <c r="AD22"/>
  <c r="AD25"/>
  <c r="AG27"/>
  <c r="AD31"/>
  <c r="AF35"/>
  <c r="AD36"/>
  <c r="AF39"/>
  <c r="AG40"/>
  <c r="AD42"/>
  <c r="AG44"/>
  <c r="AD49"/>
  <c r="AG52"/>
  <c r="AD53"/>
  <c r="AH57"/>
  <c r="AG58"/>
  <c r="AG65"/>
  <c r="AD67"/>
  <c r="AG86"/>
  <c r="AD130"/>
  <c r="AH144"/>
  <c r="AH145"/>
  <c r="AG145"/>
  <c r="AF162"/>
  <c r="AD162"/>
  <c r="AH162"/>
  <c r="AH163"/>
  <c r="AD164"/>
  <c r="AF166"/>
  <c r="AH166"/>
  <c r="AG166"/>
  <c r="AH171"/>
  <c r="AG172"/>
  <c r="AD173"/>
  <c r="AF173"/>
  <c r="AH182"/>
  <c r="AD182"/>
  <c r="AG189"/>
  <c r="AF189"/>
  <c r="AH209"/>
  <c r="AD209"/>
  <c r="AF240"/>
  <c r="AD240"/>
  <c r="AH240"/>
  <c r="AH83"/>
  <c r="AF84"/>
  <c r="AH87"/>
  <c r="AH131"/>
  <c r="AH133"/>
  <c r="AG134"/>
  <c r="AG140"/>
  <c r="AG170"/>
  <c r="AH184"/>
  <c r="AH207"/>
  <c r="AH208"/>
  <c r="AG211"/>
  <c r="AG216"/>
  <c r="AG184"/>
  <c r="AH191"/>
  <c r="AG193"/>
  <c r="AG207"/>
  <c r="AF33"/>
  <c r="AD161"/>
  <c r="AH161"/>
  <c r="AF161"/>
  <c r="AD183"/>
  <c r="AH183"/>
  <c r="AF183"/>
  <c r="AH186"/>
  <c r="AF186"/>
  <c r="AF19"/>
  <c r="AG20"/>
  <c r="AH26"/>
  <c r="AF29"/>
  <c r="AG33"/>
  <c r="AH41"/>
  <c r="AH43"/>
  <c r="AG11"/>
  <c r="AH12"/>
  <c r="AD13"/>
  <c r="AG15"/>
  <c r="AH16"/>
  <c r="AD17"/>
  <c r="AG19"/>
  <c r="AH20"/>
  <c r="AD21"/>
  <c r="AG22"/>
  <c r="AF25"/>
  <c r="AD28"/>
  <c r="AG29"/>
  <c r="AF30"/>
  <c r="AF32"/>
  <c r="AG35"/>
  <c r="AH37"/>
  <c r="AD38"/>
  <c r="AH39"/>
  <c r="AF42"/>
  <c r="AD46"/>
  <c r="AG47"/>
  <c r="AF48"/>
  <c r="AF50"/>
  <c r="AG59"/>
  <c r="AH59"/>
  <c r="AF59"/>
  <c r="AH64"/>
  <c r="AD64"/>
  <c r="AG64"/>
  <c r="AG107"/>
  <c r="AD107"/>
  <c r="AE107" s="1"/>
  <c r="AF107" s="1"/>
  <c r="AH107"/>
  <c r="AH152"/>
  <c r="AG152"/>
  <c r="AD152"/>
  <c r="AD223"/>
  <c r="AH223"/>
  <c r="AF223"/>
  <c r="AG246"/>
  <c r="AD246"/>
  <c r="AF246"/>
  <c r="AF12"/>
  <c r="AF16"/>
  <c r="AF23"/>
  <c r="AG230"/>
  <c r="AD230"/>
  <c r="AF230"/>
  <c r="AF15"/>
  <c r="AH11"/>
  <c r="AD12"/>
  <c r="AD16"/>
  <c r="AD20"/>
  <c r="AD23"/>
  <c r="AF26"/>
  <c r="AF28"/>
  <c r="AG30"/>
  <c r="AD33"/>
  <c r="AF38"/>
  <c r="AD41"/>
  <c r="AF43"/>
  <c r="AF46"/>
  <c r="AG48"/>
  <c r="AD51"/>
  <c r="AG55"/>
  <c r="AH55"/>
  <c r="AF55"/>
  <c r="AH60"/>
  <c r="AD60"/>
  <c r="AG60"/>
  <c r="AG72"/>
  <c r="AH72"/>
  <c r="AF72"/>
  <c r="AF76"/>
  <c r="AG85"/>
  <c r="AD85"/>
  <c r="AE85" s="1"/>
  <c r="AF85" s="1"/>
  <c r="AH85"/>
  <c r="AG111"/>
  <c r="AD111"/>
  <c r="AH111"/>
  <c r="AH128"/>
  <c r="AG128"/>
  <c r="AD128"/>
  <c r="AG161"/>
  <c r="AH168"/>
  <c r="AG168"/>
  <c r="AD168"/>
  <c r="AG183"/>
  <c r="AG186"/>
  <c r="AD198"/>
  <c r="AF198"/>
  <c r="AG198"/>
  <c r="AD210"/>
  <c r="AH210"/>
  <c r="AF210"/>
  <c r="AH230"/>
  <c r="AF41"/>
  <c r="AG43"/>
  <c r="AG68"/>
  <c r="AH68"/>
  <c r="AF68"/>
  <c r="AG26"/>
  <c r="AF51"/>
  <c r="AH56"/>
  <c r="AD56"/>
  <c r="AG56"/>
  <c r="AH73"/>
  <c r="AD73"/>
  <c r="AG73"/>
  <c r="AG76"/>
  <c r="AG159"/>
  <c r="AH159"/>
  <c r="AD159"/>
  <c r="AH214"/>
  <c r="AG214"/>
  <c r="AD214"/>
  <c r="AD239"/>
  <c r="AH239"/>
  <c r="AF239"/>
  <c r="AH23"/>
  <c r="AF37"/>
  <c r="AG39"/>
  <c r="AF47"/>
  <c r="AG51"/>
  <c r="AG63"/>
  <c r="AH63"/>
  <c r="AF63"/>
  <c r="AH69"/>
  <c r="AD69"/>
  <c r="AG69"/>
  <c r="AG78"/>
  <c r="AF80"/>
  <c r="AG80"/>
  <c r="AG82"/>
  <c r="AD82"/>
  <c r="AG135"/>
  <c r="AH135"/>
  <c r="AD135"/>
  <c r="AD137"/>
  <c r="AH137"/>
  <c r="AF137"/>
  <c r="AF152"/>
  <c r="AG175"/>
  <c r="AH175"/>
  <c r="AD175"/>
  <c r="AD177"/>
  <c r="AH177"/>
  <c r="AF177"/>
  <c r="AG223"/>
  <c r="AF52"/>
  <c r="AF57"/>
  <c r="AF61"/>
  <c r="AF65"/>
  <c r="AF70"/>
  <c r="AG75"/>
  <c r="AG77"/>
  <c r="AG79"/>
  <c r="AD86"/>
  <c r="AE86" s="1"/>
  <c r="AF86" s="1"/>
  <c r="AF106"/>
  <c r="AD108"/>
  <c r="AE108" s="1"/>
  <c r="AF108" s="1"/>
  <c r="AF127"/>
  <c r="AG129"/>
  <c r="AD132"/>
  <c r="AF136"/>
  <c r="AG139"/>
  <c r="AD142"/>
  <c r="AD145"/>
  <c r="AG147"/>
  <c r="AF149"/>
  <c r="AF151"/>
  <c r="AG153"/>
  <c r="AD156"/>
  <c r="AF160"/>
  <c r="AD163"/>
  <c r="AF165"/>
  <c r="AF167"/>
  <c r="AG169"/>
  <c r="AD172"/>
  <c r="AF176"/>
  <c r="AG179"/>
  <c r="AG190"/>
  <c r="AF194"/>
  <c r="AG196"/>
  <c r="AD196"/>
  <c r="AH196"/>
  <c r="AF201"/>
  <c r="AH205"/>
  <c r="AD205"/>
  <c r="AG205"/>
  <c r="AG221"/>
  <c r="AH221"/>
  <c r="AF221"/>
  <c r="AF226"/>
  <c r="AG232"/>
  <c r="AH232"/>
  <c r="AH236"/>
  <c r="AG236"/>
  <c r="AF236"/>
  <c r="AF241"/>
  <c r="AF132"/>
  <c r="AF142"/>
  <c r="AF145"/>
  <c r="AG149"/>
  <c r="AF156"/>
  <c r="AF163"/>
  <c r="AG165"/>
  <c r="AF172"/>
  <c r="AG185"/>
  <c r="AD185"/>
  <c r="AH185"/>
  <c r="AG194"/>
  <c r="AH197"/>
  <c r="AG197"/>
  <c r="AF197"/>
  <c r="AD206"/>
  <c r="AH206"/>
  <c r="AG206"/>
  <c r="AG213"/>
  <c r="AD213"/>
  <c r="AH213"/>
  <c r="AF218"/>
  <c r="AH222"/>
  <c r="AD222"/>
  <c r="AG222"/>
  <c r="AH226"/>
  <c r="AF237"/>
  <c r="AG237"/>
  <c r="AG238"/>
  <c r="AH241"/>
  <c r="AF79"/>
  <c r="AD83"/>
  <c r="AE83" s="1"/>
  <c r="AF83" s="1"/>
  <c r="AH86"/>
  <c r="AD87"/>
  <c r="AE87" s="1"/>
  <c r="AF87" s="1"/>
  <c r="AD106"/>
  <c r="AH108"/>
  <c r="AD109"/>
  <c r="AE109" s="1"/>
  <c r="AF109" s="1"/>
  <c r="AD127"/>
  <c r="AF129"/>
  <c r="AF131"/>
  <c r="AG133"/>
  <c r="AD136"/>
  <c r="AF141"/>
  <c r="AG143"/>
  <c r="AH146"/>
  <c r="AF147"/>
  <c r="AD151"/>
  <c r="AF153"/>
  <c r="AF155"/>
  <c r="AG157"/>
  <c r="AD160"/>
  <c r="AF164"/>
  <c r="AD167"/>
  <c r="AF169"/>
  <c r="AF171"/>
  <c r="AG173"/>
  <c r="AD176"/>
  <c r="AH188"/>
  <c r="AF190"/>
  <c r="AF196"/>
  <c r="AD201"/>
  <c r="AG204"/>
  <c r="AH204"/>
  <c r="AF204"/>
  <c r="AF205"/>
  <c r="AF208"/>
  <c r="AD215"/>
  <c r="AF215"/>
  <c r="AH215"/>
  <c r="AD221"/>
  <c r="AD226"/>
  <c r="AG228"/>
  <c r="AH231"/>
  <c r="AG231"/>
  <c r="AF231"/>
  <c r="AH234"/>
  <c r="AD236"/>
  <c r="AD241"/>
  <c r="AG243"/>
  <c r="AH247"/>
  <c r="AG247"/>
  <c r="AF247"/>
  <c r="AF178"/>
  <c r="AF182"/>
  <c r="AF193"/>
  <c r="AF200"/>
  <c r="AG202"/>
  <c r="AF209"/>
  <c r="AF217"/>
  <c r="AG219"/>
  <c r="AF227"/>
  <c r="AF242"/>
  <c r="AI69" l="1"/>
  <c r="AI10"/>
  <c r="AI78"/>
  <c r="AI27"/>
  <c r="AI51"/>
  <c r="AI70"/>
  <c r="AI35"/>
  <c r="AI106"/>
  <c r="AI195"/>
  <c r="AI129"/>
  <c r="AI179"/>
  <c r="AI207"/>
  <c r="AI211"/>
  <c r="AI224"/>
  <c r="AI241"/>
  <c r="AI110"/>
  <c r="AI247" l="1"/>
  <c r="AI242"/>
  <c r="AI232"/>
  <c r="AI228"/>
  <c r="AI204"/>
  <c r="AI200"/>
  <c r="AI243"/>
  <c r="AI201"/>
  <c r="AI197"/>
  <c r="AI193"/>
  <c r="AI107"/>
  <c r="AI244"/>
  <c r="AI240"/>
  <c r="AI140"/>
  <c r="AI77"/>
  <c r="AI59"/>
  <c r="AI41"/>
  <c r="AI23"/>
  <c r="AI203"/>
  <c r="AI136"/>
  <c r="AI199"/>
  <c r="AI64"/>
  <c r="AI52"/>
  <c r="AI49"/>
  <c r="AI56"/>
  <c r="AI39"/>
  <c r="AI38"/>
  <c r="AI26"/>
  <c r="AI22"/>
  <c r="AI36"/>
  <c r="AI48"/>
  <c r="AH106"/>
  <c r="AI33"/>
  <c r="AI16"/>
  <c r="AI62"/>
  <c r="AI139"/>
  <c r="AI234"/>
  <c r="AI229"/>
  <c r="AI213"/>
  <c r="AI208"/>
  <c r="AI239"/>
  <c r="AI222"/>
  <c r="AI218"/>
  <c r="AI214"/>
  <c r="AI209"/>
  <c r="AI205"/>
  <c r="AI147"/>
  <c r="AI111"/>
  <c r="AI236"/>
  <c r="AI145"/>
  <c r="AI82"/>
  <c r="AI63"/>
  <c r="AI46"/>
  <c r="AI28"/>
  <c r="AI11"/>
  <c r="AI246"/>
  <c r="AI237"/>
  <c r="AI216"/>
  <c r="AI128"/>
  <c r="AI164"/>
  <c r="AI174"/>
  <c r="AI43"/>
  <c r="AI40"/>
  <c r="AI47"/>
  <c r="AI71"/>
  <c r="AI65"/>
  <c r="AI87"/>
  <c r="AI30"/>
  <c r="AI20"/>
  <c r="AI25"/>
  <c r="AI238"/>
  <c r="AI230"/>
  <c r="AI226"/>
  <c r="AI221"/>
  <c r="AI217"/>
  <c r="AI180"/>
  <c r="AI165"/>
  <c r="AI161"/>
  <c r="AI157"/>
  <c r="AI153"/>
  <c r="AI149"/>
  <c r="AI235"/>
  <c r="AI150"/>
  <c r="AI134"/>
  <c r="AI130"/>
  <c r="AI146"/>
  <c r="AI143"/>
  <c r="AE111"/>
  <c r="AF111" s="1"/>
  <c r="AI85"/>
  <c r="AI223"/>
  <c r="AI219"/>
  <c r="AI215"/>
  <c r="AI210"/>
  <c r="AI206"/>
  <c r="AI202"/>
  <c r="AI198"/>
  <c r="AI194"/>
  <c r="AI182"/>
  <c r="AI189"/>
  <c r="AI177"/>
  <c r="AI173"/>
  <c r="AI169"/>
  <c r="AI167"/>
  <c r="AI163"/>
  <c r="AI159"/>
  <c r="AI155"/>
  <c r="AI151"/>
  <c r="AI135"/>
  <c r="AI131"/>
  <c r="AI127"/>
  <c r="AH82"/>
  <c r="AI68"/>
  <c r="AI50"/>
  <c r="AI32"/>
  <c r="AI15"/>
  <c r="AI220"/>
  <c r="AI183"/>
  <c r="AI142"/>
  <c r="AI75"/>
  <c r="AI73"/>
  <c r="AI57"/>
  <c r="AI17"/>
  <c r="AI67"/>
  <c r="AI29"/>
  <c r="AI109"/>
  <c r="AI190"/>
  <c r="AI137"/>
  <c r="AI84"/>
  <c r="AI18"/>
  <c r="AI80"/>
  <c r="AI231"/>
  <c r="AI227"/>
  <c r="AI196"/>
  <c r="AI184"/>
  <c r="AI191"/>
  <c r="AI187"/>
  <c r="AI175"/>
  <c r="AI171"/>
  <c r="AI133"/>
  <c r="AI185"/>
  <c r="AI186"/>
  <c r="AI188"/>
  <c r="AI176"/>
  <c r="AI172"/>
  <c r="AI168"/>
  <c r="AI166"/>
  <c r="AI162"/>
  <c r="AI158"/>
  <c r="AI154"/>
  <c r="AI108"/>
  <c r="AI86"/>
  <c r="AI72"/>
  <c r="AI55"/>
  <c r="AI37"/>
  <c r="AI19"/>
  <c r="AI170"/>
  <c r="AI160"/>
  <c r="AI178"/>
  <c r="AI144"/>
  <c r="AI79"/>
  <c r="AI76"/>
  <c r="AI53"/>
  <c r="AI61"/>
  <c r="AI58"/>
  <c r="AI21"/>
  <c r="AI31"/>
  <c r="AI14"/>
  <c r="AI13"/>
  <c r="AI12"/>
  <c r="AI152"/>
  <c r="AI83"/>
  <c r="AI156"/>
  <c r="AI132"/>
  <c r="AI138"/>
  <c r="AI44"/>
  <c r="AI141"/>
  <c r="AI60"/>
  <c r="AI42"/>
</calcChain>
</file>

<file path=xl/sharedStrings.xml><?xml version="1.0" encoding="utf-8"?>
<sst xmlns="http://schemas.openxmlformats.org/spreadsheetml/2006/main" count="16597" uniqueCount="3986">
  <si>
    <t>General</t>
  </si>
  <si>
    <t>SFIO1</t>
  </si>
  <si>
    <t>SFIO2</t>
  </si>
  <si>
    <t>SFIO3</t>
  </si>
  <si>
    <t>PUPD</t>
  </si>
  <si>
    <t>Pin State</t>
  </si>
  <si>
    <t>DAP1_DIN</t>
  </si>
  <si>
    <t>DAP1_DOUT</t>
  </si>
  <si>
    <t>DAP1_FS</t>
  </si>
  <si>
    <t>DAP1_SCLK</t>
  </si>
  <si>
    <t>DAP2_DIN</t>
  </si>
  <si>
    <t>DAP2_DOUT</t>
  </si>
  <si>
    <t>DAP2_FS</t>
  </si>
  <si>
    <t>DAP2_SCLK</t>
  </si>
  <si>
    <t>CAM_I2C_SCL</t>
  </si>
  <si>
    <t>CAM_I2C_SDA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</si>
  <si>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</si>
  <si>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</si>
  <si>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</si>
  <si>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</si>
  <si>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</si>
  <si>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</si>
  <si>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</si>
  <si>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</si>
  <si>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</si>
  <si>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</si>
  <si>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</si>
  <si>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</si>
  <si>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</si>
  <si>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</si>
  <si>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</si>
  <si>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</si>
  <si>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</si>
  <si>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</si>
  <si>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</si>
  <si>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</si>
  <si>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</si>
  <si>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</si>
  <si>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</si>
  <si>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</si>
  <si>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</si>
  <si>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</si>
  <si>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</si>
  <si>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</si>
  <si>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</si>
  <si>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</si>
  <si>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</si>
  <si>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</si>
  <si>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</si>
  <si>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</si>
  <si>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</si>
  <si>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AUDIO</t>
  </si>
  <si>
    <t>CAM</t>
  </si>
  <si>
    <t>UART</t>
  </si>
  <si>
    <t>SYS</t>
  </si>
  <si>
    <t>SDMMC3</t>
  </si>
  <si>
    <t>SDMMC1</t>
  </si>
  <si>
    <t>PEX_CTL</t>
  </si>
  <si>
    <t>USB_VBUS_EN0</t>
  </si>
  <si>
    <t>USB_VBUS_EN1</t>
  </si>
  <si>
    <t>POR</t>
  </si>
  <si>
    <t>Revision</t>
  </si>
  <si>
    <t>Description</t>
  </si>
  <si>
    <t>DP_AUX_CH0_P</t>
  </si>
  <si>
    <t>DP_AUX_CH0_N</t>
  </si>
  <si>
    <t>Pad Type</t>
  </si>
  <si>
    <t>Req. Initial State</t>
  </si>
  <si>
    <t>1K</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</si>
  <si>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</si>
  <si>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</si>
  <si>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</si>
  <si>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</si>
  <si>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</si>
  <si>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</si>
  <si>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</si>
  <si>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</si>
  <si>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</si>
  <si>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</si>
  <si>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</si>
  <si>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</si>
  <si>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</si>
  <si>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</si>
  <si>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</si>
  <si>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</si>
  <si>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</si>
  <si>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</si>
  <si>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</si>
  <si>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</si>
  <si>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</si>
  <si>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</si>
  <si>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</si>
  <si>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</si>
  <si>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</si>
  <si>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</si>
  <si>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</si>
  <si>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</si>
  <si>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</si>
  <si>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</si>
  <si>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</si>
  <si>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</si>
  <si>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</si>
  <si>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</si>
  <si>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</si>
  <si>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</si>
  <si>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</si>
  <si>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</si>
  <si>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</si>
  <si>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</si>
  <si>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</si>
  <si>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</si>
  <si>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</si>
  <si>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</si>
  <si>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</si>
  <si>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</si>
  <si>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</si>
  <si>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</si>
  <si>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</si>
  <si>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</si>
  <si>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</si>
  <si>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</si>
  <si>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</si>
  <si>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</si>
  <si>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</si>
  <si>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</si>
  <si>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</si>
  <si>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</si>
  <si>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</si>
  <si>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</si>
  <si>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</si>
  <si>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</si>
  <si>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</si>
  <si>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</si>
  <si>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</si>
  <si>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DTV</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</si>
  <si>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</si>
  <si>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</si>
  <si>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</si>
  <si>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</si>
  <si>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</si>
  <si>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</si>
  <si>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</si>
  <si>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</si>
  <si>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</si>
  <si>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</si>
  <si>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</si>
  <si>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</si>
  <si>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</si>
  <si>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</si>
  <si>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unused_PWR_I2C_SCL</t>
  </si>
  <si>
    <t>unused_PWR_I2C_SDA</t>
  </si>
  <si>
    <t>JTAG_TRST_N</t>
  </si>
  <si>
    <t>JTAG_TDO</t>
  </si>
  <si>
    <t>JTAG_TMS</t>
  </si>
  <si>
    <t>JTAG_TCK</t>
  </si>
  <si>
    <t>JTAG_TDI</t>
  </si>
  <si>
    <t>SYS_RESET_N</t>
  </si>
  <si>
    <t>CLK_32K_IN</t>
  </si>
  <si>
    <t>EXTPERIPH3</t>
  </si>
  <si>
    <t>I2S3</t>
  </si>
  <si>
    <t>unused_DAP4_DIN</t>
  </si>
  <si>
    <t>unused_DAP4_DOUT</t>
  </si>
  <si>
    <t>unused_DAP4_FS</t>
  </si>
  <si>
    <t>unused_DAP4_SCLK</t>
  </si>
  <si>
    <t>unused_GEN1_I2C_SCL</t>
  </si>
  <si>
    <t>unused_GEN1_I2C_SDA</t>
  </si>
  <si>
    <t>UARTB</t>
  </si>
  <si>
    <t>UARTC</t>
  </si>
  <si>
    <t>unused_HDMI_CEC</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</si>
  <si>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</si>
  <si>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</si>
  <si>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</si>
  <si>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</si>
  <si>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</si>
  <si>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</si>
  <si>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</si>
  <si>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</si>
  <si>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</si>
  <si>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</si>
  <si>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</si>
  <si>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</si>
  <si>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</si>
  <si>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</si>
  <si>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</si>
  <si>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</si>
  <si>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</si>
  <si>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</si>
  <si>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</si>
  <si>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</si>
  <si>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</si>
  <si>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</si>
  <si>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</si>
  <si>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</si>
  <si>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</si>
  <si>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</si>
  <si>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</si>
  <si>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</si>
  <si>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</si>
  <si>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</si>
  <si>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</si>
  <si>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</si>
  <si>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</si>
  <si>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</si>
  <si>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</si>
  <si>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</si>
  <si>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</si>
  <si>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</si>
  <si>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</si>
  <si>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</si>
  <si>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</si>
  <si>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</si>
  <si>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</si>
  <si>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</si>
  <si>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</si>
  <si>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</si>
  <si>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</si>
  <si>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</si>
  <si>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</si>
  <si>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</si>
  <si>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</si>
  <si>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</si>
  <si>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</si>
  <si>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</si>
  <si>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</si>
  <si>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</si>
  <si>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HSIC</t>
  </si>
  <si>
    <t>HSIC_REXT</t>
  </si>
  <si>
    <t>unused_HSIC_REXT</t>
  </si>
  <si>
    <t>USB1_DN</t>
  </si>
  <si>
    <t>USB1_DP</t>
  </si>
  <si>
    <t>USB_REXT</t>
  </si>
  <si>
    <t>unused_USB_REXT</t>
  </si>
  <si>
    <t>THERM_DP</t>
  </si>
  <si>
    <t>unused_THERM_DP</t>
  </si>
  <si>
    <t>THERM_DN</t>
  </si>
  <si>
    <t>unused_THERM_DN</t>
  </si>
  <si>
    <t>XTAL</t>
  </si>
  <si>
    <t>XTAL_IN</t>
  </si>
  <si>
    <t>XTAL_OUT</t>
  </si>
  <si>
    <t>DSC</t>
  </si>
  <si>
    <t>unused_DP_AUX_CH0_P</t>
  </si>
  <si>
    <t>unused_DP_AUX_CH0_N</t>
  </si>
  <si>
    <t>USB0_DN</t>
  </si>
  <si>
    <t>USB0_DP</t>
  </si>
  <si>
    <t>USB2_DN</t>
  </si>
  <si>
    <t>USB2_DP</t>
  </si>
  <si>
    <t>PEX_RX2N</t>
  </si>
  <si>
    <t>PEX_RX2P</t>
  </si>
  <si>
    <t>PEX_TX2N</t>
  </si>
  <si>
    <t>PEX_TX2P</t>
  </si>
  <si>
    <t>PEX_RX3N</t>
  </si>
  <si>
    <t>PEX_RX3P</t>
  </si>
  <si>
    <t>PEX_TX3N</t>
  </si>
  <si>
    <t>PEX_TX3P</t>
  </si>
  <si>
    <t>PEX_RX4N</t>
  </si>
  <si>
    <t>PEX_RX4P</t>
  </si>
  <si>
    <t>PEX_TX4N</t>
  </si>
  <si>
    <t>PEX_TX4P</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</si>
  <si>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</si>
  <si>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</si>
  <si>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</si>
  <si>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</si>
  <si>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</si>
  <si>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</si>
  <si>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</si>
  <si>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</si>
  <si>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</si>
  <si>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</si>
  <si>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</si>
  <si>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</si>
  <si>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</si>
  <si>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</si>
  <si>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</si>
  <si>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</si>
  <si>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</si>
  <si>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</si>
  <si>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SATA</t>
  </si>
  <si>
    <t>AUD_MCLK</t>
  </si>
  <si>
    <t>TOUCH_CLK</t>
  </si>
  <si>
    <t>UART2_CTS</t>
  </si>
  <si>
    <t>UART2_RTS</t>
  </si>
  <si>
    <t>UART3_CTS</t>
  </si>
  <si>
    <t>UART3_RTS</t>
  </si>
  <si>
    <t>UART4_CTS</t>
  </si>
  <si>
    <t>UART4_RTS</t>
  </si>
  <si>
    <t>SOC_PWR_REQ</t>
  </si>
  <si>
    <t>IO Block Voltage</t>
  </si>
  <si>
    <t>1.2V</t>
  </si>
  <si>
    <t>DSI_B_CLK_N</t>
  </si>
  <si>
    <t>DSI_B_CLK_P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</si>
  <si>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</si>
  <si>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</si>
  <si>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</si>
  <si>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Revision History</t>
  </si>
  <si>
    <t>Date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</si>
  <si>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</si>
  <si>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</si>
  <si>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DMIC1_CLK</t>
  </si>
  <si>
    <t>DMIC2_CLK</t>
  </si>
  <si>
    <t>DMIC1_DAT</t>
  </si>
  <si>
    <t>DMIC2_DAT</t>
  </si>
  <si>
    <t>SHUTDOWN</t>
  </si>
  <si>
    <t>UART4_TX</t>
  </si>
  <si>
    <t>UART4_RX</t>
  </si>
  <si>
    <t>SPI</t>
  </si>
  <si>
    <t>UART2_TX</t>
  </si>
  <si>
    <t>UART2_RX</t>
  </si>
  <si>
    <t>UART3_TX</t>
  </si>
  <si>
    <t>UART3_RX</t>
  </si>
  <si>
    <t>DEBUG</t>
  </si>
  <si>
    <t>UART1_TX</t>
  </si>
  <si>
    <t>UART1_RX</t>
  </si>
  <si>
    <t>UART1_RTS</t>
  </si>
  <si>
    <t>UART1_CTS</t>
  </si>
  <si>
    <t>POWER_ON</t>
  </si>
  <si>
    <t>PEX_CLK1P</t>
  </si>
  <si>
    <t>PEX_CLK1N</t>
  </si>
  <si>
    <t>PEX_CLK2P</t>
  </si>
  <si>
    <t>PEX_CLK2N</t>
  </si>
  <si>
    <t>AUDIO_HV</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</si>
  <si>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</si>
  <si>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</si>
  <si>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</si>
  <si>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</si>
  <si>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</si>
  <si>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</si>
  <si>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</si>
  <si>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</si>
  <si>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</si>
  <si>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</si>
  <si>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</si>
  <si>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</si>
  <si>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</si>
  <si>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</si>
  <si>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PEX_RX0N</t>
  </si>
  <si>
    <t>PEX_RX1P</t>
  </si>
  <si>
    <t>PEX_TX0N</t>
  </si>
  <si>
    <t>PEX_TX1N</t>
  </si>
  <si>
    <t>PEX_RX0P</t>
  </si>
  <si>
    <t>PEX_TX0P</t>
  </si>
  <si>
    <t>PEX_RX1N</t>
  </si>
  <si>
    <t>PEX_TX1P</t>
  </si>
  <si>
    <t>PEX_RX5N</t>
  </si>
  <si>
    <t>PEX_RX5P</t>
  </si>
  <si>
    <t>PEX_TX5N</t>
  </si>
  <si>
    <t>PEX_TX5P</t>
  </si>
  <si>
    <t>QSPI_IO0</t>
  </si>
  <si>
    <t>QSPI_IO1</t>
  </si>
  <si>
    <t>QSPI_SCK</t>
  </si>
  <si>
    <t>QSPI_CS_N</t>
  </si>
  <si>
    <t>QSPI_IO2</t>
  </si>
  <si>
    <t>QSPI_IO3</t>
  </si>
  <si>
    <t>CSI_C_CLK_N</t>
  </si>
  <si>
    <t>CSI_C_CLK_P</t>
  </si>
  <si>
    <t>CSI_C_D0_N</t>
  </si>
  <si>
    <t>CSI_C_D0_P</t>
  </si>
  <si>
    <t>CSI_C_D1_N</t>
  </si>
  <si>
    <t>CSI_C_D1_P</t>
  </si>
  <si>
    <t>CSI_D_D0_N</t>
  </si>
  <si>
    <t>CSI_D_D0_P</t>
  </si>
  <si>
    <t>CSI_D_D1_N</t>
  </si>
  <si>
    <t>CSI_D_D1_P</t>
  </si>
  <si>
    <t>Strap</t>
  </si>
  <si>
    <t>Color Code</t>
  </si>
  <si>
    <t xml:space="preserve">Note: 1) Please check with Nvidia before using functions that end with a '*' </t>
  </si>
  <si>
    <t>Error</t>
  </si>
  <si>
    <t>Warning</t>
  </si>
  <si>
    <t>SDMMC1_COMP</t>
  </si>
  <si>
    <t>SDMMC3_COMP</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</si>
  <si>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</si>
  <si>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</si>
  <si>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</si>
  <si>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</si>
  <si>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</si>
  <si>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</si>
  <si>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</si>
  <si>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</si>
  <si>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</si>
  <si>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</si>
  <si>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</si>
  <si>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</si>
  <si>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</si>
  <si>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</si>
  <si>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</si>
  <si>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</si>
  <si>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</si>
  <si>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</si>
  <si>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</si>
  <si>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</si>
  <si>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</si>
  <si>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</si>
  <si>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</si>
  <si>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</si>
  <si>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</si>
  <si>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</si>
  <si>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</si>
  <si>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</si>
  <si>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</si>
  <si>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</si>
  <si>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</si>
  <si>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</si>
  <si>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</si>
  <si>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</si>
  <si>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</si>
  <si>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</si>
  <si>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</si>
  <si>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</si>
  <si>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</si>
  <si>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</si>
  <si>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</si>
  <si>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</si>
  <si>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</si>
  <si>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</si>
  <si>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</si>
  <si>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</si>
  <si>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</si>
  <si>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</si>
  <si>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</si>
  <si>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</si>
  <si>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</si>
  <si>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</si>
  <si>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</si>
  <si>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</si>
  <si>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</si>
  <si>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</si>
  <si>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</si>
  <si>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</si>
  <si>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</si>
  <si>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</si>
  <si>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</si>
  <si>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</si>
  <si>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</si>
  <si>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</si>
  <si>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</si>
  <si>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</si>
  <si>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</si>
  <si>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</si>
  <si>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</si>
  <si>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</si>
  <si>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</si>
  <si>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</si>
  <si>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</si>
  <si>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</si>
  <si>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</si>
  <si>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</si>
  <si>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</si>
  <si>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</si>
  <si>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</si>
  <si>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</si>
  <si>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</si>
  <si>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</si>
  <si>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</si>
  <si>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</si>
  <si>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</si>
  <si>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</si>
  <si>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</si>
  <si>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</si>
  <si>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</si>
  <si>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</si>
  <si>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</si>
  <si>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</si>
  <si>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</si>
  <si>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</si>
  <si>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</si>
  <si>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</si>
  <si>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</si>
  <si>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</si>
  <si>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</si>
  <si>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</si>
  <si>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</si>
  <si>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</si>
  <si>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</si>
  <si>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</si>
  <si>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</si>
  <si>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</si>
  <si>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</si>
  <si>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</si>
  <si>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</si>
  <si>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</si>
  <si>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</si>
  <si>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</si>
  <si>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</si>
  <si>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</si>
  <si>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</si>
  <si>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</si>
  <si>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</si>
  <si>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</si>
  <si>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</si>
  <si>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</si>
  <si>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</si>
  <si>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</si>
  <si>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</si>
  <si>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</si>
  <si>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</si>
  <si>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</si>
  <si>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</si>
  <si>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</si>
  <si>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</si>
  <si>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</si>
  <si>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</si>
  <si>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</si>
  <si>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</si>
  <si>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</si>
  <si>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</si>
  <si>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</si>
  <si>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</si>
  <si>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</si>
  <si>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</si>
  <si>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</si>
  <si>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</si>
  <si>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</si>
  <si>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</si>
  <si>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1.05V</t>
  </si>
  <si>
    <t>1.1V</t>
  </si>
  <si>
    <t>unused_QSPI_IO3</t>
  </si>
  <si>
    <t>unused_QSPI_IO1</t>
  </si>
  <si>
    <t>unused_QSPI_SCK</t>
  </si>
  <si>
    <t>unused_QSPI_CS_N</t>
  </si>
  <si>
    <t>unused_QSPI_IO2</t>
  </si>
  <si>
    <t>unused_DMIC1_CLK</t>
  </si>
  <si>
    <t>unused_DMIC1_DAT</t>
  </si>
  <si>
    <t>unused_DMIC2_CLK</t>
  </si>
  <si>
    <t>unused_DMIC2_DAT</t>
  </si>
  <si>
    <t>unused_PEX_L0_CLKREQ_N</t>
  </si>
  <si>
    <t>unused_PEX_L0_RST_N</t>
  </si>
  <si>
    <t>unused_PEX_L1_CLKREQ_N</t>
  </si>
  <si>
    <t>unused_PEX_L1_RST_N</t>
  </si>
  <si>
    <t>unused_PEX_WAKE_N</t>
  </si>
  <si>
    <t>unused_PEX_CLK1P</t>
  </si>
  <si>
    <t>unused_PEX_CLK1N</t>
  </si>
  <si>
    <t>unused_PEX_CLK2P</t>
  </si>
  <si>
    <t>unused_PEX_CLK2N</t>
  </si>
  <si>
    <t>unused_SDMMC1_COMP</t>
  </si>
  <si>
    <t>unused_SDMMC3_COMP</t>
  </si>
  <si>
    <t>unused_TOUCH_CLK</t>
  </si>
  <si>
    <t>unused_SHUTDOWN</t>
  </si>
  <si>
    <t>unused_SYS_RESET_N</t>
  </si>
  <si>
    <t>unused_CLK_32K_IN</t>
  </si>
  <si>
    <t>unused_UART2_TX</t>
  </si>
  <si>
    <t>unused_UART2_RTS</t>
  </si>
  <si>
    <t>unused_UART2_CTS</t>
  </si>
  <si>
    <t>unused_UART1_TX</t>
  </si>
  <si>
    <t>unused_UART1_RX</t>
  </si>
  <si>
    <t>unused_UART1_RTS</t>
  </si>
  <si>
    <t>unused_UART1_CTS</t>
  </si>
  <si>
    <t>unused_JTAG_TRST_N</t>
  </si>
  <si>
    <t>unused_JTAG_TDO</t>
  </si>
  <si>
    <t>unused_JTAG_TMS</t>
  </si>
  <si>
    <t>unused_JTAG_TCK</t>
  </si>
  <si>
    <t>unused_JTAG_TDI</t>
  </si>
  <si>
    <t>unused_UART3_TX</t>
  </si>
  <si>
    <t>unused_UART3_RX</t>
  </si>
  <si>
    <t>unused_UART3_RTS</t>
  </si>
  <si>
    <t>unused_UART3_CTS</t>
  </si>
  <si>
    <t>unused_UART4_TX</t>
  </si>
  <si>
    <t>unused_UART4_RX</t>
  </si>
  <si>
    <t>unused_UART4_RTS</t>
  </si>
  <si>
    <t>unused_UART4_CTS</t>
  </si>
  <si>
    <t>unused_QSPI_IO0</t>
  </si>
  <si>
    <t>unused_DP_AUX_CH1_P</t>
  </si>
  <si>
    <t>unused_DP_AUX_CH1_N</t>
  </si>
  <si>
    <t>3.3V Tolerance Enable</t>
  </si>
  <si>
    <t>unused_DSI_B_CLK_N</t>
  </si>
  <si>
    <t>unused_DSI_B_CLK_P</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</si>
  <si>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</si>
  <si>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</si>
  <si>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</si>
  <si>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</si>
  <si>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</si>
  <si>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</si>
  <si>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</si>
  <si>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</si>
  <si>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</si>
  <si>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</si>
  <si>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</si>
  <si>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</si>
  <si>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</si>
  <si>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</si>
  <si>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</si>
  <si>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</si>
  <si>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unused_CSI_F_CLK_N</t>
  </si>
  <si>
    <t>unused_CSI_F_CLK_P</t>
  </si>
  <si>
    <t>unused_CSI_F_D0_N</t>
  </si>
  <si>
    <t>unused_CSI_F_D0_P</t>
  </si>
  <si>
    <t>unused_CSI_F_D1_N</t>
  </si>
  <si>
    <t>unused_CSI_F_D1_P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</si>
  <si>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</si>
  <si>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</si>
  <si>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</si>
  <si>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</si>
  <si>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</si>
  <si>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</si>
  <si>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</si>
  <si>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</si>
  <si>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</si>
  <si>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</si>
  <si>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</si>
  <si>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</si>
  <si>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unused_DDR_XM0_B0D0</t>
  </si>
  <si>
    <t>unused_DDR_XM0_B0D1</t>
  </si>
  <si>
    <t>unused_DDR_XM0_B0D2</t>
  </si>
  <si>
    <t>unused_DDR_XM0_B0D3</t>
  </si>
  <si>
    <t>unused_DDR_XM0_B0D4</t>
  </si>
  <si>
    <t>unused_DDR_XM0_B0D5</t>
  </si>
  <si>
    <t>unused_DDR_XM0_B0D6</t>
  </si>
  <si>
    <t>unused_DDR_XM0_B0D7</t>
  </si>
  <si>
    <t>unused_DDR_XM0_B0D8</t>
  </si>
  <si>
    <t>unused_DDR_XM0_B0DIFFN</t>
  </si>
  <si>
    <t>unused_DDR_XM0_B0DIFFP</t>
  </si>
  <si>
    <t>unused_DDR_XM0_B0C</t>
  </si>
  <si>
    <t>unused_DDR_XM0_B1D0</t>
  </si>
  <si>
    <t>unused_DDR_XM0_B1D1</t>
  </si>
  <si>
    <t>unused_DDR_XM0_B1D2</t>
  </si>
  <si>
    <t>unused_DDR_XM0_B1D3</t>
  </si>
  <si>
    <t>unused_DDR_XM0_B1D4</t>
  </si>
  <si>
    <t>unused_DDR_XM0_B1D5</t>
  </si>
  <si>
    <t>unused_DDR_XM0_B1D6</t>
  </si>
  <si>
    <t>unused_DDR_XM0_B1D7</t>
  </si>
  <si>
    <t>unused_DDR_XM0_B1D8</t>
  </si>
  <si>
    <t>unused_DDR_XM0_B1DIFFN</t>
  </si>
  <si>
    <t>unused_DDR_XM0_B1DIFFP</t>
  </si>
  <si>
    <t>unused_DDR_XM0_B1C</t>
  </si>
  <si>
    <t>unused_DDR_XM0_B2D0</t>
  </si>
  <si>
    <t>unused_DDR_XM0_B2D1</t>
  </si>
  <si>
    <t>unused_DDR_XM0_B2D2</t>
  </si>
  <si>
    <t>unused_DDR_XM0_B2D3</t>
  </si>
  <si>
    <t>unused_DDR_XM0_B2D4</t>
  </si>
  <si>
    <t>unused_DDR_XM0_B2D5</t>
  </si>
  <si>
    <t>unused_DDR_XM0_B2D6</t>
  </si>
  <si>
    <t>unused_DDR_XM0_B2D7</t>
  </si>
  <si>
    <t>unused_DDR_XM0_B2D8</t>
  </si>
  <si>
    <t>unused_DDR_XM0_B2DIFFN</t>
  </si>
  <si>
    <t>unused_DDR_XM0_B2DIFFP</t>
  </si>
  <si>
    <t>unused_DDR_XM0_B2C</t>
  </si>
  <si>
    <t>unused_DDR_XM0_B3D0</t>
  </si>
  <si>
    <t>unused_DDR_XM0_B3D1</t>
  </si>
  <si>
    <t>unused_DDR_XM0_B3D2</t>
  </si>
  <si>
    <t>unused_DDR_XM0_B3D3</t>
  </si>
  <si>
    <t>unused_DDR_XM0_B3D4</t>
  </si>
  <si>
    <t>unused_DDR_XM0_B3D5</t>
  </si>
  <si>
    <t>unused_DDR_XM0_B3D6</t>
  </si>
  <si>
    <t>unused_DDR_XM0_B3D7</t>
  </si>
  <si>
    <t>unused_DDR_XM0_B3D8</t>
  </si>
  <si>
    <t>unused_DDR_XM0_B3DIFFN</t>
  </si>
  <si>
    <t>unused_DDR_XM0_B3DIFFP</t>
  </si>
  <si>
    <t>unused_DDR_XM0_B3C</t>
  </si>
  <si>
    <t>unused_DDR_XM0_B4D0</t>
  </si>
  <si>
    <t>unused_DDR_XM0_B4D1</t>
  </si>
  <si>
    <t>unused_DDR_XM0_B4D2</t>
  </si>
  <si>
    <t>unused_DDR_XM0_B4D3</t>
  </si>
  <si>
    <t>unused_DDR_XM0_B4D4</t>
  </si>
  <si>
    <t>unused_DDR_XM0_B4D5</t>
  </si>
  <si>
    <t>unused_DDR_XM0_B4D6</t>
  </si>
  <si>
    <t>unused_DDR_XM0_B4D7</t>
  </si>
  <si>
    <t>unused_DDR_XM0_B4D8</t>
  </si>
  <si>
    <t>unused_DDR_XM0_B4DIFFN</t>
  </si>
  <si>
    <t>unused_DDR_XM0_B4DIFFP</t>
  </si>
  <si>
    <t>unused_DDR_XM0_B4C</t>
  </si>
  <si>
    <t>unused_DDR_XM0_B5D0</t>
  </si>
  <si>
    <t>unused_DDR_XM0_B5D1</t>
  </si>
  <si>
    <t>unused_DDR_XM0_B5D2</t>
  </si>
  <si>
    <t>unused_DDR_XM0_B5D3</t>
  </si>
  <si>
    <t>unused_DDR_XM0_B5D4</t>
  </si>
  <si>
    <t>unused_DDR_XM0_B5D5</t>
  </si>
  <si>
    <t>unused_DDR_XM0_B5D6</t>
  </si>
  <si>
    <t>unused_DDR_XM0_B5D7</t>
  </si>
  <si>
    <t>unused_DDR_XM0_B5D8</t>
  </si>
  <si>
    <t>unused_DDR_XM0_B5DIFFN</t>
  </si>
  <si>
    <t>unused_DDR_XM0_B5DIFFP</t>
  </si>
  <si>
    <t>unused_DDR_XM0_B5C</t>
  </si>
  <si>
    <t>unused_DDR_XM0_B6D0</t>
  </si>
  <si>
    <t>unused_DDR_XM0_B6D1</t>
  </si>
  <si>
    <t>unused_DDR_XM0_B6D2</t>
  </si>
  <si>
    <t>unused_DDR_XM0_B6D3</t>
  </si>
  <si>
    <t>unused_DDR_XM0_B6D4</t>
  </si>
  <si>
    <t>unused_DDR_XM0_B6D5</t>
  </si>
  <si>
    <t>unused_DDR_XM0_B6D6</t>
  </si>
  <si>
    <t>unused_DDR_XM0_B6D7</t>
  </si>
  <si>
    <t>unused_DDR_XM0_B6D8</t>
  </si>
  <si>
    <t>unused_DDR_XM0_B6DIFFN</t>
  </si>
  <si>
    <t>unused_DDR_XM0_B6DIFFP</t>
  </si>
  <si>
    <t>unused_DDR_XM0_B6C</t>
  </si>
  <si>
    <t>unused_DDR_XM0_B7D0</t>
  </si>
  <si>
    <t>unused_DDR_XM0_B7D1</t>
  </si>
  <si>
    <t>unused_DDR_XM0_B7D2</t>
  </si>
  <si>
    <t>unused_DDR_XM0_B7D3</t>
  </si>
  <si>
    <t>unused_DDR_XM0_B7D4</t>
  </si>
  <si>
    <t>unused_DDR_XM0_B7D5</t>
  </si>
  <si>
    <t>unused_DDR_XM0_B7D6</t>
  </si>
  <si>
    <t>unused_DDR_XM0_B7D7</t>
  </si>
  <si>
    <t>unused_DDR_XM0_B7D8</t>
  </si>
  <si>
    <t>unused_DDR_XM0_B7DIFFN</t>
  </si>
  <si>
    <t>unused_DDR_XM0_B7DIFFP</t>
  </si>
  <si>
    <t>unused_DDR_XM0_B7C</t>
  </si>
  <si>
    <t>unused_DDR_XM0_B8D0</t>
  </si>
  <si>
    <t>unused_DDR_XM0_B8D1</t>
  </si>
  <si>
    <t>unused_DDR_XM0_B8D2</t>
  </si>
  <si>
    <t>unused_DDR_XM0_B8D3</t>
  </si>
  <si>
    <t>unused_DDR_XM0_B8D4</t>
  </si>
  <si>
    <t>unused_DDR_XM0_B8D5</t>
  </si>
  <si>
    <t>unused_DDR_XM0_B8D6</t>
  </si>
  <si>
    <t>unused_DDR_XM0_B8D7</t>
  </si>
  <si>
    <t>unused_DDR_XM0_B8D8</t>
  </si>
  <si>
    <t>unused_DDR_XM0_B8DIFFN</t>
  </si>
  <si>
    <t>unused_DDR_XM0_B8DIFFP</t>
  </si>
  <si>
    <t>unused_DDR_XM0_B8C</t>
  </si>
  <si>
    <t>unused_DDR_XM0_B9D0</t>
  </si>
  <si>
    <t>unused_DDR_XM0_B9D1</t>
  </si>
  <si>
    <t>unused_DDR_XM0_B9D2</t>
  </si>
  <si>
    <t>unused_DDR_XM0_B9D3</t>
  </si>
  <si>
    <t>unused_DDR_XM0_B9D4</t>
  </si>
  <si>
    <t>unused_DDR_XM0_B9D5</t>
  </si>
  <si>
    <t>unused_DDR_XM0_B9D6</t>
  </si>
  <si>
    <t>unused_DDR_XM0_B9D7</t>
  </si>
  <si>
    <t>unused_DDR_XM0_B9D8</t>
  </si>
  <si>
    <t>unused_DDR_XM0_B9DIFFN</t>
  </si>
  <si>
    <t>unused_DDR_XM0_B9DIFFP</t>
  </si>
  <si>
    <t>unused_DDR_XM0_B9C</t>
  </si>
  <si>
    <t>unused_DDR_XM0_B10D0</t>
  </si>
  <si>
    <t>unused_DDR_XM0_B10D1</t>
  </si>
  <si>
    <t>unused_DDR_XM0_B10D2</t>
  </si>
  <si>
    <t>unused_DDR_XM0_B10D3</t>
  </si>
  <si>
    <t>unused_DDR_XM0_B10D4</t>
  </si>
  <si>
    <t>unused_DDR_XM0_B10D5</t>
  </si>
  <si>
    <t>unused_DDR_XM0_B10D6</t>
  </si>
  <si>
    <t>unused_DDR_XM0_B10D7</t>
  </si>
  <si>
    <t>unused_DDR_XM0_B10D8</t>
  </si>
  <si>
    <t>unused_DDR_XM0_B10DIFFN</t>
  </si>
  <si>
    <t>unused_DDR_XM0_B10DIFFP</t>
  </si>
  <si>
    <t>unused_DDR_XM0_B10C</t>
  </si>
  <si>
    <t>unused_DDR_XM0_B11D0</t>
  </si>
  <si>
    <t>unused_DDR_XM0_B11D1</t>
  </si>
  <si>
    <t>unused_DDR_XM0_B11D2</t>
  </si>
  <si>
    <t>unused_DDR_XM0_B11D3</t>
  </si>
  <si>
    <t>unused_DDR_XM0_B11D4</t>
  </si>
  <si>
    <t>unused_DDR_XM0_B11D5</t>
  </si>
  <si>
    <t>unused_DDR_XM0_B11D6</t>
  </si>
  <si>
    <t>unused_DDR_XM0_B11D7</t>
  </si>
  <si>
    <t>unused_DDR_XM0_B11D8</t>
  </si>
  <si>
    <t>unused_DDR_XM0_B11DIFFN</t>
  </si>
  <si>
    <t>unused_DDR_XM0_B11DIFFP</t>
  </si>
  <si>
    <t>unused_DAP1_SCLK</t>
  </si>
  <si>
    <t>AUD</t>
  </si>
  <si>
    <t>DMIC1</t>
  </si>
  <si>
    <t>DMIC2</t>
  </si>
  <si>
    <t>DMIC3</t>
  </si>
  <si>
    <t>PE0</t>
  </si>
  <si>
    <t>PE1</t>
  </si>
  <si>
    <t>PE</t>
  </si>
  <si>
    <t>TOUCH</t>
  </si>
  <si>
    <t>CCLA</t>
  </si>
  <si>
    <t>I2C2</t>
  </si>
  <si>
    <t>IQC0</t>
  </si>
  <si>
    <t>IQC1</t>
  </si>
  <si>
    <t>QSPI</t>
  </si>
  <si>
    <t>Single-cell
Tablet usage
8 Lane DSI Panel</t>
  </si>
  <si>
    <t>RSVD0</t>
  </si>
  <si>
    <t>Error Checker</t>
  </si>
  <si>
    <t>Customer Usage Checker</t>
  </si>
  <si>
    <t>Initial State Checker</t>
  </si>
  <si>
    <t>Wake Checker</t>
  </si>
  <si>
    <t>Resistor Checker</t>
  </si>
  <si>
    <t>3.3V Tolerance Enable Checker</t>
  </si>
  <si>
    <t>unused_AUD_MCLK</t>
  </si>
  <si>
    <t>unused_UART2_RX</t>
  </si>
  <si>
    <t>EDP</t>
  </si>
  <si>
    <t>MID</t>
  </si>
  <si>
    <t>DDR0</t>
  </si>
  <si>
    <t>DDR1</t>
  </si>
  <si>
    <t>DDR_XM1_B0D0</t>
  </si>
  <si>
    <t>DDR_XM1_B0D1</t>
  </si>
  <si>
    <t>DDR_XM1_B0D2</t>
  </si>
  <si>
    <t>DDR_XM1_B0D3</t>
  </si>
  <si>
    <t>DDR_XM1_B0D4</t>
  </si>
  <si>
    <t>DDR_XM1_B0D5</t>
  </si>
  <si>
    <t>DDR_XM1_B0D6</t>
  </si>
  <si>
    <t>DDR_XM1_B0D7</t>
  </si>
  <si>
    <t>DDR_XM1_B0D8</t>
  </si>
  <si>
    <t>DDR_XM1_B0DIFFN</t>
  </si>
  <si>
    <t>DDR_XM1_B0DIFFP</t>
  </si>
  <si>
    <t>DDR_XM1_B0C</t>
  </si>
  <si>
    <t>DDR_XM1_B1D0</t>
  </si>
  <si>
    <t>DDR_XM1_B1D1</t>
  </si>
  <si>
    <t>DDR_XM1_B1D2</t>
  </si>
  <si>
    <t>DDR_XM1_B1D3</t>
  </si>
  <si>
    <t>DDR_XM1_B1D4</t>
  </si>
  <si>
    <t>DDR_XM1_B1D5</t>
  </si>
  <si>
    <t>DDR_XM1_B1D6</t>
  </si>
  <si>
    <t>DDR_XM1_B1D7</t>
  </si>
  <si>
    <t>DDR_XM1_B1D8</t>
  </si>
  <si>
    <t>DDR_XM1_B1DIFFN</t>
  </si>
  <si>
    <t>DDR_XM1_B1DIFFP</t>
  </si>
  <si>
    <t>DDR_XM1_B1C</t>
  </si>
  <si>
    <t>DDR_XM1_B2D0</t>
  </si>
  <si>
    <t>DDR_XM1_B2D1</t>
  </si>
  <si>
    <t>DDR_XM1_B2D2</t>
  </si>
  <si>
    <t>DDR_XM1_B2D3</t>
  </si>
  <si>
    <t>DDR_XM1_B2D4</t>
  </si>
  <si>
    <t>DDR_XM1_B2D5</t>
  </si>
  <si>
    <t>DDR_XM1_B2D6</t>
  </si>
  <si>
    <t>DDR_XM1_B2D7</t>
  </si>
  <si>
    <t>DDR_XM1_B2D8</t>
  </si>
  <si>
    <t>DDR_XM1_B2DIFFN</t>
  </si>
  <si>
    <t>DDR_XM1_B2DIFFP</t>
  </si>
  <si>
    <t>DDR_XM1_B2C</t>
  </si>
  <si>
    <t>DDR_XM1_B3D0</t>
  </si>
  <si>
    <t>DDR_XM1_B3D1</t>
  </si>
  <si>
    <t>DDR_XM1_B3D2</t>
  </si>
  <si>
    <t>DDR_XM1_B3D3</t>
  </si>
  <si>
    <t>DDR_XM1_B3D4</t>
  </si>
  <si>
    <t>DDR_XM1_B3D5</t>
  </si>
  <si>
    <t>DDR_XM1_B3D6</t>
  </si>
  <si>
    <t>DDR_XM1_B3D7</t>
  </si>
  <si>
    <t>DDR_XM1_B3D8</t>
  </si>
  <si>
    <t>DDR_XM1_B3DIFFN</t>
  </si>
  <si>
    <t>DDR_XM1_B3DIFFP</t>
  </si>
  <si>
    <t>DDR_XM1_B3C</t>
  </si>
  <si>
    <t>DDR_XM1_B4D0</t>
  </si>
  <si>
    <t>DDR_XM1_B4D1</t>
  </si>
  <si>
    <t>DDR_XM1_B4D2</t>
  </si>
  <si>
    <t>DDR_XM1_B4D3</t>
  </si>
  <si>
    <t>DDR_XM1_B4D4</t>
  </si>
  <si>
    <t>DDR_XM1_B4D5</t>
  </si>
  <si>
    <t>DDR_XM1_B4D6</t>
  </si>
  <si>
    <t>DDR_XM1_B4D7</t>
  </si>
  <si>
    <t>DDR_XM1_B4D8</t>
  </si>
  <si>
    <t>DDR_XM1_B4DIFFN</t>
  </si>
  <si>
    <t>DDR_XM1_B4DIFFP</t>
  </si>
  <si>
    <t>DDR_XM1_B4C</t>
  </si>
  <si>
    <t>DDR_XM1_B5D0</t>
  </si>
  <si>
    <t>DDR_XM1_B5D1</t>
  </si>
  <si>
    <t>DDR_XM1_B5D2</t>
  </si>
  <si>
    <t>DDR_XM1_B5D3</t>
  </si>
  <si>
    <t>DDR_XM1_B5D4</t>
  </si>
  <si>
    <t>DDR_XM1_B5D5</t>
  </si>
  <si>
    <t>DDR_XM1_B5D6</t>
  </si>
  <si>
    <t>DDR_XM1_B5D7</t>
  </si>
  <si>
    <t>DDR_XM1_B5D8</t>
  </si>
  <si>
    <t>DDR_XM1_B5DIFFN</t>
  </si>
  <si>
    <t>DDR_XM1_B5DIFFP</t>
  </si>
  <si>
    <t>DDR_XM1_B5C</t>
  </si>
  <si>
    <t>DDR_XM1_B6D0</t>
  </si>
  <si>
    <t>DDR_XM1_B6D1</t>
  </si>
  <si>
    <t>DDR_XM1_B6D2</t>
  </si>
  <si>
    <t>DDR_XM1_B6D3</t>
  </si>
  <si>
    <t>DDR_XM1_B6D4</t>
  </si>
  <si>
    <t>DDR_XM1_B6D5</t>
  </si>
  <si>
    <t>DDR_XM1_B6D6</t>
  </si>
  <si>
    <t>DDR_XM1_B6D7</t>
  </si>
  <si>
    <t>DDR_XM1_B6D8</t>
  </si>
  <si>
    <t>DDR_XM1_B6DIFFN</t>
  </si>
  <si>
    <t>DDR_XM1_B6DIFFP</t>
  </si>
  <si>
    <t>DDR_XM1_B6C</t>
  </si>
  <si>
    <t>DDR_XM1_B7D0</t>
  </si>
  <si>
    <t>DDR_XM1_B7D1</t>
  </si>
  <si>
    <t>DDR_XM1_B7D2</t>
  </si>
  <si>
    <t>DDR_XM1_B7D3</t>
  </si>
  <si>
    <t>DDR_XM1_B7D4</t>
  </si>
  <si>
    <t>DDR_XM1_B7D5</t>
  </si>
  <si>
    <t>DDR_XM1_B7D6</t>
  </si>
  <si>
    <t>DDR_XM1_B7D7</t>
  </si>
  <si>
    <t>DDR_XM1_B7D8</t>
  </si>
  <si>
    <t>DDR_XM1_B7DIFFN</t>
  </si>
  <si>
    <t>DDR_XM1_B7DIFFP</t>
  </si>
  <si>
    <t>DDR_XM1_B7C</t>
  </si>
  <si>
    <t>DDR_XM1_B8D0</t>
  </si>
  <si>
    <t>DDR_XM1_B8D1</t>
  </si>
  <si>
    <t>DDR_XM1_B8D2</t>
  </si>
  <si>
    <t>DDR_XM1_B8D3</t>
  </si>
  <si>
    <t>DDR_XM1_B8D4</t>
  </si>
  <si>
    <t>DDR_XM1_B8D5</t>
  </si>
  <si>
    <t>DDR_XM1_B8D6</t>
  </si>
  <si>
    <t>DDR_XM1_B8D7</t>
  </si>
  <si>
    <t>DDR_XM1_B8D8</t>
  </si>
  <si>
    <t>DDR_XM1_B8DIFFN</t>
  </si>
  <si>
    <t>DDR_XM1_B8DIFFP</t>
  </si>
  <si>
    <t>DDR_XM1_B8C</t>
  </si>
  <si>
    <t>DDR_XM1_B9D0</t>
  </si>
  <si>
    <t>DDR_XM1_B9D1</t>
  </si>
  <si>
    <t>DDR_XM1_B9D2</t>
  </si>
  <si>
    <t>DDR_XM1_B9D3</t>
  </si>
  <si>
    <t>DDR_XM1_B9D4</t>
  </si>
  <si>
    <t>DDR_XM1_B9D5</t>
  </si>
  <si>
    <t>DDR_XM1_B9D6</t>
  </si>
  <si>
    <t>DDR_XM1_B9D7</t>
  </si>
  <si>
    <t>DDR_XM1_B9D8</t>
  </si>
  <si>
    <t>DDR_XM1_B9DIFFN</t>
  </si>
  <si>
    <t>DDR_XM1_B9DIFFP</t>
  </si>
  <si>
    <t>DDR_XM1_B9C</t>
  </si>
  <si>
    <t>DDR_XM1_B10D0</t>
  </si>
  <si>
    <t>DDR_XM1_B10D1</t>
  </si>
  <si>
    <t>DDR_XM1_B10D2</t>
  </si>
  <si>
    <t>DDR_XM1_B10D3</t>
  </si>
  <si>
    <t>DDR_XM1_B10D4</t>
  </si>
  <si>
    <t>DDR_XM1_B10D5</t>
  </si>
  <si>
    <t>DDR_XM1_B10D6</t>
  </si>
  <si>
    <t>DDR_XM1_B10D7</t>
  </si>
  <si>
    <t>DDR_XM1_B10D8</t>
  </si>
  <si>
    <t>DDR_XM1_B10DIFFN</t>
  </si>
  <si>
    <t>DDR_XM1_B10DIFFP</t>
  </si>
  <si>
    <t>DDR_XM1_B10C</t>
  </si>
  <si>
    <t>DDR_XM1_B11D0</t>
  </si>
  <si>
    <t>DDR_XM1_B11D1</t>
  </si>
  <si>
    <t>DDR_XM1_B11D2</t>
  </si>
  <si>
    <t>DDR_XM1_B11D3</t>
  </si>
  <si>
    <t>DDR_XM1_B11D4</t>
  </si>
  <si>
    <t>DDR_XM1_B11D5</t>
  </si>
  <si>
    <t>DDR_XM1_B11D6</t>
  </si>
  <si>
    <t>DDR_XM1_B11D7</t>
  </si>
  <si>
    <t>DDR_XM1_B11D8</t>
  </si>
  <si>
    <t>DDR_XM1_B11DIFFN</t>
  </si>
  <si>
    <t>DDR_XM1_B11DIFFP</t>
  </si>
  <si>
    <t>QSPI_COMP</t>
  </si>
  <si>
    <t>GPIO_WAN1</t>
  </si>
  <si>
    <t>GPIO_WAN2</t>
  </si>
  <si>
    <t>GPIO_WAN3</t>
  </si>
  <si>
    <t>GPIO_WAN4</t>
  </si>
  <si>
    <t>GPIO_AUD0</t>
  </si>
  <si>
    <t>GPIO_AUD1</t>
  </si>
  <si>
    <t>GPIO_AUD2</t>
  </si>
  <si>
    <t>GPIO_AUD3</t>
  </si>
  <si>
    <t>DMIC4_CLK</t>
  </si>
  <si>
    <t>DMIC4_DAT</t>
  </si>
  <si>
    <t>DMIC_HV</t>
  </si>
  <si>
    <t>GPIO_PQ0</t>
  </si>
  <si>
    <t>GPIO_PQ1</t>
  </si>
  <si>
    <t>GPIO_PQ2</t>
  </si>
  <si>
    <t>GPIO_PQ3</t>
  </si>
  <si>
    <t>GPIO_PQ4</t>
  </si>
  <si>
    <t>GPIO_PQ5</t>
  </si>
  <si>
    <t>GPIO_PQ6</t>
  </si>
  <si>
    <t>GPIO_PQ7</t>
  </si>
  <si>
    <t>EXTPERIPH1_CLK</t>
  </si>
  <si>
    <t>EXTPERIPH2_CLK</t>
  </si>
  <si>
    <t>GPIO_CAM1</t>
  </si>
  <si>
    <t>GPIO_CAM2</t>
  </si>
  <si>
    <t>GPIO_CAM3</t>
  </si>
  <si>
    <t>GPIO_CAM4</t>
  </si>
  <si>
    <t>GPIO_CAM5</t>
  </si>
  <si>
    <t>GPIO_CAM6</t>
  </si>
  <si>
    <t>GPIO_CAM7</t>
  </si>
  <si>
    <t>PMU_INT_N</t>
  </si>
  <si>
    <t>SAFE_STATE</t>
  </si>
  <si>
    <t>VCOMP_ALERT</t>
  </si>
  <si>
    <t>BATT_OC</t>
  </si>
  <si>
    <t>GPIO_SW1</t>
  </si>
  <si>
    <t>GPIO_SW2</t>
  </si>
  <si>
    <t>GPIO_SW3</t>
  </si>
  <si>
    <t>GPIO_SW4</t>
  </si>
  <si>
    <t>GPIO_DIS0</t>
  </si>
  <si>
    <t>GPIO_DIS1</t>
  </si>
  <si>
    <t>GPIO_DIS2</t>
  </si>
  <si>
    <t>GPIO_DIS3</t>
  </si>
  <si>
    <t>GPIO_DIS4</t>
  </si>
  <si>
    <t>GPIO_DIS5</t>
  </si>
  <si>
    <t>AO</t>
  </si>
  <si>
    <t>GEN8_I2C_SCL</t>
  </si>
  <si>
    <t>GEN8_I2C_SDA</t>
  </si>
  <si>
    <t>UART7_TX</t>
  </si>
  <si>
    <t>UART7_RX</t>
  </si>
  <si>
    <t>GPIO_SEN0</t>
  </si>
  <si>
    <t>GPIO_SEN1</t>
  </si>
  <si>
    <t>GPIO_SEN2</t>
  </si>
  <si>
    <t>GPIO_SEN3</t>
  </si>
  <si>
    <t>GPIO_SEN4</t>
  </si>
  <si>
    <t>GPIO_SEN5</t>
  </si>
  <si>
    <t>GPIO_SEN6</t>
  </si>
  <si>
    <t>GPIO_SEN7</t>
  </si>
  <si>
    <t>GPIO_SEN8</t>
  </si>
  <si>
    <t>GPIO_SEN9</t>
  </si>
  <si>
    <t>AO_HV</t>
  </si>
  <si>
    <t>CAN1_DOUT</t>
  </si>
  <si>
    <t>CAN1_DIN</t>
  </si>
  <si>
    <t>CAN0_DOUT</t>
  </si>
  <si>
    <t>CAN0_DIN</t>
  </si>
  <si>
    <t>CAN_GPIO0</t>
  </si>
  <si>
    <t>CAN_GPIO1</t>
  </si>
  <si>
    <t>CAN_GPIO2</t>
  </si>
  <si>
    <t>CAN_GPIO3</t>
  </si>
  <si>
    <t>CAN_GPIO4</t>
  </si>
  <si>
    <t>CAN_GPIO5</t>
  </si>
  <si>
    <t>CAN_GPIO6</t>
  </si>
  <si>
    <t>CAN_GPIO7</t>
  </si>
  <si>
    <t>UART5_TX</t>
  </si>
  <si>
    <t>UART5_RX</t>
  </si>
  <si>
    <t>UART5_RTS</t>
  </si>
  <si>
    <t>UART5_CTS</t>
  </si>
  <si>
    <t>GPIO_MDM1</t>
  </si>
  <si>
    <t>GPIO_MDM2</t>
  </si>
  <si>
    <t>GPIO_MDM3</t>
  </si>
  <si>
    <t>GPIO_MDM4</t>
  </si>
  <si>
    <t>GPIO_MDM5</t>
  </si>
  <si>
    <t>GPIO_MDM6</t>
  </si>
  <si>
    <t>GPIO_MDM7</t>
  </si>
  <si>
    <t>GEN7_I2C_SCL</t>
  </si>
  <si>
    <t>GEN7_I2C_SDA</t>
  </si>
  <si>
    <t>GEN9_I2C_SCL</t>
  </si>
  <si>
    <t>GEN9_I2C_SDA</t>
  </si>
  <si>
    <t>BCPU_PWR_REQ</t>
  </si>
  <si>
    <t>MCPU_PWR_REQ</t>
  </si>
  <si>
    <t>GPU_PWR_REQ</t>
  </si>
  <si>
    <t>GP_PWM6</t>
  </si>
  <si>
    <t>GP_PWM7</t>
  </si>
  <si>
    <t>GPIO_WAN5</t>
  </si>
  <si>
    <t>GPIO_WAN6</t>
  </si>
  <si>
    <t>GPIO_WAN7</t>
  </si>
  <si>
    <t>GPIO_WAN8</t>
  </si>
  <si>
    <t>NVJTAG_SEL</t>
  </si>
  <si>
    <t>PEX_L2_RST_N</t>
  </si>
  <si>
    <t>PEX_L2_CLKREQ_N</t>
  </si>
  <si>
    <t>DP_AUX_CH0_HPD</t>
  </si>
  <si>
    <t>DP_AUX_CH1_HPD</t>
  </si>
  <si>
    <t>GPIO_EDP0</t>
  </si>
  <si>
    <t>GPIO_EDP1</t>
  </si>
  <si>
    <t>GPIO_EDP2</t>
  </si>
  <si>
    <t>GPIO_EDP3</t>
  </si>
  <si>
    <t>DSI_C_CLK_N</t>
  </si>
  <si>
    <t>DSI_C_CLK_P</t>
  </si>
  <si>
    <t>DSI_C_D0_N</t>
  </si>
  <si>
    <t>DSI_C_D0_P</t>
  </si>
  <si>
    <t>DSI_C_D1_N</t>
  </si>
  <si>
    <t>DSI_C_D1_P</t>
  </si>
  <si>
    <t>DSI_D_CLK_N</t>
  </si>
  <si>
    <t>DSI_D_CLK_P</t>
  </si>
  <si>
    <t>DSI_D_D0_N</t>
  </si>
  <si>
    <t>DSI_D_D0_P</t>
  </si>
  <si>
    <t>DSI_D_D1_N</t>
  </si>
  <si>
    <t>DSI_D_D1_P</t>
  </si>
  <si>
    <t>HDMI_DP0</t>
  </si>
  <si>
    <t>HDMI_DP0_TXDP0</t>
  </si>
  <si>
    <t>HDMI_DP0_TXDN0</t>
  </si>
  <si>
    <t>HDMI_DP0_TXDP1</t>
  </si>
  <si>
    <t>HDMI_DP0_TXDN1</t>
  </si>
  <si>
    <t>HDMI_DP0_TXDP2</t>
  </si>
  <si>
    <t>HDMI_DP0_TXDN2</t>
  </si>
  <si>
    <t>HDMI_DP0_TXDP3</t>
  </si>
  <si>
    <t>HDMI_DP0_TXDN3</t>
  </si>
  <si>
    <t>HDMI_DP0_RSET</t>
  </si>
  <si>
    <t>HDMI_DP0_VCM</t>
  </si>
  <si>
    <t>HDMI_DP1</t>
  </si>
  <si>
    <t>HDMI_DP1_TXDP0</t>
  </si>
  <si>
    <t>HDMI_DP1_TXDN0</t>
  </si>
  <si>
    <t>HDMI_DP1_TXDP1</t>
  </si>
  <si>
    <t>HDMI_DP1_TXDN1</t>
  </si>
  <si>
    <t>HDMI_DP1_TXDP2</t>
  </si>
  <si>
    <t>HDMI_DP1_TXDN2</t>
  </si>
  <si>
    <t>HDMI_DP1_TXDP3</t>
  </si>
  <si>
    <t>HDMI_DP1_TXDN3</t>
  </si>
  <si>
    <t>HDMI_DP1_RSET</t>
  </si>
  <si>
    <t>HDMI_DP1_VCM</t>
  </si>
  <si>
    <t>HSIC0_STROBE</t>
  </si>
  <si>
    <t>UFS</t>
  </si>
  <si>
    <t>UFS0_REF_CLK</t>
  </si>
  <si>
    <t>UFS0_RST</t>
  </si>
  <si>
    <t>UPHY</t>
  </si>
  <si>
    <t>PEX_REFCLK0P</t>
  </si>
  <si>
    <t>PEX_REFCLK0N</t>
  </si>
  <si>
    <t>PEX_REFCLK1P</t>
  </si>
  <si>
    <t>PEX_REFCLK1N</t>
  </si>
  <si>
    <t>PLL0_TERMP</t>
  </si>
  <si>
    <t>PLL1_TERMP</t>
  </si>
  <si>
    <t>PEX_CLK</t>
  </si>
  <si>
    <t>HSIC0_DAT0</t>
  </si>
  <si>
    <t>unused_DDR_XM1_B0D0</t>
  </si>
  <si>
    <t>unused_DDR_XM1_B0D1</t>
  </si>
  <si>
    <t>unused_DDR_XM1_B0D2</t>
  </si>
  <si>
    <t>unused_DDR_XM1_B0D3</t>
  </si>
  <si>
    <t>unused_DDR_XM1_B0D4</t>
  </si>
  <si>
    <t>unused_DDR_XM1_B0D5</t>
  </si>
  <si>
    <t>unused_DDR_XM1_B0D6</t>
  </si>
  <si>
    <t>unused_DDR_XM1_B0D7</t>
  </si>
  <si>
    <t>unused_DDR_XM1_B0D8</t>
  </si>
  <si>
    <t>unused_DDR_XM1_B0DIFFN</t>
  </si>
  <si>
    <t>unused_DDR_XM1_B0DIFFP</t>
  </si>
  <si>
    <t>unused_DDR_XM1_B0C</t>
  </si>
  <si>
    <t>unused_DDR_XM1_B1D0</t>
  </si>
  <si>
    <t>unused_DDR_XM1_B1D1</t>
  </si>
  <si>
    <t>unused_DDR_XM1_B1D2</t>
  </si>
  <si>
    <t>unused_DDR_XM1_B1D3</t>
  </si>
  <si>
    <t>unused_DDR_XM1_B1D4</t>
  </si>
  <si>
    <t>unused_DDR_XM1_B1D5</t>
  </si>
  <si>
    <t>unused_DDR_XM1_B1D6</t>
  </si>
  <si>
    <t>unused_DDR_XM1_B1D7</t>
  </si>
  <si>
    <t>unused_DDR_XM1_B1D8</t>
  </si>
  <si>
    <t>unused_DDR_XM1_B1DIFFN</t>
  </si>
  <si>
    <t>unused_DDR_XM1_B1DIFFP</t>
  </si>
  <si>
    <t>unused_DDR_XM1_B1C</t>
  </si>
  <si>
    <t>unused_DDR_XM1_B2D0</t>
  </si>
  <si>
    <t>unused_DDR_XM1_B2D1</t>
  </si>
  <si>
    <t>unused_DDR_XM1_B2D2</t>
  </si>
  <si>
    <t>unused_DDR_XM1_B2D3</t>
  </si>
  <si>
    <t>unused_DDR_XM1_B2D4</t>
  </si>
  <si>
    <t>unused_DDR_XM1_B2D5</t>
  </si>
  <si>
    <t>unused_DDR_XM1_B2D6</t>
  </si>
  <si>
    <t>unused_DDR_XM1_B2D7</t>
  </si>
  <si>
    <t>unused_DDR_XM1_B2D8</t>
  </si>
  <si>
    <t>unused_DDR_XM1_B2DIFFN</t>
  </si>
  <si>
    <t>unused_DDR_XM1_B2DIFFP</t>
  </si>
  <si>
    <t>unused_DDR_XM1_B2C</t>
  </si>
  <si>
    <t>unused_DDR_XM1_B3D0</t>
  </si>
  <si>
    <t>unused_DDR_XM1_B3D1</t>
  </si>
  <si>
    <t>unused_DDR_XM1_B3D2</t>
  </si>
  <si>
    <t>unused_DDR_XM1_B3D3</t>
  </si>
  <si>
    <t>unused_DDR_XM1_B3D4</t>
  </si>
  <si>
    <t>unused_DDR_XM1_B3D5</t>
  </si>
  <si>
    <t>unused_DDR_XM1_B3D6</t>
  </si>
  <si>
    <t>unused_DDR_XM1_B3D7</t>
  </si>
  <si>
    <t>unused_DDR_XM1_B3D8</t>
  </si>
  <si>
    <t>unused_DDR_XM1_B3DIFFN</t>
  </si>
  <si>
    <t>unused_DDR_XM1_B3DIFFP</t>
  </si>
  <si>
    <t>unused_DDR_XM1_B3C</t>
  </si>
  <si>
    <t>unused_DDR_XM1_B4D0</t>
  </si>
  <si>
    <t>unused_DDR_XM1_B4D1</t>
  </si>
  <si>
    <t>unused_DDR_XM1_B4D2</t>
  </si>
  <si>
    <t>unused_DDR_XM1_B4D3</t>
  </si>
  <si>
    <t>unused_DDR_XM1_B4D4</t>
  </si>
  <si>
    <t>unused_DDR_XM1_B4D5</t>
  </si>
  <si>
    <t>unused_DDR_XM1_B4D6</t>
  </si>
  <si>
    <t>unused_DDR_XM1_B4D7</t>
  </si>
  <si>
    <t>unused_DDR_XM1_B4D8</t>
  </si>
  <si>
    <t>unused_DDR_XM1_B4DIFFN</t>
  </si>
  <si>
    <t>unused_DDR_XM1_B4DIFFP</t>
  </si>
  <si>
    <t>unused_DDR_XM1_B4C</t>
  </si>
  <si>
    <t>unused_DDR_XM1_B5D0</t>
  </si>
  <si>
    <t>unused_DDR_XM1_B5D1</t>
  </si>
  <si>
    <t>unused_DDR_XM1_B5D2</t>
  </si>
  <si>
    <t>unused_DDR_XM1_B5D3</t>
  </si>
  <si>
    <t>unused_DDR_XM1_B5D4</t>
  </si>
  <si>
    <t>unused_DDR_XM1_B5D5</t>
  </si>
  <si>
    <t>unused_DDR_XM1_B5D6</t>
  </si>
  <si>
    <t>unused_DDR_XM1_B5D7</t>
  </si>
  <si>
    <t>unused_DDR_XM1_B5D8</t>
  </si>
  <si>
    <t>unused_DDR_XM1_B5DIFFN</t>
  </si>
  <si>
    <t>unused_DDR_XM1_B5DIFFP</t>
  </si>
  <si>
    <t>unused_DDR_XM1_B5C</t>
  </si>
  <si>
    <t>unused_DDR_XM1_B6D0</t>
  </si>
  <si>
    <t>unused_DDR_XM1_B6D1</t>
  </si>
  <si>
    <t>unused_DDR_XM1_B6D2</t>
  </si>
  <si>
    <t>unused_DDR_XM1_B6D3</t>
  </si>
  <si>
    <t>unused_DDR_XM1_B6D4</t>
  </si>
  <si>
    <t>unused_DDR_XM1_B6D5</t>
  </si>
  <si>
    <t>unused_DDR_XM1_B6D6</t>
  </si>
  <si>
    <t>unused_DDR_XM1_B6D7</t>
  </si>
  <si>
    <t>unused_DDR_XM1_B6D8</t>
  </si>
  <si>
    <t>unused_DDR_XM1_B6DIFFN</t>
  </si>
  <si>
    <t>unused_DDR_XM1_B6DIFFP</t>
  </si>
  <si>
    <t>unused_DDR_XM1_B6C</t>
  </si>
  <si>
    <t>unused_DDR_XM1_B7D0</t>
  </si>
  <si>
    <t>unused_DDR_XM1_B7D1</t>
  </si>
  <si>
    <t>unused_DDR_XM1_B7D2</t>
  </si>
  <si>
    <t>unused_DDR_XM1_B7D3</t>
  </si>
  <si>
    <t>unused_DDR_XM1_B7D4</t>
  </si>
  <si>
    <t>unused_DDR_XM1_B7D5</t>
  </si>
  <si>
    <t>unused_DDR_XM1_B7D6</t>
  </si>
  <si>
    <t>unused_DDR_XM1_B7D7</t>
  </si>
  <si>
    <t>unused_DDR_XM1_B7D8</t>
  </si>
  <si>
    <t>unused_DDR_XM1_B7DIFFN</t>
  </si>
  <si>
    <t>unused_DDR_XM1_B7DIFFP</t>
  </si>
  <si>
    <t>unused_DDR_XM1_B7C</t>
  </si>
  <si>
    <t>unused_DDR_XM1_B8D0</t>
  </si>
  <si>
    <t>unused_DDR_XM1_B8D1</t>
  </si>
  <si>
    <t>unused_DDR_XM1_B8D2</t>
  </si>
  <si>
    <t>unused_DDR_XM1_B8D3</t>
  </si>
  <si>
    <t>unused_DDR_XM1_B8D4</t>
  </si>
  <si>
    <t>unused_DDR_XM1_B8D5</t>
  </si>
  <si>
    <t>unused_DDR_XM1_B8D6</t>
  </si>
  <si>
    <t>unused_DDR_XM1_B8D7</t>
  </si>
  <si>
    <t>unused_DDR_XM1_B8D8</t>
  </si>
  <si>
    <t>unused_DDR_XM1_B8DIFFN</t>
  </si>
  <si>
    <t>unused_DDR_XM1_B8DIFFP</t>
  </si>
  <si>
    <t>unused_DDR_XM1_B8C</t>
  </si>
  <si>
    <t>unused_DDR_XM1_B9D0</t>
  </si>
  <si>
    <t>unused_DDR_XM1_B9D1</t>
  </si>
  <si>
    <t>unused_DDR_XM1_B9D2</t>
  </si>
  <si>
    <t>unused_DDR_XM1_B9D3</t>
  </si>
  <si>
    <t>unused_DDR_XM1_B9D4</t>
  </si>
  <si>
    <t>unused_DDR_XM1_B9D5</t>
  </si>
  <si>
    <t>unused_DDR_XM1_B9D6</t>
  </si>
  <si>
    <t>unused_DDR_XM1_B9D7</t>
  </si>
  <si>
    <t>unused_DDR_XM1_B9D8</t>
  </si>
  <si>
    <t>unused_DDR_XM1_B9DIFFN</t>
  </si>
  <si>
    <t>unused_DDR_XM1_B9DIFFP</t>
  </si>
  <si>
    <t>unused_DDR_XM1_B9C</t>
  </si>
  <si>
    <t>unused_DDR_XM1_B10D0</t>
  </si>
  <si>
    <t>unused_DDR_XM1_B10D1</t>
  </si>
  <si>
    <t>unused_DDR_XM1_B10D2</t>
  </si>
  <si>
    <t>unused_DDR_XM1_B10D3</t>
  </si>
  <si>
    <t>unused_DDR_XM1_B10D4</t>
  </si>
  <si>
    <t>unused_DDR_XM1_B10D5</t>
  </si>
  <si>
    <t>unused_DDR_XM1_B10D6</t>
  </si>
  <si>
    <t>unused_DDR_XM1_B10D7</t>
  </si>
  <si>
    <t>unused_DDR_XM1_B10D8</t>
  </si>
  <si>
    <t>unused_DDR_XM1_B10DIFFN</t>
  </si>
  <si>
    <t>unused_DDR_XM1_B10DIFFP</t>
  </si>
  <si>
    <t>unused_DDR_XM1_B10C</t>
  </si>
  <si>
    <t>unused_DDR_XM1_B11D0</t>
  </si>
  <si>
    <t>unused_DDR_XM1_B11D1</t>
  </si>
  <si>
    <t>unused_DDR_XM1_B11D2</t>
  </si>
  <si>
    <t>unused_DDR_XM1_B11D3</t>
  </si>
  <si>
    <t>unused_DDR_XM1_B11D4</t>
  </si>
  <si>
    <t>unused_DDR_XM1_B11D5</t>
  </si>
  <si>
    <t>unused_DDR_XM1_B11D6</t>
  </si>
  <si>
    <t>unused_DDR_XM1_B11D7</t>
  </si>
  <si>
    <t>unused_DDR_XM1_B11D8</t>
  </si>
  <si>
    <t>unused_DDR_XM1_B11DIFFN</t>
  </si>
  <si>
    <t>unused_DDR_XM1_B11DIFFP</t>
  </si>
  <si>
    <t>unused_GPIO_WAN1</t>
  </si>
  <si>
    <t>unused_GPIO_WAN2</t>
  </si>
  <si>
    <t>unused_GPIO_WAN3</t>
  </si>
  <si>
    <t>unused_GPIO_WAN4</t>
  </si>
  <si>
    <t>unused_GPIO_AUD0</t>
  </si>
  <si>
    <t>unused_GPIO_AUD1</t>
  </si>
  <si>
    <t>unused_GPIO_AUD2</t>
  </si>
  <si>
    <t>unused_GPIO_AUD3</t>
  </si>
  <si>
    <t>unused_DMIC4_CLK</t>
  </si>
  <si>
    <t>unused_DMIC4_DAT</t>
  </si>
  <si>
    <t>unused_GPIO_PQ0</t>
  </si>
  <si>
    <t>unused_GPIO_PQ1</t>
  </si>
  <si>
    <t>unused_GPIO_PQ2</t>
  </si>
  <si>
    <t>unused_GPIO_PQ3</t>
  </si>
  <si>
    <t>unused_GPIO_PQ4</t>
  </si>
  <si>
    <t>unused_GPIO_PQ5</t>
  </si>
  <si>
    <t>unused_GPIO_PQ6</t>
  </si>
  <si>
    <t>unused_GPIO_PQ7</t>
  </si>
  <si>
    <t>unused_EXTPERIPH1_CLK</t>
  </si>
  <si>
    <t>unused_EXTPERIPH2_CLK</t>
  </si>
  <si>
    <t>unused_GPIO_CAM1</t>
  </si>
  <si>
    <t>unused_GPIO_CAM2</t>
  </si>
  <si>
    <t>unused_GPIO_CAM3</t>
  </si>
  <si>
    <t>unused_GPIO_CAM4</t>
  </si>
  <si>
    <t>unused_GPIO_CAM5</t>
  </si>
  <si>
    <t>unused_GPIO_CAM6</t>
  </si>
  <si>
    <t>unused_GPIO_CAM7</t>
  </si>
  <si>
    <t>unused_PEX_L2_RST_N</t>
  </si>
  <si>
    <t>unused_PEX_L2_CLKREQ_N</t>
  </si>
  <si>
    <t>unused_GPIO_SW1</t>
  </si>
  <si>
    <t>unused_GPIO_SW2</t>
  </si>
  <si>
    <t>unused_GPIO_SW3</t>
  </si>
  <si>
    <t>unused_GPIO_SW4</t>
  </si>
  <si>
    <t>unused_GPIO_DIS0</t>
  </si>
  <si>
    <t>unused_GPIO_DIS1</t>
  </si>
  <si>
    <t>unused_GPIO_DIS2</t>
  </si>
  <si>
    <t>unused_GPIO_DIS3</t>
  </si>
  <si>
    <t>unused_GPIO_DIS4</t>
  </si>
  <si>
    <t>unused_GPIO_DIS5</t>
  </si>
  <si>
    <t>unused_POWER_ON</t>
  </si>
  <si>
    <t>unused_SAFE_STATE</t>
  </si>
  <si>
    <t>unused_VCOMP_ALERT</t>
  </si>
  <si>
    <t>unused_BATT_OC</t>
  </si>
  <si>
    <t>unused_SOC_PWR_REQ</t>
  </si>
  <si>
    <t>unused_PMU_INT_N</t>
  </si>
  <si>
    <t>unused_UART5_TX</t>
  </si>
  <si>
    <t>unused_UART5_RX</t>
  </si>
  <si>
    <t>unused_UART5_RTS</t>
  </si>
  <si>
    <t>unused_UART5_CTS</t>
  </si>
  <si>
    <t>unused_GPIO_MDM1</t>
  </si>
  <si>
    <t>unused_GPIO_MDM2</t>
  </si>
  <si>
    <t>unused_GPIO_MDM3</t>
  </si>
  <si>
    <t>unused_GPIO_MDM4</t>
  </si>
  <si>
    <t>unused_GPIO_MDM5</t>
  </si>
  <si>
    <t>unused_GPIO_MDM6</t>
  </si>
  <si>
    <t>unused_GPIO_MDM7</t>
  </si>
  <si>
    <t>unused_GEN7_I2C_SCL</t>
  </si>
  <si>
    <t>unused_GEN7_I2C_SDA</t>
  </si>
  <si>
    <t>unused_GEN9_I2C_SCL</t>
  </si>
  <si>
    <t>unused_GEN9_I2C_SDA</t>
  </si>
  <si>
    <t>unused_BCPU_PWR_REQ</t>
  </si>
  <si>
    <t>unused_MCPU_PWR_REQ</t>
  </si>
  <si>
    <t>unused_GPU_PWR_REQ</t>
  </si>
  <si>
    <t>unused_GP_PWM6</t>
  </si>
  <si>
    <t>unused_GP_PWM7</t>
  </si>
  <si>
    <t>unused_GPIO_WAN5</t>
  </si>
  <si>
    <t>unused_GPIO_WAN6</t>
  </si>
  <si>
    <t>unused_GPIO_WAN7</t>
  </si>
  <si>
    <t>unused_GPIO_WAN8</t>
  </si>
  <si>
    <t>unused_NVJTAG_SEL</t>
  </si>
  <si>
    <t>unused_GEN8_I2C_SCL</t>
  </si>
  <si>
    <t>unused_GEN8_I2C_SDA</t>
  </si>
  <si>
    <t>unused_UART7_TX</t>
  </si>
  <si>
    <t>unused_UART7_RX</t>
  </si>
  <si>
    <t>unused_GPIO_SEN0</t>
  </si>
  <si>
    <t>unused_GPIO_SEN1</t>
  </si>
  <si>
    <t>unused_GPIO_SEN2</t>
  </si>
  <si>
    <t>unused_GPIO_SEN3</t>
  </si>
  <si>
    <t>unused_GPIO_SEN4</t>
  </si>
  <si>
    <t>unused_GPIO_SEN5</t>
  </si>
  <si>
    <t>unused_GPIO_SEN6</t>
  </si>
  <si>
    <t>unused_GPIO_SEN7</t>
  </si>
  <si>
    <t>unused_GPIO_SEN8</t>
  </si>
  <si>
    <t>unused_GPIO_SEN9</t>
  </si>
  <si>
    <t>unused_CAN1_DOUT</t>
  </si>
  <si>
    <t>unused_CAN1_DIN</t>
  </si>
  <si>
    <t>unused_CAN0_DOUT</t>
  </si>
  <si>
    <t>unused_CAN0_DIN</t>
  </si>
  <si>
    <t>unused_CAN_GPIO0</t>
  </si>
  <si>
    <t>unused_CAN_GPIO1</t>
  </si>
  <si>
    <t>unused_CAN_GPIO2</t>
  </si>
  <si>
    <t>unused_CAN_GPIO3</t>
  </si>
  <si>
    <t>unused_CAN_GPIO4</t>
  </si>
  <si>
    <t>unused_CAN_GPIO5</t>
  </si>
  <si>
    <t>unused_CAN_GPIO6</t>
  </si>
  <si>
    <t>unused_CAN_GPIO7</t>
  </si>
  <si>
    <t>unused_QSPI_COMP</t>
  </si>
  <si>
    <t>unused_DP_AUX_CH0_HPD</t>
  </si>
  <si>
    <t>unused_DP_AUX_CH1_HPD</t>
  </si>
  <si>
    <t>unused_GPIO_EDP0</t>
  </si>
  <si>
    <t>unused_GPIO_EDP1</t>
  </si>
  <si>
    <t>unused_GPIO_EDP2</t>
  </si>
  <si>
    <t>unused_GPIO_EDP3</t>
  </si>
  <si>
    <t>unused_DSI_C_CLK_N</t>
  </si>
  <si>
    <t>unused_DSI_C_CLK_P</t>
  </si>
  <si>
    <t>unused_DSI_C_D0_N</t>
  </si>
  <si>
    <t>unused_DSI_C_D0_P</t>
  </si>
  <si>
    <t>unused_DSI_C_D1_N</t>
  </si>
  <si>
    <t>unused_DSI_C_D1_P</t>
  </si>
  <si>
    <t>unused_DSI_D_CLK_N</t>
  </si>
  <si>
    <t>unused_DSI_D_CLK_P</t>
  </si>
  <si>
    <t>unused_DSI_D_D0_N</t>
  </si>
  <si>
    <t>unused_DSI_D_D0_P</t>
  </si>
  <si>
    <t>unused_DSI_D_D1_N</t>
  </si>
  <si>
    <t>unused_DSI_D_D1_P</t>
  </si>
  <si>
    <t>unused_CSI_DSI_RDN</t>
  </si>
  <si>
    <t>unused_HDMI_DP0_TXDP0</t>
  </si>
  <si>
    <t>unused_HDMI_DP0_TXDN0</t>
  </si>
  <si>
    <t>unused_HDMI_DP0_TXDP1</t>
  </si>
  <si>
    <t>unused_HDMI_DP0_TXDN1</t>
  </si>
  <si>
    <t>unused_HDMI_DP0_TXDP2</t>
  </si>
  <si>
    <t>unused_HDMI_DP0_TXDN2</t>
  </si>
  <si>
    <t>unused_HDMI_DP0_TXDP3</t>
  </si>
  <si>
    <t>unused_HDMI_DP0_TXDN3</t>
  </si>
  <si>
    <t>unused_HDMI_DP0_RSET</t>
  </si>
  <si>
    <t>unused_HDMI_DP0_VCM</t>
  </si>
  <si>
    <t>unused_HDMI_DP1_TXDP0</t>
  </si>
  <si>
    <t>unused_HDMI_DP1_TXDN0</t>
  </si>
  <si>
    <t>unused_HDMI_DP1_TXDP1</t>
  </si>
  <si>
    <t>unused_HDMI_DP1_TXDN1</t>
  </si>
  <si>
    <t>unused_HDMI_DP1_TXDP2</t>
  </si>
  <si>
    <t>unused_HDMI_DP1_TXDN2</t>
  </si>
  <si>
    <t>unused_HDMI_DP1_TXDP3</t>
  </si>
  <si>
    <t>unused_HDMI_DP1_TXDN3</t>
  </si>
  <si>
    <t>unused_HDMI_DP1_RSET</t>
  </si>
  <si>
    <t>unused_HDMI_DP1_VCM</t>
  </si>
  <si>
    <t>unused_HSIC0_STROBE</t>
  </si>
  <si>
    <t>unused_HSIC0_DAT0</t>
  </si>
  <si>
    <t>unused_PEX_REFCLK0N</t>
  </si>
  <si>
    <t>unused_PEX_REFCLK0P</t>
  </si>
  <si>
    <t>unused_PEX_REFCLK1N</t>
  </si>
  <si>
    <t>unused_PEX_REFCLK1P</t>
  </si>
  <si>
    <t>unused_PLL0_TERMP</t>
  </si>
  <si>
    <t>unused_PLL1_TERMP</t>
  </si>
  <si>
    <t>unused_UFS0_REF_CLK</t>
  </si>
  <si>
    <t>unused_UFS0_RST</t>
  </si>
  <si>
    <t>1.8V/3.3V</t>
  </si>
  <si>
    <t>AO_HV (3.3V Capable)</t>
  </si>
  <si>
    <t>DSPK1</t>
  </si>
  <si>
    <t>DMIC4</t>
  </si>
  <si>
    <t>DSPK0</t>
  </si>
  <si>
    <t>I2S4</t>
  </si>
  <si>
    <t>I2S6</t>
  </si>
  <si>
    <t>EXTPERIPH1</t>
  </si>
  <si>
    <t>EXTPERIPH2</t>
  </si>
  <si>
    <t>EXTPERIPH4</t>
  </si>
  <si>
    <t>PE2</t>
  </si>
  <si>
    <t>GP</t>
  </si>
  <si>
    <t>SCE</t>
  </si>
  <si>
    <t>DCC</t>
  </si>
  <si>
    <t>I2C5</t>
  </si>
  <si>
    <t>UARTE</t>
  </si>
  <si>
    <t>NV</t>
  </si>
  <si>
    <t>I2C7</t>
  </si>
  <si>
    <t>I2S5</t>
  </si>
  <si>
    <t>I2C9</t>
  </si>
  <si>
    <t>I2C8</t>
  </si>
  <si>
    <t>UARTG</t>
  </si>
  <si>
    <t>WDT</t>
  </si>
  <si>
    <t>CAN1</t>
  </si>
  <si>
    <t>CAN0</t>
  </si>
  <si>
    <t>DMIC5</t>
  </si>
  <si>
    <t>UARTF</t>
  </si>
  <si>
    <t>UFS0</t>
  </si>
  <si>
    <t>PEX_CLK3P</t>
  </si>
  <si>
    <t>PEX_CLK3N</t>
  </si>
  <si>
    <t>DCB</t>
  </si>
  <si>
    <t>DCA</t>
  </si>
  <si>
    <t>DP</t>
  </si>
  <si>
    <t>SDMMC1_HV (3.3V Capable)</t>
  </si>
  <si>
    <t>SDMMC3_HV (3.3V Capable)</t>
  </si>
  <si>
    <t>AUDIO_MCLK</t>
  </si>
  <si>
    <t>DSPK1_DAT</t>
  </si>
  <si>
    <t>DSPK1_CLK</t>
  </si>
  <si>
    <t>I2S3_SDATA_IN</t>
  </si>
  <si>
    <t>I2S3_LRCK</t>
  </si>
  <si>
    <t>I2S3_SCLK</t>
  </si>
  <si>
    <t>I2S3_SDATA_OUT</t>
  </si>
  <si>
    <t>I2S6_SCLK</t>
  </si>
  <si>
    <t>I2S6_SDATA_OUT</t>
  </si>
  <si>
    <t>I2S6_SDATA_IN</t>
  </si>
  <si>
    <t>I2S6_LRCK</t>
  </si>
  <si>
    <t>CAM0_MCLK</t>
  </si>
  <si>
    <t>CAM1_MCLK</t>
  </si>
  <si>
    <t>EXTPERIPH3_CLK</t>
  </si>
  <si>
    <t>SPI4_SCK</t>
  </si>
  <si>
    <t>SPI4_CS0</t>
  </si>
  <si>
    <t>PEX0_RST#</t>
  </si>
  <si>
    <t>PEX0_CLKREQ#</t>
  </si>
  <si>
    <t>PEX_WAKE#</t>
  </si>
  <si>
    <t>RESET_IN#</t>
  </si>
  <si>
    <t>POWER_BTN#</t>
  </si>
  <si>
    <t>FORCE_RECOV#</t>
  </si>
  <si>
    <t>SLEEP#</t>
  </si>
  <si>
    <t>USB0_VBUS_DET</t>
  </si>
  <si>
    <t>GPIO_EXP0_INT</t>
  </si>
  <si>
    <t>GPIO16/MDM_WAKE_AP</t>
  </si>
  <si>
    <t>BATLOW#</t>
  </si>
  <si>
    <t>GPIO_EXP1_INT</t>
  </si>
  <si>
    <t>I2C_GP3_CLK</t>
  </si>
  <si>
    <t>I2C_GP3_DAT</t>
  </si>
  <si>
    <t>JTAG_GP0</t>
  </si>
  <si>
    <t>JTAG_GP1</t>
  </si>
  <si>
    <t>FAN_PWM</t>
  </si>
  <si>
    <t>WDT_TIME_OUT#</t>
  </si>
  <si>
    <t>GPIO0/CAM0_PWR#</t>
  </si>
  <si>
    <t>GPIO2/CAM0_RST#</t>
  </si>
  <si>
    <t>GPIO3/CAM1_RST#</t>
  </si>
  <si>
    <t>CAM_VSYNC</t>
  </si>
  <si>
    <t>LCD_VDD_EN</t>
  </si>
  <si>
    <t>SDCARD_WP</t>
  </si>
  <si>
    <t>SDCARD_PWR_EN</t>
  </si>
  <si>
    <t>PMICINTR</t>
  </si>
  <si>
    <t>Device Tree Pin Name</t>
  </si>
  <si>
    <t/>
  </si>
  <si>
    <t>Voltage Configuration</t>
  </si>
  <si>
    <t>Voltage Rail</t>
  </si>
  <si>
    <t>Voltage Setting</t>
  </si>
  <si>
    <t>SDMMC1_HV</t>
  </si>
  <si>
    <t>SDMMC3_HV</t>
  </si>
  <si>
    <t>100k</t>
  </si>
  <si>
    <t>DDR_XM0_RESET</t>
  </si>
  <si>
    <t>DDR_XM1_RESET</t>
  </si>
  <si>
    <t>PE1_CLKREQ_L</t>
  </si>
  <si>
    <t>SOC_THERM_OC1</t>
  </si>
  <si>
    <t>UA3_TXD</t>
  </si>
  <si>
    <t>UA3_RXD</t>
  </si>
  <si>
    <t>GPIO3_PT.02</t>
  </si>
  <si>
    <t>GPIO3_PT.03</t>
  </si>
  <si>
    <t>PEX2_RX0P</t>
  </si>
  <si>
    <t>PEX2_RX0N</t>
  </si>
  <si>
    <t>PEX2_TX0P</t>
  </si>
  <si>
    <t>PEX2_TX0N</t>
  </si>
  <si>
    <t>USB_SS1_RXN</t>
  </si>
  <si>
    <t>USB_SS1_RXP</t>
  </si>
  <si>
    <t>USB_SS1_TXN</t>
  </si>
  <si>
    <t>USB_SS1_TXP</t>
  </si>
  <si>
    <t>USB_SS2_RXN</t>
  </si>
  <si>
    <t>USB_SS2_RXP</t>
  </si>
  <si>
    <t>USB_SS2_TXN</t>
  </si>
  <si>
    <t>USB_SS2_TXP</t>
  </si>
  <si>
    <t>PEX1_RX0P</t>
  </si>
  <si>
    <t>PEX1_RX0N</t>
  </si>
  <si>
    <t>PEX1_TX0P</t>
  </si>
  <si>
    <t>PEX1_TX0N</t>
  </si>
  <si>
    <t>PEX0_RX0P</t>
  </si>
  <si>
    <t>PEX0_RX0N</t>
  </si>
  <si>
    <t>PEX0_TX0P</t>
  </si>
  <si>
    <t>PEX0_TX0N</t>
  </si>
  <si>
    <t>SATA_L0_RXN</t>
  </si>
  <si>
    <t>SATA_L0_RXP</t>
  </si>
  <si>
    <t>SATA_L0_TXN</t>
  </si>
  <si>
    <t>SATA_L0_TXP</t>
  </si>
  <si>
    <t>I2C4_SCL</t>
  </si>
  <si>
    <t>I2C4_SDA</t>
  </si>
  <si>
    <t>Pad Category</t>
  </si>
  <si>
    <t>FAN_TACH</t>
  </si>
  <si>
    <t>Pad Info</t>
  </si>
  <si>
    <t>Pull Strength</t>
  </si>
  <si>
    <t>LPDR Enable</t>
  </si>
  <si>
    <t>EQOS LPBK Enable</t>
  </si>
  <si>
    <t>N/A</t>
  </si>
  <si>
    <t>UD3_TXD</t>
  </si>
  <si>
    <t>UD3_RXD</t>
  </si>
  <si>
    <t>UD3_RTS</t>
  </si>
  <si>
    <t>UD3_CTS</t>
  </si>
  <si>
    <t>GPIO3_PB.04</t>
  </si>
  <si>
    <t>GPIO3_PB.05</t>
  </si>
  <si>
    <t>GPIO3_PB.06</t>
  </si>
  <si>
    <t>I2S2_SCLK</t>
  </si>
  <si>
    <t>I2S2_SDATA_OUT</t>
  </si>
  <si>
    <t>I2S2_SDATA_IN</t>
  </si>
  <si>
    <t>I2S2_LRCK</t>
  </si>
  <si>
    <t>I2C1_CLK</t>
  </si>
  <si>
    <t>I2C1_DAT</t>
  </si>
  <si>
    <t>I2S1_SCLK</t>
  </si>
  <si>
    <t>I2S1_SDATA_OUT</t>
  </si>
  <si>
    <t>I2S1_SDATA_IN</t>
  </si>
  <si>
    <t>I2S1_LRCK</t>
  </si>
  <si>
    <t>GPIO3_PJ.05</t>
  </si>
  <si>
    <t>GPIO3_PJ.06</t>
  </si>
  <si>
    <t>GPIO3_PJ.07</t>
  </si>
  <si>
    <t>GPIO3_PK.00</t>
  </si>
  <si>
    <t>GPIO3_PM.05</t>
  </si>
  <si>
    <t>GPIO3_PM.04</t>
  </si>
  <si>
    <t>I2S4_SCLK</t>
  </si>
  <si>
    <t>I2S4_SDATA_OUT</t>
  </si>
  <si>
    <t>I2S4_SDATA_IN</t>
  </si>
  <si>
    <t>I2S4_LRCK</t>
  </si>
  <si>
    <t>GPIO3_PI.04</t>
  </si>
  <si>
    <t>GPIO3_PI.05</t>
  </si>
  <si>
    <t>GPIO3_PI.06</t>
  </si>
  <si>
    <t>GPIO3_PI.07</t>
  </si>
  <si>
    <t>GPIO3_PO.00</t>
  </si>
  <si>
    <t>GPIO3_PO.01</t>
  </si>
  <si>
    <t>GPIO3_PN.00</t>
  </si>
  <si>
    <t>GPIO3_PN.02</t>
  </si>
  <si>
    <t>SPI4_DIN</t>
  </si>
  <si>
    <t>SPI4_DOUT</t>
  </si>
  <si>
    <t>I2C3_CLK</t>
  </si>
  <si>
    <t>I2C3_DAT</t>
  </si>
  <si>
    <t>PE1_RST_L</t>
  </si>
  <si>
    <t>PE_WAKE_L</t>
  </si>
  <si>
    <t>PEX_CLK_OUT_2_P</t>
  </si>
  <si>
    <t>PEX_CLK_OUT_2_N</t>
  </si>
  <si>
    <t>GPIO3_PFF.01</t>
  </si>
  <si>
    <t>GPIO3_PFF.02</t>
  </si>
  <si>
    <t>GPIO3_PFF.03</t>
  </si>
  <si>
    <t>GPIO3_PFF.04</t>
  </si>
  <si>
    <t>GPIO3_PU.00</t>
  </si>
  <si>
    <t>GPIO3_PU.01</t>
  </si>
  <si>
    <t>GPIO3_PU.02</t>
  </si>
  <si>
    <t>GPIO3_PU.03</t>
  </si>
  <si>
    <t>GPIO3_PU.04</t>
  </si>
  <si>
    <t>GPIO3_PU.05</t>
  </si>
  <si>
    <t>GPIO3_PFF.00</t>
  </si>
  <si>
    <t>RESET</t>
  </si>
  <si>
    <t>I2C5_CLK</t>
  </si>
  <si>
    <t>I2C5_DAT</t>
  </si>
  <si>
    <t>GPIO3_PS.02</t>
  </si>
  <si>
    <t>UB3_TXD</t>
  </si>
  <si>
    <t>UB3_RXD</t>
  </si>
  <si>
    <t>GPIO3_PY.00</t>
  </si>
  <si>
    <t>GPIO3_PY.01</t>
  </si>
  <si>
    <t>GPIO3_PY.02</t>
  </si>
  <si>
    <t>SPI1_CS1</t>
  </si>
  <si>
    <t>GPIO3_PY.05</t>
  </si>
  <si>
    <t>GPIO3_PY.06</t>
  </si>
  <si>
    <t>GPIO3_PL.04</t>
  </si>
  <si>
    <t>GPIO3_PL.05</t>
  </si>
  <si>
    <t>GPIO3_PH.06</t>
  </si>
  <si>
    <t>GPIO3_PH.04</t>
  </si>
  <si>
    <t>SPI1_SCK</t>
  </si>
  <si>
    <t>SPI1_DIN</t>
  </si>
  <si>
    <t>SPI1_DOUT</t>
  </si>
  <si>
    <t>SPI1_CS0</t>
  </si>
  <si>
    <t>UA3_RTS</t>
  </si>
  <si>
    <t>UA3_CTS</t>
  </si>
  <si>
    <t>UC3_TXD</t>
  </si>
  <si>
    <t>UC3_RXD</t>
  </si>
  <si>
    <t>I2C8_CLK</t>
  </si>
  <si>
    <t>I2C8_DAT</t>
  </si>
  <si>
    <t>UG3_TXD</t>
  </si>
  <si>
    <t>UG3_RXD</t>
  </si>
  <si>
    <t>GPIO3_PV.00</t>
  </si>
  <si>
    <t>SPI2_SCK</t>
  </si>
  <si>
    <t>SPI2_DIN</t>
  </si>
  <si>
    <t>SPI2_DOUT</t>
  </si>
  <si>
    <t>SPI2_CS0</t>
  </si>
  <si>
    <t>GPIO3_PV.05</t>
  </si>
  <si>
    <t>GPIO3_PV.07</t>
  </si>
  <si>
    <t>I2C2_CLK</t>
  </si>
  <si>
    <t>I2C2_DAT</t>
  </si>
  <si>
    <t>GPIO3_PAA.03</t>
  </si>
  <si>
    <t>GPIO3_PAA.04</t>
  </si>
  <si>
    <t>GPIO3_PAA.05</t>
  </si>
  <si>
    <t>GPIO3_PAA.06</t>
  </si>
  <si>
    <t>GPIO3_PAA.07</t>
  </si>
  <si>
    <t>GPIO3_PP.01</t>
  </si>
  <si>
    <t>GPIO3_PP.03</t>
  </si>
  <si>
    <t>GPIO3_PP.04</t>
  </si>
  <si>
    <t>GPIO3_PP.05</t>
  </si>
  <si>
    <t>GPIO3_PP.06</t>
  </si>
  <si>
    <t>C38</t>
  </si>
  <si>
    <t>B36</t>
  </si>
  <si>
    <t>B</t>
  </si>
  <si>
    <t>O</t>
  </si>
  <si>
    <t>uart4_tx_pb0</t>
  </si>
  <si>
    <t>vddio_conn</t>
  </si>
  <si>
    <t>boot_sel1</t>
  </si>
  <si>
    <t>ST</t>
  </si>
  <si>
    <t>BDPGLP_IFC_VXVDP1P1P1</t>
  </si>
  <si>
    <t>pd</t>
  </si>
  <si>
    <t>B39</t>
  </si>
  <si>
    <t>F33</t>
  </si>
  <si>
    <t>I</t>
  </si>
  <si>
    <t>uart4_rx_pb1</t>
  </si>
  <si>
    <t>A41</t>
  </si>
  <si>
    <t>D35</t>
  </si>
  <si>
    <t>uart4_rts_pb2</t>
  </si>
  <si>
    <t>boot_sel0</t>
  </si>
  <si>
    <t>C39</t>
  </si>
  <si>
    <t>E34</t>
  </si>
  <si>
    <t>uart4_cts_pb3</t>
  </si>
  <si>
    <t>wake7</t>
  </si>
  <si>
    <t>BDPGLP_IFC_VDVXP1P1P1</t>
  </si>
  <si>
    <t>C40</t>
  </si>
  <si>
    <t>E35</t>
  </si>
  <si>
    <t>gpio_wan1_pb4</t>
  </si>
  <si>
    <t>B41</t>
  </si>
  <si>
    <t>F34</t>
  </si>
  <si>
    <t>gpio_wan2_pb5</t>
  </si>
  <si>
    <t>wake8</t>
  </si>
  <si>
    <t>A39</t>
  </si>
  <si>
    <t>F35</t>
  </si>
  <si>
    <t>gpio_wan3_pb6</t>
  </si>
  <si>
    <t>D37</t>
  </si>
  <si>
    <t>C35</t>
  </si>
  <si>
    <t>GPIO3_PC.00</t>
  </si>
  <si>
    <t>gpio_wan4_pc0</t>
  </si>
  <si>
    <t>wake9</t>
  </si>
  <si>
    <t>A38</t>
  </si>
  <si>
    <t>A36</t>
  </si>
  <si>
    <t>dap2_sclk_pc1</t>
  </si>
  <si>
    <t>C37</t>
  </si>
  <si>
    <t>A35</t>
  </si>
  <si>
    <t>dap2_dout_pc2</t>
  </si>
  <si>
    <t>B38</t>
  </si>
  <si>
    <t>E33</t>
  </si>
  <si>
    <t>dap2_din_pc3</t>
  </si>
  <si>
    <t>C36</t>
  </si>
  <si>
    <t>B35</t>
  </si>
  <si>
    <t>dap2_fs_pc4</t>
  </si>
  <si>
    <t>F32</t>
  </si>
  <si>
    <t>G32</t>
  </si>
  <si>
    <t>gen1_i2c_scl_pc5</t>
  </si>
  <si>
    <t>DD</t>
  </si>
  <si>
    <t>BDPGLPHVIN_D2FC_VDVXP1P1P1</t>
  </si>
  <si>
    <t>z</t>
  </si>
  <si>
    <t>D33</t>
  </si>
  <si>
    <t>gen1_i2c_sda_pc6</t>
  </si>
  <si>
    <t>wake31</t>
  </si>
  <si>
    <t>BB23</t>
  </si>
  <si>
    <t>AR22</t>
  </si>
  <si>
    <t>GPIO3_PJ.00</t>
  </si>
  <si>
    <t>dap1_sclk_pj0</t>
  </si>
  <si>
    <t>vddio_pexctl_aud</t>
  </si>
  <si>
    <t>AW23</t>
  </si>
  <si>
    <t>AV21</t>
  </si>
  <si>
    <t>GPIO3_PJ.01</t>
  </si>
  <si>
    <t>dap1_dout_pj1</t>
  </si>
  <si>
    <t>BC23</t>
  </si>
  <si>
    <t>AU21</t>
  </si>
  <si>
    <t>GPIO3_PJ.02</t>
  </si>
  <si>
    <t>dap1_din_pj2</t>
  </si>
  <si>
    <t>BA22</t>
  </si>
  <si>
    <t>AT21</t>
  </si>
  <si>
    <t>GPIO3_PJ.03</t>
  </si>
  <si>
    <t>dap1_fs_pj3</t>
  </si>
  <si>
    <t>BA23</t>
  </si>
  <si>
    <t>AP23</t>
  </si>
  <si>
    <t>GPIO3_PJ.04</t>
  </si>
  <si>
    <t>aud_mclk_pj4</t>
  </si>
  <si>
    <t>AY22</t>
  </si>
  <si>
    <t>AP21</t>
  </si>
  <si>
    <t>gpio_aud0_pj5</t>
  </si>
  <si>
    <t>wake12</t>
  </si>
  <si>
    <t>AR21</t>
  </si>
  <si>
    <t>gpio_aud1_pj6</t>
  </si>
  <si>
    <t>wake13</t>
  </si>
  <si>
    <t>AW21</t>
  </si>
  <si>
    <t>SPDIF_IN</t>
  </si>
  <si>
    <t>gpio_aud2_pj7</t>
  </si>
  <si>
    <t>wake14</t>
  </si>
  <si>
    <t>AY23</t>
  </si>
  <si>
    <t>AY21</t>
  </si>
  <si>
    <t>SPDIF_OUT</t>
  </si>
  <si>
    <t>gpio_aud3_pk0</t>
  </si>
  <si>
    <t>wake15</t>
  </si>
  <si>
    <t>pu</t>
  </si>
  <si>
    <t>AV23</t>
  </si>
  <si>
    <t>dmic1_clk_pm1</t>
  </si>
  <si>
    <t>vddio_audio_hv</t>
  </si>
  <si>
    <t>CZ</t>
  </si>
  <si>
    <t>BDSDMEM_CFC_VXVDP1P1P1VC</t>
  </si>
  <si>
    <t>AV24</t>
  </si>
  <si>
    <t>dmic1_dat_pm0</t>
  </si>
  <si>
    <t>AY25</t>
  </si>
  <si>
    <t>AU23</t>
  </si>
  <si>
    <t>dmic2_clk_pm3</t>
  </si>
  <si>
    <t>BA24</t>
  </si>
  <si>
    <t>dmic2_dat_pm2</t>
  </si>
  <si>
    <t>AY24</t>
  </si>
  <si>
    <t>AR24</t>
  </si>
  <si>
    <t>dmic4_clk_pm5</t>
  </si>
  <si>
    <t>wake18</t>
  </si>
  <si>
    <t>BA25</t>
  </si>
  <si>
    <t>AP24</t>
  </si>
  <si>
    <t>dmic4_dat_pm4</t>
  </si>
  <si>
    <t>BC26</t>
  </si>
  <si>
    <t>AN24</t>
  </si>
  <si>
    <t>dap4_sclk_pcc0</t>
  </si>
  <si>
    <t>BB24</t>
  </si>
  <si>
    <t>AM24</t>
  </si>
  <si>
    <t>dap4_dout_pcc1</t>
  </si>
  <si>
    <t>BC24</t>
  </si>
  <si>
    <t>AR23</t>
  </si>
  <si>
    <t>dap4_din_pcc2</t>
  </si>
  <si>
    <t>AW24</t>
  </si>
  <si>
    <t>AT23</t>
  </si>
  <si>
    <t>dap4_fs_pcc3</t>
  </si>
  <si>
    <t>AW43</t>
  </si>
  <si>
    <t>AR40</t>
  </si>
  <si>
    <t>gpio_pq0_pi0</t>
  </si>
  <si>
    <t>vddio_dmic_hv</t>
  </si>
  <si>
    <t>BDSDMEM_CFCR90_VXVDP1P1P1VC</t>
  </si>
  <si>
    <t>AW42</t>
  </si>
  <si>
    <t>AT40</t>
  </si>
  <si>
    <t>gpio_pq1_pi1</t>
  </si>
  <si>
    <t>AY41</t>
  </si>
  <si>
    <t>AT39</t>
  </si>
  <si>
    <t>gpio_pq2_pi2</t>
  </si>
  <si>
    <t>BA42</t>
  </si>
  <si>
    <t>AR39</t>
  </si>
  <si>
    <t>gpio_pq3_pi3</t>
  </si>
  <si>
    <t>BA43</t>
  </si>
  <si>
    <t>AP36</t>
  </si>
  <si>
    <t>gpio_pq4_pi4</t>
  </si>
  <si>
    <t>wake63</t>
  </si>
  <si>
    <t>AW41</t>
  </si>
  <si>
    <t>AR38</t>
  </si>
  <si>
    <t>gpio_pq5_pi5</t>
  </si>
  <si>
    <t>BB41</t>
  </si>
  <si>
    <t>AR37</t>
  </si>
  <si>
    <t>gpio_pq6_pi6</t>
  </si>
  <si>
    <t>wake64</t>
  </si>
  <si>
    <t>BA41</t>
  </si>
  <si>
    <t>AR36</t>
  </si>
  <si>
    <t>gpio_pq7_pi7</t>
  </si>
  <si>
    <t>BA33</t>
  </si>
  <si>
    <t>AM29</t>
  </si>
  <si>
    <t>extperiph1_clk_po0</t>
  </si>
  <si>
    <t>vddio_uartcam</t>
  </si>
  <si>
    <t>BC35</t>
  </si>
  <si>
    <t>AT30</t>
  </si>
  <si>
    <t>extperiph2_clk_po1</t>
  </si>
  <si>
    <t>AY33</t>
  </si>
  <si>
    <t>AU30</t>
  </si>
  <si>
    <t>gpio_cam1_pn0</t>
  </si>
  <si>
    <t>BB35</t>
  </si>
  <si>
    <t>AY30</t>
  </si>
  <si>
    <t>GPIO3_PN.01</t>
  </si>
  <si>
    <t>gpio_cam2_pn1</t>
  </si>
  <si>
    <t>AV33</t>
  </si>
  <si>
    <t>AW30</t>
  </si>
  <si>
    <t>EXTPERIPH4_CLK</t>
  </si>
  <si>
    <t>gpio_cam3_pn2</t>
  </si>
  <si>
    <t>AW33</t>
  </si>
  <si>
    <t>AV30</t>
  </si>
  <si>
    <t>GPIO3_PN.03</t>
  </si>
  <si>
    <t>gpio_cam4_pn3</t>
  </si>
  <si>
    <t>BA35</t>
  </si>
  <si>
    <t>AY32</t>
  </si>
  <si>
    <t>GPIO3_PN.04</t>
  </si>
  <si>
    <t>gpio_cam5_pn4</t>
  </si>
  <si>
    <t>AY34</t>
  </si>
  <si>
    <t>AW32</t>
  </si>
  <si>
    <t>GPIO3_PN.05</t>
  </si>
  <si>
    <t>gpio_cam6_pn5</t>
  </si>
  <si>
    <t>AY35</t>
  </si>
  <si>
    <t>AV32</t>
  </si>
  <si>
    <t>GPIO3_PN.06</t>
  </si>
  <si>
    <t>gpio_cam7_pn6</t>
  </si>
  <si>
    <t>BA34</t>
  </si>
  <si>
    <t>AR30</t>
  </si>
  <si>
    <t>GPIO3_PO.02</t>
  </si>
  <si>
    <t>cam_i2c_scl_po2</t>
  </si>
  <si>
    <t>BB33</t>
  </si>
  <si>
    <t>AN29</t>
  </si>
  <si>
    <t>GPIO3_PO.03</t>
  </si>
  <si>
    <t>cam_i2c_sda_po3</t>
  </si>
  <si>
    <t>wake22</t>
  </si>
  <si>
    <t>BB21</t>
  </si>
  <si>
    <t>AY20</t>
  </si>
  <si>
    <t>PE0_RST_L</t>
  </si>
  <si>
    <t>pex_l0_rst_n_pa0</t>
  </si>
  <si>
    <t>BC20</t>
  </si>
  <si>
    <t>AV20</t>
  </si>
  <si>
    <t>PE0_CLKREQ_L</t>
  </si>
  <si>
    <t>pex_l0_clkreq_n_pa1</t>
  </si>
  <si>
    <t>BA20</t>
  </si>
  <si>
    <t>AU20</t>
  </si>
  <si>
    <t>pex_l1_rst_n_pa3</t>
  </si>
  <si>
    <t>BA21</t>
  </si>
  <si>
    <t>AT20</t>
  </si>
  <si>
    <t>pex_l1_clkreq_n_pa4</t>
  </si>
  <si>
    <t>BB20</t>
  </si>
  <si>
    <t>AR20</t>
  </si>
  <si>
    <t>PE2_RST_L</t>
  </si>
  <si>
    <t>pex_l2_rst_n_pa5</t>
  </si>
  <si>
    <t>wake2</t>
  </si>
  <si>
    <t>BC21</t>
  </si>
  <si>
    <t>AW20</t>
  </si>
  <si>
    <t>PE2_CLKREQ_L</t>
  </si>
  <si>
    <t>SATA_DEV_SLP</t>
  </si>
  <si>
    <t>pex_l2_clkreq_n_pa6</t>
  </si>
  <si>
    <t>wake0</t>
  </si>
  <si>
    <t>AP20</t>
  </si>
  <si>
    <t>pex_wake_n_pa2</t>
  </si>
  <si>
    <t>wake1</t>
  </si>
  <si>
    <t>BA19</t>
  </si>
  <si>
    <t>AY17</t>
  </si>
  <si>
    <t>PEX_CLK_OUT_1_P</t>
  </si>
  <si>
    <t>pex_clk1p</t>
  </si>
  <si>
    <t>vddio_pex_clk</t>
  </si>
  <si>
    <t>BOPEXCLK_GFC_VXVDP1P1NCP1</t>
  </si>
  <si>
    <t>BA18</t>
  </si>
  <si>
    <t>AY18</t>
  </si>
  <si>
    <t>PEX_CLK_OUT_1_N</t>
  </si>
  <si>
    <t>pex_clk1n</t>
  </si>
  <si>
    <t>BB18</t>
  </si>
  <si>
    <t>AW18</t>
  </si>
  <si>
    <t>pex_clk2p</t>
  </si>
  <si>
    <t>BC18</t>
  </si>
  <si>
    <t>AV18</t>
  </si>
  <si>
    <t>pex_clk2n</t>
  </si>
  <si>
    <t>BB17</t>
  </si>
  <si>
    <t>AW17</t>
  </si>
  <si>
    <t>unused_PEX_CLK3P</t>
  </si>
  <si>
    <t>PEX_CLK_OUT_3_P</t>
  </si>
  <si>
    <t>pex_clk3p</t>
  </si>
  <si>
    <t>BC17</t>
  </si>
  <si>
    <t>AV17</t>
  </si>
  <si>
    <t>unused_PEX_CLK3N</t>
  </si>
  <si>
    <t>PEX_CLK_OUT_3_N</t>
  </si>
  <si>
    <t>pex_clk3n</t>
  </si>
  <si>
    <t>F41</t>
  </si>
  <si>
    <t>F38</t>
  </si>
  <si>
    <t>sdmmc1_clk_pd0</t>
  </si>
  <si>
    <t>vddio_sdmmc1_hv</t>
  </si>
  <si>
    <t>E42</t>
  </si>
  <si>
    <t>G36</t>
  </si>
  <si>
    <t>sdmmc1_cmd_pd1</t>
  </si>
  <si>
    <t>F43</t>
  </si>
  <si>
    <t>F40</t>
  </si>
  <si>
    <t>sdmmc1_dat0_pd2</t>
  </si>
  <si>
    <t>F42</t>
  </si>
  <si>
    <t>F39</t>
  </si>
  <si>
    <t>sdmmc1_dat1_pd3</t>
  </si>
  <si>
    <t>wake3</t>
  </si>
  <si>
    <t>F36</t>
  </si>
  <si>
    <t>sdmmc1_dat2_pd4</t>
  </si>
  <si>
    <t>G35</t>
  </si>
  <si>
    <t>sdmmc1_dat3_pd5</t>
  </si>
  <si>
    <t>E43</t>
  </si>
  <si>
    <t>F37</t>
  </si>
  <si>
    <t>sdmmc1_comp</t>
  </si>
  <si>
    <t>AR3</t>
  </si>
  <si>
    <t>AR2</t>
  </si>
  <si>
    <t>AR1</t>
  </si>
  <si>
    <t>AT3</t>
  </si>
  <si>
    <t>AT1</t>
  </si>
  <si>
    <t>AT2</t>
  </si>
  <si>
    <t>AT4</t>
  </si>
  <si>
    <t>AU3</t>
  </si>
  <si>
    <t>AU4</t>
  </si>
  <si>
    <t>AV4</t>
  </si>
  <si>
    <t>AW4</t>
  </si>
  <si>
    <t>A23</t>
  </si>
  <si>
    <t>C20</t>
  </si>
  <si>
    <t>sdmmc3_clk_pg0</t>
  </si>
  <si>
    <t>vddio_sdmmc3_hv</t>
  </si>
  <si>
    <t>B24</t>
  </si>
  <si>
    <t>B21</t>
  </si>
  <si>
    <t>sdmmc3_cmd_pg1</t>
  </si>
  <si>
    <t>C24</t>
  </si>
  <si>
    <t>B23</t>
  </si>
  <si>
    <t>sdmmc3_dat0_pg2</t>
  </si>
  <si>
    <t>C23</t>
  </si>
  <si>
    <t>C21</t>
  </si>
  <si>
    <t>sdmmc3_dat1_pg3</t>
  </si>
  <si>
    <t>wake5</t>
  </si>
  <si>
    <t>A20</t>
  </si>
  <si>
    <t>sdmmc3_dat2_pg4</t>
  </si>
  <si>
    <t>D22</t>
  </si>
  <si>
    <t>B20</t>
  </si>
  <si>
    <t>sdmmc3_dat3_pg5</t>
  </si>
  <si>
    <t>A24</t>
  </si>
  <si>
    <t>A21</t>
  </si>
  <si>
    <t>sdmmc3_comp</t>
  </si>
  <si>
    <t>E36</t>
  </si>
  <si>
    <t>D36</t>
  </si>
  <si>
    <t>B33</t>
  </si>
  <si>
    <t>J29</t>
  </si>
  <si>
    <t>gpio_sw1_pff1</t>
  </si>
  <si>
    <t>vddio_sys</t>
  </si>
  <si>
    <t>wake67</t>
  </si>
  <si>
    <t>rcm_0</t>
  </si>
  <si>
    <t>BDPGLP_IFC_VDP1P1P1</t>
  </si>
  <si>
    <t>C33</t>
  </si>
  <si>
    <t>C30</t>
  </si>
  <si>
    <t>gpio_sw2_pff2</t>
  </si>
  <si>
    <t>wake68</t>
  </si>
  <si>
    <t>rcm_1</t>
  </si>
  <si>
    <t>A32</t>
  </si>
  <si>
    <t>D30</t>
  </si>
  <si>
    <t>gpio_sw3_pff3</t>
  </si>
  <si>
    <t>wake69</t>
  </si>
  <si>
    <t>C34</t>
  </si>
  <si>
    <t>B30</t>
  </si>
  <si>
    <t>gpio_sw4_pff4</t>
  </si>
  <si>
    <t>wake30</t>
  </si>
  <si>
    <t>rcm_2</t>
  </si>
  <si>
    <t>E32</t>
  </si>
  <si>
    <t>J30</t>
  </si>
  <si>
    <t>GP_PWM1</t>
  </si>
  <si>
    <t>gpio_dis0_pu0</t>
  </si>
  <si>
    <t>DCA_LSPII</t>
  </si>
  <si>
    <t>gpio_dis1_pu1</t>
  </si>
  <si>
    <t>A33</t>
  </si>
  <si>
    <t>DCA_VSYNC</t>
  </si>
  <si>
    <t>gpio_dis2_pu2</t>
  </si>
  <si>
    <t>gpio_dis3_pu3</t>
  </si>
  <si>
    <t>DCA_HSYNC</t>
  </si>
  <si>
    <t>gpio_dis4_pu4</t>
  </si>
  <si>
    <t>GP_PWM3</t>
  </si>
  <si>
    <t>gpio_dis5_pu5</t>
  </si>
  <si>
    <t>D34</t>
  </si>
  <si>
    <t>G30</t>
  </si>
  <si>
    <t>power_on_pff0</t>
  </si>
  <si>
    <t>wake29</t>
  </si>
  <si>
    <t>G29</t>
  </si>
  <si>
    <t>sys_reset_n</t>
  </si>
  <si>
    <t>JT_RST</t>
  </si>
  <si>
    <t>BILPRST_CFC_VDP1P1P1</t>
  </si>
  <si>
    <t>E30</t>
  </si>
  <si>
    <t>shutdown</t>
  </si>
  <si>
    <t>H29</t>
  </si>
  <si>
    <t>GPIO3_PS.03</t>
  </si>
  <si>
    <t>safe_state_ps3</t>
  </si>
  <si>
    <t>wake25</t>
  </si>
  <si>
    <t>A30</t>
  </si>
  <si>
    <t>vcomp_alert_ps4</t>
  </si>
  <si>
    <t>wake26</t>
  </si>
  <si>
    <t>F31</t>
  </si>
  <si>
    <t>pwr_i2c_scl_ps0</t>
  </si>
  <si>
    <t>BDPGLPHVIN_D2FC_VDP1P1P1</t>
  </si>
  <si>
    <t>C32</t>
  </si>
  <si>
    <t>pwr_i2c_sda_ps1</t>
  </si>
  <si>
    <t>wake27</t>
  </si>
  <si>
    <t>D32</t>
  </si>
  <si>
    <t>clk_32k_in</t>
  </si>
  <si>
    <t>B32</t>
  </si>
  <si>
    <t>SOC_THERM_OC5</t>
  </si>
  <si>
    <t>batt_oc_ps2</t>
  </si>
  <si>
    <t>wake10</t>
  </si>
  <si>
    <t>soc_pwr_req</t>
  </si>
  <si>
    <t>F30</t>
  </si>
  <si>
    <t>pmu_int_n</t>
  </si>
  <si>
    <t>wake24</t>
  </si>
  <si>
    <t>BA27</t>
  </si>
  <si>
    <t>AY27</t>
  </si>
  <si>
    <t>uart2_tx_px0</t>
  </si>
  <si>
    <t>ram_code3</t>
  </si>
  <si>
    <t>AY26</t>
  </si>
  <si>
    <t>uart2_rx_px1</t>
  </si>
  <si>
    <t>AW27</t>
  </si>
  <si>
    <t>UB3_RTS</t>
  </si>
  <si>
    <t>uart2_rts_px2</t>
  </si>
  <si>
    <t>ram_code2</t>
  </si>
  <si>
    <t>BB27</t>
  </si>
  <si>
    <t>AY29</t>
  </si>
  <si>
    <t>UB3_CTS</t>
  </si>
  <si>
    <t>uart2_cts_px3</t>
  </si>
  <si>
    <t>wake52</t>
  </si>
  <si>
    <t>AY28</t>
  </si>
  <si>
    <t>GPIO3_PX.04</t>
  </si>
  <si>
    <t>NV_THERM_FAN_TACH</t>
  </si>
  <si>
    <t>uart5_tx_px4</t>
  </si>
  <si>
    <t>BC27</t>
  </si>
  <si>
    <t>AW26</t>
  </si>
  <si>
    <t>uart5_rx_px5</t>
  </si>
  <si>
    <t>BA29</t>
  </si>
  <si>
    <t>AU26</t>
  </si>
  <si>
    <t>GPIO3_PX.06</t>
  </si>
  <si>
    <t>uart5_rts_px6</t>
  </si>
  <si>
    <t>AW29</t>
  </si>
  <si>
    <t>AV27</t>
  </si>
  <si>
    <t>GPIO3_PX.07</t>
  </si>
  <si>
    <t>uart5_cts_px7</t>
  </si>
  <si>
    <t>wake53</t>
  </si>
  <si>
    <t>AV29</t>
  </si>
  <si>
    <t>AV26</t>
  </si>
  <si>
    <t>gpio_mdm1_py0</t>
  </si>
  <si>
    <t>wake54</t>
  </si>
  <si>
    <t>BA28</t>
  </si>
  <si>
    <t>gpio_mdm2_py1</t>
  </si>
  <si>
    <t>wake55</t>
  </si>
  <si>
    <t>gpio_mdm3_py2</t>
  </si>
  <si>
    <t>wake56</t>
  </si>
  <si>
    <t>BB29</t>
  </si>
  <si>
    <t>AU27</t>
  </si>
  <si>
    <t>gpio_mdm4_py3</t>
  </si>
  <si>
    <t>BC29</t>
  </si>
  <si>
    <t>AP27</t>
  </si>
  <si>
    <t>GPIO3_PY.04</t>
  </si>
  <si>
    <t>gpio_mdm5_py4</t>
  </si>
  <si>
    <t>AT26</t>
  </si>
  <si>
    <t>SOC_THERM_OC3</t>
  </si>
  <si>
    <t>gpio_mdm6_py5</t>
  </si>
  <si>
    <t>wake57</t>
  </si>
  <si>
    <t>AU29</t>
  </si>
  <si>
    <t>gpio_mdm7_py6</t>
  </si>
  <si>
    <t>wake58</t>
  </si>
  <si>
    <t>BA31</t>
  </si>
  <si>
    <t>AT29</t>
  </si>
  <si>
    <t>GPIO3_PL.00</t>
  </si>
  <si>
    <t>I2C7_CLK</t>
  </si>
  <si>
    <t>gen7_i2c_scl_pl0</t>
  </si>
  <si>
    <t>BB30</t>
  </si>
  <si>
    <t>AR25</t>
  </si>
  <si>
    <t>GPIO3_PL.01</t>
  </si>
  <si>
    <t>I2C7_DAT</t>
  </si>
  <si>
    <t>gen7_i2c_sda_pl1</t>
  </si>
  <si>
    <t>wake59</t>
  </si>
  <si>
    <t>BC33</t>
  </si>
  <si>
    <t>AN27</t>
  </si>
  <si>
    <t>GPIO3_PL.02</t>
  </si>
  <si>
    <t>I2C9_CLK</t>
  </si>
  <si>
    <t>gen9_i2c_scl_pl2</t>
  </si>
  <si>
    <t>BC30</t>
  </si>
  <si>
    <t>AP26</t>
  </si>
  <si>
    <t>GPIO3_PL.03</t>
  </si>
  <si>
    <t>I2C9_DAT</t>
  </si>
  <si>
    <t>gen9_i2c_sda_pl3</t>
  </si>
  <si>
    <t>wake60</t>
  </si>
  <si>
    <t>AM27</t>
  </si>
  <si>
    <t>usb_vbus_en0_pl4</t>
  </si>
  <si>
    <t>wake61</t>
  </si>
  <si>
    <t>AR28</t>
  </si>
  <si>
    <t>usb_vbus_en1_pl5</t>
  </si>
  <si>
    <t>wake62</t>
  </si>
  <si>
    <t>AT27</t>
  </si>
  <si>
    <t>bcpu_pwr_req_ph4</t>
  </si>
  <si>
    <t>BA30</t>
  </si>
  <si>
    <t>AR26</t>
  </si>
  <si>
    <t>GPIO3_PH.05</t>
  </si>
  <si>
    <t>mcpu_pwr_req_ph5</t>
  </si>
  <si>
    <t>AY31</t>
  </si>
  <si>
    <t>AR27</t>
  </si>
  <si>
    <t>gpu_pwr_req_ph6</t>
  </si>
  <si>
    <t>BA32</t>
  </si>
  <si>
    <t>AP29</t>
  </si>
  <si>
    <t>gp_pwm6_pl6</t>
  </si>
  <si>
    <t>AR29</t>
  </si>
  <si>
    <t>gp_pwm7_pl7</t>
  </si>
  <si>
    <t>gpio_wan5_ph0</t>
  </si>
  <si>
    <t>BB26</t>
  </si>
  <si>
    <t>gpio_wan6_ph1</t>
  </si>
  <si>
    <t>AT24</t>
  </si>
  <si>
    <t>gpio_wan7_ph2</t>
  </si>
  <si>
    <t>wake11</t>
  </si>
  <si>
    <t>BA26</t>
  </si>
  <si>
    <t>AU24</t>
  </si>
  <si>
    <t>gpio_wan8_ph3</t>
  </si>
  <si>
    <t>wake70</t>
  </si>
  <si>
    <t>BB32</t>
  </si>
  <si>
    <t>AM26</t>
  </si>
  <si>
    <t>P</t>
  </si>
  <si>
    <t>therm_dp</t>
  </si>
  <si>
    <t>TDIODE_FFC</t>
  </si>
  <si>
    <t>BC32</t>
  </si>
  <si>
    <t>AN26</t>
  </si>
  <si>
    <t>N</t>
  </si>
  <si>
    <t>therm_dn</t>
  </si>
  <si>
    <t>BA36</t>
  </si>
  <si>
    <t>GPIO3_PT.00</t>
  </si>
  <si>
    <t>uart1_tx_pt0</t>
  </si>
  <si>
    <t>vddio_debug</t>
  </si>
  <si>
    <t>BC36</t>
  </si>
  <si>
    <t>AR31</t>
  </si>
  <si>
    <t>GPIO3_PT.01</t>
  </si>
  <si>
    <t>uart1_rx_pt1</t>
  </si>
  <si>
    <t>BC38</t>
  </si>
  <si>
    <t>uart1_rts_pt2</t>
  </si>
  <si>
    <t>ram_code0</t>
  </si>
  <si>
    <t>BC39</t>
  </si>
  <si>
    <t>AY36</t>
  </si>
  <si>
    <t>uart1_cts_pt3</t>
  </si>
  <si>
    <t>BB36</t>
  </si>
  <si>
    <t>nvjtag_sel</t>
  </si>
  <si>
    <t>AW35</t>
  </si>
  <si>
    <t>jtag_trst_n</t>
  </si>
  <si>
    <t>BB38</t>
  </si>
  <si>
    <t>jtag_tdo</t>
  </si>
  <si>
    <t>BA37</t>
  </si>
  <si>
    <t>AW36</t>
  </si>
  <si>
    <t>jtag_tms</t>
  </si>
  <si>
    <t>AV35</t>
  </si>
  <si>
    <t>AW37</t>
  </si>
  <si>
    <t>jtag_tck</t>
  </si>
  <si>
    <t>BB39</t>
  </si>
  <si>
    <t>AR35</t>
  </si>
  <si>
    <t>jtag_tdi</t>
  </si>
  <si>
    <t>F23</t>
  </si>
  <si>
    <t>uart3_tx_pw2</t>
  </si>
  <si>
    <t>vddio_ao</t>
  </si>
  <si>
    <t>wake32</t>
  </si>
  <si>
    <t>ram_code1</t>
  </si>
  <si>
    <t>A27</t>
  </si>
  <si>
    <t>uart3_rx_pw3</t>
  </si>
  <si>
    <t>D23</t>
  </si>
  <si>
    <t>UC3_RTS</t>
  </si>
  <si>
    <t>uart3_rts_pw4</t>
  </si>
  <si>
    <t>E23</t>
  </si>
  <si>
    <t>UC3_CTS</t>
  </si>
  <si>
    <t>uart3_cts_pw5</t>
  </si>
  <si>
    <t>wake33</t>
  </si>
  <si>
    <t>B26</t>
  </si>
  <si>
    <t>D27</t>
  </si>
  <si>
    <t>gen8_i2c_scl_pw0</t>
  </si>
  <si>
    <t>D24</t>
  </si>
  <si>
    <t>C27</t>
  </si>
  <si>
    <t>gen8_i2c_sda_pw1</t>
  </si>
  <si>
    <t>wake34</t>
  </si>
  <si>
    <t>B27</t>
  </si>
  <si>
    <t>GPIO3_PW.06</t>
  </si>
  <si>
    <t>uart7_tx_pw6</t>
  </si>
  <si>
    <t>boot_sel2</t>
  </si>
  <si>
    <t>C25</t>
  </si>
  <si>
    <t>GPIO3_PW.07</t>
  </si>
  <si>
    <t>uart7_rx_pw7</t>
  </si>
  <si>
    <t>C26</t>
  </si>
  <si>
    <t>A26</t>
  </si>
  <si>
    <t>gpio_sen0_pv0</t>
  </si>
  <si>
    <t>wake35</t>
  </si>
  <si>
    <t>E24</t>
  </si>
  <si>
    <t>gpio_sen1_pv1</t>
  </si>
  <si>
    <t>wake36</t>
  </si>
  <si>
    <t>D25</t>
  </si>
  <si>
    <t>E26</t>
  </si>
  <si>
    <t>gpio_sen2_pv2</t>
  </si>
  <si>
    <t>wake37</t>
  </si>
  <si>
    <t>F25</t>
  </si>
  <si>
    <t>gpio_sen3_pv3</t>
  </si>
  <si>
    <t>wake38</t>
  </si>
  <si>
    <t>F24</t>
  </si>
  <si>
    <t>G24</t>
  </si>
  <si>
    <t>gpio_sen4_pv4</t>
  </si>
  <si>
    <t>wake39</t>
  </si>
  <si>
    <t>B29</t>
  </si>
  <si>
    <t>gpio_sen5_pv5</t>
  </si>
  <si>
    <t>wake40</t>
  </si>
  <si>
    <t>GP_PWM4</t>
  </si>
  <si>
    <t>gpio_sen6_pv6</t>
  </si>
  <si>
    <t>C28</t>
  </si>
  <si>
    <t>WDT_RESET_OUTA</t>
  </si>
  <si>
    <t>gpio_sen7_pv7</t>
  </si>
  <si>
    <t>C29</t>
  </si>
  <si>
    <t>D26</t>
  </si>
  <si>
    <t>gpio_sen8_pee0</t>
  </si>
  <si>
    <t>wake41</t>
  </si>
  <si>
    <t>F26</t>
  </si>
  <si>
    <t>gpio_sen9_pee1</t>
  </si>
  <si>
    <t>touch_clk_pee2</t>
  </si>
  <si>
    <t>E27</t>
  </si>
  <si>
    <t>can1_dout_pz0</t>
  </si>
  <si>
    <t>vddio_ao_hv</t>
  </si>
  <si>
    <t>wake65</t>
  </si>
  <si>
    <t>BDSDMEM_CFC_VDP1P1P1VC</t>
  </si>
  <si>
    <t>A29</t>
  </si>
  <si>
    <t>can1_din_pz1</t>
  </si>
  <si>
    <t>wake42</t>
  </si>
  <si>
    <t>J27</t>
  </si>
  <si>
    <t>can0_dout_pz2</t>
  </si>
  <si>
    <t>wake66</t>
  </si>
  <si>
    <t>can0_din_pz3</t>
  </si>
  <si>
    <t>wake43</t>
  </si>
  <si>
    <t>F27</t>
  </si>
  <si>
    <t>DMIC3_DAT</t>
  </si>
  <si>
    <t>DMIC5_DAT</t>
  </si>
  <si>
    <t>can_gpio0_paa0</t>
  </si>
  <si>
    <t>wake44</t>
  </si>
  <si>
    <t>D31</t>
  </si>
  <si>
    <t>DMIC3_CLK</t>
  </si>
  <si>
    <t>DMIC5_CLK</t>
  </si>
  <si>
    <t>can_gpio1_paa1</t>
  </si>
  <si>
    <t>wake45</t>
  </si>
  <si>
    <t>F28</t>
  </si>
  <si>
    <t>GPIO3_PAA.02</t>
  </si>
  <si>
    <t>can_gpio2_paa2</t>
  </si>
  <si>
    <t>wake46</t>
  </si>
  <si>
    <t>D29</t>
  </si>
  <si>
    <t>can_gpio3_paa3</t>
  </si>
  <si>
    <t>wake47</t>
  </si>
  <si>
    <t>F29</t>
  </si>
  <si>
    <t>can_gpio4_paa4</t>
  </si>
  <si>
    <t>wake48</t>
  </si>
  <si>
    <t>C31</t>
  </si>
  <si>
    <t>G27</t>
  </si>
  <si>
    <t>can_gpio5_paa5</t>
  </si>
  <si>
    <t>wake49</t>
  </si>
  <si>
    <t>E29</t>
  </si>
  <si>
    <t>can_gpio6_paa6</t>
  </si>
  <si>
    <t>wake50</t>
  </si>
  <si>
    <t>H27</t>
  </si>
  <si>
    <t>can_gpio7_paa7</t>
  </si>
  <si>
    <t>wake51</t>
  </si>
  <si>
    <t>BB40</t>
  </si>
  <si>
    <t>AU38</t>
  </si>
  <si>
    <t>GPIO3_PR.01</t>
  </si>
  <si>
    <t>qspi_io0_pr1</t>
  </si>
  <si>
    <t>vddio_spi</t>
  </si>
  <si>
    <t>LV_CZ</t>
  </si>
  <si>
    <t>BDSDMEMLV_BFCR90_VXVDP1P1P1</t>
  </si>
  <si>
    <t>AY39</t>
  </si>
  <si>
    <t>AU40</t>
  </si>
  <si>
    <t>GPIO3_PR.02</t>
  </si>
  <si>
    <t>qspi_io1_pr2</t>
  </si>
  <si>
    <t>AW39</t>
  </si>
  <si>
    <t>AV37</t>
  </si>
  <si>
    <t>GPIO3_PR.00</t>
  </si>
  <si>
    <t>qspi_sck_pr0</t>
  </si>
  <si>
    <t>BC41</t>
  </si>
  <si>
    <t>AU37</t>
  </si>
  <si>
    <t>GPIO3_PR.05</t>
  </si>
  <si>
    <t>qspi_cs_n_pr5</t>
  </si>
  <si>
    <t>wake23</t>
  </si>
  <si>
    <t>AV38</t>
  </si>
  <si>
    <t>AU39</t>
  </si>
  <si>
    <t>GPIO3_PR.03</t>
  </si>
  <si>
    <t>qspi_io2_pr3</t>
  </si>
  <si>
    <t>BA40</t>
  </si>
  <si>
    <t>AT37</t>
  </si>
  <si>
    <t>GPIO3_PR.04</t>
  </si>
  <si>
    <t>qspi_io3_pr4</t>
  </si>
  <si>
    <t>BA39</t>
  </si>
  <si>
    <t>AT36</t>
  </si>
  <si>
    <t>qspi_comp</t>
  </si>
  <si>
    <t>LVMEM_COMP</t>
  </si>
  <si>
    <t>BDSDMEMLVCOMP_DFCR90_VXVDP1P1P1</t>
  </si>
  <si>
    <t>H4</t>
  </si>
  <si>
    <t>I2C6_CLK</t>
  </si>
  <si>
    <t>dp_aux_ch0_p</t>
  </si>
  <si>
    <t>vddio_edp</t>
  </si>
  <si>
    <t>DP_AUX</t>
  </si>
  <si>
    <t>BDDPAUX_F2FCR90_VD181818NC</t>
  </si>
  <si>
    <t>H5</t>
  </si>
  <si>
    <t>I2C6_DAT</t>
  </si>
  <si>
    <t>dp_aux_ch0_n</t>
  </si>
  <si>
    <t>G4</t>
  </si>
  <si>
    <t>H7</t>
  </si>
  <si>
    <t>GPIO3_PP.00</t>
  </si>
  <si>
    <t>dp_aux_ch0_hpd_pp0</t>
  </si>
  <si>
    <t>wake19</t>
  </si>
  <si>
    <t>BDPGLPHVIN_D2FCR90_VDVXP1P1P1</t>
  </si>
  <si>
    <t>E1</t>
  </si>
  <si>
    <t>H1</t>
  </si>
  <si>
    <t>dp_aux_ch1_p</t>
  </si>
  <si>
    <t>E2</t>
  </si>
  <si>
    <t>H2</t>
  </si>
  <si>
    <t>dp_aux_ch1_n</t>
  </si>
  <si>
    <t>F5</t>
  </si>
  <si>
    <t>hdmi_cec_pp2</t>
  </si>
  <si>
    <t>wake20</t>
  </si>
  <si>
    <t>H6</t>
  </si>
  <si>
    <t>J7</t>
  </si>
  <si>
    <t>dp_aux_ch1_hpd_pp1</t>
  </si>
  <si>
    <t>wake21</t>
  </si>
  <si>
    <t>F4</t>
  </si>
  <si>
    <t>H3</t>
  </si>
  <si>
    <t>gpio_edp0_pp3</t>
  </si>
  <si>
    <t>BDPGLP_IFCR90_VXVDP1P1P1</t>
  </si>
  <si>
    <t>G3</t>
  </si>
  <si>
    <t>SDMMC1_WP</t>
  </si>
  <si>
    <t>gpio_edp1_pp4</t>
  </si>
  <si>
    <t>J6</t>
  </si>
  <si>
    <t>gpio_edp2_pp5</t>
  </si>
  <si>
    <t>wake71</t>
  </si>
  <si>
    <t>E3</t>
  </si>
  <si>
    <t>J5</t>
  </si>
  <si>
    <t>SDMMC1_CD</t>
  </si>
  <si>
    <t>gpio_edp3_pp6</t>
  </si>
  <si>
    <t>AY19</t>
  </si>
  <si>
    <t>AM21</t>
  </si>
  <si>
    <t>GPIO3_PBB.00</t>
  </si>
  <si>
    <t>ufs0_ref_clk_pbb0</t>
  </si>
  <si>
    <t>vddio_ufs</t>
  </si>
  <si>
    <t>BDSDMEMLV_BFC_VXVDP1P1P1</t>
  </si>
  <si>
    <t>AN21</t>
  </si>
  <si>
    <t>GPIO3_PBB.01</t>
  </si>
  <si>
    <t>ufs0_rst_pbb1</t>
  </si>
  <si>
    <t>D9</t>
  </si>
  <si>
    <t>C6</t>
  </si>
  <si>
    <t>dsi_a_clk_n</t>
  </si>
  <si>
    <t>avdd_csi_dsi</t>
  </si>
  <si>
    <t>BDMIPI4X_DUAL_A2FC160P79B</t>
  </si>
  <si>
    <t>D8</t>
  </si>
  <si>
    <t>D6</t>
  </si>
  <si>
    <t>dsi_a_clk_p</t>
  </si>
  <si>
    <t>E8</t>
  </si>
  <si>
    <t>E6</t>
  </si>
  <si>
    <t>dsi_a_d0_n</t>
  </si>
  <si>
    <t>F8</t>
  </si>
  <si>
    <t>F6</t>
  </si>
  <si>
    <t>dsi_a_d0_p</t>
  </si>
  <si>
    <t>E9</t>
  </si>
  <si>
    <t>A6</t>
  </si>
  <si>
    <t>dsi_a_d1_n</t>
  </si>
  <si>
    <t>F9</t>
  </si>
  <si>
    <t>B6</t>
  </si>
  <si>
    <t>dsi_a_d1_p</t>
  </si>
  <si>
    <t>A9</t>
  </si>
  <si>
    <t>dsi_b_clk_n</t>
  </si>
  <si>
    <t>A8</t>
  </si>
  <si>
    <t>dsi_b_clk_p</t>
  </si>
  <si>
    <t>B8</t>
  </si>
  <si>
    <t>dsi_b_d0_n</t>
  </si>
  <si>
    <t>C8</t>
  </si>
  <si>
    <t>G8</t>
  </si>
  <si>
    <t>dsi_b_d0_p</t>
  </si>
  <si>
    <t>C9</t>
  </si>
  <si>
    <t>dsi_b_d1_n</t>
  </si>
  <si>
    <t>B9</t>
  </si>
  <si>
    <t>dsi_b_d1_p</t>
  </si>
  <si>
    <t>D12</t>
  </si>
  <si>
    <t>dsi_c_clk_n</t>
  </si>
  <si>
    <t>D11</t>
  </si>
  <si>
    <t>dsi_c_clk_p</t>
  </si>
  <si>
    <t>E11</t>
  </si>
  <si>
    <t>dsi_c_d0_n</t>
  </si>
  <si>
    <t>F11</t>
  </si>
  <si>
    <t>dsi_c_d0_p</t>
  </si>
  <si>
    <t>F12</t>
  </si>
  <si>
    <t>G9</t>
  </si>
  <si>
    <t>dsi_c_d1_n</t>
  </si>
  <si>
    <t>E12</t>
  </si>
  <si>
    <t>dsi_c_d1_p</t>
  </si>
  <si>
    <t>A12</t>
  </si>
  <si>
    <t>dsi_d_clk_n</t>
  </si>
  <si>
    <t>A11</t>
  </si>
  <si>
    <t>dsi_d_clk_p</t>
  </si>
  <si>
    <t>B11</t>
  </si>
  <si>
    <t>dsi_d_d0_n</t>
  </si>
  <si>
    <t>C11</t>
  </si>
  <si>
    <t>G11</t>
  </si>
  <si>
    <t>dsi_d_d0_p</t>
  </si>
  <si>
    <t>C12</t>
  </si>
  <si>
    <t>dsi_d_d1_n</t>
  </si>
  <si>
    <t>B12</t>
  </si>
  <si>
    <t>dsi_d_d1_p</t>
  </si>
  <si>
    <t>D15</t>
  </si>
  <si>
    <t>csi_a_clk_n</t>
  </si>
  <si>
    <t>BIMIPI4X_B2FC160P79B</t>
  </si>
  <si>
    <t>D14</t>
  </si>
  <si>
    <t>csi_a_clk_p</t>
  </si>
  <si>
    <t>E14</t>
  </si>
  <si>
    <t>csi_a_d0_n</t>
  </si>
  <si>
    <t>F14</t>
  </si>
  <si>
    <t>csi_a_d0_p</t>
  </si>
  <si>
    <t>F15</t>
  </si>
  <si>
    <t>csi_a_d1_n</t>
  </si>
  <si>
    <t>E15</t>
  </si>
  <si>
    <t>csi_a_d1_p</t>
  </si>
  <si>
    <t>A15</t>
  </si>
  <si>
    <t>csi_b_clk_n</t>
  </si>
  <si>
    <t>A14</t>
  </si>
  <si>
    <t>G12</t>
  </si>
  <si>
    <t>csi_b_clk_p</t>
  </si>
  <si>
    <t>B14</t>
  </si>
  <si>
    <t>H12</t>
  </si>
  <si>
    <t>csi_b_d0_n</t>
  </si>
  <si>
    <t>C14</t>
  </si>
  <si>
    <t>J12</t>
  </si>
  <si>
    <t>csi_b_d0_p</t>
  </si>
  <si>
    <t>B15</t>
  </si>
  <si>
    <t>csi_b_d1_n</t>
  </si>
  <si>
    <t>C15</t>
  </si>
  <si>
    <t>csi_b_d1_p</t>
  </si>
  <si>
    <t>A18</t>
  </si>
  <si>
    <t>csi_c_clk_n</t>
  </si>
  <si>
    <t>A17</t>
  </si>
  <si>
    <t>csi_c_clk_p</t>
  </si>
  <si>
    <t>C17</t>
  </si>
  <si>
    <t>csi_c_d0_n</t>
  </si>
  <si>
    <t>B17</t>
  </si>
  <si>
    <t>csi_c_d0_p</t>
  </si>
  <si>
    <t>B18</t>
  </si>
  <si>
    <t>csi_c_d1_n</t>
  </si>
  <si>
    <t>C18</t>
  </si>
  <si>
    <t>csi_c_d1_p</t>
  </si>
  <si>
    <t>D18</t>
  </si>
  <si>
    <t>csi_d_clk_n</t>
  </si>
  <si>
    <t>D17</t>
  </si>
  <si>
    <t>G14</t>
  </si>
  <si>
    <t>csi_d_clk_p</t>
  </si>
  <si>
    <t>E17</t>
  </si>
  <si>
    <t>H14</t>
  </si>
  <si>
    <t>csi_d_d0_n</t>
  </si>
  <si>
    <t>F17</t>
  </si>
  <si>
    <t>J14</t>
  </si>
  <si>
    <t>csi_d_d0_p</t>
  </si>
  <si>
    <t>F18</t>
  </si>
  <si>
    <t>csi_d_d1_n</t>
  </si>
  <si>
    <t>E18</t>
  </si>
  <si>
    <t>csi_d_d1_p</t>
  </si>
  <si>
    <t>csi_e_clk_n</t>
  </si>
  <si>
    <t>G15</t>
  </si>
  <si>
    <t>csi_e_clk_p</t>
  </si>
  <si>
    <t>H15</t>
  </si>
  <si>
    <t>csi_e_d0_n</t>
  </si>
  <si>
    <t>J15</t>
  </si>
  <si>
    <t>csi_e_d0_p</t>
  </si>
  <si>
    <t>csi_e_d1_n</t>
  </si>
  <si>
    <t>csi_e_d1_p</t>
  </si>
  <si>
    <t>D21</t>
  </si>
  <si>
    <t>csi_f_clk_n</t>
  </si>
  <si>
    <t>D20</t>
  </si>
  <si>
    <t>csi_f_clk_p</t>
  </si>
  <si>
    <t>F20</t>
  </si>
  <si>
    <t>csi_f_d0_n</t>
  </si>
  <si>
    <t>E20</t>
  </si>
  <si>
    <t>csi_f_d0_p</t>
  </si>
  <si>
    <t>E21</t>
  </si>
  <si>
    <t>csi_f_d1_n</t>
  </si>
  <si>
    <t>F21</t>
  </si>
  <si>
    <t>csi_f_d1_p</t>
  </si>
  <si>
    <t>D13</t>
  </si>
  <si>
    <t>F10</t>
  </si>
  <si>
    <t>csi_dsi_rup</t>
  </si>
  <si>
    <t>BDMIPIBIAS_DFC160P79B</t>
  </si>
  <si>
    <t>D10</t>
  </si>
  <si>
    <t>H11</t>
  </si>
  <si>
    <t>csi_dsi_rdn</t>
  </si>
  <si>
    <t>A3</t>
  </si>
  <si>
    <t>hdmi_dp0_txdp0</t>
  </si>
  <si>
    <t>avddio_hdmi_dp0</t>
  </si>
  <si>
    <t>DP_SINGLE_F2FC160P79B</t>
  </si>
  <si>
    <t>B4</t>
  </si>
  <si>
    <t>hdmi_dp0_txdn0</t>
  </si>
  <si>
    <t>C3</t>
  </si>
  <si>
    <t>hdmi_dp0_txdp1</t>
  </si>
  <si>
    <t>B3</t>
  </si>
  <si>
    <t>hdmi_dp0_txdn1</t>
  </si>
  <si>
    <t>E4</t>
  </si>
  <si>
    <t>G6</t>
  </si>
  <si>
    <t>hdmi_dp0_txdp2</t>
  </si>
  <si>
    <t>E5</t>
  </si>
  <si>
    <t>G5</t>
  </si>
  <si>
    <t>hdmi_dp0_txdn2</t>
  </si>
  <si>
    <t>C1</t>
  </si>
  <si>
    <t>hdmi_dp0_txdp3</t>
  </si>
  <si>
    <t>C2</t>
  </si>
  <si>
    <t>hdmi_dp0_txdn3</t>
  </si>
  <si>
    <t>hdmi_dp0_rset</t>
  </si>
  <si>
    <t>C4</t>
  </si>
  <si>
    <t>hdmi_dp0_vcm</t>
  </si>
  <si>
    <t>D5</t>
  </si>
  <si>
    <t>D2</t>
  </si>
  <si>
    <t>hdmi_dp1_txdp0</t>
  </si>
  <si>
    <t>avdd_hdmi_dp1</t>
  </si>
  <si>
    <t>D1</t>
  </si>
  <si>
    <t>hdmi_dp1_txdn0</t>
  </si>
  <si>
    <t>C5</t>
  </si>
  <si>
    <t>hdmi_dp1_txdp1</t>
  </si>
  <si>
    <t>B5</t>
  </si>
  <si>
    <t>D4</t>
  </si>
  <si>
    <t>hdmi_dp1_txdn1</t>
  </si>
  <si>
    <t>A5</t>
  </si>
  <si>
    <t>hdmi_dp1_txdp2</t>
  </si>
  <si>
    <t>A4</t>
  </si>
  <si>
    <t>hdmi_dp1_txdn2</t>
  </si>
  <si>
    <t>hdmi_dp1_txdp3</t>
  </si>
  <si>
    <t>hdmi_dp1_txdn3</t>
  </si>
  <si>
    <t>hdmi_dp1_rset</t>
  </si>
  <si>
    <t>D3</t>
  </si>
  <si>
    <t>hdmi_dp1_vcm</t>
  </si>
  <si>
    <t>BA17</t>
  </si>
  <si>
    <t>AP15</t>
  </si>
  <si>
    <t>hsic0_strobe</t>
  </si>
  <si>
    <t>avdd_hsic</t>
  </si>
  <si>
    <t>BDUHSIC_SINGLE_BFC_VXVDP1P1P1</t>
  </si>
  <si>
    <t>AY16</t>
  </si>
  <si>
    <t>AR16</t>
  </si>
  <si>
    <t>hsic0_dat0</t>
  </si>
  <si>
    <t>AR15</t>
  </si>
  <si>
    <t>hsic_rext</t>
  </si>
  <si>
    <t>BB14</t>
  </si>
  <si>
    <t>AY14</t>
  </si>
  <si>
    <t>usb0_dn</t>
  </si>
  <si>
    <t>avdd_usb</t>
  </si>
  <si>
    <t>BDUSB2_LFC_VXVDP1VC</t>
  </si>
  <si>
    <t>BC14</t>
  </si>
  <si>
    <t>AY15</t>
  </si>
  <si>
    <t>usb0_dp</t>
  </si>
  <si>
    <t>BC15</t>
  </si>
  <si>
    <t>AT15</t>
  </si>
  <si>
    <t>usb1_dn</t>
  </si>
  <si>
    <t>BB15</t>
  </si>
  <si>
    <t>AU15</t>
  </si>
  <si>
    <t>usb1_dp</t>
  </si>
  <si>
    <t>BA16</t>
  </si>
  <si>
    <t>AV15</t>
  </si>
  <si>
    <t>usb2_dn</t>
  </si>
  <si>
    <t>BA15</t>
  </si>
  <si>
    <t>AW15</t>
  </si>
  <si>
    <t>usb2_dp</t>
  </si>
  <si>
    <t>BA14</t>
  </si>
  <si>
    <t>AP14</t>
  </si>
  <si>
    <t>usb_rext</t>
  </si>
  <si>
    <t>BDUSBBIAS_GFC_VXVDP1VC</t>
  </si>
  <si>
    <t>BB12</t>
  </si>
  <si>
    <t>AY12</t>
  </si>
  <si>
    <t>USB_SS0_RXN</t>
  </si>
  <si>
    <t>pex_rx0n</t>
  </si>
  <si>
    <t>vddio_uphy</t>
  </si>
  <si>
    <t>UPHYDS_PLL2DS6_CFC160P79B</t>
  </si>
  <si>
    <t>BC12</t>
  </si>
  <si>
    <t>AY11</t>
  </si>
  <si>
    <t>USB_SS0_RXP</t>
  </si>
  <si>
    <t>pex_rx0p</t>
  </si>
  <si>
    <t>AW14</t>
  </si>
  <si>
    <t>AU14</t>
  </si>
  <si>
    <t>USB_SS0_TXN</t>
  </si>
  <si>
    <t>pex_tx0n</t>
  </si>
  <si>
    <t>AV14</t>
  </si>
  <si>
    <t>AT14</t>
  </si>
  <si>
    <t>USB_SS0_TXP</t>
  </si>
  <si>
    <t>pex_tx0p</t>
  </si>
  <si>
    <t>BC11</t>
  </si>
  <si>
    <t>AW12</t>
  </si>
  <si>
    <t>PEX0_RX3N</t>
  </si>
  <si>
    <t>pex_rx1n</t>
  </si>
  <si>
    <t>BB11</t>
  </si>
  <si>
    <t>AV12</t>
  </si>
  <si>
    <t>PEX0_RX3P</t>
  </si>
  <si>
    <t>pex_rx1p</t>
  </si>
  <si>
    <t>AU12</t>
  </si>
  <si>
    <t>PEX0_TX3N</t>
  </si>
  <si>
    <t>pex_tx1n</t>
  </si>
  <si>
    <t>AT12</t>
  </si>
  <si>
    <t>PEX0_TX3P</t>
  </si>
  <si>
    <t>pex_tx1p</t>
  </si>
  <si>
    <t>BB9</t>
  </si>
  <si>
    <t>AW11</t>
  </si>
  <si>
    <t>PEX0_RX1N</t>
  </si>
  <si>
    <t>pex_rx2n</t>
  </si>
  <si>
    <t>BC9</t>
  </si>
  <si>
    <t>AV11</t>
  </si>
  <si>
    <t>PEX0_RX1P</t>
  </si>
  <si>
    <t>pex_rx2p</t>
  </si>
  <si>
    <t>AU8</t>
  </si>
  <si>
    <t>PEX0_TX1N</t>
  </si>
  <si>
    <t>pex_tx2n</t>
  </si>
  <si>
    <t>AT8</t>
  </si>
  <si>
    <t>PEX0_TX1P</t>
  </si>
  <si>
    <t>pex_tx2p</t>
  </si>
  <si>
    <t>BA10</t>
  </si>
  <si>
    <t>AW9</t>
  </si>
  <si>
    <t>PEX0_RX2N</t>
  </si>
  <si>
    <t>pex_rx3n</t>
  </si>
  <si>
    <t>BA9</t>
  </si>
  <si>
    <t>AV9</t>
  </si>
  <si>
    <t>PEX0_RX2P</t>
  </si>
  <si>
    <t>pex_rx3p</t>
  </si>
  <si>
    <t>AT11</t>
  </si>
  <si>
    <t>PEX0_TX2N</t>
  </si>
  <si>
    <t>pex_tx3n</t>
  </si>
  <si>
    <t>AU11</t>
  </si>
  <si>
    <t>PEX0_TX2P</t>
  </si>
  <si>
    <t>pex_tx3p</t>
  </si>
  <si>
    <t>BA8</t>
  </si>
  <si>
    <t>AY9</t>
  </si>
  <si>
    <t>UFS_L1_RXN</t>
  </si>
  <si>
    <t>pex_rx4n</t>
  </si>
  <si>
    <t>BA7</t>
  </si>
  <si>
    <t>AY8</t>
  </si>
  <si>
    <t>UFS_L1_RXP</t>
  </si>
  <si>
    <t>pex_rx4p</t>
  </si>
  <si>
    <t>AP12</t>
  </si>
  <si>
    <t>UFS_L1_TXN</t>
  </si>
  <si>
    <t>pex_tx4n</t>
  </si>
  <si>
    <t>AR12</t>
  </si>
  <si>
    <t>UFS_L1_TXP</t>
  </si>
  <si>
    <t>pex_tx4p</t>
  </si>
  <si>
    <t>BC8</t>
  </si>
  <si>
    <t>AW8</t>
  </si>
  <si>
    <t>UFS_L0_RXN</t>
  </si>
  <si>
    <t>pex_rx5n</t>
  </si>
  <si>
    <t>BB8</t>
  </si>
  <si>
    <t>AV8</t>
  </si>
  <si>
    <t>UFS_L0_RXP</t>
  </si>
  <si>
    <t>pex_rx5p</t>
  </si>
  <si>
    <t>AU9</t>
  </si>
  <si>
    <t>UFS_L0_TXN</t>
  </si>
  <si>
    <t>pex_tx5n</t>
  </si>
  <si>
    <t>AT9</t>
  </si>
  <si>
    <t>UFS_L0_TXP</t>
  </si>
  <si>
    <t>pex_tx5p</t>
  </si>
  <si>
    <t>BA13</t>
  </si>
  <si>
    <t>pex_refclk0n</t>
  </si>
  <si>
    <t>BA12</t>
  </si>
  <si>
    <t>pex_refclk0p</t>
  </si>
  <si>
    <t>AV6</t>
  </si>
  <si>
    <t>pex_refclk1n</t>
  </si>
  <si>
    <t>AW6</t>
  </si>
  <si>
    <t>pex_refclk1p</t>
  </si>
  <si>
    <t>AY13</t>
  </si>
  <si>
    <t>AR13</t>
  </si>
  <si>
    <t>pll0_termp</t>
  </si>
  <si>
    <t>BA6</t>
  </si>
  <si>
    <t>AU6</t>
  </si>
  <si>
    <t>pll1_termp</t>
  </si>
  <si>
    <t>AV3</t>
  </si>
  <si>
    <t>AM3</t>
  </si>
  <si>
    <t>ddr_xm0_b0d0</t>
  </si>
  <si>
    <t>vddio_ddr0</t>
  </si>
  <si>
    <t>BDLVDDR4_IOBRICK_DFCR90</t>
  </si>
  <si>
    <t>AW2</t>
  </si>
  <si>
    <t>AM2</t>
  </si>
  <si>
    <t>ddr_xm0_b0d1</t>
  </si>
  <si>
    <t>AW3</t>
  </si>
  <si>
    <t>AM1</t>
  </si>
  <si>
    <t>ddr_xm0_b0d2</t>
  </si>
  <si>
    <t>AN1</t>
  </si>
  <si>
    <t>ddr_xm0_b0d3</t>
  </si>
  <si>
    <t>AW1</t>
  </si>
  <si>
    <t>AN4</t>
  </si>
  <si>
    <t>ddr_xm0_b0d4</t>
  </si>
  <si>
    <t>AN3</t>
  </si>
  <si>
    <t>ddr_xm0_b0d5</t>
  </si>
  <si>
    <t>AV5</t>
  </si>
  <si>
    <t>AN2</t>
  </si>
  <si>
    <t>ddr_xm0_b0d6</t>
  </si>
  <si>
    <t>AN7</t>
  </si>
  <si>
    <t>ddr_xm0_b0d7</t>
  </si>
  <si>
    <t>AW5</t>
  </si>
  <si>
    <t>AN8</t>
  </si>
  <si>
    <t>ddr_xm0_b0d8</t>
  </si>
  <si>
    <t>AV1</t>
  </si>
  <si>
    <t>AN6</t>
  </si>
  <si>
    <t>ddr_xm0_b0diffn</t>
  </si>
  <si>
    <t>AV2</t>
  </si>
  <si>
    <t>AN5</t>
  </si>
  <si>
    <t>ddr_xm0_b0diffp</t>
  </si>
  <si>
    <t>AM4</t>
  </si>
  <si>
    <t>ddr_xm0_b0c</t>
  </si>
  <si>
    <t>AJ1</t>
  </si>
  <si>
    <t>ddr_xm0_b1d0</t>
  </si>
  <si>
    <t>AK1</t>
  </si>
  <si>
    <t>ddr_xm0_b1d1</t>
  </si>
  <si>
    <t>AK2</t>
  </si>
  <si>
    <t>ddr_xm0_b1d2</t>
  </si>
  <si>
    <t>AK3</t>
  </si>
  <si>
    <t>ddr_xm0_b1d3</t>
  </si>
  <si>
    <t>AK6</t>
  </si>
  <si>
    <t>ddr_xm0_b1d4</t>
  </si>
  <si>
    <t>AR6</t>
  </si>
  <si>
    <t>AL6</t>
  </si>
  <si>
    <t>ddr_xm0_b1d5</t>
  </si>
  <si>
    <t>AT6</t>
  </si>
  <si>
    <t>AM7</t>
  </si>
  <si>
    <t>ddr_xm0_b1d6</t>
  </si>
  <si>
    <t>AR5</t>
  </si>
  <si>
    <t>AM5</t>
  </si>
  <si>
    <t>ddr_xm0_b1d7</t>
  </si>
  <si>
    <t>AT5</t>
  </si>
  <si>
    <t>AM6</t>
  </si>
  <si>
    <t>ddr_xm0_b1d8</t>
  </si>
  <si>
    <t>AR4</t>
  </si>
  <si>
    <t>AK4</t>
  </si>
  <si>
    <t>ddr_xm0_b1diffn</t>
  </si>
  <si>
    <t>AK5</t>
  </si>
  <si>
    <t>ddr_xm0_b1diffp</t>
  </si>
  <si>
    <t>AK7</t>
  </si>
  <si>
    <t>ddr_xm0_b1c</t>
  </si>
  <si>
    <t>AG9</t>
  </si>
  <si>
    <t>ddr_xm0_b2d0</t>
  </si>
  <si>
    <t>AG7</t>
  </si>
  <si>
    <t>ddr_xm0_b2d1</t>
  </si>
  <si>
    <t>AG8</t>
  </si>
  <si>
    <t>ddr_xm0_b2d2</t>
  </si>
  <si>
    <t>AH6</t>
  </si>
  <si>
    <t>ddr_xm0_b2d3</t>
  </si>
  <si>
    <t>AJ4</t>
  </si>
  <si>
    <t>ddr_xm0_b2d4</t>
  </si>
  <si>
    <t>AJ5</t>
  </si>
  <si>
    <t>ddr_xm0_b2d5</t>
  </si>
  <si>
    <t>AP3</t>
  </si>
  <si>
    <t>AJ6</t>
  </si>
  <si>
    <t>ddr_xm0_b2d6</t>
  </si>
  <si>
    <t>AP4</t>
  </si>
  <si>
    <t>AJ7</t>
  </si>
  <si>
    <t>ddr_xm0_b2d7</t>
  </si>
  <si>
    <t>AJ8</t>
  </si>
  <si>
    <t>ddr_xm0_b2d8</t>
  </si>
  <si>
    <t>AJ3</t>
  </si>
  <si>
    <t>ddr_xm0_b2diffn</t>
  </si>
  <si>
    <t>AJ2</t>
  </si>
  <si>
    <t>ddr_xm0_b2diffp</t>
  </si>
  <si>
    <t>AJ9</t>
  </si>
  <si>
    <t>ddr_xm0_b2c</t>
  </si>
  <si>
    <t>AG1</t>
  </si>
  <si>
    <t>ddr_xm0_b3d0</t>
  </si>
  <si>
    <t>AL3</t>
  </si>
  <si>
    <t>AG2</t>
  </si>
  <si>
    <t>ddr_xm0_b3d1</t>
  </si>
  <si>
    <t>AF8</t>
  </si>
  <si>
    <t>ddr_xm0_b3d2</t>
  </si>
  <si>
    <t>AF7</t>
  </si>
  <si>
    <t>ddr_xm0_b3d3</t>
  </si>
  <si>
    <t>AF6</t>
  </si>
  <si>
    <t>ddr_xm0_b3d4</t>
  </si>
  <si>
    <t>AG3</t>
  </si>
  <si>
    <t>ddr_xm0_b3d5</t>
  </si>
  <si>
    <t>AL4</t>
  </si>
  <si>
    <t>AG4</t>
  </si>
  <si>
    <t>ddr_xm0_b3d6</t>
  </si>
  <si>
    <t>AG5</t>
  </si>
  <si>
    <t>ddr_xm0_b3d7</t>
  </si>
  <si>
    <t>AF9</t>
  </si>
  <si>
    <t>ddr_xm0_b3d8</t>
  </si>
  <si>
    <t>AF5</t>
  </si>
  <si>
    <t>ddr_xm0_b3diffn</t>
  </si>
  <si>
    <t>AF4</t>
  </si>
  <si>
    <t>ddr_xm0_b3diffp</t>
  </si>
  <si>
    <t>AG6</t>
  </si>
  <si>
    <t>ddr_xm0_b3c</t>
  </si>
  <si>
    <t>AD1</t>
  </si>
  <si>
    <t>ddr_xm0_b4d0</t>
  </si>
  <si>
    <t>AD2</t>
  </si>
  <si>
    <t>ddr_xm0_b4d1</t>
  </si>
  <si>
    <t>AD3</t>
  </si>
  <si>
    <t>ddr_xm0_b4d2</t>
  </si>
  <si>
    <t>AD4</t>
  </si>
  <si>
    <t>ddr_xm0_b4d3</t>
  </si>
  <si>
    <t>AH4</t>
  </si>
  <si>
    <t>AE6</t>
  </si>
  <si>
    <t>ddr_xm0_b4d4</t>
  </si>
  <si>
    <t>AH3</t>
  </si>
  <si>
    <t>AF1</t>
  </si>
  <si>
    <t>ddr_xm0_b4d5</t>
  </si>
  <si>
    <t>AF2</t>
  </si>
  <si>
    <t>ddr_xm0_b4d6</t>
  </si>
  <si>
    <t>AF3</t>
  </si>
  <si>
    <t>ddr_xm0_b4d7</t>
  </si>
  <si>
    <t>AD7</t>
  </si>
  <si>
    <t>ddr_xm0_b4d8</t>
  </si>
  <si>
    <t>AD5</t>
  </si>
  <si>
    <t>ddr_xm0_b4diffn</t>
  </si>
  <si>
    <t>AD6</t>
  </si>
  <si>
    <t>ddr_xm0_b4diffp</t>
  </si>
  <si>
    <t>AD8</t>
  </si>
  <si>
    <t>ddr_xm0_b4c</t>
  </si>
  <si>
    <t>AC9</t>
  </si>
  <si>
    <t>ddr_xm0_b5d0</t>
  </si>
  <si>
    <t>AB6</t>
  </si>
  <si>
    <t>ddr_xm0_b5d1</t>
  </si>
  <si>
    <t>AC2</t>
  </si>
  <si>
    <t>ddr_xm0_b5d2</t>
  </si>
  <si>
    <t>AC1</t>
  </si>
  <si>
    <t>ddr_xm0_b5d3</t>
  </si>
  <si>
    <t>AE3</t>
  </si>
  <si>
    <t>AA4</t>
  </si>
  <si>
    <t>ddr_xm0_b5d4</t>
  </si>
  <si>
    <t>AE4</t>
  </si>
  <si>
    <t>AC8</t>
  </si>
  <si>
    <t>ddr_xm0_b5d5</t>
  </si>
  <si>
    <t>AC7</t>
  </si>
  <si>
    <t>ddr_xm0_b5d6</t>
  </si>
  <si>
    <t>AC6</t>
  </si>
  <si>
    <t>ddr_xm0_b5d7</t>
  </si>
  <si>
    <t>AC3</t>
  </si>
  <si>
    <t>ddr_xm0_b5d8</t>
  </si>
  <si>
    <t>AC4</t>
  </si>
  <si>
    <t>ddr_xm0_b5diffn</t>
  </si>
  <si>
    <t>AC5</t>
  </si>
  <si>
    <t>ddr_xm0_b5diffp</t>
  </si>
  <si>
    <t>AD9</t>
  </si>
  <si>
    <t>ddr_xm0_b5c</t>
  </si>
  <si>
    <t>AB4</t>
  </si>
  <si>
    <t>AA3</t>
  </si>
  <si>
    <t>ddr_xm0_b6d0</t>
  </si>
  <si>
    <t>AA2</t>
  </si>
  <si>
    <t>ddr_xm0_b6d1</t>
  </si>
  <si>
    <t>AA1</t>
  </si>
  <si>
    <t>ddr_xm0_b6d2</t>
  </si>
  <si>
    <t>AA5</t>
  </si>
  <si>
    <t>ddr_xm0_b6d3</t>
  </si>
  <si>
    <t>Y6</t>
  </si>
  <si>
    <t>ddr_xm0_b6d4</t>
  </si>
  <si>
    <t>Y3</t>
  </si>
  <si>
    <t>ddr_xm0_b6d5</t>
  </si>
  <si>
    <t>Y2</t>
  </si>
  <si>
    <t>ddr_xm0_b6d6</t>
  </si>
  <si>
    <t>Y1</t>
  </si>
  <si>
    <t>ddr_xm0_b6d7</t>
  </si>
  <si>
    <t>Y7</t>
  </si>
  <si>
    <t>ddr_xm0_b6d8</t>
  </si>
  <si>
    <t>AB3</t>
  </si>
  <si>
    <t>Y5</t>
  </si>
  <si>
    <t>ddr_xm0_b6diffn</t>
  </si>
  <si>
    <t>Y4</t>
  </si>
  <si>
    <t>ddr_xm0_b6diffp</t>
  </si>
  <si>
    <t>AA6</t>
  </si>
  <si>
    <t>ddr_xm0_b6c</t>
  </si>
  <si>
    <t>V3</t>
  </si>
  <si>
    <t>ddr_xm0_b7d0</t>
  </si>
  <si>
    <t>Y9</t>
  </si>
  <si>
    <t>ddr_xm0_b7d1</t>
  </si>
  <si>
    <t>Y8</t>
  </si>
  <si>
    <t>ddr_xm0_b7d2</t>
  </si>
  <si>
    <t>W6</t>
  </si>
  <si>
    <t>ddr_xm0_b7d3</t>
  </si>
  <si>
    <t>V6</t>
  </si>
  <si>
    <t>ddr_xm0_b7d4</t>
  </si>
  <si>
    <t>V2</t>
  </si>
  <si>
    <t>ddr_xm0_b7d5</t>
  </si>
  <si>
    <t>W3</t>
  </si>
  <si>
    <t>V8</t>
  </si>
  <si>
    <t>ddr_xm0_b7d6</t>
  </si>
  <si>
    <t>W4</t>
  </si>
  <si>
    <t>V7</t>
  </si>
  <si>
    <t>ddr_xm0_b7d7</t>
  </si>
  <si>
    <t>V5</t>
  </si>
  <si>
    <t>V1</t>
  </si>
  <si>
    <t>ddr_xm0_b7d8</t>
  </si>
  <si>
    <t>V4</t>
  </si>
  <si>
    <t>ddr_xm0_b7diffn</t>
  </si>
  <si>
    <t>ddr_xm0_b7diffp</t>
  </si>
  <si>
    <t>U9</t>
  </si>
  <si>
    <t>ddr_xm0_b7c</t>
  </si>
  <si>
    <t>U1</t>
  </si>
  <si>
    <t>ddr_xm0_b8d0</t>
  </si>
  <si>
    <t>U2</t>
  </si>
  <si>
    <t>ddr_xm0_b8d1</t>
  </si>
  <si>
    <t>U7</t>
  </si>
  <si>
    <t>ddr_xm0_b8d2</t>
  </si>
  <si>
    <t>U5</t>
  </si>
  <si>
    <t>U3</t>
  </si>
  <si>
    <t>ddr_xm0_b8d3</t>
  </si>
  <si>
    <t>U6</t>
  </si>
  <si>
    <t>ddr_xm0_b8d4</t>
  </si>
  <si>
    <t>R1</t>
  </si>
  <si>
    <t>ddr_xm0_b8d5</t>
  </si>
  <si>
    <t>T4</t>
  </si>
  <si>
    <t>R2</t>
  </si>
  <si>
    <t>ddr_xm0_b8d6</t>
  </si>
  <si>
    <t>R3</t>
  </si>
  <si>
    <t>ddr_xm0_b8d7</t>
  </si>
  <si>
    <t>T6</t>
  </si>
  <si>
    <t>ddr_xm0_b8d8</t>
  </si>
  <si>
    <t>U4</t>
  </si>
  <si>
    <t>ddr_xm0_b8diffn</t>
  </si>
  <si>
    <t>ddr_xm0_b8diffp</t>
  </si>
  <si>
    <t>T3</t>
  </si>
  <si>
    <t>U8</t>
  </si>
  <si>
    <t>ddr_xm0_b8c</t>
  </si>
  <si>
    <t>R5</t>
  </si>
  <si>
    <t>ddr_xm0_b9d0</t>
  </si>
  <si>
    <t>R6</t>
  </si>
  <si>
    <t>ddr_xm0_b9d1</t>
  </si>
  <si>
    <t>P5</t>
  </si>
  <si>
    <t>R7</t>
  </si>
  <si>
    <t>ddr_xm0_b9d2</t>
  </si>
  <si>
    <t>R8</t>
  </si>
  <si>
    <t>ddr_xm0_b9d3</t>
  </si>
  <si>
    <t>P3</t>
  </si>
  <si>
    <t>P4</t>
  </si>
  <si>
    <t>ddr_xm0_b9d4</t>
  </si>
  <si>
    <t>R4</t>
  </si>
  <si>
    <t>ddr_xm0_b9d5</t>
  </si>
  <si>
    <t>N3</t>
  </si>
  <si>
    <t>ddr_xm0_b9d6</t>
  </si>
  <si>
    <t>P2</t>
  </si>
  <si>
    <t>ddr_xm0_b9d7</t>
  </si>
  <si>
    <t>N4</t>
  </si>
  <si>
    <t>P1</t>
  </si>
  <si>
    <t>ddr_xm0_b9d8</t>
  </si>
  <si>
    <t>ddr_xm0_b9diffn</t>
  </si>
  <si>
    <t>P6</t>
  </si>
  <si>
    <t>ddr_xm0_b9diffp</t>
  </si>
  <si>
    <t>R9</t>
  </si>
  <si>
    <t>ddr_xm0_b9c</t>
  </si>
  <si>
    <t>M1</t>
  </si>
  <si>
    <t>P8</t>
  </si>
  <si>
    <t>ddr_xm0_b10d0</t>
  </si>
  <si>
    <t>M2</t>
  </si>
  <si>
    <t>ddr_xm0_b10d1</t>
  </si>
  <si>
    <t>M3</t>
  </si>
  <si>
    <t>N6</t>
  </si>
  <si>
    <t>ddr_xm0_b10d2</t>
  </si>
  <si>
    <t>M5</t>
  </si>
  <si>
    <t>ddr_xm0_b10d3</t>
  </si>
  <si>
    <t>L4</t>
  </si>
  <si>
    <t>P7</t>
  </si>
  <si>
    <t>ddr_xm0_b10d4</t>
  </si>
  <si>
    <t>M4</t>
  </si>
  <si>
    <t>ddr_xm0_b10d5</t>
  </si>
  <si>
    <t>L5</t>
  </si>
  <si>
    <t>ddr_xm0_b10d6</t>
  </si>
  <si>
    <t>L3</t>
  </si>
  <si>
    <t>ddr_xm0_b10d7</t>
  </si>
  <si>
    <t>L6</t>
  </si>
  <si>
    <t>M8</t>
  </si>
  <si>
    <t>ddr_xm0_b10d8</t>
  </si>
  <si>
    <t>L2</t>
  </si>
  <si>
    <t>M6</t>
  </si>
  <si>
    <t>ddr_xm0_b10diffn</t>
  </si>
  <si>
    <t>L1</t>
  </si>
  <si>
    <t>M7</t>
  </si>
  <si>
    <t>ddr_xm0_b10diffp</t>
  </si>
  <si>
    <t>P9</t>
  </si>
  <si>
    <t>ddr_xm0_b10c</t>
  </si>
  <si>
    <t>J1</t>
  </si>
  <si>
    <t>ddr_xm0_b11d0</t>
  </si>
  <si>
    <t>J2</t>
  </si>
  <si>
    <t>ddr_xm0_b11d1</t>
  </si>
  <si>
    <t>K4</t>
  </si>
  <si>
    <t>ddr_xm0_b11d2</t>
  </si>
  <si>
    <t>J3</t>
  </si>
  <si>
    <t>L7</t>
  </si>
  <si>
    <t>ddr_xm0_b11d3</t>
  </si>
  <si>
    <t>ddr_xm0_b11d4</t>
  </si>
  <si>
    <t>ddr_xm0_b11d5</t>
  </si>
  <si>
    <t>ddr_xm0_b11d6</t>
  </si>
  <si>
    <t>ddr_xm0_b11d7</t>
  </si>
  <si>
    <t>K6</t>
  </si>
  <si>
    <t>ddr_xm0_b11d8</t>
  </si>
  <si>
    <t>J4</t>
  </si>
  <si>
    <t>ddr_xm0_b11diffn</t>
  </si>
  <si>
    <t>ddr_xm0_b11diffp</t>
  </si>
  <si>
    <t>unused_DDR_XM0_RESET</t>
  </si>
  <si>
    <t>ddr_xm0_reset</t>
  </si>
  <si>
    <t>G41</t>
  </si>
  <si>
    <t>J40</t>
  </si>
  <si>
    <t>ddr_xm1_b0d0</t>
  </si>
  <si>
    <t>vddio_ddr1</t>
  </si>
  <si>
    <t>H40</t>
  </si>
  <si>
    <t>ddr_xm1_b0d1</t>
  </si>
  <si>
    <t>H39</t>
  </si>
  <si>
    <t>ddr_xm1_b0d2</t>
  </si>
  <si>
    <t>J41</t>
  </si>
  <si>
    <t>J39</t>
  </si>
  <si>
    <t>ddr_xm1_b0d3</t>
  </si>
  <si>
    <t>H41</t>
  </si>
  <si>
    <t>K35</t>
  </si>
  <si>
    <t>ddr_xm1_b0d4</t>
  </si>
  <si>
    <t>G40</t>
  </si>
  <si>
    <t>L38</t>
  </si>
  <si>
    <t>ddr_xm1_b0d5</t>
  </si>
  <si>
    <t>L39</t>
  </si>
  <si>
    <t>ddr_xm1_b0d6</t>
  </si>
  <si>
    <t>H38</t>
  </si>
  <si>
    <t>J38</t>
  </si>
  <si>
    <t>ddr_xm1_b0d7</t>
  </si>
  <si>
    <t>ddr_xm1_b0d8</t>
  </si>
  <si>
    <t>H43</t>
  </si>
  <si>
    <t>L36</t>
  </si>
  <si>
    <t>ddr_xm1_b0diffn</t>
  </si>
  <si>
    <t>H42</t>
  </si>
  <si>
    <t>L37</t>
  </si>
  <si>
    <t>ddr_xm1_b0diffp</t>
  </si>
  <si>
    <t>L40</t>
  </si>
  <si>
    <t>ddr_xm1_b0c</t>
  </si>
  <si>
    <t>L43</t>
  </si>
  <si>
    <t>P33</t>
  </si>
  <si>
    <t>ddr_xm1_b1d0</t>
  </si>
  <si>
    <t>L42</t>
  </si>
  <si>
    <t>P34</t>
  </si>
  <si>
    <t>ddr_xm1_b1d1</t>
  </si>
  <si>
    <t>J43</t>
  </si>
  <si>
    <t>M40</t>
  </si>
  <si>
    <t>ddr_xm1_b1d2</t>
  </si>
  <si>
    <t>M39</t>
  </si>
  <si>
    <t>ddr_xm1_b1d3</t>
  </si>
  <si>
    <t>L41</t>
  </si>
  <si>
    <t>M36</t>
  </si>
  <si>
    <t>ddr_xm1_b1d4</t>
  </si>
  <si>
    <t>J42</t>
  </si>
  <si>
    <t>M33</t>
  </si>
  <si>
    <t>ddr_xm1_b1d5</t>
  </si>
  <si>
    <t>K41</t>
  </si>
  <si>
    <t>M34</t>
  </si>
  <si>
    <t>ddr_xm1_b1d6</t>
  </si>
  <si>
    <t>K40</t>
  </si>
  <si>
    <t>M38</t>
  </si>
  <si>
    <t>ddr_xm1_b1d7</t>
  </si>
  <si>
    <t>M37</t>
  </si>
  <si>
    <t>ddr_xm1_b1d8</t>
  </si>
  <si>
    <t>M35</t>
  </si>
  <si>
    <t>ddr_xm1_b1diffn</t>
  </si>
  <si>
    <t>N35</t>
  </si>
  <si>
    <t>ddr_xm1_b1diffp</t>
  </si>
  <si>
    <t>M43</t>
  </si>
  <si>
    <t>P32</t>
  </si>
  <si>
    <t>ddr_xm1_b1c</t>
  </si>
  <si>
    <t>P43</t>
  </si>
  <si>
    <t>R35</t>
  </si>
  <si>
    <t>ddr_xm1_b2d0</t>
  </si>
  <si>
    <t>M42</t>
  </si>
  <si>
    <t>R36</t>
  </si>
  <si>
    <t>ddr_xm1_b2d1</t>
  </si>
  <si>
    <t>P42</t>
  </si>
  <si>
    <t>R37</t>
  </si>
  <si>
    <t>ddr_xm1_b2d2</t>
  </si>
  <si>
    <t>P41</t>
  </si>
  <si>
    <t>P40</t>
  </si>
  <si>
    <t>ddr_xm1_b2d3</t>
  </si>
  <si>
    <t>M41</t>
  </si>
  <si>
    <t>R34</t>
  </si>
  <si>
    <t>ddr_xm1_b2d4</t>
  </si>
  <si>
    <t>P39</t>
  </si>
  <si>
    <t>ddr_xm1_b2d5</t>
  </si>
  <si>
    <t>P36</t>
  </si>
  <si>
    <t>ddr_xm1_b2d6</t>
  </si>
  <si>
    <t>N41</t>
  </si>
  <si>
    <t>P37</t>
  </si>
  <si>
    <t>ddr_xm1_b2d7</t>
  </si>
  <si>
    <t>N40</t>
  </si>
  <si>
    <t>P38</t>
  </si>
  <si>
    <t>ddr_xm1_b2d8</t>
  </si>
  <si>
    <t>R32</t>
  </si>
  <si>
    <t>ddr_xm1_b2diffn</t>
  </si>
  <si>
    <t>R33</t>
  </si>
  <si>
    <t>ddr_xm1_b2diffp</t>
  </si>
  <si>
    <t>P35</t>
  </si>
  <si>
    <t>ddr_xm1_b2c</t>
  </si>
  <si>
    <t>U43</t>
  </si>
  <si>
    <t>U36</t>
  </si>
  <si>
    <t>ddr_xm1_b3d0</t>
  </si>
  <si>
    <t>U42</t>
  </si>
  <si>
    <t>U37</t>
  </si>
  <si>
    <t>ddr_xm1_b3d1</t>
  </si>
  <si>
    <t>R43</t>
  </si>
  <si>
    <t>U34</t>
  </si>
  <si>
    <t>ddr_xm1_b3d2</t>
  </si>
  <si>
    <t>R38</t>
  </si>
  <si>
    <t>R40</t>
  </si>
  <si>
    <t>ddr_xm1_b3d3</t>
  </si>
  <si>
    <t>T40</t>
  </si>
  <si>
    <t>U33</t>
  </si>
  <si>
    <t>ddr_xm1_b3d4</t>
  </si>
  <si>
    <t>U41</t>
  </si>
  <si>
    <t>T35</t>
  </si>
  <si>
    <t>ddr_xm1_b3d5</t>
  </si>
  <si>
    <t>R42</t>
  </si>
  <si>
    <t>U35</t>
  </si>
  <si>
    <t>ddr_xm1_b3d6</t>
  </si>
  <si>
    <t>R39</t>
  </si>
  <si>
    <t>ddr_xm1_b3d7</t>
  </si>
  <si>
    <t>ddr_xm1_b3d8</t>
  </si>
  <si>
    <t>R41</t>
  </si>
  <si>
    <t>V33</t>
  </si>
  <si>
    <t>ddr_xm1_b3diffn</t>
  </si>
  <si>
    <t>T41</t>
  </si>
  <si>
    <t>V32</t>
  </si>
  <si>
    <t>ddr_xm1_b3diffp</t>
  </si>
  <si>
    <t>U38</t>
  </si>
  <si>
    <t>U32</t>
  </si>
  <si>
    <t>ddr_xm1_b3c</t>
  </si>
  <si>
    <t>W41</t>
  </si>
  <si>
    <t>W35</t>
  </si>
  <si>
    <t>ddr_xm1_b4d0</t>
  </si>
  <si>
    <t>W40</t>
  </si>
  <si>
    <t>V40</t>
  </si>
  <si>
    <t>ddr_xm1_b4d1</t>
  </si>
  <si>
    <t>V38</t>
  </si>
  <si>
    <t>U40</t>
  </si>
  <si>
    <t>ddr_xm1_b4d2</t>
  </si>
  <si>
    <t>Y38</t>
  </si>
  <si>
    <t>V39</t>
  </si>
  <si>
    <t>ddr_xm1_b4d3</t>
  </si>
  <si>
    <t>V37</t>
  </si>
  <si>
    <t>ddr_xm1_b4d4</t>
  </si>
  <si>
    <t>ddr_xm1_b4d5</t>
  </si>
  <si>
    <t>V34</t>
  </si>
  <si>
    <t>ddr_xm1_b4d6</t>
  </si>
  <si>
    <t>U39</t>
  </si>
  <si>
    <t>ddr_xm1_b4d7</t>
  </si>
  <si>
    <t>V41</t>
  </si>
  <si>
    <t>ddr_xm1_b4d8</t>
  </si>
  <si>
    <t>V43</t>
  </si>
  <si>
    <t>V35</t>
  </si>
  <si>
    <t>ddr_xm1_b4diffn</t>
  </si>
  <si>
    <t>V42</t>
  </si>
  <si>
    <t>V36</t>
  </si>
  <si>
    <t>ddr_xm1_b4diffp</t>
  </si>
  <si>
    <t>Y39</t>
  </si>
  <si>
    <t>Y33</t>
  </si>
  <si>
    <t>ddr_xm1_b4c</t>
  </si>
  <si>
    <t>AB41</t>
  </si>
  <si>
    <t>AA32</t>
  </si>
  <si>
    <t>ddr_xm1_b5d0</t>
  </si>
  <si>
    <t>AA43</t>
  </si>
  <si>
    <t>Y34</t>
  </si>
  <si>
    <t>ddr_xm1_b5d1</t>
  </si>
  <si>
    <t>AA42</t>
  </si>
  <si>
    <t>AA36</t>
  </si>
  <si>
    <t>ddr_xm1_b5d2</t>
  </si>
  <si>
    <t>AA41</t>
  </si>
  <si>
    <t>Y40</t>
  </si>
  <si>
    <t>ddr_xm1_b5d3</t>
  </si>
  <si>
    <t>AA39</t>
  </si>
  <si>
    <t>AA35</t>
  </si>
  <si>
    <t>ddr_xm1_b5d4</t>
  </si>
  <si>
    <t>Y41</t>
  </si>
  <si>
    <t>Y35</t>
  </si>
  <si>
    <t>ddr_xm1_b5d5</t>
  </si>
  <si>
    <t>AA38</t>
  </si>
  <si>
    <t>Y37</t>
  </si>
  <si>
    <t>ddr_xm1_b5d6</t>
  </si>
  <si>
    <t>Y42</t>
  </si>
  <si>
    <t>ddr_xm1_b5d7</t>
  </si>
  <si>
    <t>Y43</t>
  </si>
  <si>
    <t>ddr_xm1_b5d8</t>
  </si>
  <si>
    <t>AA33</t>
  </si>
  <si>
    <t>ddr_xm1_b5diffn</t>
  </si>
  <si>
    <t>AA40</t>
  </si>
  <si>
    <t>AA34</t>
  </si>
  <si>
    <t>ddr_xm1_b5diffp</t>
  </si>
  <si>
    <t>AB40</t>
  </si>
  <si>
    <t>Y36</t>
  </si>
  <si>
    <t>ddr_xm1_b5c</t>
  </si>
  <si>
    <t>AC40</t>
  </si>
  <si>
    <t>AA37</t>
  </si>
  <si>
    <t>ddr_xm1_b6d0</t>
  </si>
  <si>
    <t>AC41</t>
  </si>
  <si>
    <t>ddr_xm1_b6d1</t>
  </si>
  <si>
    <t>AC43</t>
  </si>
  <si>
    <t>AB35</t>
  </si>
  <si>
    <t>ddr_xm1_b6d2</t>
  </si>
  <si>
    <t>AC42</t>
  </si>
  <si>
    <t>ddr_xm1_b6d3</t>
  </si>
  <si>
    <t>AD40</t>
  </si>
  <si>
    <t>AC37</t>
  </si>
  <si>
    <t>ddr_xm1_b6d4</t>
  </si>
  <si>
    <t>AD38</t>
  </si>
  <si>
    <t>ddr_xm1_b6d5</t>
  </si>
  <si>
    <t>AD39</t>
  </si>
  <si>
    <t>AC38</t>
  </si>
  <si>
    <t>ddr_xm1_b6d6</t>
  </si>
  <si>
    <t>AD41</t>
  </si>
  <si>
    <t>AC39</t>
  </si>
  <si>
    <t>ddr_xm1_b6d7</t>
  </si>
  <si>
    <t>AE41</t>
  </si>
  <si>
    <t>ddr_xm1_b6d8</t>
  </si>
  <si>
    <t>AD43</t>
  </si>
  <si>
    <t>AC35</t>
  </si>
  <si>
    <t>ddr_xm1_b6diffn</t>
  </si>
  <si>
    <t>AD42</t>
  </si>
  <si>
    <t>AC36</t>
  </si>
  <si>
    <t>ddr_xm1_b6diffp</t>
  </si>
  <si>
    <t>AE40</t>
  </si>
  <si>
    <t>AD32</t>
  </si>
  <si>
    <t>ddr_xm1_b6c</t>
  </si>
  <si>
    <t>AF42</t>
  </si>
  <si>
    <t>AD34</t>
  </si>
  <si>
    <t>ddr_xm1_b7d0</t>
  </si>
  <si>
    <t>AF43</t>
  </si>
  <si>
    <t>ddr_xm1_b7d1</t>
  </si>
  <si>
    <t>AF41</t>
  </si>
  <si>
    <t>ddr_xm1_b7d2</t>
  </si>
  <si>
    <t>AF38</t>
  </si>
  <si>
    <t>AD35</t>
  </si>
  <si>
    <t>ddr_xm1_b7d3</t>
  </si>
  <si>
    <t>AG41</t>
  </si>
  <si>
    <t>AE35</t>
  </si>
  <si>
    <t>ddr_xm1_b7d4</t>
  </si>
  <si>
    <t>AG43</t>
  </si>
  <si>
    <t>ddr_xm1_b7d5</t>
  </si>
  <si>
    <t>AG42</t>
  </si>
  <si>
    <t>AF40</t>
  </si>
  <si>
    <t>ddr_xm1_b7d6</t>
  </si>
  <si>
    <t>AG40</t>
  </si>
  <si>
    <t>AF39</t>
  </si>
  <si>
    <t>ddr_xm1_b7d7</t>
  </si>
  <si>
    <t>AG39</t>
  </si>
  <si>
    <t>ddr_xm1_b7d8</t>
  </si>
  <si>
    <t>AD36</t>
  </si>
  <si>
    <t>ddr_xm1_b7diffn</t>
  </si>
  <si>
    <t>AD37</t>
  </si>
  <si>
    <t>ddr_xm1_b7diffp</t>
  </si>
  <si>
    <t>AG38</t>
  </si>
  <si>
    <t>AD33</t>
  </si>
  <si>
    <t>ddr_xm1_b7c</t>
  </si>
  <si>
    <t>AJ42</t>
  </si>
  <si>
    <t>AF35</t>
  </si>
  <si>
    <t>ddr_xm1_b8d0</t>
  </si>
  <si>
    <t>AH41</t>
  </si>
  <si>
    <t>AF37</t>
  </si>
  <si>
    <t>ddr_xm1_b8d1</t>
  </si>
  <si>
    <t>AH40</t>
  </si>
  <si>
    <t>AF32</t>
  </si>
  <si>
    <t>ddr_xm1_b8d2</t>
  </si>
  <si>
    <t>AJ38</t>
  </si>
  <si>
    <t>AF36</t>
  </si>
  <si>
    <t>ddr_xm1_b8d3</t>
  </si>
  <si>
    <t>AJ41</t>
  </si>
  <si>
    <t>AG35</t>
  </si>
  <si>
    <t>ddr_xm1_b8d4</t>
  </si>
  <si>
    <t>AK39</t>
  </si>
  <si>
    <t>AF33</t>
  </si>
  <si>
    <t>ddr_xm1_b8d5</t>
  </si>
  <si>
    <t>AK38</t>
  </si>
  <si>
    <t>AF34</t>
  </si>
  <si>
    <t>ddr_xm1_b8d6</t>
  </si>
  <si>
    <t>AJ43</t>
  </si>
  <si>
    <t>AG34</t>
  </si>
  <si>
    <t>ddr_xm1_b8d7</t>
  </si>
  <si>
    <t>AK40</t>
  </si>
  <si>
    <t>AG33</t>
  </si>
  <si>
    <t>ddr_xm1_b8d8</t>
  </si>
  <si>
    <t>AJ40</t>
  </si>
  <si>
    <t>AG36</t>
  </si>
  <si>
    <t>ddr_xm1_b8diffn</t>
  </si>
  <si>
    <t>AJ39</t>
  </si>
  <si>
    <t>AG37</t>
  </si>
  <si>
    <t>ddr_xm1_b8diffp</t>
  </si>
  <si>
    <t>AK41</t>
  </si>
  <si>
    <t>AG32</t>
  </si>
  <si>
    <t>ddr_xm1_b8c</t>
  </si>
  <si>
    <t>AK42</t>
  </si>
  <si>
    <t>ddr_xm1_b9d0</t>
  </si>
  <si>
    <t>AL41</t>
  </si>
  <si>
    <t>AH35</t>
  </si>
  <si>
    <t>ddr_xm1_b9d1</t>
  </si>
  <si>
    <t>AM43</t>
  </si>
  <si>
    <t>ddr_xm1_b9d2</t>
  </si>
  <si>
    <t>AN43</t>
  </si>
  <si>
    <t>ddr_xm1_b9d3</t>
  </si>
  <si>
    <t>AM40</t>
  </si>
  <si>
    <t>AJ36</t>
  </si>
  <si>
    <t>ddr_xm1_b9d4</t>
  </si>
  <si>
    <t>AM39</t>
  </si>
  <si>
    <t>ddr_xm1_b9d5</t>
  </si>
  <si>
    <t>AL40</t>
  </si>
  <si>
    <t>AJ37</t>
  </si>
  <si>
    <t>ddr_xm1_b9d6</t>
  </si>
  <si>
    <t>AK43</t>
  </si>
  <si>
    <t>ddr_xm1_b9d7</t>
  </si>
  <si>
    <t>AN42</t>
  </si>
  <si>
    <t>ddr_xm1_b9d8</t>
  </si>
  <si>
    <t>AM41</t>
  </si>
  <si>
    <t>AJ34</t>
  </si>
  <si>
    <t>ddr_xm1_b9diffn</t>
  </si>
  <si>
    <t>AM42</t>
  </si>
  <si>
    <t>AJ35</t>
  </si>
  <si>
    <t>ddr_xm1_b9diffp</t>
  </si>
  <si>
    <t>AM38</t>
  </si>
  <si>
    <t>AJ33</t>
  </si>
  <si>
    <t>ddr_xm1_b9c</t>
  </si>
  <si>
    <t>AN41</t>
  </si>
  <si>
    <t>ddr_xm1_b10d0</t>
  </si>
  <si>
    <t>AP41</t>
  </si>
  <si>
    <t>ddr_xm1_b10d1</t>
  </si>
  <si>
    <t>AN40</t>
  </si>
  <si>
    <t>ddr_xm1_b10d2</t>
  </si>
  <si>
    <t>AR43</t>
  </si>
  <si>
    <t>AK34</t>
  </si>
  <si>
    <t>ddr_xm1_b10d3</t>
  </si>
  <si>
    <t>AP40</t>
  </si>
  <si>
    <t>AK35</t>
  </si>
  <si>
    <t>ddr_xm1_b10d4</t>
  </si>
  <si>
    <t>AN39</t>
  </si>
  <si>
    <t>ddr_xm1_b10d5</t>
  </si>
  <si>
    <t>ddr_xm1_b10d6</t>
  </si>
  <si>
    <t>ddr_xm1_b10d7</t>
  </si>
  <si>
    <t>AN38</t>
  </si>
  <si>
    <t>AL35</t>
  </si>
  <si>
    <t>ddr_xm1_b10d8</t>
  </si>
  <si>
    <t>AR41</t>
  </si>
  <si>
    <t>AK37</t>
  </si>
  <si>
    <t>ddr_xm1_b10diffn</t>
  </si>
  <si>
    <t>AR42</t>
  </si>
  <si>
    <t>AK36</t>
  </si>
  <si>
    <t>ddr_xm1_b10diffp</t>
  </si>
  <si>
    <t>AK33</t>
  </si>
  <si>
    <t>ddr_xm1_b10c</t>
  </si>
  <si>
    <t>AT43</t>
  </si>
  <si>
    <t>AM33</t>
  </si>
  <si>
    <t>ddr_xm1_b11d0</t>
  </si>
  <si>
    <t>AV42</t>
  </si>
  <si>
    <t>ddr_xm1_b11d1</t>
  </si>
  <si>
    <t>AT42</t>
  </si>
  <si>
    <t>AM37</t>
  </si>
  <si>
    <t>ddr_xm1_b11d2</t>
  </si>
  <si>
    <t>AT38</t>
  </si>
  <si>
    <t>ddr_xm1_b11d3</t>
  </si>
  <si>
    <t>AN36</t>
  </si>
  <si>
    <t>ddr_xm1_b11d4</t>
  </si>
  <si>
    <t>AV40</t>
  </si>
  <si>
    <t>ddr_xm1_b11d5</t>
  </si>
  <si>
    <t>AN37</t>
  </si>
  <si>
    <t>ddr_xm1_b11d6</t>
  </si>
  <si>
    <t>AN35</t>
  </si>
  <si>
    <t>ddr_xm1_b11d7</t>
  </si>
  <si>
    <t>AV41</t>
  </si>
  <si>
    <t>AN34</t>
  </si>
  <si>
    <t>ddr_xm1_b11d8</t>
  </si>
  <si>
    <t>AT41</t>
  </si>
  <si>
    <t>AM35</t>
  </si>
  <si>
    <t>ddr_xm1_b11diffn</t>
  </si>
  <si>
    <t>AU41</t>
  </si>
  <si>
    <t>AM36</t>
  </si>
  <si>
    <t>ddr_xm1_b11diffp</t>
  </si>
  <si>
    <t>AV39</t>
  </si>
  <si>
    <t>AP35</t>
  </si>
  <si>
    <t>unused_DDR_XM1_RESET</t>
  </si>
  <si>
    <t>ddr_xm1_reset</t>
  </si>
  <si>
    <t>G26</t>
  </si>
  <si>
    <t>unused_XTAL_IN</t>
  </si>
  <si>
    <t>xtal_in</t>
  </si>
  <si>
    <t>unused_XTAL_OUT</t>
  </si>
  <si>
    <t>xtal_out</t>
  </si>
  <si>
    <t>UART3_CTS#</t>
  </si>
  <si>
    <t>UART3_RTS#</t>
  </si>
  <si>
    <t>SDIO_RST#</t>
  </si>
  <si>
    <t>I2S1_CLK</t>
  </si>
  <si>
    <t>I2S1_SDOUT</t>
  </si>
  <si>
    <t>I2S1_LRCLK</t>
  </si>
  <si>
    <t>I2S1_SDIN</t>
  </si>
  <si>
    <t>I2C_GP1_CLK</t>
  </si>
  <si>
    <t>I2C_GP1_DAT</t>
  </si>
  <si>
    <t>I2S0_CLK</t>
  </si>
  <si>
    <t>I2S0_LRCLK</t>
  </si>
  <si>
    <t>I2S0_SDIN</t>
  </si>
  <si>
    <t>I2S0_SDOUT</t>
  </si>
  <si>
    <t>DSPK_OUT_CLK</t>
  </si>
  <si>
    <t>DSPK_OUT_DAT</t>
  </si>
  <si>
    <t>I2S2_CLK</t>
  </si>
  <si>
    <t>I2S2_SDOUT</t>
  </si>
  <si>
    <t>I2S2_LRCLK</t>
  </si>
  <si>
    <t>I2S2_SDIN</t>
  </si>
  <si>
    <t>I2S3_CLK</t>
  </si>
  <si>
    <t>I2S3_LRCLK</t>
  </si>
  <si>
    <t>I2S3_SDIN</t>
  </si>
  <si>
    <t>I2S3_SDOUT</t>
  </si>
  <si>
    <t>CAM2_MCLK</t>
  </si>
  <si>
    <t>SPI1_CLK</t>
  </si>
  <si>
    <t>SPI1_MISO</t>
  </si>
  <si>
    <t>SPI1_MOSI</t>
  </si>
  <si>
    <t>SPI1_CS0#</t>
  </si>
  <si>
    <t>I2C_CAM_CLK</t>
  </si>
  <si>
    <t>I2C_CAM_DAT</t>
  </si>
  <si>
    <t>PEX0_REFCLK+</t>
  </si>
  <si>
    <t>PEX0_REFCLK-</t>
  </si>
  <si>
    <t>PEX1_REFCLK+</t>
  </si>
  <si>
    <t>PEX1_REFCLK-</t>
  </si>
  <si>
    <t>PEX2_REFCLK+</t>
  </si>
  <si>
    <t>PEX2_REFCLK-</t>
  </si>
  <si>
    <t>PEX2_RST#</t>
  </si>
  <si>
    <t>PEX1_RST#</t>
  </si>
  <si>
    <t>SDCARD_CLK</t>
  </si>
  <si>
    <t>SDCARD_CMD</t>
  </si>
  <si>
    <t>SDCARD_D0</t>
  </si>
  <si>
    <t>SDCARD_D1</t>
  </si>
  <si>
    <t>SDCARD_D2</t>
  </si>
  <si>
    <t>SDCARD_D3</t>
  </si>
  <si>
    <t>LCD_TE</t>
  </si>
  <si>
    <t>LCD0_BKLT_PWM</t>
  </si>
  <si>
    <t>GSYNC_VSYNC</t>
  </si>
  <si>
    <t>LCD_BKLT_EN</t>
  </si>
  <si>
    <t>GSYNC_HSYNC</t>
  </si>
  <si>
    <t>LCD1_BKLT_PWM</t>
  </si>
  <si>
    <t>DSI0_CLK-</t>
  </si>
  <si>
    <t>DSI0_CLK+</t>
  </si>
  <si>
    <t>DSI0_D0-</t>
  </si>
  <si>
    <t>DSI0_D0+</t>
  </si>
  <si>
    <t>DSI0_D1-</t>
  </si>
  <si>
    <t>DSI0_D1+</t>
  </si>
  <si>
    <t>DSI1_CLK-</t>
  </si>
  <si>
    <t>DSI1_CLK+</t>
  </si>
  <si>
    <t>DSI1_D0-</t>
  </si>
  <si>
    <t>DSI1_D0+</t>
  </si>
  <si>
    <t>DSI1_D1-</t>
  </si>
  <si>
    <t>DSI1_D1+</t>
  </si>
  <si>
    <t>DSI2_CLK-</t>
  </si>
  <si>
    <t>DSI2_CLK+</t>
  </si>
  <si>
    <t>DSI2_D0-</t>
  </si>
  <si>
    <t>DSI2_D0+</t>
  </si>
  <si>
    <t>DSI2_D1-</t>
  </si>
  <si>
    <t>DSI2_D1+</t>
  </si>
  <si>
    <t>DSI3_CLK-</t>
  </si>
  <si>
    <t>DSI3_CLK+</t>
  </si>
  <si>
    <t>DSI3_D0-</t>
  </si>
  <si>
    <t>DSI3_D0+</t>
  </si>
  <si>
    <t>DSI3_D1-</t>
  </si>
  <si>
    <t>DSI3_D1+</t>
  </si>
  <si>
    <t>CSI0_CLK-</t>
  </si>
  <si>
    <t>CSI0_CLK+</t>
  </si>
  <si>
    <t>CSI0_D0-</t>
  </si>
  <si>
    <t>CSI0_D0+</t>
  </si>
  <si>
    <t>CSI0_D1-</t>
  </si>
  <si>
    <t>CSI0_D1+</t>
  </si>
  <si>
    <t>CSI1_CLK-</t>
  </si>
  <si>
    <t>CSI1_CLK+</t>
  </si>
  <si>
    <t>CSI1_D0-</t>
  </si>
  <si>
    <t>CSI1_D0+</t>
  </si>
  <si>
    <t>CSI1_D1-</t>
  </si>
  <si>
    <t>CSI1_D1+</t>
  </si>
  <si>
    <t>CSI2_CLK-</t>
  </si>
  <si>
    <t>CSI2_CLK+</t>
  </si>
  <si>
    <t>CSI2_D0-</t>
  </si>
  <si>
    <t>CSI2_D0+</t>
  </si>
  <si>
    <t>CSI2_D1-</t>
  </si>
  <si>
    <t>CSI2_D1+</t>
  </si>
  <si>
    <t>CSI3_CLK-</t>
  </si>
  <si>
    <t>CSI3_CLK+</t>
  </si>
  <si>
    <t>CSI3_D0-</t>
  </si>
  <si>
    <t>CSI3_D0+</t>
  </si>
  <si>
    <t>CSI3_D1-</t>
  </si>
  <si>
    <t>CSI3_D1+</t>
  </si>
  <si>
    <t>CSI4_CLK-</t>
  </si>
  <si>
    <t>CSI4_CLK+</t>
  </si>
  <si>
    <t>CSI4_D0-</t>
  </si>
  <si>
    <t>CSI4_D0+</t>
  </si>
  <si>
    <t>CSI4_D1-</t>
  </si>
  <si>
    <t>CSI4_D1+</t>
  </si>
  <si>
    <t>CSI5_CLK-</t>
  </si>
  <si>
    <t>CSI5_CLK+</t>
  </si>
  <si>
    <t>CSI5_D0-</t>
  </si>
  <si>
    <t>CSI5_D0+</t>
  </si>
  <si>
    <t>CSI5_D1-</t>
  </si>
  <si>
    <t>CSI5_D1+</t>
  </si>
  <si>
    <t>SATA_RX-</t>
  </si>
  <si>
    <t>SATA_RX+</t>
  </si>
  <si>
    <t>SATA_TX-</t>
  </si>
  <si>
    <t>SATA_TX+</t>
  </si>
  <si>
    <t>PEX0_RX-</t>
  </si>
  <si>
    <t>PEX0_RX+</t>
  </si>
  <si>
    <t>PEX0_TX-</t>
  </si>
  <si>
    <t>PEX0_TX+</t>
  </si>
  <si>
    <t>USB0_D-</t>
  </si>
  <si>
    <t>USB0_D+</t>
  </si>
  <si>
    <t>USB1_D-</t>
  </si>
  <si>
    <t>USB1_D+</t>
  </si>
  <si>
    <t>USB2_D-</t>
  </si>
  <si>
    <t>USB2_D+</t>
  </si>
  <si>
    <t>USB 2.1</t>
  </si>
  <si>
    <t>DP1_TX0+</t>
  </si>
  <si>
    <t>DP1_TX0-</t>
  </si>
  <si>
    <t>DP1_TX1+</t>
  </si>
  <si>
    <t>DP1_TX1-</t>
  </si>
  <si>
    <t>DP1_TX2+</t>
  </si>
  <si>
    <t>DP1_TX2-</t>
  </si>
  <si>
    <t>DP1_TX3+</t>
  </si>
  <si>
    <t>DP1_TX3-</t>
  </si>
  <si>
    <t>DP0_TX0+</t>
  </si>
  <si>
    <t>DP0_TX0-</t>
  </si>
  <si>
    <t>DP0_TX1+</t>
  </si>
  <si>
    <t>DP0_TX1-</t>
  </si>
  <si>
    <t>DP0_TX2+</t>
  </si>
  <si>
    <t>DP0_TX2-</t>
  </si>
  <si>
    <t>DP0_TX3+</t>
  </si>
  <si>
    <t>DP0_TX3-</t>
  </si>
  <si>
    <t>DP0_AUX_CH+</t>
  </si>
  <si>
    <t>DP0_AUX_CH-</t>
  </si>
  <si>
    <t>DP0_HPD</t>
  </si>
  <si>
    <t>DP1_AUX_CH+</t>
  </si>
  <si>
    <t>DP1_AUX_CH-</t>
  </si>
  <si>
    <t>DP1_HPD</t>
  </si>
  <si>
    <t>SDCARD_CD#</t>
  </si>
  <si>
    <t>CAN1_STBY</t>
  </si>
  <si>
    <t>CAN0_ERR</t>
  </si>
  <si>
    <t>CAN_WAKE</t>
  </si>
  <si>
    <t>CAN1_ERR</t>
  </si>
  <si>
    <t>AO_DMIC_IN_CLK</t>
  </si>
  <si>
    <t>AO_DMIC_IN_DAT</t>
  </si>
  <si>
    <t>CAN0_RX</t>
  </si>
  <si>
    <t>CAN0_TX</t>
  </si>
  <si>
    <t>CAN1_TX</t>
  </si>
  <si>
    <t>CAN1_RX</t>
  </si>
  <si>
    <t>UART0_CTS#</t>
  </si>
  <si>
    <t>UART0_RTS#</t>
  </si>
  <si>
    <t>UART0_RX</t>
  </si>
  <si>
    <t>UART0_TX</t>
  </si>
  <si>
    <t>UART1_RTS#</t>
  </si>
  <si>
    <t>UART1_CTS#</t>
  </si>
  <si>
    <t>I2C_PM_CLK</t>
  </si>
  <si>
    <t>I2C_PM_DAT</t>
  </si>
  <si>
    <t>I2C_GP0_DAT</t>
  </si>
  <si>
    <t>I2C_GP0_CLK</t>
  </si>
  <si>
    <t>SPI0_CS0#</t>
  </si>
  <si>
    <t>SPI0_MOSI</t>
  </si>
  <si>
    <t>SPI0_MISO</t>
  </si>
  <si>
    <t>SPI0_CLK</t>
  </si>
  <si>
    <t>SPI2_CS0#</t>
  </si>
  <si>
    <t>SPI2_MOSI</t>
  </si>
  <si>
    <t>SPI2_MISO</t>
  </si>
  <si>
    <t>SPI2_CLK</t>
  </si>
  <si>
    <t>CARRIER_STBY#</t>
  </si>
  <si>
    <t>USB0_EN_OC#</t>
  </si>
  <si>
    <t>USB1_EN_OC#</t>
  </si>
  <si>
    <t>I2C_GP2_CLK</t>
  </si>
  <si>
    <t>I2C_GP2_DAT</t>
  </si>
  <si>
    <t>SPI2_CS1#</t>
  </si>
  <si>
    <t>UART2_CTS#</t>
  </si>
  <si>
    <t>Names</t>
  </si>
  <si>
    <t>UART2_RTS#</t>
  </si>
  <si>
    <t>Output</t>
  </si>
  <si>
    <t>Input</t>
  </si>
  <si>
    <t>Int PU</t>
  </si>
  <si>
    <t>Drive 1</t>
  </si>
  <si>
    <t>Yes</t>
  </si>
  <si>
    <t>Drive 0</t>
  </si>
  <si>
    <t>Bidirectional</t>
  </si>
  <si>
    <t>Enable</t>
  </si>
  <si>
    <t>Int PD</t>
  </si>
  <si>
    <t>100K</t>
  </si>
  <si>
    <t>47K</t>
  </si>
  <si>
    <t>GPIO (CVB_BT_EN)</t>
  </si>
  <si>
    <t>GPIO (CVB_BT_WAKE_AP)</t>
  </si>
  <si>
    <t>GPIO(CVB_WIFI_EN)</t>
  </si>
  <si>
    <t>GPIO(CVB_WIFI_WAKE_AP)</t>
  </si>
  <si>
    <t>CDC_RST(AUD_RST/GPIO20)</t>
  </si>
  <si>
    <t>GPIO (ENETPHY_INT)</t>
  </si>
  <si>
    <t>GPIO (ENETPHY_RST)</t>
  </si>
  <si>
    <t>SPI4_MISO</t>
  </si>
  <si>
    <t>SPI4_MOSI</t>
  </si>
  <si>
    <t>PE1_RSTL</t>
  </si>
  <si>
    <t>THERMAL_SHUTDOWN*</t>
  </si>
  <si>
    <t>GPIO(BCPU_PWR_REQ)</t>
  </si>
  <si>
    <t>GPIO(GPU_PWR_REQ)</t>
  </si>
  <si>
    <t>UART1  (GPS  /  R-Pi Header)</t>
  </si>
  <si>
    <t>SPE_DEBUG_UART_TX</t>
  </si>
  <si>
    <t>SPE_DEBUG_UART_RX</t>
  </si>
  <si>
    <t>TEMP_ALERT</t>
  </si>
  <si>
    <t>SPI0_CLK (Touch)</t>
  </si>
  <si>
    <t xml:space="preserve"> AO_DMIC_IN_DAT  /  CAN_GPIO0</t>
  </si>
  <si>
    <t>AO_DMIC_IN_CLK  /  CAN_GPIO1</t>
  </si>
  <si>
    <t>GPIO9 / MOTION_INT</t>
  </si>
  <si>
    <t>CAN1_ERR  /  CAN_GPIO3</t>
  </si>
  <si>
    <t>CAN_WAKE  /  CAN_GPIO4</t>
  </si>
  <si>
    <t>CAN0_ERR  /  CAN_GPIO5</t>
  </si>
  <si>
    <t>CAN1_STBY  /  CAN_GPIO6</t>
  </si>
  <si>
    <t>GPIO6  /  TOUCH_INT</t>
  </si>
  <si>
    <t>HDMI / DP 0</t>
  </si>
  <si>
    <t xml:space="preserve">HDMI / DP 1 </t>
  </si>
  <si>
    <t>Available</t>
  </si>
  <si>
    <t>DDR Channel 0</t>
  </si>
  <si>
    <t>DDR Channel 1</t>
  </si>
  <si>
    <t>USB_SS0_RX-</t>
  </si>
  <si>
    <t>USB_SS0_RX+</t>
  </si>
  <si>
    <t>USB_SS0_TX-</t>
  </si>
  <si>
    <t>USB_SS0_TX+</t>
  </si>
  <si>
    <t>PEX2_RX-</t>
  </si>
  <si>
    <t>PEX2_RX+</t>
  </si>
  <si>
    <t>PEX2_TX-</t>
  </si>
  <si>
    <t>PEX2_TX+</t>
  </si>
  <si>
    <t>PEX_RFU_RX-</t>
  </si>
  <si>
    <t>PEX_RFU_RX+</t>
  </si>
  <si>
    <t>PEX_RFU_TX+</t>
  </si>
  <si>
    <t>PEX_RFU_TX-</t>
  </si>
  <si>
    <t>GPIO/SD_POWER_EN</t>
  </si>
  <si>
    <t>GPIO/SDCARD_CARD_DETECT</t>
  </si>
  <si>
    <t>Signal Name</t>
  </si>
  <si>
    <t>Pin #</t>
  </si>
  <si>
    <t>A10</t>
  </si>
  <si>
    <t>A13</t>
  </si>
  <si>
    <t>A16</t>
  </si>
  <si>
    <t>A22</t>
  </si>
  <si>
    <t>A25</t>
  </si>
  <si>
    <t>A44</t>
  </si>
  <si>
    <t>A45</t>
  </si>
  <si>
    <t>A47</t>
  </si>
  <si>
    <t>B7</t>
  </si>
  <si>
    <t>B10</t>
  </si>
  <si>
    <t>B13</t>
  </si>
  <si>
    <t>B16</t>
  </si>
  <si>
    <t>B19</t>
  </si>
  <si>
    <t>B22</t>
  </si>
  <si>
    <t>B25</t>
  </si>
  <si>
    <t>B28</t>
  </si>
  <si>
    <t>B34</t>
  </si>
  <si>
    <t>B37</t>
  </si>
  <si>
    <t>B40</t>
  </si>
  <si>
    <t>B43</t>
  </si>
  <si>
    <t>B42</t>
  </si>
  <si>
    <t>B45</t>
  </si>
  <si>
    <t>B46</t>
  </si>
  <si>
    <t>B50</t>
  </si>
  <si>
    <t>C7</t>
  </si>
  <si>
    <t>C16</t>
  </si>
  <si>
    <t>C22</t>
  </si>
  <si>
    <t>C41</t>
  </si>
  <si>
    <t>C48</t>
  </si>
  <si>
    <t>C49</t>
  </si>
  <si>
    <t>D28</t>
  </si>
  <si>
    <t>D39</t>
  </si>
  <si>
    <t>D40</t>
  </si>
  <si>
    <t>D45</t>
  </si>
  <si>
    <t>D46</t>
  </si>
  <si>
    <t>D48</t>
  </si>
  <si>
    <t>E10</t>
  </si>
  <si>
    <t>E38</t>
  </si>
  <si>
    <t>E39</t>
  </si>
  <si>
    <t>E44</t>
  </si>
  <si>
    <t>E45</t>
  </si>
  <si>
    <t>E50</t>
  </si>
  <si>
    <t>F7</t>
  </si>
  <si>
    <t>F13</t>
  </si>
  <si>
    <t>F16</t>
  </si>
  <si>
    <t>F19</t>
  </si>
  <si>
    <t>F22</t>
  </si>
  <si>
    <t>G1</t>
  </si>
  <si>
    <t>G2</t>
  </si>
  <si>
    <t>G7</t>
  </si>
  <si>
    <t>G13</t>
  </si>
  <si>
    <t>G16</t>
  </si>
  <si>
    <t>G18</t>
  </si>
  <si>
    <t>G19</t>
  </si>
  <si>
    <t>G21</t>
  </si>
  <si>
    <t>G22</t>
  </si>
  <si>
    <t>G25</t>
  </si>
  <si>
    <t>G28</t>
  </si>
  <si>
    <t>G31</t>
  </si>
  <si>
    <t>G34</t>
  </si>
  <si>
    <t>G33</t>
  </si>
  <si>
    <t>G37</t>
  </si>
  <si>
    <t>G39</t>
  </si>
  <si>
    <t>G45</t>
  </si>
  <si>
    <t>G46</t>
  </si>
  <si>
    <t>H8</t>
  </si>
  <si>
    <t>H13</t>
  </si>
  <si>
    <t>H16</t>
  </si>
  <si>
    <t>H17</t>
  </si>
  <si>
    <t>H18</t>
  </si>
  <si>
    <t>H20</t>
  </si>
  <si>
    <t>H21</t>
  </si>
  <si>
    <t>H23</t>
  </si>
  <si>
    <t>H24</t>
  </si>
  <si>
    <t>H26</t>
  </si>
  <si>
    <t>H28</t>
  </si>
  <si>
    <t>H32</t>
  </si>
  <si>
    <t>H36</t>
  </si>
  <si>
    <t>H35</t>
  </si>
  <si>
    <t>H45</t>
  </si>
  <si>
    <t>H44</t>
  </si>
  <si>
    <t>A42</t>
  </si>
  <si>
    <t>G10</t>
  </si>
  <si>
    <t>H9</t>
  </si>
  <si>
    <t>H10</t>
  </si>
  <si>
    <t>E7</t>
  </si>
  <si>
    <t>D49</t>
  </si>
  <si>
    <t>D7</t>
  </si>
  <si>
    <t>C10</t>
  </si>
  <si>
    <t>C13</t>
  </si>
  <si>
    <t>C19</t>
  </si>
  <si>
    <t>D19</t>
  </si>
  <si>
    <t>E16</t>
  </si>
  <si>
    <t>D16</t>
  </si>
  <si>
    <t>PEX1_RX-/USB_SS0_RX-</t>
  </si>
  <si>
    <t>H42/F44</t>
  </si>
  <si>
    <t>PEX1_RX+/USB_SS0_RX+</t>
  </si>
  <si>
    <t>H41/F43</t>
  </si>
  <si>
    <t>PEX1_TX-/USB_SS0_TX-</t>
  </si>
  <si>
    <t>E42/C44</t>
  </si>
  <si>
    <t>PEX1_TX+/USB_SS0_TX+</t>
  </si>
  <si>
    <t>E41/C43</t>
  </si>
  <si>
    <t>USB_SS1_RX-</t>
  </si>
  <si>
    <t>USB_SS1_RX+</t>
  </si>
  <si>
    <t>USB_SS1_TX-</t>
  </si>
  <si>
    <t>USB_SS1_TX+</t>
  </si>
  <si>
    <t>USB_SS</t>
  </si>
  <si>
    <t>PEX_x4_L3</t>
  </si>
  <si>
    <t>PEX_x4_L1</t>
  </si>
  <si>
    <t>PEX_x4_L2</t>
  </si>
  <si>
    <t>PEX_x4_L0</t>
  </si>
  <si>
    <t>20K</t>
  </si>
  <si>
    <t>18k</t>
  </si>
  <si>
    <t>Z</t>
  </si>
  <si>
    <t>CAM1_PWD</t>
  </si>
  <si>
    <t>GP_PWM8</t>
  </si>
  <si>
    <t>CAM_STROBE</t>
  </si>
  <si>
    <t>SOM Connector</t>
  </si>
  <si>
    <t>IC Ball Name</t>
  </si>
  <si>
    <t>Customer Usage Description or Net Names</t>
  </si>
  <si>
    <t>UART4_TX (SOM: UART3_TX)</t>
  </si>
  <si>
    <t>UART4_RX (SOM: UART3_RX)</t>
  </si>
  <si>
    <t>UART4_RTS (SOM: UART3_RTS)</t>
  </si>
  <si>
    <t>UART4_CTS (SOM: UART3_CTS)</t>
  </si>
  <si>
    <t>DAP2_SCLK (SOM: I2S1_SCLK)</t>
  </si>
  <si>
    <t>DAP2_DOUT (SOM: I2S1_SDATA_OUT)</t>
  </si>
  <si>
    <t>DAP2_DIN (SOM: I2S1_SDATA_IN)</t>
  </si>
  <si>
    <t>DAP2_FS (SOM: I2S1_LRCK)</t>
  </si>
  <si>
    <t>GEN1_I2C_SCL (SOM: I2C_GP1_CLK)</t>
  </si>
  <si>
    <t>GEN1_I2C_SDA (SOM: I2C_GP1_DAT)</t>
  </si>
  <si>
    <t>DAP1_SCLK (SOM: I2S0_CLK)</t>
  </si>
  <si>
    <t>DAP1_DOUT (SOM: I2S0_SDOUT)</t>
  </si>
  <si>
    <t>DAP1_DIN (SOM: I2S0_SDIN)</t>
  </si>
  <si>
    <t>DAP1_FS (SOM: I2S0_LRCK)</t>
  </si>
  <si>
    <t>AUDIO_MCLK (SOM:AUDIO_MCLK)</t>
  </si>
  <si>
    <t>CDC_INT(SOM:AUD_INT/GPIO19)</t>
  </si>
  <si>
    <t>DSPK1_DAT(SOM:DSPK_OUT_DAT)</t>
  </si>
  <si>
    <t>DSPK1_CLK(SOM:DSPK_OUT_CLK)</t>
  </si>
  <si>
    <t>I2S3_LRCLK(SOM:I2S2_LRCLK)</t>
  </si>
  <si>
    <t>I2S3_SDATA_IN(SOM:I2S2_SDIN)</t>
  </si>
  <si>
    <t>I2S3_SDATA_OUT(SOM:I2S2_SDOUT)</t>
  </si>
  <si>
    <t>I2S3_CLK(SOM:I2S2_CLK)</t>
  </si>
  <si>
    <t>DAP4_SCLK (SOM: I2S3_SCLK)</t>
  </si>
  <si>
    <t>DAP4_DOUT (SOM: I2S3_SDOUT)</t>
  </si>
  <si>
    <t>DAP4_DIN (SOM: I2S3_SDIN)</t>
  </si>
  <si>
    <t>DAP4_FS (SOM: I2S3_LRCK)</t>
  </si>
  <si>
    <t>SOM: GPIO8/ALS_PROX_INT</t>
  </si>
  <si>
    <t>SOM: GPIO11/AP_WAKE_BT</t>
  </si>
  <si>
    <t>SOM: GPIO18/MDM_COLDBOOT</t>
  </si>
  <si>
    <t>SOM: GPIO17/MDM2AP_READY</t>
  </si>
  <si>
    <t>EXTPERIPH2_CLK(SOM: CAM0_MCLK)</t>
  </si>
  <si>
    <t>EXTPERIPH1_CLK(SOM: CAM1_MCLK)</t>
  </si>
  <si>
    <t>SOM_WIFI_EN</t>
  </si>
  <si>
    <t>EXTPERIPH3_CLK(SOM:CAM2_MCLK)</t>
  </si>
  <si>
    <t>PE0_RST_L(SOM: PEX0_RST#)</t>
  </si>
  <si>
    <t>PE0_CLKREQ_L(SOM: PEX0_CLKREQ#)</t>
  </si>
  <si>
    <t>PE2_RST_L(SOM: PEX2__RST#)</t>
  </si>
  <si>
    <t>PE2_CLKREQ_L(SOM:PEX2_CLKREQ#)</t>
  </si>
  <si>
    <t>PE_WAKE_L(SOM: PEX_WAKE#)</t>
  </si>
  <si>
    <t>PE0_CLK_OUT_1(SOM: PEX0_REFCLK)</t>
  </si>
  <si>
    <t>PE0_CLK_OUT_2(SOM: PEX1_REFCLK)</t>
  </si>
  <si>
    <t>PE0_CLK_OUT_3(SOM: PEX2_REFCLK)</t>
  </si>
  <si>
    <t>SDMMC1_CLK(SOM: SDCARD_CLK)</t>
  </si>
  <si>
    <t>SDMMC1_CMD(SOM: SDCARD_CMD)</t>
  </si>
  <si>
    <t>SDMMC1_DAT0(SOM: SDCARD_D0)</t>
  </si>
  <si>
    <t>SDMMC1_DAT1(SOM: SDCARD_D1)</t>
  </si>
  <si>
    <t>SDMMC1_DAT2(SOM: SDCARD_D2)</t>
  </si>
  <si>
    <t>SDMMC1_DAT3(SOM: SDCARD_D3)</t>
  </si>
  <si>
    <t>SDMMC3_CLK(SOM:SDIO_CLK)</t>
  </si>
  <si>
    <t>SDMMC3_CMD(SOM:SDIO_CMD)</t>
  </si>
  <si>
    <t>SDMMC3_DAT0(SOM:SDIO_D0)</t>
  </si>
  <si>
    <t>SDMMC3_DAT1(SOM:SDIO_D1)</t>
  </si>
  <si>
    <t>SDMMC3_DAT2(SOM:SDIO_D2)</t>
  </si>
  <si>
    <t>SDMMC3_DAT3(SOM:SDIO_D3)</t>
  </si>
  <si>
    <t>GPIO(SOM:FORCE_RECOV#)</t>
  </si>
  <si>
    <t>GPIO(SOM: SLEEP#)</t>
  </si>
  <si>
    <t>SOM_WIFI_WAKE_AP</t>
  </si>
  <si>
    <t>SOM_BT_WAKE_AP</t>
  </si>
  <si>
    <t>GP_PWM1(SOM: LCD0_BL_PWM1)</t>
  </si>
  <si>
    <t>DCA_LSPII(SOM: LCD_TE)</t>
  </si>
  <si>
    <t>DCA_VSYNC(SOM: GSYNC_VSYNC)</t>
  </si>
  <si>
    <t>GPIO(SOM: LCD_BL_EN)</t>
  </si>
  <si>
    <t>DCA_HSYNC(SOM:GSYNC_HSYNC)</t>
  </si>
  <si>
    <t>GP_PWM3(SOM: LCD1_BKLT_PWM)</t>
  </si>
  <si>
    <t>GPIO(SOM: POWER_BTN#)</t>
  </si>
  <si>
    <t>RESET(SOM: RESET_IN#)</t>
  </si>
  <si>
    <t>GPIO(SOM: GPIO7/TOUCH_RST)</t>
  </si>
  <si>
    <t>SOC_THERM_OC5(SOM: COMP_OUT_OD)</t>
  </si>
  <si>
    <t>UB3_TXD(SOM: UART2_TX)</t>
  </si>
  <si>
    <t>UB3_RXD(SOM:UART2_RX)</t>
  </si>
  <si>
    <t>UB3_RTS(SOM:UART2_RTS)</t>
  </si>
  <si>
    <t>UB3_CTS(SOM:UART2_CTS)</t>
  </si>
  <si>
    <t>NV_THERM_FAN_TACH(SOM: FAN_TACH)</t>
  </si>
  <si>
    <t>GPIO(SOM: GPIO5/CAM_FLASH_EN)</t>
  </si>
  <si>
    <t>GPIO(SOM:USB0_VBUS_DET)</t>
  </si>
  <si>
    <t>GPIO(SOM: GPIO_EXP0_INT)</t>
  </si>
  <si>
    <t>GPIO(SOM:BATLOW#)</t>
  </si>
  <si>
    <t>SPI1_CS1(SOM: SPI1_CS1#)</t>
  </si>
  <si>
    <t>GPIO(SOM_AP_WAKE_BT)</t>
  </si>
  <si>
    <t>GPIO(SOM_WIFI_INA_WARN)</t>
  </si>
  <si>
    <t>GPIO(SOM: GPIO_EXP1_INT)</t>
  </si>
  <si>
    <t>GPIO(SOM:USB_VBUS_EN0)</t>
  </si>
  <si>
    <t>GPIO(SOM:USB_VBUS_EN1)</t>
  </si>
  <si>
    <t>SOM: BT_EN</t>
  </si>
  <si>
    <t>SPI1_SCK(SOM: SPI1_SCK)</t>
  </si>
  <si>
    <t>SPI1_DIN(SOM: SPI1_MISO)</t>
  </si>
  <si>
    <t>SPI1_DOUT(SOM: SPI1_MOSI)</t>
  </si>
  <si>
    <t>SPI1_CS0(SOM: SPI1_CS0#)</t>
  </si>
  <si>
    <t>SOM_UPHY1_MUX_SEL</t>
  </si>
  <si>
    <t>SOM_UPHY3_MUX_SEL</t>
  </si>
  <si>
    <t>SOM "GPIO15/AP2MDM_READY"</t>
  </si>
  <si>
    <t>SOM "GPIO14/AP_WAKE_MDM"</t>
  </si>
  <si>
    <t>G43</t>
  </si>
  <si>
    <t>G42</t>
  </si>
  <si>
    <t>D43</t>
  </si>
  <si>
    <t>D42</t>
  </si>
  <si>
    <t>CAN 1 Data</t>
  </si>
  <si>
    <t>CAN 0 Data</t>
  </si>
  <si>
    <t>I2C7(SOM: I2C_GP2_CLK)</t>
  </si>
  <si>
    <t>I2C7(SOM: I2C_GP2_DAT)</t>
  </si>
  <si>
    <t>I2C9(SOM: I2C_GP3_CLK)</t>
  </si>
  <si>
    <t>I2C9(SOM: I2C_GP3_DAT)</t>
  </si>
  <si>
    <t>THERMAL DIODE</t>
  </si>
  <si>
    <t>PWR_I2C_DAT</t>
  </si>
  <si>
    <t>PWR_I2C_CLK</t>
  </si>
  <si>
    <t>System Clock Oscillator</t>
  </si>
  <si>
    <t>This spreadsheet is a companion to the Jetson TX2 datasheet, and is designed to help system designers specify the pinmux configuration for each new system design.  This spreadsheet illustrates how SoC Ball names map and configure to the module Pin names, and enables Device Tree generation.  Please see Configuring Pinmux, GPIO and PAD  in the L4T Documentation for more details.</t>
  </si>
  <si>
    <t>Updated GPIO configuration error checker to flag "Required Initial State" selection that does not follow mandatory pinmux configuration requirements</t>
  </si>
  <si>
    <t>SDMMC1 Compensation</t>
  </si>
  <si>
    <t>SDMMC3 Compensation</t>
  </si>
  <si>
    <t>Revision #</t>
  </si>
  <si>
    <t>Current Revision</t>
  </si>
  <si>
    <t>Updated CVM Connector pin # erros for DP/HDMI ports</t>
  </si>
  <si>
    <t>Updated pinmux configuration for all I2S and SPI ports to follow NVIDIA mandatory pinmux configuration requirements.</t>
  </si>
  <si>
    <t>SOM: GPU_DVFS_PWM(PMIC)</t>
  </si>
  <si>
    <t>SOM: SOC_CLDVFS_PWM(PMIC)</t>
  </si>
  <si>
    <t>SOM: CPU_CLDVFS_PWM(PMIC)</t>
  </si>
  <si>
    <t>Initial Release</t>
  </si>
  <si>
    <t>H33</t>
  </si>
  <si>
    <t xml:space="preserve">Changed DSI0_D1- SOM pin # from H31 to H33
</t>
  </si>
  <si>
    <t>GPIO12_BT_EN</t>
  </si>
  <si>
    <t>GPIO13_BT_WAKE_AP</t>
  </si>
  <si>
    <t>GPIO10_WIFI_WAKE_AP</t>
  </si>
  <si>
    <t>GPIO20_AUD_INT</t>
  </si>
  <si>
    <t>GPIO19_AUD_RST</t>
  </si>
  <si>
    <t>GPIO8_ALS_PROX_INT</t>
  </si>
  <si>
    <t>GPIO11_AP_WAKE_BT</t>
  </si>
  <si>
    <t>GPIO18_MDM_COLDBOOT</t>
  </si>
  <si>
    <t>GPIO17_MDM2AP_READY</t>
  </si>
  <si>
    <t>GPIO1_CAM_PWR#</t>
  </si>
  <si>
    <t>GPIO7_TOUCH_RST</t>
  </si>
  <si>
    <t>GPIO5_CAM_FLASH_EN</t>
  </si>
  <si>
    <t>GPIO16_MDM_WAKE_AP</t>
  </si>
  <si>
    <t>GPIO4_CAM_STROBE</t>
  </si>
  <si>
    <t>GPIO9_MOTION_INT</t>
  </si>
  <si>
    <t>GPIO6_TOUCH_INT</t>
  </si>
  <si>
    <t>GPIO3_CAM1_RST#</t>
  </si>
  <si>
    <t>GPIO0_CAM0_PWR#</t>
  </si>
  <si>
    <t>GPIO2_CAM0_RST#</t>
  </si>
  <si>
    <t>GPIO15_AP2MDM_READY</t>
  </si>
  <si>
    <t>GPIO14_AP_WAKE_MDM</t>
  </si>
  <si>
    <t>Added "Latest Revision" info in the DTSI output files. Update configuration based on the latest ASIC recommended pinmux settings</t>
  </si>
  <si>
    <t>Revised setting for SDMMC3_CK to internal 'PD"</t>
  </si>
  <si>
    <t>Aligned SOM Connctor Signal Name with Jetson TX2 OEM Product DG</t>
  </si>
  <si>
    <t>Corrected I2C_GP3_CLK and I2C_GP3_DAT SOM Connector Pin #</t>
  </si>
  <si>
    <t>Corrected DP0 and DP1 SOM Connector Pin #</t>
  </si>
  <si>
    <t>PEX2_CLKREQ#</t>
  </si>
  <si>
    <t>PEX1_CLKREQ#(SATA_DEV_SLP)</t>
  </si>
  <si>
    <t>C47(D47)</t>
  </si>
  <si>
    <t>C46</t>
  </si>
  <si>
    <t>SDMMC2_HV (3.3V Capable)</t>
  </si>
  <si>
    <t>EQOS_TXC</t>
  </si>
  <si>
    <t>AY4</t>
  </si>
  <si>
    <t>unused_EQOS_TXC</t>
  </si>
  <si>
    <t>GPIO3_PE.00</t>
  </si>
  <si>
    <t>SDMMC2_DAT7</t>
  </si>
  <si>
    <t>EQOS</t>
  </si>
  <si>
    <t>SDMMC2</t>
  </si>
  <si>
    <t>eqos_txc_pe0</t>
  </si>
  <si>
    <t>vddio_sdmmc2_hv</t>
  </si>
  <si>
    <t>19.5K +/- 35%</t>
  </si>
  <si>
    <t>NO</t>
  </si>
  <si>
    <t>NORMAL</t>
  </si>
  <si>
    <t>DISABLE</t>
  </si>
  <si>
    <t>VALID</t>
  </si>
  <si>
    <t>EQOS_TD0</t>
  </si>
  <si>
    <t>BA3</t>
  </si>
  <si>
    <t>unused_EQOS_TD0</t>
  </si>
  <si>
    <t>GPIO3_PE.01</t>
  </si>
  <si>
    <t>SDMMC2_CMD</t>
  </si>
  <si>
    <t>eqos_td0_pe1</t>
  </si>
  <si>
    <t>EQOS_TD1</t>
  </si>
  <si>
    <t>BB3</t>
  </si>
  <si>
    <t>unused_EQOS_TD1</t>
  </si>
  <si>
    <t>GPIO3_PE.02</t>
  </si>
  <si>
    <t>SDMMC2_DAT0</t>
  </si>
  <si>
    <t>eqos_td1_pe2</t>
  </si>
  <si>
    <t>EQOS_TD2</t>
  </si>
  <si>
    <t>AY3</t>
  </si>
  <si>
    <t>unused_EQOS_TD2</t>
  </si>
  <si>
    <t>GPIO3_PE.03</t>
  </si>
  <si>
    <t>SDMMC2_DAT1</t>
  </si>
  <si>
    <t>eqos_td2_pe3</t>
  </si>
  <si>
    <t>wake4</t>
  </si>
  <si>
    <t>EQOS_TD3</t>
  </si>
  <si>
    <t>BA1</t>
  </si>
  <si>
    <t>unused_EQOS_TD3</t>
  </si>
  <si>
    <t>GPIO3_PE.04</t>
  </si>
  <si>
    <t>SDMMC2_DAT2</t>
  </si>
  <si>
    <t>eqos_td3_pe4</t>
  </si>
  <si>
    <t>EQOS_TX_CTL</t>
  </si>
  <si>
    <t>BA2</t>
  </si>
  <si>
    <t>unused_EQOS_TX_CTL</t>
  </si>
  <si>
    <t>GPIO3_PE.05</t>
  </si>
  <si>
    <t>SDMMC2_DAT3</t>
  </si>
  <si>
    <t>eqos_tx_ctl_pe5</t>
  </si>
  <si>
    <t>EQOS_RD0</t>
  </si>
  <si>
    <t>BB4</t>
  </si>
  <si>
    <t>unused_EQOS_RD0</t>
  </si>
  <si>
    <t>GPIO3_PE.06</t>
  </si>
  <si>
    <t>SDMMC2_DAT4</t>
  </si>
  <si>
    <t>eqos_rd0_pe6</t>
  </si>
  <si>
    <t>TRISTATE</t>
  </si>
  <si>
    <t>ENABLE</t>
  </si>
  <si>
    <t>EQOS_RD1</t>
  </si>
  <si>
    <t>BA4</t>
  </si>
  <si>
    <t>AU2</t>
  </si>
  <si>
    <t>unused_EQOS_RD1</t>
  </si>
  <si>
    <t>GPIO3_PE.07</t>
  </si>
  <si>
    <t>SDMMC2_DAT5</t>
  </si>
  <si>
    <t>eqos_rd1_pe7</t>
  </si>
  <si>
    <t>EQOS_RD2</t>
  </si>
  <si>
    <t>AY5</t>
  </si>
  <si>
    <t>unused_EQOS_RD2</t>
  </si>
  <si>
    <t>GPIO3_PF.00</t>
  </si>
  <si>
    <t>SDMMC2_DAT6</t>
  </si>
  <si>
    <t>eqos_rd2_pf0</t>
  </si>
  <si>
    <t>EQOS_RD3</t>
  </si>
  <si>
    <t>BC3</t>
  </si>
  <si>
    <t>unused_EQOS_RD3</t>
  </si>
  <si>
    <t>GPIO3_PF.01</t>
  </si>
  <si>
    <t>SDMMC2_CLK</t>
  </si>
  <si>
    <t>eqos_rd3_pf1</t>
  </si>
  <si>
    <t>EQOS_RX_CTL</t>
  </si>
  <si>
    <t>BB5</t>
  </si>
  <si>
    <t>unused_EQOS_RX_CTL</t>
  </si>
  <si>
    <t>GPIO3_PF.02</t>
  </si>
  <si>
    <t>SDMMC2_CD</t>
  </si>
  <si>
    <t>eqos_rx_ctl_pf2</t>
  </si>
  <si>
    <t>wake28</t>
  </si>
  <si>
    <t>EQOS_RXC</t>
  </si>
  <si>
    <t>BA5</t>
  </si>
  <si>
    <t>AU1</t>
  </si>
  <si>
    <t>unused_EQOS_RXC</t>
  </si>
  <si>
    <t>GPIO3_PF.03</t>
  </si>
  <si>
    <t>SDMMC2_WP</t>
  </si>
  <si>
    <t>eqos_rxc_pf3</t>
  </si>
  <si>
    <t>EQOS_MDIO</t>
  </si>
  <si>
    <t>BB6</t>
  </si>
  <si>
    <t>AU5</t>
  </si>
  <si>
    <t>unused_EQOS_MDIO</t>
  </si>
  <si>
    <t>GPIO3_PF.04</t>
  </si>
  <si>
    <t>SOC_THERM_OC4</t>
  </si>
  <si>
    <t>eqos_mdio_pf4</t>
  </si>
  <si>
    <t>wake17</t>
  </si>
  <si>
    <t>PULL_UP</t>
  </si>
  <si>
    <t>EQOS_MDC</t>
  </si>
  <si>
    <t>BC6</t>
  </si>
  <si>
    <t>unused_EQOS_MDC</t>
  </si>
  <si>
    <t>GPIO3_PF.05</t>
  </si>
  <si>
    <t>eqos_mdc_pf5</t>
  </si>
  <si>
    <t>EQOS_COMP</t>
  </si>
  <si>
    <t>BC5</t>
  </si>
  <si>
    <t>unused_EQOS_COMP</t>
  </si>
  <si>
    <t>SDMMC2_COMP</t>
  </si>
  <si>
    <t>eqos_comp</t>
  </si>
  <si>
    <t>SDMMC4</t>
  </si>
  <si>
    <t>SDMMC4_CLK</t>
  </si>
  <si>
    <t>A37</t>
  </si>
  <si>
    <t>unused_SDMMC4_CLK</t>
  </si>
  <si>
    <t>sdmmc4_clk</t>
  </si>
  <si>
    <t>vddio_sdmmc4</t>
  </si>
  <si>
    <t>ST_MEM</t>
  </si>
  <si>
    <t>BDEMMC_IOBRICK_CFC</t>
  </si>
  <si>
    <t>15k</t>
  </si>
  <si>
    <t>SDMMC4_CMD</t>
  </si>
  <si>
    <t>D38</t>
  </si>
  <si>
    <t>unused_SDMMC4_CMD</t>
  </si>
  <si>
    <t>sdmmc4_cmd</t>
  </si>
  <si>
    <t>YES</t>
  </si>
  <si>
    <t>SDMMC4_DAT0</t>
  </si>
  <si>
    <t>E41</t>
  </si>
  <si>
    <t>unused_SDMMC4_DAT0</t>
  </si>
  <si>
    <t>sdmmc4_dat0</t>
  </si>
  <si>
    <t>SDMMC4_DAT1</t>
  </si>
  <si>
    <t>C43</t>
  </si>
  <si>
    <t>E40</t>
  </si>
  <si>
    <t>unused_SDMMC4_DAT1</t>
  </si>
  <si>
    <t>sdmmc4_dat1</t>
  </si>
  <si>
    <t>wake6</t>
  </si>
  <si>
    <t>SDMMC4_DAT2</t>
  </si>
  <si>
    <t>D41</t>
  </si>
  <si>
    <t>unused_SDMMC4_DAT2</t>
  </si>
  <si>
    <t>sdmmc4_dat2</t>
  </si>
  <si>
    <t>SDMMC4_DAT3</t>
  </si>
  <si>
    <t>unused_SDMMC4_DAT3</t>
  </si>
  <si>
    <t>sdmmc4_dat3</t>
  </si>
  <si>
    <t>SDMMC4_DAT4</t>
  </si>
  <si>
    <t>C42</t>
  </si>
  <si>
    <t>unused_SDMMC4_DAT4</t>
  </si>
  <si>
    <t>sdmmc4_dat4</t>
  </si>
  <si>
    <t>SDMMC4_DAT5</t>
  </si>
  <si>
    <t>E37</t>
  </si>
  <si>
    <t>unused_SDMMC4_DAT5</t>
  </si>
  <si>
    <t>sdmmc4_dat5</t>
  </si>
  <si>
    <t>SDMMC4_DAT6</t>
  </si>
  <si>
    <t>unused_SDMMC4_DAT6</t>
  </si>
  <si>
    <t>sdmmc4_dat6</t>
  </si>
  <si>
    <t>SDMMC4_DAT7</t>
  </si>
  <si>
    <t>unused_SDMMC4_DAT7</t>
  </si>
  <si>
    <t>sdmmc4_dat7</t>
  </si>
  <si>
    <t>SDMMC4_DQS</t>
  </si>
  <si>
    <t>unused_SDMMC4_DQS</t>
  </si>
  <si>
    <t>sdmmc4_dqs</t>
  </si>
  <si>
    <t>SDMMC4_COMP</t>
  </si>
  <si>
    <t>unused_SDMMC4_COMP</t>
  </si>
  <si>
    <t>sdmmc4_comp</t>
  </si>
  <si>
    <t>Added EQOS and SDMMC4(eMMC) signals for reference only. These signals are not user configurable.</t>
  </si>
  <si>
    <t>Freeze AO_HV and AUDIO_HV IO Block Voltage setting</t>
  </si>
  <si>
    <t>100k</t>
    <phoneticPr fontId="67" type="noConversion"/>
  </si>
  <si>
    <t>pd</t>
    <phoneticPr fontId="67" type="noConversion"/>
  </si>
  <si>
    <t>ST</t>
    <phoneticPr fontId="67" type="noConversion"/>
  </si>
  <si>
    <t>A34</t>
    <phoneticPr fontId="67" type="noConversion"/>
  </si>
</sst>
</file>

<file path=xl/styles.xml><?xml version="1.0" encoding="utf-8"?>
<styleSheet xmlns="http://schemas.openxmlformats.org/spreadsheetml/2006/main">
  <numFmts count="2">
    <numFmt numFmtId="176" formatCode="0.00_)"/>
    <numFmt numFmtId="177" formatCode="00000"/>
  </numFmts>
  <fonts count="68">
    <font>
      <sz val="11"/>
      <color theme="1"/>
      <name val="宋体"/>
      <family val="2"/>
      <scheme val="minor"/>
    </font>
    <font>
      <sz val="8"/>
      <color theme="1"/>
      <name val="宋体"/>
      <family val="2"/>
      <scheme val="minor"/>
    </font>
    <font>
      <b/>
      <sz val="18"/>
      <color theme="1"/>
      <name val="宋体"/>
      <family val="2"/>
      <scheme val="minor"/>
    </font>
    <font>
      <sz val="11"/>
      <color rgb="FF9C0006"/>
      <name val="宋体"/>
      <family val="2"/>
      <scheme val="minor"/>
    </font>
    <font>
      <sz val="10"/>
      <name val="Arial"/>
      <family val="2"/>
    </font>
    <font>
      <sz val="10"/>
      <color theme="1"/>
      <name val="宋体"/>
      <family val="2"/>
      <scheme val="minor"/>
    </font>
    <font>
      <sz val="11"/>
      <color rgb="FF3F3F76"/>
      <name val="宋体"/>
      <family val="2"/>
      <scheme val="minor"/>
    </font>
    <font>
      <b/>
      <sz val="10"/>
      <color theme="1"/>
      <name val="宋体"/>
      <family val="2"/>
      <scheme val="minor"/>
    </font>
    <font>
      <b/>
      <sz val="10"/>
      <color theme="1"/>
      <name val="Calibri"/>
      <family val="2"/>
    </font>
    <font>
      <b/>
      <sz val="8.5"/>
      <color theme="1"/>
      <name val="Calibri"/>
      <family val="2"/>
    </font>
    <font>
      <b/>
      <sz val="12"/>
      <color theme="1"/>
      <name val="宋体"/>
      <family val="2"/>
      <scheme val="minor"/>
    </font>
    <font>
      <sz val="12"/>
      <color theme="1"/>
      <name val="宋体"/>
      <family val="2"/>
      <scheme val="minor"/>
    </font>
    <font>
      <sz val="11"/>
      <color theme="1"/>
      <name val="宋体"/>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宋体"/>
      <family val="2"/>
      <scheme val="minor"/>
    </font>
    <font>
      <sz val="11"/>
      <name val="宋体"/>
      <family val="2"/>
      <scheme val="minor"/>
    </font>
    <font>
      <b/>
      <sz val="18"/>
      <color theme="3"/>
      <name val="宋体"/>
      <family val="2"/>
      <scheme val="major"/>
    </font>
    <font>
      <b/>
      <sz val="15"/>
      <color theme="3"/>
      <name val="宋体"/>
      <family val="2"/>
      <scheme val="minor"/>
    </font>
    <font>
      <b/>
      <sz val="13"/>
      <color theme="3"/>
      <name val="宋体"/>
      <family val="2"/>
      <scheme val="minor"/>
    </font>
    <font>
      <b/>
      <sz val="11"/>
      <color theme="3"/>
      <name val="宋体"/>
      <family val="2"/>
      <scheme val="minor"/>
    </font>
    <font>
      <sz val="11"/>
      <color rgb="FF006100"/>
      <name val="宋体"/>
      <family val="2"/>
      <scheme val="minor"/>
    </font>
    <font>
      <b/>
      <sz val="11"/>
      <color rgb="FF3F3F3F"/>
      <name val="宋体"/>
      <family val="2"/>
      <scheme val="minor"/>
    </font>
    <font>
      <b/>
      <sz val="11"/>
      <color rgb="FFFA7D00"/>
      <name val="宋体"/>
      <family val="2"/>
      <scheme val="minor"/>
    </font>
    <font>
      <sz val="11"/>
      <color rgb="FFFA7D00"/>
      <name val="宋体"/>
      <family val="2"/>
      <scheme val="minor"/>
    </font>
    <font>
      <b/>
      <sz val="11"/>
      <color theme="0"/>
      <name val="宋体"/>
      <family val="2"/>
      <scheme val="minor"/>
    </font>
    <font>
      <sz val="11"/>
      <color rgb="FFFF0000"/>
      <name val="宋体"/>
      <family val="2"/>
      <scheme val="minor"/>
    </font>
    <font>
      <i/>
      <sz val="11"/>
      <color rgb="FF7F7F7F"/>
      <name val="宋体"/>
      <family val="2"/>
      <scheme val="minor"/>
    </font>
    <font>
      <b/>
      <sz val="11"/>
      <color theme="1"/>
      <name val="宋体"/>
      <family val="2"/>
      <scheme val="minor"/>
    </font>
    <font>
      <sz val="11"/>
      <color theme="0"/>
      <name val="宋体"/>
      <family val="2"/>
      <scheme val="minor"/>
    </font>
    <font>
      <u/>
      <sz val="11"/>
      <color theme="10"/>
      <name val="宋体"/>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宋体"/>
      <family val="2"/>
      <scheme val="minor"/>
    </font>
    <font>
      <b/>
      <sz val="15"/>
      <color indexed="62"/>
      <name val="宋体"/>
      <family val="2"/>
      <scheme val="minor"/>
    </font>
    <font>
      <b/>
      <sz val="11"/>
      <color indexed="62"/>
      <name val="宋体"/>
      <family val="2"/>
      <scheme val="minor"/>
    </font>
    <font>
      <b/>
      <sz val="18"/>
      <color indexed="62"/>
      <name val="宋体"/>
      <family val="2"/>
      <scheme val="major"/>
    </font>
    <font>
      <sz val="11"/>
      <color rgb="FF000000"/>
      <name val="Calibri"/>
      <family val="2"/>
    </font>
    <font>
      <b/>
      <sz val="12"/>
      <color theme="1"/>
      <name val="Arial"/>
      <family val="2"/>
    </font>
    <font>
      <sz val="9"/>
      <name val="宋体"/>
      <family val="3"/>
      <charset val="134"/>
      <scheme val="minor"/>
    </font>
  </fonts>
  <fills count="92">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0000"/>
        <bgColor indexed="64"/>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theme="1" tint="0.14999847407452621"/>
        <bgColor indexed="64"/>
      </patternFill>
    </fill>
  </fills>
  <borders count="69">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right/>
      <top style="thin">
        <color indexed="64"/>
      </top>
      <bottom/>
      <diagonal/>
    </border>
  </borders>
  <cellStyleXfs count="53441">
    <xf numFmtId="0" fontId="0" fillId="0" borderId="0"/>
    <xf numFmtId="0" fontId="3" fillId="3" borderId="0" applyNumberFormat="0" applyBorder="0" applyAlignment="0" applyProtection="0"/>
    <xf numFmtId="0" fontId="4" fillId="0" borderId="0"/>
    <xf numFmtId="0" fontId="6" fillId="6" borderId="11" applyNumberFormat="0" applyAlignment="0" applyProtection="0"/>
    <xf numFmtId="0" fontId="16" fillId="13" borderId="0" applyNumberFormat="0" applyAlignment="0" applyProtection="0"/>
    <xf numFmtId="0" fontId="16" fillId="13" borderId="0" applyNumberFormat="0" applyAlignment="0" applyProtection="0"/>
    <xf numFmtId="0" fontId="16" fillId="13" borderId="0" applyNumberFormat="0" applyAlignment="0" applyProtection="0"/>
    <xf numFmtId="0" fontId="16" fillId="14" borderId="0" applyNumberFormat="0" applyAlignment="0" applyProtection="0"/>
    <xf numFmtId="0" fontId="16" fillId="14" borderId="0" applyNumberFormat="0" applyAlignment="0" applyProtection="0"/>
    <xf numFmtId="0" fontId="16" fillId="14" borderId="0" applyNumberFormat="0" applyAlignment="0" applyProtection="0"/>
    <xf numFmtId="0" fontId="16" fillId="15" borderId="0" applyNumberFormat="0" applyAlignment="0" applyProtection="0"/>
    <xf numFmtId="0" fontId="16" fillId="15" borderId="0" applyNumberFormat="0" applyAlignment="0" applyProtection="0"/>
    <xf numFmtId="0" fontId="16" fillId="15" borderId="0" applyNumberFormat="0" applyAlignment="0" applyProtection="0"/>
    <xf numFmtId="0" fontId="16" fillId="16" borderId="0" applyNumberFormat="0" applyAlignment="0" applyProtection="0"/>
    <xf numFmtId="0" fontId="16" fillId="16" borderId="0" applyNumberFormat="0" applyAlignment="0" applyProtection="0"/>
    <xf numFmtId="0" fontId="16" fillId="16" borderId="0" applyNumberFormat="0" applyAlignment="0" applyProtection="0"/>
    <xf numFmtId="0" fontId="16" fillId="17" borderId="0" applyNumberFormat="0" applyAlignment="0" applyProtection="0"/>
    <xf numFmtId="0" fontId="16" fillId="17" borderId="0" applyNumberFormat="0" applyAlignment="0" applyProtection="0"/>
    <xf numFmtId="0" fontId="16" fillId="17" borderId="0" applyNumberFormat="0" applyAlignment="0" applyProtection="0"/>
    <xf numFmtId="0" fontId="16" fillId="18" borderId="0" applyNumberFormat="0" applyAlignment="0" applyProtection="0"/>
    <xf numFmtId="0" fontId="16" fillId="18" borderId="0" applyNumberFormat="0" applyAlignment="0" applyProtection="0"/>
    <xf numFmtId="0" fontId="16" fillId="18" borderId="0" applyNumberFormat="0" applyAlignment="0" applyProtection="0"/>
    <xf numFmtId="0" fontId="16" fillId="19" borderId="0" applyNumberFormat="0" applyAlignment="0" applyProtection="0"/>
    <xf numFmtId="0" fontId="16" fillId="19" borderId="0" applyNumberFormat="0" applyAlignment="0" applyProtection="0"/>
    <xf numFmtId="0" fontId="16" fillId="19" borderId="0" applyNumberFormat="0" applyAlignment="0" applyProtection="0"/>
    <xf numFmtId="0" fontId="16" fillId="20" borderId="0" applyNumberFormat="0" applyAlignment="0" applyProtection="0"/>
    <xf numFmtId="0" fontId="16" fillId="20" borderId="0" applyNumberFormat="0" applyAlignment="0" applyProtection="0"/>
    <xf numFmtId="0" fontId="16" fillId="20" borderId="0" applyNumberFormat="0" applyAlignment="0" applyProtection="0"/>
    <xf numFmtId="0" fontId="16" fillId="15" borderId="0" applyNumberFormat="0" applyAlignment="0" applyProtection="0"/>
    <xf numFmtId="0" fontId="16" fillId="15" borderId="0" applyNumberFormat="0" applyAlignment="0" applyProtection="0"/>
    <xf numFmtId="0" fontId="16" fillId="15" borderId="0" applyNumberFormat="0" applyAlignment="0" applyProtection="0"/>
    <xf numFmtId="0" fontId="16" fillId="18" borderId="0" applyNumberFormat="0" applyAlignment="0" applyProtection="0"/>
    <xf numFmtId="0" fontId="16" fillId="18" borderId="0" applyNumberFormat="0" applyAlignment="0" applyProtection="0"/>
    <xf numFmtId="0" fontId="16" fillId="18" borderId="0" applyNumberFormat="0" applyAlignment="0" applyProtection="0"/>
    <xf numFmtId="0" fontId="16" fillId="21" borderId="0" applyNumberFormat="0" applyAlignment="0" applyProtection="0"/>
    <xf numFmtId="0" fontId="16" fillId="21" borderId="0" applyNumberFormat="0" applyAlignment="0" applyProtection="0"/>
    <xf numFmtId="0" fontId="16" fillId="21" borderId="0" applyNumberFormat="0" applyAlignment="0" applyProtection="0"/>
    <xf numFmtId="0" fontId="17" fillId="22" borderId="0" applyNumberFormat="0" applyAlignment="0" applyProtection="0"/>
    <xf numFmtId="0" fontId="17" fillId="22" borderId="0" applyNumberFormat="0" applyAlignment="0" applyProtection="0"/>
    <xf numFmtId="0" fontId="17" fillId="22" borderId="0" applyNumberFormat="0" applyAlignment="0" applyProtection="0"/>
    <xf numFmtId="0" fontId="17" fillId="19" borderId="0" applyNumberFormat="0" applyAlignment="0" applyProtection="0"/>
    <xf numFmtId="0" fontId="17" fillId="19" borderId="0" applyNumberFormat="0" applyAlignment="0" applyProtection="0"/>
    <xf numFmtId="0" fontId="17" fillId="19" borderId="0" applyNumberFormat="0" applyAlignment="0" applyProtection="0"/>
    <xf numFmtId="0" fontId="17" fillId="20" borderId="0" applyNumberFormat="0" applyAlignment="0" applyProtection="0"/>
    <xf numFmtId="0" fontId="17" fillId="20" borderId="0" applyNumberFormat="0" applyAlignment="0" applyProtection="0"/>
    <xf numFmtId="0" fontId="17" fillId="20" borderId="0" applyNumberFormat="0" applyAlignment="0" applyProtection="0"/>
    <xf numFmtId="0" fontId="17" fillId="23" borderId="0" applyNumberFormat="0" applyAlignment="0" applyProtection="0"/>
    <xf numFmtId="0" fontId="17" fillId="23" borderId="0" applyNumberFormat="0" applyAlignment="0" applyProtection="0"/>
    <xf numFmtId="0" fontId="17" fillId="23" borderId="0" applyNumberFormat="0" applyAlignment="0" applyProtection="0"/>
    <xf numFmtId="0" fontId="17" fillId="24" borderId="0" applyNumberFormat="0" applyAlignment="0" applyProtection="0"/>
    <xf numFmtId="0" fontId="17" fillId="24" borderId="0" applyNumberFormat="0" applyAlignment="0" applyProtection="0"/>
    <xf numFmtId="0" fontId="17" fillId="24" borderId="0" applyNumberFormat="0" applyAlignment="0" applyProtection="0"/>
    <xf numFmtId="0" fontId="17" fillId="25" borderId="0" applyNumberFormat="0" applyAlignment="0" applyProtection="0"/>
    <xf numFmtId="0" fontId="17" fillId="25" borderId="0" applyNumberFormat="0" applyAlignment="0" applyProtection="0"/>
    <xf numFmtId="0" fontId="17" fillId="25" borderId="0" applyNumberFormat="0" applyAlignment="0" applyProtection="0"/>
    <xf numFmtId="0" fontId="17" fillId="26" borderId="0" applyNumberFormat="0" applyAlignment="0" applyProtection="0"/>
    <xf numFmtId="0" fontId="17" fillId="26" borderId="0" applyNumberFormat="0" applyAlignment="0" applyProtection="0"/>
    <xf numFmtId="0" fontId="17" fillId="26" borderId="0" applyNumberFormat="0" applyAlignment="0" applyProtection="0"/>
    <xf numFmtId="0" fontId="17" fillId="27" borderId="0" applyNumberFormat="0" applyAlignment="0" applyProtection="0"/>
    <xf numFmtId="0" fontId="17" fillId="27" borderId="0" applyNumberFormat="0" applyAlignment="0" applyProtection="0"/>
    <xf numFmtId="0" fontId="17" fillId="27" borderId="0" applyNumberFormat="0" applyAlignment="0" applyProtection="0"/>
    <xf numFmtId="0" fontId="17" fillId="28" borderId="0" applyNumberFormat="0" applyAlignment="0" applyProtection="0"/>
    <xf numFmtId="0" fontId="17" fillId="28" borderId="0" applyNumberFormat="0" applyAlignment="0" applyProtection="0"/>
    <xf numFmtId="0" fontId="17" fillId="28" borderId="0" applyNumberFormat="0" applyAlignment="0" applyProtection="0"/>
    <xf numFmtId="0" fontId="17" fillId="23" borderId="0" applyNumberFormat="0" applyAlignment="0" applyProtection="0"/>
    <xf numFmtId="0" fontId="17" fillId="23" borderId="0" applyNumberFormat="0" applyAlignment="0" applyProtection="0"/>
    <xf numFmtId="0" fontId="17" fillId="23" borderId="0" applyNumberFormat="0" applyAlignment="0" applyProtection="0"/>
    <xf numFmtId="0" fontId="17" fillId="24" borderId="0" applyNumberFormat="0" applyAlignment="0" applyProtection="0"/>
    <xf numFmtId="0" fontId="17" fillId="24" borderId="0" applyNumberFormat="0" applyAlignment="0" applyProtection="0"/>
    <xf numFmtId="0" fontId="17" fillId="24" borderId="0" applyNumberFormat="0" applyAlignment="0" applyProtection="0"/>
    <xf numFmtId="0" fontId="17" fillId="29" borderId="0" applyNumberFormat="0" applyAlignment="0" applyProtection="0"/>
    <xf numFmtId="0" fontId="17" fillId="29" borderId="0" applyNumberFormat="0" applyAlignment="0" applyProtection="0"/>
    <xf numFmtId="0" fontId="17" fillId="29"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20" fillId="31" borderId="40" applyNumberFormat="0" applyAlignment="0" applyProtection="0"/>
    <xf numFmtId="0" fontId="20" fillId="31" borderId="40" applyNumberFormat="0" applyAlignment="0" applyProtection="0"/>
    <xf numFmtId="0" fontId="20" fillId="31" borderId="40" applyNumberFormat="0" applyAlignment="0" applyProtection="0"/>
    <xf numFmtId="0" fontId="21" fillId="0" borderId="0" applyNumberFormat="0" applyFill="0" applyAlignment="0" applyProtection="0"/>
    <xf numFmtId="0" fontId="21" fillId="0" borderId="0" applyNumberFormat="0" applyFill="0" applyAlignment="0" applyProtection="0"/>
    <xf numFmtId="0" fontId="21" fillId="0" borderId="0" applyNumberFormat="0" applyFill="0" applyAlignment="0" applyProtection="0"/>
    <xf numFmtId="0" fontId="22" fillId="14" borderId="0" applyNumberFormat="0" applyAlignment="0" applyProtection="0"/>
    <xf numFmtId="0" fontId="22" fillId="14" borderId="0" applyNumberFormat="0" applyAlignment="0" applyProtection="0"/>
    <xf numFmtId="0" fontId="22" fillId="14" borderId="0" applyNumberFormat="0" applyAlignment="0" applyProtection="0"/>
    <xf numFmtId="0" fontId="23" fillId="0" borderId="41" applyNumberFormat="0" applyFill="0" applyAlignment="0" applyProtection="0"/>
    <xf numFmtId="0" fontId="23" fillId="0" borderId="41" applyNumberFormat="0" applyFill="0" applyAlignment="0" applyProtection="0"/>
    <xf numFmtId="0" fontId="23" fillId="0" borderId="41" applyNumberFormat="0" applyFill="0" applyAlignment="0" applyProtection="0"/>
    <xf numFmtId="0" fontId="24" fillId="0" borderId="42" applyNumberFormat="0" applyFill="0" applyAlignment="0" applyProtection="0"/>
    <xf numFmtId="0" fontId="24" fillId="0" borderId="42" applyNumberFormat="0" applyFill="0" applyAlignment="0" applyProtection="0"/>
    <xf numFmtId="0" fontId="24" fillId="0" borderId="42"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6"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9" fillId="32" borderId="0" applyNumberFormat="0" applyAlignment="0" applyProtection="0"/>
    <xf numFmtId="0" fontId="29" fillId="32" borderId="0" applyNumberFormat="0" applyAlignment="0" applyProtection="0"/>
    <xf numFmtId="0" fontId="29" fillId="32" borderId="0" applyNumberFormat="0" applyAlignment="0" applyProtection="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3"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1" fillId="0" borderId="0" applyNumberFormat="0" applyFill="0" applyAlignment="0" applyProtection="0"/>
    <xf numFmtId="0" fontId="31" fillId="0" borderId="0" applyNumberFormat="0" applyFill="0" applyAlignment="0" applyProtection="0"/>
    <xf numFmtId="0" fontId="31" fillId="0" borderId="0"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34" borderId="0" applyNumberFormat="0" applyBorder="0" applyAlignment="0" applyProtection="0"/>
    <xf numFmtId="0" fontId="36" fillId="0" borderId="0" applyNumberFormat="0" applyFill="0" applyBorder="0" applyAlignment="0" applyProtection="0"/>
    <xf numFmtId="0" fontId="37" fillId="0" borderId="56"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39" fillId="0" borderId="0" applyNumberFormat="0" applyFill="0" applyBorder="0" applyAlignment="0" applyProtection="0"/>
    <xf numFmtId="0" fontId="40" fillId="36" borderId="0" applyNumberFormat="0" applyBorder="0" applyAlignment="0" applyProtection="0"/>
    <xf numFmtId="0" fontId="41" fillId="37" borderId="59" applyNumberFormat="0" applyAlignment="0" applyProtection="0"/>
    <xf numFmtId="0" fontId="42" fillId="37" borderId="11" applyNumberFormat="0" applyAlignment="0" applyProtection="0"/>
    <xf numFmtId="0" fontId="43" fillId="0" borderId="60" applyNumberFormat="0" applyFill="0" applyAlignment="0" applyProtection="0"/>
    <xf numFmtId="0" fontId="44" fillId="38" borderId="61" applyNumberFormat="0" applyAlignment="0" applyProtection="0"/>
    <xf numFmtId="0" fontId="45" fillId="0" borderId="0" applyNumberFormat="0" applyFill="0" applyBorder="0" applyAlignment="0" applyProtection="0"/>
    <xf numFmtId="0" fontId="12" fillId="39" borderId="62" applyNumberFormat="0" applyFont="0" applyAlignment="0" applyProtection="0"/>
    <xf numFmtId="0" fontId="46" fillId="0" borderId="0" applyNumberFormat="0" applyFill="0" applyBorder="0" applyAlignment="0" applyProtection="0"/>
    <xf numFmtId="0" fontId="47" fillId="0" borderId="63" applyNumberFormat="0" applyFill="0" applyAlignment="0" applyProtection="0"/>
    <xf numFmtId="0" fontId="48" fillId="40" borderId="0" applyNumberFormat="0" applyBorder="0" applyAlignment="0" applyProtection="0"/>
    <xf numFmtId="0" fontId="12" fillId="41" borderId="0" applyNumberFormat="0" applyBorder="0" applyAlignment="0" applyProtection="0"/>
    <xf numFmtId="0" fontId="12" fillId="42" borderId="0" applyNumberFormat="0" applyBorder="0" applyAlignment="0" applyProtection="0"/>
    <xf numFmtId="0" fontId="48" fillId="43" borderId="0" applyNumberFormat="0" applyBorder="0" applyAlignment="0" applyProtection="0"/>
    <xf numFmtId="0" fontId="48" fillId="44"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48" fillId="47" borderId="0" applyNumberFormat="0" applyBorder="0" applyAlignment="0" applyProtection="0"/>
    <xf numFmtId="0" fontId="48" fillId="48" borderId="0" applyNumberFormat="0" applyBorder="0" applyAlignment="0" applyProtection="0"/>
    <xf numFmtId="0" fontId="12" fillId="49" borderId="0" applyNumberFormat="0" applyBorder="0" applyAlignment="0" applyProtection="0"/>
    <xf numFmtId="0" fontId="12" fillId="50" borderId="0" applyNumberFormat="0" applyBorder="0" applyAlignment="0" applyProtection="0"/>
    <xf numFmtId="0" fontId="48" fillId="51" borderId="0" applyNumberFormat="0" applyBorder="0" applyAlignment="0" applyProtection="0"/>
    <xf numFmtId="0" fontId="48" fillId="52" borderId="0" applyNumberFormat="0" applyBorder="0" applyAlignment="0" applyProtection="0"/>
    <xf numFmtId="0" fontId="12" fillId="53" borderId="0" applyNumberFormat="0" applyBorder="0" applyAlignment="0" applyProtection="0"/>
    <xf numFmtId="0" fontId="12" fillId="54" borderId="0" applyNumberFormat="0" applyBorder="0" applyAlignment="0" applyProtection="0"/>
    <xf numFmtId="0" fontId="48" fillId="55" borderId="0" applyNumberFormat="0" applyBorder="0" applyAlignment="0" applyProtection="0"/>
    <xf numFmtId="0" fontId="48" fillId="56" borderId="0" applyNumberFormat="0" applyBorder="0" applyAlignment="0" applyProtection="0"/>
    <xf numFmtId="0" fontId="12" fillId="57" borderId="0" applyNumberFormat="0" applyBorder="0" applyAlignment="0" applyProtection="0"/>
    <xf numFmtId="0" fontId="12" fillId="58" borderId="0" applyNumberFormat="0" applyBorder="0" applyAlignment="0" applyProtection="0"/>
    <xf numFmtId="0" fontId="48" fillId="59" borderId="0" applyNumberFormat="0" applyBorder="0" applyAlignment="0" applyProtection="0"/>
    <xf numFmtId="0" fontId="48" fillId="60" borderId="0" applyNumberFormat="0" applyBorder="0" applyAlignment="0" applyProtection="0"/>
    <xf numFmtId="0" fontId="12" fillId="61" borderId="0" applyNumberFormat="0" applyBorder="0" applyAlignment="0" applyProtection="0"/>
    <xf numFmtId="0" fontId="12" fillId="62" borderId="0" applyNumberFormat="0" applyBorder="0" applyAlignment="0" applyProtection="0"/>
    <xf numFmtId="0" fontId="48" fillId="63" borderId="0" applyNumberFormat="0" applyBorder="0" applyAlignment="0" applyProtection="0"/>
    <xf numFmtId="0" fontId="16"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6" fillId="67" borderId="0" applyNumberFormat="0" applyBorder="0" applyAlignment="0" applyProtection="0"/>
    <xf numFmtId="0" fontId="16" fillId="13" borderId="0" applyNumberFormat="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13" borderId="0" applyNumberFormat="0" applyAlignment="0" applyProtection="0"/>
    <xf numFmtId="0" fontId="16" fillId="67" borderId="0" applyNumberFormat="0" applyBorder="0" applyAlignment="0" applyProtection="0"/>
    <xf numFmtId="0" fontId="16" fillId="67" borderId="0" applyNumberFormat="0" applyBorder="0" applyAlignment="0" applyProtection="0"/>
    <xf numFmtId="0" fontId="16" fillId="13" borderId="0" applyNumberFormat="0" applyAlignment="0" applyProtection="0"/>
    <xf numFmtId="0" fontId="16" fillId="67" borderId="0" applyNumberFormat="0" applyBorder="0" applyAlignment="0" applyProtection="0"/>
    <xf numFmtId="0" fontId="16" fillId="67" borderId="0" applyNumberFormat="0" applyBorder="0" applyAlignment="0" applyProtection="0"/>
    <xf numFmtId="0" fontId="16" fillId="13" borderId="0" applyNumberFormat="0" applyAlignment="0" applyProtection="0"/>
    <xf numFmtId="0" fontId="16" fillId="13" borderId="0" applyNumberFormat="0" applyAlignment="0" applyProtection="0"/>
    <xf numFmtId="0" fontId="16" fillId="13" borderId="0" applyNumberFormat="0" applyAlignment="0" applyProtection="0"/>
    <xf numFmtId="0" fontId="16" fillId="13" borderId="0" applyNumberFormat="0" applyAlignment="0" applyProtection="0"/>
    <xf numFmtId="0" fontId="16" fillId="13" borderId="0" applyNumberFormat="0" applyAlignment="0" applyProtection="0"/>
    <xf numFmtId="0" fontId="16" fillId="13" borderId="0" applyNumberFormat="0" applyAlignment="0" applyProtection="0"/>
    <xf numFmtId="0" fontId="16" fillId="13" borderId="0" applyNumberFormat="0" applyAlignment="0" applyProtection="0"/>
    <xf numFmtId="0" fontId="16" fillId="66" borderId="0" applyNumberFormat="0" applyBorder="0" applyAlignment="0" applyProtection="0"/>
    <xf numFmtId="0" fontId="16" fillId="13" borderId="0" applyNumberFormat="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13" borderId="0" applyNumberFormat="0" applyAlignment="0" applyProtection="0"/>
    <xf numFmtId="0" fontId="16" fillId="13" borderId="0" applyNumberFormat="0" applyAlignment="0" applyProtection="0"/>
    <xf numFmtId="0" fontId="16" fillId="66" borderId="0" applyNumberFormat="0" applyBorder="0" applyAlignment="0" applyProtection="0"/>
    <xf numFmtId="0" fontId="16" fillId="13" borderId="0" applyNumberFormat="0" applyAlignment="0" applyProtection="0"/>
    <xf numFmtId="0" fontId="16" fillId="66" borderId="0" applyNumberFormat="0" applyBorder="0" applyAlignment="0" applyProtection="0"/>
    <xf numFmtId="0" fontId="16" fillId="66" borderId="0" applyNumberFormat="0" applyBorder="0" applyAlignment="0" applyProtection="0"/>
    <xf numFmtId="0" fontId="16" fillId="13" borderId="0" applyNumberFormat="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6" fillId="69" borderId="0" applyNumberFormat="0" applyBorder="0" applyAlignment="0" applyProtection="0"/>
    <xf numFmtId="0" fontId="16" fillId="14" borderId="0" applyNumberFormat="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14" borderId="0" applyNumberFormat="0" applyAlignment="0" applyProtection="0"/>
    <xf numFmtId="0" fontId="16" fillId="69" borderId="0" applyNumberFormat="0" applyBorder="0" applyAlignment="0" applyProtection="0"/>
    <xf numFmtId="0" fontId="16" fillId="69" borderId="0" applyNumberFormat="0" applyBorder="0" applyAlignment="0" applyProtection="0"/>
    <xf numFmtId="0" fontId="16" fillId="14" borderId="0" applyNumberFormat="0" applyAlignment="0" applyProtection="0"/>
    <xf numFmtId="0" fontId="16" fillId="69" borderId="0" applyNumberFormat="0" applyBorder="0" applyAlignment="0" applyProtection="0"/>
    <xf numFmtId="0" fontId="16" fillId="69" borderId="0" applyNumberFormat="0" applyBorder="0" applyAlignment="0" applyProtection="0"/>
    <xf numFmtId="0" fontId="16" fillId="14" borderId="0" applyNumberFormat="0" applyAlignment="0" applyProtection="0"/>
    <xf numFmtId="0" fontId="16" fillId="14" borderId="0" applyNumberFormat="0" applyAlignment="0" applyProtection="0"/>
    <xf numFmtId="0" fontId="16" fillId="14" borderId="0" applyNumberFormat="0" applyAlignment="0" applyProtection="0"/>
    <xf numFmtId="0" fontId="16" fillId="14" borderId="0" applyNumberFormat="0" applyAlignment="0" applyProtection="0"/>
    <xf numFmtId="0" fontId="16" fillId="14" borderId="0" applyNumberFormat="0" applyAlignment="0" applyProtection="0"/>
    <xf numFmtId="0" fontId="16" fillId="14" borderId="0" applyNumberFormat="0" applyAlignment="0" applyProtection="0"/>
    <xf numFmtId="0" fontId="16" fillId="14" borderId="0" applyNumberFormat="0" applyAlignment="0" applyProtection="0"/>
    <xf numFmtId="0" fontId="16" fillId="68" borderId="0" applyNumberFormat="0" applyBorder="0" applyAlignment="0" applyProtection="0"/>
    <xf numFmtId="0" fontId="16" fillId="14" borderId="0" applyNumberFormat="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14" borderId="0" applyNumberFormat="0" applyAlignment="0" applyProtection="0"/>
    <xf numFmtId="0" fontId="16" fillId="14" borderId="0" applyNumberFormat="0" applyAlignment="0" applyProtection="0"/>
    <xf numFmtId="0" fontId="16" fillId="68" borderId="0" applyNumberFormat="0" applyBorder="0" applyAlignment="0" applyProtection="0"/>
    <xf numFmtId="0" fontId="16" fillId="14" borderId="0" applyNumberFormat="0" applyAlignment="0" applyProtection="0"/>
    <xf numFmtId="0" fontId="16" fillId="68" borderId="0" applyNumberFormat="0" applyBorder="0" applyAlignment="0" applyProtection="0"/>
    <xf numFmtId="0" fontId="16" fillId="68" borderId="0" applyNumberFormat="0" applyBorder="0" applyAlignment="0" applyProtection="0"/>
    <xf numFmtId="0" fontId="16" fillId="14" borderId="0" applyNumberFormat="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6" fillId="65" borderId="0" applyNumberFormat="0" applyBorder="0" applyAlignment="0" applyProtection="0"/>
    <xf numFmtId="0" fontId="16" fillId="15" borderId="0" applyNumberFormat="0" applyAlignment="0" applyProtection="0"/>
    <xf numFmtId="0" fontId="16" fillId="65" borderId="0" applyNumberFormat="0" applyBorder="0" applyAlignment="0" applyProtection="0"/>
    <xf numFmtId="0" fontId="16" fillId="65" borderId="0" applyNumberFormat="0" applyBorder="0" applyAlignment="0" applyProtection="0"/>
    <xf numFmtId="0" fontId="16" fillId="65" borderId="0" applyNumberFormat="0" applyBorder="0" applyAlignment="0" applyProtection="0"/>
    <xf numFmtId="0" fontId="16" fillId="15" borderId="0" applyNumberFormat="0" applyAlignment="0" applyProtection="0"/>
    <xf numFmtId="0" fontId="16" fillId="65" borderId="0" applyNumberFormat="0" applyBorder="0" applyAlignment="0" applyProtection="0"/>
    <xf numFmtId="0" fontId="16" fillId="65" borderId="0" applyNumberFormat="0" applyBorder="0" applyAlignment="0" applyProtection="0"/>
    <xf numFmtId="0" fontId="16" fillId="15" borderId="0" applyNumberFormat="0" applyAlignment="0" applyProtection="0"/>
    <xf numFmtId="0" fontId="16" fillId="65" borderId="0" applyNumberFormat="0" applyBorder="0" applyAlignment="0" applyProtection="0"/>
    <xf numFmtId="0" fontId="16" fillId="65" borderId="0" applyNumberFormat="0" applyBorder="0" applyAlignment="0" applyProtection="0"/>
    <xf numFmtId="0" fontId="16" fillId="15" borderId="0" applyNumberFormat="0" applyAlignment="0" applyProtection="0"/>
    <xf numFmtId="0" fontId="16" fillId="15" borderId="0" applyNumberFormat="0" applyAlignment="0" applyProtection="0"/>
    <xf numFmtId="0" fontId="16" fillId="15" borderId="0" applyNumberFormat="0" applyAlignment="0" applyProtection="0"/>
    <xf numFmtId="0" fontId="16" fillId="15" borderId="0" applyNumberFormat="0" applyAlignment="0" applyProtection="0"/>
    <xf numFmtId="0" fontId="16" fillId="15" borderId="0" applyNumberFormat="0" applyAlignment="0" applyProtection="0"/>
    <xf numFmtId="0" fontId="16" fillId="15" borderId="0" applyNumberFormat="0" applyAlignment="0" applyProtection="0"/>
    <xf numFmtId="0" fontId="16" fillId="15" borderId="0" applyNumberFormat="0" applyAlignment="0" applyProtection="0"/>
    <xf numFmtId="0" fontId="16" fillId="70" borderId="0" applyNumberFormat="0" applyBorder="0" applyAlignment="0" applyProtection="0"/>
    <xf numFmtId="0" fontId="16" fillId="15" borderId="0" applyNumberFormat="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15" borderId="0" applyNumberFormat="0" applyAlignment="0" applyProtection="0"/>
    <xf numFmtId="0" fontId="16" fillId="15" borderId="0" applyNumberFormat="0" applyAlignment="0" applyProtection="0"/>
    <xf numFmtId="0" fontId="16" fillId="70" borderId="0" applyNumberFormat="0" applyBorder="0" applyAlignment="0" applyProtection="0"/>
    <xf numFmtId="0" fontId="16" fillId="15" borderId="0" applyNumberFormat="0" applyAlignment="0" applyProtection="0"/>
    <xf numFmtId="0" fontId="16" fillId="70" borderId="0" applyNumberFormat="0" applyBorder="0" applyAlignment="0" applyProtection="0"/>
    <xf numFmtId="0" fontId="16" fillId="70" borderId="0" applyNumberFormat="0" applyBorder="0" applyAlignment="0" applyProtection="0"/>
    <xf numFmtId="0" fontId="16" fillId="15" borderId="0" applyNumberFormat="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6" fillId="71" borderId="0" applyNumberFormat="0" applyBorder="0" applyAlignment="0" applyProtection="0"/>
    <xf numFmtId="0" fontId="16" fillId="16" borderId="0" applyNumberFormat="0" applyAlignment="0" applyProtection="0"/>
    <xf numFmtId="0" fontId="16" fillId="71" borderId="0" applyNumberFormat="0" applyBorder="0" applyAlignment="0" applyProtection="0"/>
    <xf numFmtId="0" fontId="16" fillId="71" borderId="0" applyNumberFormat="0" applyBorder="0" applyAlignment="0" applyProtection="0"/>
    <xf numFmtId="0" fontId="16" fillId="71" borderId="0" applyNumberFormat="0" applyBorder="0" applyAlignment="0" applyProtection="0"/>
    <xf numFmtId="0" fontId="16" fillId="16" borderId="0" applyNumberFormat="0" applyAlignment="0" applyProtection="0"/>
    <xf numFmtId="0" fontId="16" fillId="71" borderId="0" applyNumberFormat="0" applyBorder="0" applyAlignment="0" applyProtection="0"/>
    <xf numFmtId="0" fontId="16" fillId="71" borderId="0" applyNumberFormat="0" applyBorder="0" applyAlignment="0" applyProtection="0"/>
    <xf numFmtId="0" fontId="16" fillId="16" borderId="0" applyNumberFormat="0" applyAlignment="0" applyProtection="0"/>
    <xf numFmtId="0" fontId="16" fillId="71" borderId="0" applyNumberFormat="0" applyBorder="0" applyAlignment="0" applyProtection="0"/>
    <xf numFmtId="0" fontId="16" fillId="71" borderId="0" applyNumberFormat="0" applyBorder="0" applyAlignment="0" applyProtection="0"/>
    <xf numFmtId="0" fontId="16" fillId="16" borderId="0" applyNumberFormat="0" applyAlignment="0" applyProtection="0"/>
    <xf numFmtId="0" fontId="16" fillId="16" borderId="0" applyNumberFormat="0" applyAlignment="0" applyProtection="0"/>
    <xf numFmtId="0" fontId="16" fillId="16" borderId="0" applyNumberFormat="0" applyAlignment="0" applyProtection="0"/>
    <xf numFmtId="0" fontId="16" fillId="16" borderId="0" applyNumberFormat="0" applyAlignment="0" applyProtection="0"/>
    <xf numFmtId="0" fontId="16" fillId="16" borderId="0" applyNumberFormat="0" applyAlignment="0" applyProtection="0"/>
    <xf numFmtId="0" fontId="16" fillId="16" borderId="0" applyNumberFormat="0" applyAlignment="0" applyProtection="0"/>
    <xf numFmtId="0" fontId="16" fillId="16" borderId="0" applyNumberFormat="0" applyAlignment="0" applyProtection="0"/>
    <xf numFmtId="0" fontId="16" fillId="16" borderId="0" applyNumberFormat="0" applyAlignment="0" applyProtection="0"/>
    <xf numFmtId="0" fontId="16" fillId="16" borderId="0" applyNumberFormat="0" applyAlignment="0" applyProtection="0"/>
    <xf numFmtId="0" fontId="16" fillId="16" borderId="0" applyNumberFormat="0" applyAlignment="0" applyProtection="0"/>
    <xf numFmtId="0" fontId="16" fillId="16" borderId="0" applyNumberFormat="0" applyAlignment="0" applyProtection="0"/>
    <xf numFmtId="0" fontId="12" fillId="57" borderId="0" applyNumberFormat="0" applyBorder="0" applyAlignment="0" applyProtection="0"/>
    <xf numFmtId="0" fontId="16" fillId="67" borderId="0" applyNumberFormat="0" applyBorder="0" applyAlignment="0" applyProtection="0"/>
    <xf numFmtId="0" fontId="16" fillId="17" borderId="0" applyNumberFormat="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17" borderId="0" applyNumberFormat="0" applyAlignment="0" applyProtection="0"/>
    <xf numFmtId="0" fontId="16" fillId="67" borderId="0" applyNumberFormat="0" applyBorder="0" applyAlignment="0" applyProtection="0"/>
    <xf numFmtId="0" fontId="16" fillId="67" borderId="0" applyNumberFormat="0" applyBorder="0" applyAlignment="0" applyProtection="0"/>
    <xf numFmtId="0" fontId="16" fillId="17" borderId="0" applyNumberFormat="0" applyAlignment="0" applyProtection="0"/>
    <xf numFmtId="0" fontId="16" fillId="67" borderId="0" applyNumberFormat="0" applyBorder="0" applyAlignment="0" applyProtection="0"/>
    <xf numFmtId="0" fontId="16" fillId="67" borderId="0" applyNumberFormat="0" applyBorder="0" applyAlignment="0" applyProtection="0"/>
    <xf numFmtId="0" fontId="16" fillId="17" borderId="0" applyNumberFormat="0" applyAlignment="0" applyProtection="0"/>
    <xf numFmtId="0" fontId="16" fillId="17" borderId="0" applyNumberFormat="0" applyAlignment="0" applyProtection="0"/>
    <xf numFmtId="0" fontId="16" fillId="17" borderId="0" applyNumberFormat="0" applyAlignment="0" applyProtection="0"/>
    <xf numFmtId="0" fontId="16" fillId="17" borderId="0" applyNumberFormat="0" applyAlignment="0" applyProtection="0"/>
    <xf numFmtId="0" fontId="16" fillId="17" borderId="0" applyNumberFormat="0" applyAlignment="0" applyProtection="0"/>
    <xf numFmtId="0" fontId="16" fillId="17" borderId="0" applyNumberFormat="0" applyAlignment="0" applyProtection="0"/>
    <xf numFmtId="0" fontId="16" fillId="17" borderId="0" applyNumberFormat="0" applyAlignment="0" applyProtection="0"/>
    <xf numFmtId="0" fontId="16" fillId="17" borderId="0" applyNumberFormat="0" applyAlignment="0" applyProtection="0"/>
    <xf numFmtId="0" fontId="16" fillId="17" borderId="0" applyNumberFormat="0" applyAlignment="0" applyProtection="0"/>
    <xf numFmtId="0" fontId="16" fillId="17" borderId="0" applyNumberFormat="0" applyAlignment="0" applyProtection="0"/>
    <xf numFmtId="0" fontId="16" fillId="17" borderId="0" applyNumberFormat="0" applyAlignment="0" applyProtection="0"/>
    <xf numFmtId="0" fontId="12" fillId="61" borderId="0" applyNumberFormat="0" applyBorder="0" applyAlignment="0" applyProtection="0"/>
    <xf numFmtId="0" fontId="16" fillId="72" borderId="0" applyNumberFormat="0" applyBorder="0" applyAlignment="0" applyProtection="0"/>
    <xf numFmtId="0" fontId="16" fillId="7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6" fillId="73" borderId="0" applyNumberFormat="0" applyBorder="0" applyAlignment="0" applyProtection="0"/>
    <xf numFmtId="0" fontId="16" fillId="18" borderId="0" applyNumberFormat="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18" borderId="0" applyNumberFormat="0" applyAlignment="0" applyProtection="0"/>
    <xf numFmtId="0" fontId="16" fillId="73" borderId="0" applyNumberFormat="0" applyBorder="0" applyAlignment="0" applyProtection="0"/>
    <xf numFmtId="0" fontId="16" fillId="73" borderId="0" applyNumberFormat="0" applyBorder="0" applyAlignment="0" applyProtection="0"/>
    <xf numFmtId="0" fontId="16" fillId="18" borderId="0" applyNumberFormat="0" applyAlignment="0" applyProtection="0"/>
    <xf numFmtId="0" fontId="16" fillId="73" borderId="0" applyNumberFormat="0" applyBorder="0" applyAlignment="0" applyProtection="0"/>
    <xf numFmtId="0" fontId="16" fillId="73" borderId="0" applyNumberFormat="0" applyBorder="0" applyAlignment="0" applyProtection="0"/>
    <xf numFmtId="0" fontId="16" fillId="18" borderId="0" applyNumberFormat="0" applyAlignment="0" applyProtection="0"/>
    <xf numFmtId="0" fontId="16" fillId="18" borderId="0" applyNumberFormat="0" applyAlignment="0" applyProtection="0"/>
    <xf numFmtId="0" fontId="16" fillId="18" borderId="0" applyNumberFormat="0" applyAlignment="0" applyProtection="0"/>
    <xf numFmtId="0" fontId="16" fillId="18" borderId="0" applyNumberFormat="0" applyAlignment="0" applyProtection="0"/>
    <xf numFmtId="0" fontId="16" fillId="18" borderId="0" applyNumberFormat="0" applyAlignment="0" applyProtection="0"/>
    <xf numFmtId="0" fontId="16" fillId="18" borderId="0" applyNumberFormat="0" applyAlignment="0" applyProtection="0"/>
    <xf numFmtId="0" fontId="16" fillId="18" borderId="0" applyNumberFormat="0" applyAlignment="0" applyProtection="0"/>
    <xf numFmtId="0" fontId="16" fillId="72" borderId="0" applyNumberFormat="0" applyBorder="0" applyAlignment="0" applyProtection="0"/>
    <xf numFmtId="0" fontId="16" fillId="18" borderId="0" applyNumberFormat="0" applyAlignment="0" applyProtection="0"/>
    <xf numFmtId="0" fontId="16" fillId="72" borderId="0" applyNumberFormat="0" applyBorder="0" applyAlignment="0" applyProtection="0"/>
    <xf numFmtId="0" fontId="16" fillId="72" borderId="0" applyNumberFormat="0" applyBorder="0" applyAlignment="0" applyProtection="0"/>
    <xf numFmtId="0" fontId="16" fillId="72" borderId="0" applyNumberFormat="0" applyBorder="0" applyAlignment="0" applyProtection="0"/>
    <xf numFmtId="0" fontId="16" fillId="18" borderId="0" applyNumberFormat="0" applyAlignment="0" applyProtection="0"/>
    <xf numFmtId="0" fontId="16" fillId="18" borderId="0" applyNumberFormat="0" applyAlignment="0" applyProtection="0"/>
    <xf numFmtId="0" fontId="16" fillId="72" borderId="0" applyNumberFormat="0" applyBorder="0" applyAlignment="0" applyProtection="0"/>
    <xf numFmtId="0" fontId="16" fillId="18" borderId="0" applyNumberFormat="0" applyAlignment="0" applyProtection="0"/>
    <xf numFmtId="0" fontId="16" fillId="72" borderId="0" applyNumberFormat="0" applyBorder="0" applyAlignment="0" applyProtection="0"/>
    <xf numFmtId="0" fontId="16" fillId="72" borderId="0" applyNumberFormat="0" applyBorder="0" applyAlignment="0" applyProtection="0"/>
    <xf numFmtId="0" fontId="16" fillId="18" borderId="0" applyNumberFormat="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6" fillId="74" borderId="0" applyNumberFormat="0" applyBorder="0" applyAlignment="0" applyProtection="0"/>
    <xf numFmtId="0" fontId="16" fillId="74"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6" fillId="67" borderId="0" applyNumberFormat="0" applyBorder="0" applyAlignment="0" applyProtection="0"/>
    <xf numFmtId="0" fontId="16" fillId="19" borderId="0" applyNumberFormat="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19" borderId="0" applyNumberFormat="0" applyAlignment="0" applyProtection="0"/>
    <xf numFmtId="0" fontId="16" fillId="67" borderId="0" applyNumberFormat="0" applyBorder="0" applyAlignment="0" applyProtection="0"/>
    <xf numFmtId="0" fontId="16" fillId="67" borderId="0" applyNumberFormat="0" applyBorder="0" applyAlignment="0" applyProtection="0"/>
    <xf numFmtId="0" fontId="16" fillId="19" borderId="0" applyNumberFormat="0" applyAlignment="0" applyProtection="0"/>
    <xf numFmtId="0" fontId="16" fillId="67" borderId="0" applyNumberFormat="0" applyBorder="0" applyAlignment="0" applyProtection="0"/>
    <xf numFmtId="0" fontId="16" fillId="67" borderId="0" applyNumberFormat="0" applyBorder="0" applyAlignment="0" applyProtection="0"/>
    <xf numFmtId="0" fontId="16" fillId="19" borderId="0" applyNumberFormat="0" applyAlignment="0" applyProtection="0"/>
    <xf numFmtId="0" fontId="16" fillId="19" borderId="0" applyNumberFormat="0" applyAlignment="0" applyProtection="0"/>
    <xf numFmtId="0" fontId="16" fillId="19" borderId="0" applyNumberFormat="0" applyAlignment="0" applyProtection="0"/>
    <xf numFmtId="0" fontId="16" fillId="19" borderId="0" applyNumberFormat="0" applyAlignment="0" applyProtection="0"/>
    <xf numFmtId="0" fontId="16" fillId="19" borderId="0" applyNumberFormat="0" applyAlignment="0" applyProtection="0"/>
    <xf numFmtId="0" fontId="16" fillId="19" borderId="0" applyNumberFormat="0" applyAlignment="0" applyProtection="0"/>
    <xf numFmtId="0" fontId="16" fillId="19" borderId="0" applyNumberFormat="0" applyAlignment="0" applyProtection="0"/>
    <xf numFmtId="0" fontId="16" fillId="74" borderId="0" applyNumberFormat="0" applyBorder="0" applyAlignment="0" applyProtection="0"/>
    <xf numFmtId="0" fontId="16" fillId="19" borderId="0" applyNumberFormat="0" applyAlignment="0" applyProtection="0"/>
    <xf numFmtId="0" fontId="16" fillId="74" borderId="0" applyNumberFormat="0" applyBorder="0" applyAlignment="0" applyProtection="0"/>
    <xf numFmtId="0" fontId="16" fillId="74" borderId="0" applyNumberFormat="0" applyBorder="0" applyAlignment="0" applyProtection="0"/>
    <xf numFmtId="0" fontId="16" fillId="74" borderId="0" applyNumberFormat="0" applyBorder="0" applyAlignment="0" applyProtection="0"/>
    <xf numFmtId="0" fontId="16" fillId="19" borderId="0" applyNumberFormat="0" applyAlignment="0" applyProtection="0"/>
    <xf numFmtId="0" fontId="16" fillId="19" borderId="0" applyNumberFormat="0" applyAlignment="0" applyProtection="0"/>
    <xf numFmtId="0" fontId="16" fillId="74" borderId="0" applyNumberFormat="0" applyBorder="0" applyAlignment="0" applyProtection="0"/>
    <xf numFmtId="0" fontId="16" fillId="19" borderId="0" applyNumberFormat="0" applyAlignment="0" applyProtection="0"/>
    <xf numFmtId="0" fontId="16" fillId="74" borderId="0" applyNumberFormat="0" applyBorder="0" applyAlignment="0" applyProtection="0"/>
    <xf numFmtId="0" fontId="16" fillId="74" borderId="0" applyNumberFormat="0" applyBorder="0" applyAlignment="0" applyProtection="0"/>
    <xf numFmtId="0" fontId="16" fillId="19" borderId="0" applyNumberFormat="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6" fillId="76" borderId="0" applyNumberFormat="0" applyBorder="0" applyAlignment="0" applyProtection="0"/>
    <xf numFmtId="0" fontId="16" fillId="20" borderId="0" applyNumberFormat="0" applyAlignment="0" applyProtection="0"/>
    <xf numFmtId="0" fontId="16" fillId="76" borderId="0" applyNumberFormat="0" applyBorder="0" applyAlignment="0" applyProtection="0"/>
    <xf numFmtId="0" fontId="16" fillId="76" borderId="0" applyNumberFormat="0" applyBorder="0" applyAlignment="0" applyProtection="0"/>
    <xf numFmtId="0" fontId="16" fillId="76" borderId="0" applyNumberFormat="0" applyBorder="0" applyAlignment="0" applyProtection="0"/>
    <xf numFmtId="0" fontId="16" fillId="20" borderId="0" applyNumberFormat="0" applyAlignment="0" applyProtection="0"/>
    <xf numFmtId="0" fontId="16" fillId="76" borderId="0" applyNumberFormat="0" applyBorder="0" applyAlignment="0" applyProtection="0"/>
    <xf numFmtId="0" fontId="16" fillId="76" borderId="0" applyNumberFormat="0" applyBorder="0" applyAlignment="0" applyProtection="0"/>
    <xf numFmtId="0" fontId="16" fillId="20" borderId="0" applyNumberFormat="0" applyAlignment="0" applyProtection="0"/>
    <xf numFmtId="0" fontId="16" fillId="76" borderId="0" applyNumberFormat="0" applyBorder="0" applyAlignment="0" applyProtection="0"/>
    <xf numFmtId="0" fontId="16" fillId="76" borderId="0" applyNumberFormat="0" applyBorder="0" applyAlignment="0" applyProtection="0"/>
    <xf numFmtId="0" fontId="16" fillId="20" borderId="0" applyNumberFormat="0" applyAlignment="0" applyProtection="0"/>
    <xf numFmtId="0" fontId="16" fillId="20" borderId="0" applyNumberFormat="0" applyAlignment="0" applyProtection="0"/>
    <xf numFmtId="0" fontId="16" fillId="20" borderId="0" applyNumberFormat="0" applyAlignment="0" applyProtection="0"/>
    <xf numFmtId="0" fontId="16" fillId="20" borderId="0" applyNumberFormat="0" applyAlignment="0" applyProtection="0"/>
    <xf numFmtId="0" fontId="16" fillId="20" borderId="0" applyNumberFormat="0" applyAlignment="0" applyProtection="0"/>
    <xf numFmtId="0" fontId="16" fillId="20" borderId="0" applyNumberFormat="0" applyAlignment="0" applyProtection="0"/>
    <xf numFmtId="0" fontId="16" fillId="20" borderId="0" applyNumberFormat="0" applyAlignment="0" applyProtection="0"/>
    <xf numFmtId="0" fontId="16" fillId="75" borderId="0" applyNumberFormat="0" applyBorder="0" applyAlignment="0" applyProtection="0"/>
    <xf numFmtId="0" fontId="16" fillId="20" borderId="0" applyNumberFormat="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20" borderId="0" applyNumberFormat="0" applyAlignment="0" applyProtection="0"/>
    <xf numFmtId="0" fontId="16" fillId="20" borderId="0" applyNumberFormat="0" applyAlignment="0" applyProtection="0"/>
    <xf numFmtId="0" fontId="16" fillId="75" borderId="0" applyNumberFormat="0" applyBorder="0" applyAlignment="0" applyProtection="0"/>
    <xf numFmtId="0" fontId="16" fillId="20" borderId="0" applyNumberFormat="0" applyAlignment="0" applyProtection="0"/>
    <xf numFmtId="0" fontId="16" fillId="75" borderId="0" applyNumberFormat="0" applyBorder="0" applyAlignment="0" applyProtection="0"/>
    <xf numFmtId="0" fontId="16" fillId="75" borderId="0" applyNumberFormat="0" applyBorder="0" applyAlignment="0" applyProtection="0"/>
    <xf numFmtId="0" fontId="16" fillId="20" borderId="0" applyNumberFormat="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6" fillId="73" borderId="0" applyNumberFormat="0" applyBorder="0" applyAlignment="0" applyProtection="0"/>
    <xf numFmtId="0" fontId="16" fillId="15" borderId="0" applyNumberFormat="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15" borderId="0" applyNumberFormat="0" applyAlignment="0" applyProtection="0"/>
    <xf numFmtId="0" fontId="16" fillId="73" borderId="0" applyNumberFormat="0" applyBorder="0" applyAlignment="0" applyProtection="0"/>
    <xf numFmtId="0" fontId="16" fillId="73" borderId="0" applyNumberFormat="0" applyBorder="0" applyAlignment="0" applyProtection="0"/>
    <xf numFmtId="0" fontId="16" fillId="15" borderId="0" applyNumberFormat="0" applyAlignment="0" applyProtection="0"/>
    <xf numFmtId="0" fontId="16" fillId="73" borderId="0" applyNumberFormat="0" applyBorder="0" applyAlignment="0" applyProtection="0"/>
    <xf numFmtId="0" fontId="16" fillId="73" borderId="0" applyNumberFormat="0" applyBorder="0" applyAlignment="0" applyProtection="0"/>
    <xf numFmtId="0" fontId="16" fillId="15" borderId="0" applyNumberFormat="0" applyAlignment="0" applyProtection="0"/>
    <xf numFmtId="0" fontId="16" fillId="15" borderId="0" applyNumberFormat="0" applyAlignment="0" applyProtection="0"/>
    <xf numFmtId="0" fontId="16" fillId="15" borderId="0" applyNumberFormat="0" applyAlignment="0" applyProtection="0"/>
    <xf numFmtId="0" fontId="16" fillId="15" borderId="0" applyNumberFormat="0" applyAlignment="0" applyProtection="0"/>
    <xf numFmtId="0" fontId="16" fillId="15" borderId="0" applyNumberFormat="0" applyAlignment="0" applyProtection="0"/>
    <xf numFmtId="0" fontId="16" fillId="15" borderId="0" applyNumberFormat="0" applyAlignment="0" applyProtection="0"/>
    <xf numFmtId="0" fontId="16" fillId="15" borderId="0" applyNumberFormat="0" applyAlignment="0" applyProtection="0"/>
    <xf numFmtId="0" fontId="16" fillId="70" borderId="0" applyNumberFormat="0" applyBorder="0" applyAlignment="0" applyProtection="0"/>
    <xf numFmtId="0" fontId="16" fillId="15" borderId="0" applyNumberFormat="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15" borderId="0" applyNumberFormat="0" applyAlignment="0" applyProtection="0"/>
    <xf numFmtId="0" fontId="16" fillId="15" borderId="0" applyNumberFormat="0" applyAlignment="0" applyProtection="0"/>
    <xf numFmtId="0" fontId="16" fillId="70" borderId="0" applyNumberFormat="0" applyBorder="0" applyAlignment="0" applyProtection="0"/>
    <xf numFmtId="0" fontId="16" fillId="15" borderId="0" applyNumberFormat="0" applyAlignment="0" applyProtection="0"/>
    <xf numFmtId="0" fontId="16" fillId="70" borderId="0" applyNumberFormat="0" applyBorder="0" applyAlignment="0" applyProtection="0"/>
    <xf numFmtId="0" fontId="16" fillId="70" borderId="0" applyNumberFormat="0" applyBorder="0" applyAlignment="0" applyProtection="0"/>
    <xf numFmtId="0" fontId="16" fillId="15" borderId="0" applyNumberFormat="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6" fillId="72" borderId="0" applyNumberFormat="0" applyBorder="0" applyAlignment="0" applyProtection="0"/>
    <xf numFmtId="0" fontId="16" fillId="18" borderId="0" applyNumberFormat="0" applyAlignment="0" applyProtection="0"/>
    <xf numFmtId="0" fontId="16" fillId="72" borderId="0" applyNumberFormat="0" applyBorder="0" applyAlignment="0" applyProtection="0"/>
    <xf numFmtId="0" fontId="16" fillId="72" borderId="0" applyNumberFormat="0" applyBorder="0" applyAlignment="0" applyProtection="0"/>
    <xf numFmtId="0" fontId="16" fillId="72" borderId="0" applyNumberFormat="0" applyBorder="0" applyAlignment="0" applyProtection="0"/>
    <xf numFmtId="0" fontId="16" fillId="18" borderId="0" applyNumberFormat="0" applyAlignment="0" applyProtection="0"/>
    <xf numFmtId="0" fontId="16" fillId="72" borderId="0" applyNumberFormat="0" applyBorder="0" applyAlignment="0" applyProtection="0"/>
    <xf numFmtId="0" fontId="16" fillId="72" borderId="0" applyNumberFormat="0" applyBorder="0" applyAlignment="0" applyProtection="0"/>
    <xf numFmtId="0" fontId="16" fillId="18" borderId="0" applyNumberFormat="0" applyAlignment="0" applyProtection="0"/>
    <xf numFmtId="0" fontId="16" fillId="72" borderId="0" applyNumberFormat="0" applyBorder="0" applyAlignment="0" applyProtection="0"/>
    <xf numFmtId="0" fontId="16" fillId="72" borderId="0" applyNumberFormat="0" applyBorder="0" applyAlignment="0" applyProtection="0"/>
    <xf numFmtId="0" fontId="16" fillId="18" borderId="0" applyNumberFormat="0" applyAlignment="0" applyProtection="0"/>
    <xf numFmtId="0" fontId="16" fillId="18" borderId="0" applyNumberFormat="0" applyAlignment="0" applyProtection="0"/>
    <xf numFmtId="0" fontId="16" fillId="18" borderId="0" applyNumberFormat="0" applyAlignment="0" applyProtection="0"/>
    <xf numFmtId="0" fontId="16" fillId="18" borderId="0" applyNumberFormat="0" applyAlignment="0" applyProtection="0"/>
    <xf numFmtId="0" fontId="16" fillId="18" borderId="0" applyNumberFormat="0" applyAlignment="0" applyProtection="0"/>
    <xf numFmtId="0" fontId="16" fillId="18" borderId="0" applyNumberFormat="0" applyAlignment="0" applyProtection="0"/>
    <xf numFmtId="0" fontId="16" fillId="18" borderId="0" applyNumberFormat="0" applyAlignment="0" applyProtection="0"/>
    <xf numFmtId="0" fontId="16" fillId="18" borderId="0" applyNumberFormat="0" applyAlignment="0" applyProtection="0"/>
    <xf numFmtId="0" fontId="16" fillId="18" borderId="0" applyNumberFormat="0" applyAlignment="0" applyProtection="0"/>
    <xf numFmtId="0" fontId="16" fillId="18" borderId="0" applyNumberFormat="0" applyAlignment="0" applyProtection="0"/>
    <xf numFmtId="0" fontId="16" fillId="18" borderId="0" applyNumberFormat="0" applyAlignment="0" applyProtection="0"/>
    <xf numFmtId="0" fontId="12" fillId="58" borderId="0" applyNumberFormat="0" applyBorder="0" applyAlignment="0" applyProtection="0"/>
    <xf numFmtId="0" fontId="16" fillId="77" borderId="0" applyNumberFormat="0" applyBorder="0" applyAlignment="0" applyProtection="0"/>
    <xf numFmtId="0" fontId="16" fillId="77"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6" fillId="67" borderId="0" applyNumberFormat="0" applyBorder="0" applyAlignment="0" applyProtection="0"/>
    <xf numFmtId="0" fontId="16" fillId="21" borderId="0" applyNumberFormat="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21" borderId="0" applyNumberFormat="0" applyAlignment="0" applyProtection="0"/>
    <xf numFmtId="0" fontId="16" fillId="67" borderId="0" applyNumberFormat="0" applyBorder="0" applyAlignment="0" applyProtection="0"/>
    <xf numFmtId="0" fontId="16" fillId="67" borderId="0" applyNumberFormat="0" applyBorder="0" applyAlignment="0" applyProtection="0"/>
    <xf numFmtId="0" fontId="16" fillId="21" borderId="0" applyNumberFormat="0" applyAlignment="0" applyProtection="0"/>
    <xf numFmtId="0" fontId="16" fillId="67" borderId="0" applyNumberFormat="0" applyBorder="0" applyAlignment="0" applyProtection="0"/>
    <xf numFmtId="0" fontId="16" fillId="67" borderId="0" applyNumberFormat="0" applyBorder="0" applyAlignment="0" applyProtection="0"/>
    <xf numFmtId="0" fontId="16" fillId="21" borderId="0" applyNumberFormat="0" applyAlignment="0" applyProtection="0"/>
    <xf numFmtId="0" fontId="16" fillId="21" borderId="0" applyNumberFormat="0" applyAlignment="0" applyProtection="0"/>
    <xf numFmtId="0" fontId="16" fillId="21" borderId="0" applyNumberFormat="0" applyAlignment="0" applyProtection="0"/>
    <xf numFmtId="0" fontId="16" fillId="21" borderId="0" applyNumberFormat="0" applyAlignment="0" applyProtection="0"/>
    <xf numFmtId="0" fontId="16" fillId="21" borderId="0" applyNumberFormat="0" applyAlignment="0" applyProtection="0"/>
    <xf numFmtId="0" fontId="16" fillId="21" borderId="0" applyNumberFormat="0" applyAlignment="0" applyProtection="0"/>
    <xf numFmtId="0" fontId="16" fillId="21" borderId="0" applyNumberFormat="0" applyAlignment="0" applyProtection="0"/>
    <xf numFmtId="0" fontId="16" fillId="77" borderId="0" applyNumberFormat="0" applyBorder="0" applyAlignment="0" applyProtection="0"/>
    <xf numFmtId="0" fontId="16" fillId="21" borderId="0" applyNumberFormat="0" applyAlignment="0" applyProtection="0"/>
    <xf numFmtId="0" fontId="16" fillId="77" borderId="0" applyNumberFormat="0" applyBorder="0" applyAlignment="0" applyProtection="0"/>
    <xf numFmtId="0" fontId="16" fillId="77" borderId="0" applyNumberFormat="0" applyBorder="0" applyAlignment="0" applyProtection="0"/>
    <xf numFmtId="0" fontId="16" fillId="77" borderId="0" applyNumberFormat="0" applyBorder="0" applyAlignment="0" applyProtection="0"/>
    <xf numFmtId="0" fontId="16" fillId="21" borderId="0" applyNumberFormat="0" applyAlignment="0" applyProtection="0"/>
    <xf numFmtId="0" fontId="16" fillId="21" borderId="0" applyNumberFormat="0" applyAlignment="0" applyProtection="0"/>
    <xf numFmtId="0" fontId="16" fillId="77" borderId="0" applyNumberFormat="0" applyBorder="0" applyAlignment="0" applyProtection="0"/>
    <xf numFmtId="0" fontId="16" fillId="21" borderId="0" applyNumberFormat="0" applyAlignment="0" applyProtection="0"/>
    <xf numFmtId="0" fontId="16" fillId="77" borderId="0" applyNumberFormat="0" applyBorder="0" applyAlignment="0" applyProtection="0"/>
    <xf numFmtId="0" fontId="16" fillId="77" borderId="0" applyNumberFormat="0" applyBorder="0" applyAlignment="0" applyProtection="0"/>
    <xf numFmtId="0" fontId="16" fillId="21" borderId="0" applyNumberFormat="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7" fillId="78" borderId="0" applyNumberFormat="0" applyBorder="0" applyAlignment="0" applyProtection="0"/>
    <xf numFmtId="0" fontId="17" fillId="78" borderId="0" applyNumberFormat="0" applyBorder="0" applyAlignment="0" applyProtection="0"/>
    <xf numFmtId="0" fontId="48" fillId="43" borderId="0" applyNumberFormat="0" applyBorder="0" applyAlignment="0" applyProtection="0"/>
    <xf numFmtId="0" fontId="48" fillId="43" borderId="0" applyNumberFormat="0" applyBorder="0" applyAlignment="0" applyProtection="0"/>
    <xf numFmtId="0" fontId="17" fillId="79" borderId="0" applyNumberFormat="0" applyBorder="0" applyAlignment="0" applyProtection="0"/>
    <xf numFmtId="0" fontId="17" fillId="22" borderId="0" applyNumberFormat="0" applyAlignment="0" applyProtection="0"/>
    <xf numFmtId="0" fontId="17" fillId="79" borderId="0" applyNumberFormat="0" applyBorder="0" applyAlignment="0" applyProtection="0"/>
    <xf numFmtId="0" fontId="17" fillId="79" borderId="0" applyNumberFormat="0" applyBorder="0" applyAlignment="0" applyProtection="0"/>
    <xf numFmtId="0" fontId="17" fillId="79" borderId="0" applyNumberFormat="0" applyBorder="0" applyAlignment="0" applyProtection="0"/>
    <xf numFmtId="0" fontId="17" fillId="22" borderId="0" applyNumberFormat="0" applyAlignment="0" applyProtection="0"/>
    <xf numFmtId="0" fontId="17" fillId="79" borderId="0" applyNumberFormat="0" applyBorder="0" applyAlignment="0" applyProtection="0"/>
    <xf numFmtId="0" fontId="17" fillId="79" borderId="0" applyNumberFormat="0" applyBorder="0" applyAlignment="0" applyProtection="0"/>
    <xf numFmtId="0" fontId="17" fillId="22" borderId="0" applyNumberFormat="0" applyAlignment="0" applyProtection="0"/>
    <xf numFmtId="0" fontId="17" fillId="79" borderId="0" applyNumberFormat="0" applyBorder="0" applyAlignment="0" applyProtection="0"/>
    <xf numFmtId="0" fontId="17" fillId="79" borderId="0" applyNumberFormat="0" applyBorder="0" applyAlignment="0" applyProtection="0"/>
    <xf numFmtId="0" fontId="17" fillId="22" borderId="0" applyNumberFormat="0" applyAlignment="0" applyProtection="0"/>
    <xf numFmtId="0" fontId="17" fillId="22" borderId="0" applyNumberFormat="0" applyAlignment="0" applyProtection="0"/>
    <xf numFmtId="0" fontId="17" fillId="22" borderId="0" applyNumberFormat="0" applyAlignment="0" applyProtection="0"/>
    <xf numFmtId="0" fontId="17" fillId="22" borderId="0" applyNumberFormat="0" applyAlignment="0" applyProtection="0"/>
    <xf numFmtId="0" fontId="17" fillId="22" borderId="0" applyNumberFormat="0" applyAlignment="0" applyProtection="0"/>
    <xf numFmtId="0" fontId="17" fillId="22" borderId="0" applyNumberFormat="0" applyAlignment="0" applyProtection="0"/>
    <xf numFmtId="0" fontId="17" fillId="22" borderId="0" applyNumberFormat="0" applyAlignment="0" applyProtection="0"/>
    <xf numFmtId="0" fontId="17" fillId="78" borderId="0" applyNumberFormat="0" applyBorder="0" applyAlignment="0" applyProtection="0"/>
    <xf numFmtId="0" fontId="17" fillId="22" borderId="0" applyNumberFormat="0" applyAlignment="0" applyProtection="0"/>
    <xf numFmtId="0" fontId="17" fillId="78" borderId="0" applyNumberFormat="0" applyBorder="0" applyAlignment="0" applyProtection="0"/>
    <xf numFmtId="0" fontId="17" fillId="78" borderId="0" applyNumberFormat="0" applyBorder="0" applyAlignment="0" applyProtection="0"/>
    <xf numFmtId="0" fontId="17" fillId="78" borderId="0" applyNumberFormat="0" applyBorder="0" applyAlignment="0" applyProtection="0"/>
    <xf numFmtId="0" fontId="17" fillId="22" borderId="0" applyNumberFormat="0" applyAlignment="0" applyProtection="0"/>
    <xf numFmtId="0" fontId="17" fillId="22" borderId="0" applyNumberFormat="0" applyAlignment="0" applyProtection="0"/>
    <xf numFmtId="0" fontId="17" fillId="78" borderId="0" applyNumberFormat="0" applyBorder="0" applyAlignment="0" applyProtection="0"/>
    <xf numFmtId="0" fontId="17" fillId="22" borderId="0" applyNumberFormat="0" applyAlignment="0" applyProtection="0"/>
    <xf numFmtId="0" fontId="17" fillId="78" borderId="0" applyNumberFormat="0" applyBorder="0" applyAlignment="0" applyProtection="0"/>
    <xf numFmtId="0" fontId="17" fillId="78" borderId="0" applyNumberFormat="0" applyBorder="0" applyAlignment="0" applyProtection="0"/>
    <xf numFmtId="0" fontId="17" fillId="22" borderId="0" applyNumberFormat="0" applyAlignment="0" applyProtection="0"/>
    <xf numFmtId="0" fontId="48" fillId="43" borderId="0" applyNumberFormat="0" applyBorder="0" applyAlignment="0" applyProtection="0"/>
    <xf numFmtId="0" fontId="48" fillId="43" borderId="0" applyNumberFormat="0" applyBorder="0" applyAlignment="0" applyProtection="0"/>
    <xf numFmtId="0" fontId="48" fillId="43" borderId="0" applyNumberFormat="0" applyBorder="0" applyAlignment="0" applyProtection="0"/>
    <xf numFmtId="0" fontId="48" fillId="43" borderId="0" applyNumberFormat="0" applyBorder="0" applyAlignment="0" applyProtection="0"/>
    <xf numFmtId="0" fontId="48" fillId="43" borderId="0" applyNumberFormat="0" applyBorder="0" applyAlignment="0" applyProtection="0"/>
    <xf numFmtId="0" fontId="17" fillId="74" borderId="0" applyNumberFormat="0" applyBorder="0" applyAlignment="0" applyProtection="0"/>
    <xf numFmtId="0" fontId="17" fillId="74" borderId="0" applyNumberFormat="0" applyBorder="0" applyAlignment="0" applyProtection="0"/>
    <xf numFmtId="0" fontId="48" fillId="47" borderId="0" applyNumberFormat="0" applyBorder="0" applyAlignment="0" applyProtection="0"/>
    <xf numFmtId="0" fontId="48" fillId="47" borderId="0" applyNumberFormat="0" applyBorder="0" applyAlignment="0" applyProtection="0"/>
    <xf numFmtId="0" fontId="17" fillId="67" borderId="0" applyNumberFormat="0" applyBorder="0" applyAlignment="0" applyProtection="0"/>
    <xf numFmtId="0" fontId="17" fillId="19" borderId="0" applyNumberFormat="0" applyAlignment="0" applyProtection="0"/>
    <xf numFmtId="0" fontId="17" fillId="67" borderId="0" applyNumberFormat="0" applyBorder="0" applyAlignment="0" applyProtection="0"/>
    <xf numFmtId="0" fontId="17" fillId="67" borderId="0" applyNumberFormat="0" applyBorder="0" applyAlignment="0" applyProtection="0"/>
    <xf numFmtId="0" fontId="17" fillId="67" borderId="0" applyNumberFormat="0" applyBorder="0" applyAlignment="0" applyProtection="0"/>
    <xf numFmtId="0" fontId="17" fillId="19" borderId="0" applyNumberFormat="0" applyAlignment="0" applyProtection="0"/>
    <xf numFmtId="0" fontId="17" fillId="67" borderId="0" applyNumberFormat="0" applyBorder="0" applyAlignment="0" applyProtection="0"/>
    <xf numFmtId="0" fontId="17" fillId="67" borderId="0" applyNumberFormat="0" applyBorder="0" applyAlignment="0" applyProtection="0"/>
    <xf numFmtId="0" fontId="17" fillId="19" borderId="0" applyNumberFormat="0" applyAlignment="0" applyProtection="0"/>
    <xf numFmtId="0" fontId="17" fillId="67" borderId="0" applyNumberFormat="0" applyBorder="0" applyAlignment="0" applyProtection="0"/>
    <xf numFmtId="0" fontId="17" fillId="67" borderId="0" applyNumberFormat="0" applyBorder="0" applyAlignment="0" applyProtection="0"/>
    <xf numFmtId="0" fontId="17" fillId="19" borderId="0" applyNumberFormat="0" applyAlignment="0" applyProtection="0"/>
    <xf numFmtId="0" fontId="17" fillId="19" borderId="0" applyNumberFormat="0" applyAlignment="0" applyProtection="0"/>
    <xf numFmtId="0" fontId="17" fillId="19" borderId="0" applyNumberFormat="0" applyAlignment="0" applyProtection="0"/>
    <xf numFmtId="0" fontId="17" fillId="19" borderId="0" applyNumberFormat="0" applyAlignment="0" applyProtection="0"/>
    <xf numFmtId="0" fontId="17" fillId="19" borderId="0" applyNumberFormat="0" applyAlignment="0" applyProtection="0"/>
    <xf numFmtId="0" fontId="17" fillId="19" borderId="0" applyNumberFormat="0" applyAlignment="0" applyProtection="0"/>
    <xf numFmtId="0" fontId="17" fillId="19" borderId="0" applyNumberFormat="0" applyAlignment="0" applyProtection="0"/>
    <xf numFmtId="0" fontId="17" fillId="74" borderId="0" applyNumberFormat="0" applyBorder="0" applyAlignment="0" applyProtection="0"/>
    <xf numFmtId="0" fontId="17" fillId="19" borderId="0" applyNumberFormat="0" applyAlignment="0" applyProtection="0"/>
    <xf numFmtId="0" fontId="17" fillId="74" borderId="0" applyNumberFormat="0" applyBorder="0" applyAlignment="0" applyProtection="0"/>
    <xf numFmtId="0" fontId="17" fillId="74" borderId="0" applyNumberFormat="0" applyBorder="0" applyAlignment="0" applyProtection="0"/>
    <xf numFmtId="0" fontId="17" fillId="74" borderId="0" applyNumberFormat="0" applyBorder="0" applyAlignment="0" applyProtection="0"/>
    <xf numFmtId="0" fontId="17" fillId="19" borderId="0" applyNumberFormat="0" applyAlignment="0" applyProtection="0"/>
    <xf numFmtId="0" fontId="17" fillId="19" borderId="0" applyNumberFormat="0" applyAlignment="0" applyProtection="0"/>
    <xf numFmtId="0" fontId="17" fillId="74" borderId="0" applyNumberFormat="0" applyBorder="0" applyAlignment="0" applyProtection="0"/>
    <xf numFmtId="0" fontId="17" fillId="19" borderId="0" applyNumberFormat="0" applyAlignment="0" applyProtection="0"/>
    <xf numFmtId="0" fontId="17" fillId="74" borderId="0" applyNumberFormat="0" applyBorder="0" applyAlignment="0" applyProtection="0"/>
    <xf numFmtId="0" fontId="17" fillId="74" borderId="0" applyNumberFormat="0" applyBorder="0" applyAlignment="0" applyProtection="0"/>
    <xf numFmtId="0" fontId="17" fillId="19" borderId="0" applyNumberFormat="0" applyAlignment="0" applyProtection="0"/>
    <xf numFmtId="0" fontId="48" fillId="47" borderId="0" applyNumberFormat="0" applyBorder="0" applyAlignment="0" applyProtection="0"/>
    <xf numFmtId="0" fontId="48" fillId="47" borderId="0" applyNumberFormat="0" applyBorder="0" applyAlignment="0" applyProtection="0"/>
    <xf numFmtId="0" fontId="48" fillId="47" borderId="0" applyNumberFormat="0" applyBorder="0" applyAlignment="0" applyProtection="0"/>
    <xf numFmtId="0" fontId="48" fillId="47" borderId="0" applyNumberFormat="0" applyBorder="0" applyAlignment="0" applyProtection="0"/>
    <xf numFmtId="0" fontId="48" fillId="47" borderId="0" applyNumberFormat="0" applyBorder="0" applyAlignment="0" applyProtection="0"/>
    <xf numFmtId="0" fontId="17" fillId="75" borderId="0" applyNumberFormat="0" applyBorder="0" applyAlignment="0" applyProtection="0"/>
    <xf numFmtId="0" fontId="17" fillId="75" borderId="0" applyNumberFormat="0" applyBorder="0" applyAlignment="0" applyProtection="0"/>
    <xf numFmtId="0" fontId="48" fillId="75" borderId="0" applyNumberFormat="0" applyBorder="0" applyAlignment="0" applyProtection="0"/>
    <xf numFmtId="0" fontId="48" fillId="51"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51" borderId="0" applyNumberFormat="0" applyBorder="0" applyAlignment="0" applyProtection="0"/>
    <xf numFmtId="0" fontId="48" fillId="51" borderId="0" applyNumberFormat="0" applyBorder="0" applyAlignment="0" applyProtection="0"/>
    <xf numFmtId="0" fontId="17" fillId="76" borderId="0" applyNumberFormat="0" applyBorder="0" applyAlignment="0" applyProtection="0"/>
    <xf numFmtId="0" fontId="17" fillId="20" borderId="0" applyNumberFormat="0" applyAlignment="0" applyProtection="0"/>
    <xf numFmtId="0" fontId="17" fillId="76" borderId="0" applyNumberFormat="0" applyBorder="0" applyAlignment="0" applyProtection="0"/>
    <xf numFmtId="0" fontId="17" fillId="76" borderId="0" applyNumberFormat="0" applyBorder="0" applyAlignment="0" applyProtection="0"/>
    <xf numFmtId="0" fontId="17" fillId="76" borderId="0" applyNumberFormat="0" applyBorder="0" applyAlignment="0" applyProtection="0"/>
    <xf numFmtId="0" fontId="17" fillId="20" borderId="0" applyNumberFormat="0" applyAlignment="0" applyProtection="0"/>
    <xf numFmtId="0" fontId="17" fillId="76" borderId="0" applyNumberFormat="0" applyBorder="0" applyAlignment="0" applyProtection="0"/>
    <xf numFmtId="0" fontId="17" fillId="76" borderId="0" applyNumberFormat="0" applyBorder="0" applyAlignment="0" applyProtection="0"/>
    <xf numFmtId="0" fontId="17" fillId="20" borderId="0" applyNumberFormat="0" applyAlignment="0" applyProtection="0"/>
    <xf numFmtId="0" fontId="17" fillId="76" borderId="0" applyNumberFormat="0" applyBorder="0" applyAlignment="0" applyProtection="0"/>
    <xf numFmtId="0" fontId="17" fillId="76" borderId="0" applyNumberFormat="0" applyBorder="0" applyAlignment="0" applyProtection="0"/>
    <xf numFmtId="0" fontId="17" fillId="20" borderId="0" applyNumberFormat="0" applyAlignment="0" applyProtection="0"/>
    <xf numFmtId="0" fontId="17" fillId="20" borderId="0" applyNumberFormat="0" applyAlignment="0" applyProtection="0"/>
    <xf numFmtId="0" fontId="17" fillId="20" borderId="0" applyNumberFormat="0" applyAlignment="0" applyProtection="0"/>
    <xf numFmtId="0" fontId="17" fillId="20" borderId="0" applyNumberFormat="0" applyAlignment="0" applyProtection="0"/>
    <xf numFmtId="0" fontId="17" fillId="20" borderId="0" applyNumberFormat="0" applyAlignment="0" applyProtection="0"/>
    <xf numFmtId="0" fontId="17" fillId="20" borderId="0" applyNumberFormat="0" applyAlignment="0" applyProtection="0"/>
    <xf numFmtId="0" fontId="17" fillId="20" borderId="0" applyNumberFormat="0" applyAlignment="0" applyProtection="0"/>
    <xf numFmtId="0" fontId="17" fillId="75" borderId="0" applyNumberFormat="0" applyBorder="0" applyAlignment="0" applyProtection="0"/>
    <xf numFmtId="0" fontId="17" fillId="20" borderId="0" applyNumberFormat="0" applyAlignment="0" applyProtection="0"/>
    <xf numFmtId="0" fontId="17" fillId="75" borderId="0" applyNumberFormat="0" applyBorder="0" applyAlignment="0" applyProtection="0"/>
    <xf numFmtId="0" fontId="17" fillId="75" borderId="0" applyNumberFormat="0" applyBorder="0" applyAlignment="0" applyProtection="0"/>
    <xf numFmtId="0" fontId="17" fillId="75" borderId="0" applyNumberFormat="0" applyBorder="0" applyAlignment="0" applyProtection="0"/>
    <xf numFmtId="0" fontId="17" fillId="20" borderId="0" applyNumberFormat="0" applyAlignment="0" applyProtection="0"/>
    <xf numFmtId="0" fontId="17" fillId="20" borderId="0" applyNumberFormat="0" applyAlignment="0" applyProtection="0"/>
    <xf numFmtId="0" fontId="17" fillId="75" borderId="0" applyNumberFormat="0" applyBorder="0" applyAlignment="0" applyProtection="0"/>
    <xf numFmtId="0" fontId="17" fillId="20" borderId="0" applyNumberFormat="0" applyAlignment="0" applyProtection="0"/>
    <xf numFmtId="0" fontId="17" fillId="75" borderId="0" applyNumberFormat="0" applyBorder="0" applyAlignment="0" applyProtection="0"/>
    <xf numFmtId="0" fontId="17" fillId="75" borderId="0" applyNumberFormat="0" applyBorder="0" applyAlignment="0" applyProtection="0"/>
    <xf numFmtId="0" fontId="17" fillId="20" borderId="0" applyNumberFormat="0" applyAlignment="0" applyProtection="0"/>
    <xf numFmtId="0" fontId="48" fillId="51"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51" borderId="0" applyNumberFormat="0" applyBorder="0" applyAlignment="0" applyProtection="0"/>
    <xf numFmtId="0" fontId="48" fillId="51"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51" borderId="0" applyNumberFormat="0" applyBorder="0" applyAlignment="0" applyProtection="0"/>
    <xf numFmtId="0" fontId="48" fillId="51"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51" borderId="0" applyNumberFormat="0" applyBorder="0" applyAlignment="0" applyProtection="0"/>
    <xf numFmtId="0" fontId="48" fillId="51"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51" borderId="0" applyNumberFormat="0" applyBorder="0" applyAlignment="0" applyProtection="0"/>
    <xf numFmtId="0" fontId="48" fillId="51"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51" borderId="0" applyNumberFormat="0" applyBorder="0" applyAlignment="0" applyProtection="0"/>
    <xf numFmtId="0" fontId="17" fillId="80" borderId="0" applyNumberFormat="0" applyBorder="0" applyAlignment="0" applyProtection="0"/>
    <xf numFmtId="0" fontId="17" fillId="80" borderId="0" applyNumberFormat="0" applyBorder="0" applyAlignment="0" applyProtection="0"/>
    <xf numFmtId="0" fontId="48" fillId="80" borderId="0" applyNumberFormat="0" applyBorder="0" applyAlignment="0" applyProtection="0"/>
    <xf numFmtId="0" fontId="48" fillId="55"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55" borderId="0" applyNumberFormat="0" applyBorder="0" applyAlignment="0" applyProtection="0"/>
    <xf numFmtId="0" fontId="48" fillId="55" borderId="0" applyNumberFormat="0" applyBorder="0" applyAlignment="0" applyProtection="0"/>
    <xf numFmtId="0" fontId="17" fillId="73" borderId="0" applyNumberFormat="0" applyBorder="0" applyAlignment="0" applyProtection="0"/>
    <xf numFmtId="0" fontId="17" fillId="23" borderId="0" applyNumberFormat="0" applyAlignment="0" applyProtection="0"/>
    <xf numFmtId="0" fontId="17" fillId="73" borderId="0" applyNumberFormat="0" applyBorder="0" applyAlignment="0" applyProtection="0"/>
    <xf numFmtId="0" fontId="17" fillId="73" borderId="0" applyNumberFormat="0" applyBorder="0" applyAlignment="0" applyProtection="0"/>
    <xf numFmtId="0" fontId="17" fillId="73" borderId="0" applyNumberFormat="0" applyBorder="0" applyAlignment="0" applyProtection="0"/>
    <xf numFmtId="0" fontId="17" fillId="23" borderId="0" applyNumberFormat="0" applyAlignment="0" applyProtection="0"/>
    <xf numFmtId="0" fontId="17" fillId="73" borderId="0" applyNumberFormat="0" applyBorder="0" applyAlignment="0" applyProtection="0"/>
    <xf numFmtId="0" fontId="17" fillId="73" borderId="0" applyNumberFormat="0" applyBorder="0" applyAlignment="0" applyProtection="0"/>
    <xf numFmtId="0" fontId="17" fillId="23" borderId="0" applyNumberFormat="0" applyAlignment="0" applyProtection="0"/>
    <xf numFmtId="0" fontId="17" fillId="73" borderId="0" applyNumberFormat="0" applyBorder="0" applyAlignment="0" applyProtection="0"/>
    <xf numFmtId="0" fontId="17" fillId="73" borderId="0" applyNumberFormat="0" applyBorder="0" applyAlignment="0" applyProtection="0"/>
    <xf numFmtId="0" fontId="17" fillId="23" borderId="0" applyNumberFormat="0" applyAlignment="0" applyProtection="0"/>
    <xf numFmtId="0" fontId="17" fillId="23" borderId="0" applyNumberFormat="0" applyAlignment="0" applyProtection="0"/>
    <xf numFmtId="0" fontId="17" fillId="23" borderId="0" applyNumberFormat="0" applyAlignment="0" applyProtection="0"/>
    <xf numFmtId="0" fontId="17" fillId="23" borderId="0" applyNumberFormat="0" applyAlignment="0" applyProtection="0"/>
    <xf numFmtId="0" fontId="17" fillId="23" borderId="0" applyNumberFormat="0" applyAlignment="0" applyProtection="0"/>
    <xf numFmtId="0" fontId="17" fillId="23" borderId="0" applyNumberFormat="0" applyAlignment="0" applyProtection="0"/>
    <xf numFmtId="0" fontId="17" fillId="23" borderId="0" applyNumberFormat="0" applyAlignment="0" applyProtection="0"/>
    <xf numFmtId="0" fontId="17" fillId="80" borderId="0" applyNumberFormat="0" applyBorder="0" applyAlignment="0" applyProtection="0"/>
    <xf numFmtId="0" fontId="17" fillId="23" borderId="0" applyNumberFormat="0" applyAlignment="0" applyProtection="0"/>
    <xf numFmtId="0" fontId="17" fillId="80" borderId="0" applyNumberFormat="0" applyBorder="0" applyAlignment="0" applyProtection="0"/>
    <xf numFmtId="0" fontId="17" fillId="80" borderId="0" applyNumberFormat="0" applyBorder="0" applyAlignment="0" applyProtection="0"/>
    <xf numFmtId="0" fontId="17" fillId="80" borderId="0" applyNumberFormat="0" applyBorder="0" applyAlignment="0" applyProtection="0"/>
    <xf numFmtId="0" fontId="17" fillId="23" borderId="0" applyNumberFormat="0" applyAlignment="0" applyProtection="0"/>
    <xf numFmtId="0" fontId="17" fillId="23" borderId="0" applyNumberFormat="0" applyAlignment="0" applyProtection="0"/>
    <xf numFmtId="0" fontId="17" fillId="80" borderId="0" applyNumberFormat="0" applyBorder="0" applyAlignment="0" applyProtection="0"/>
    <xf numFmtId="0" fontId="17" fillId="23" borderId="0" applyNumberFormat="0" applyAlignment="0" applyProtection="0"/>
    <xf numFmtId="0" fontId="17" fillId="80" borderId="0" applyNumberFormat="0" applyBorder="0" applyAlignment="0" applyProtection="0"/>
    <xf numFmtId="0" fontId="17" fillId="80" borderId="0" applyNumberFormat="0" applyBorder="0" applyAlignment="0" applyProtection="0"/>
    <xf numFmtId="0" fontId="17" fillId="23" borderId="0" applyNumberFormat="0" applyAlignment="0" applyProtection="0"/>
    <xf numFmtId="0" fontId="48" fillId="55"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55" borderId="0" applyNumberFormat="0" applyBorder="0" applyAlignment="0" applyProtection="0"/>
    <xf numFmtId="0" fontId="48" fillId="55"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55" borderId="0" applyNumberFormat="0" applyBorder="0" applyAlignment="0" applyProtection="0"/>
    <xf numFmtId="0" fontId="48" fillId="55"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55" borderId="0" applyNumberFormat="0" applyBorder="0" applyAlignment="0" applyProtection="0"/>
    <xf numFmtId="0" fontId="48" fillId="55"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55" borderId="0" applyNumberFormat="0" applyBorder="0" applyAlignment="0" applyProtection="0"/>
    <xf numFmtId="0" fontId="48" fillId="55"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55" borderId="0" applyNumberFormat="0" applyBorder="0" applyAlignment="0" applyProtection="0"/>
    <xf numFmtId="0" fontId="17" fillId="81" borderId="0" applyNumberFormat="0" applyBorder="0" applyAlignment="0" applyProtection="0"/>
    <xf numFmtId="0" fontId="17" fillId="81" borderId="0" applyNumberFormat="0" applyBorder="0" applyAlignment="0" applyProtection="0"/>
    <xf numFmtId="0" fontId="48" fillId="59" borderId="0" applyNumberFormat="0" applyBorder="0" applyAlignment="0" applyProtection="0"/>
    <xf numFmtId="0" fontId="48" fillId="59" borderId="0" applyNumberFormat="0" applyBorder="0" applyAlignment="0" applyProtection="0"/>
    <xf numFmtId="0" fontId="17" fillId="72" borderId="0" applyNumberFormat="0" applyBorder="0" applyAlignment="0" applyProtection="0"/>
    <xf numFmtId="0" fontId="17" fillId="24" borderId="0" applyNumberFormat="0" applyAlignment="0" applyProtection="0"/>
    <xf numFmtId="0" fontId="17" fillId="72" borderId="0" applyNumberFormat="0" applyBorder="0" applyAlignment="0" applyProtection="0"/>
    <xf numFmtId="0" fontId="17" fillId="72" borderId="0" applyNumberFormat="0" applyBorder="0" applyAlignment="0" applyProtection="0"/>
    <xf numFmtId="0" fontId="17" fillId="72" borderId="0" applyNumberFormat="0" applyBorder="0" applyAlignment="0" applyProtection="0"/>
    <xf numFmtId="0" fontId="17" fillId="24" borderId="0" applyNumberFormat="0" applyAlignment="0" applyProtection="0"/>
    <xf numFmtId="0" fontId="17" fillId="72" borderId="0" applyNumberFormat="0" applyBorder="0" applyAlignment="0" applyProtection="0"/>
    <xf numFmtId="0" fontId="17" fillId="72" borderId="0" applyNumberFormat="0" applyBorder="0" applyAlignment="0" applyProtection="0"/>
    <xf numFmtId="0" fontId="17" fillId="24" borderId="0" applyNumberFormat="0" applyAlignment="0" applyProtection="0"/>
    <xf numFmtId="0" fontId="17" fillId="72" borderId="0" applyNumberFormat="0" applyBorder="0" applyAlignment="0" applyProtection="0"/>
    <xf numFmtId="0" fontId="17" fillId="72" borderId="0" applyNumberFormat="0" applyBorder="0" applyAlignment="0" applyProtection="0"/>
    <xf numFmtId="0" fontId="17" fillId="24" borderId="0" applyNumberFormat="0" applyAlignment="0" applyProtection="0"/>
    <xf numFmtId="0" fontId="17" fillId="24" borderId="0" applyNumberFormat="0" applyAlignment="0" applyProtection="0"/>
    <xf numFmtId="0" fontId="17" fillId="24" borderId="0" applyNumberFormat="0" applyAlignment="0" applyProtection="0"/>
    <xf numFmtId="0" fontId="17" fillId="24" borderId="0" applyNumberFormat="0" applyAlignment="0" applyProtection="0"/>
    <xf numFmtId="0" fontId="17" fillId="24" borderId="0" applyNumberFormat="0" applyAlignment="0" applyProtection="0"/>
    <xf numFmtId="0" fontId="17" fillId="24" borderId="0" applyNumberFormat="0" applyAlignment="0" applyProtection="0"/>
    <xf numFmtId="0" fontId="17" fillId="24" borderId="0" applyNumberFormat="0" applyAlignment="0" applyProtection="0"/>
    <xf numFmtId="0" fontId="17" fillId="81" borderId="0" applyNumberFormat="0" applyBorder="0" applyAlignment="0" applyProtection="0"/>
    <xf numFmtId="0" fontId="17" fillId="24" borderId="0" applyNumberFormat="0" applyAlignment="0" applyProtection="0"/>
    <xf numFmtId="0" fontId="17" fillId="81" borderId="0" applyNumberFormat="0" applyBorder="0" applyAlignment="0" applyProtection="0"/>
    <xf numFmtId="0" fontId="17" fillId="81" borderId="0" applyNumberFormat="0" applyBorder="0" applyAlignment="0" applyProtection="0"/>
    <xf numFmtId="0" fontId="17" fillId="81" borderId="0" applyNumberFormat="0" applyBorder="0" applyAlignment="0" applyProtection="0"/>
    <xf numFmtId="0" fontId="17" fillId="24" borderId="0" applyNumberFormat="0" applyAlignment="0" applyProtection="0"/>
    <xf numFmtId="0" fontId="17" fillId="24" borderId="0" applyNumberFormat="0" applyAlignment="0" applyProtection="0"/>
    <xf numFmtId="0" fontId="17" fillId="81" borderId="0" applyNumberFormat="0" applyBorder="0" applyAlignment="0" applyProtection="0"/>
    <xf numFmtId="0" fontId="17" fillId="24" borderId="0" applyNumberFormat="0" applyAlignment="0" applyProtection="0"/>
    <xf numFmtId="0" fontId="17" fillId="81" borderId="0" applyNumberFormat="0" applyBorder="0" applyAlignment="0" applyProtection="0"/>
    <xf numFmtId="0" fontId="17" fillId="81" borderId="0" applyNumberFormat="0" applyBorder="0" applyAlignment="0" applyProtection="0"/>
    <xf numFmtId="0" fontId="17" fillId="24" borderId="0" applyNumberFormat="0" applyAlignment="0" applyProtection="0"/>
    <xf numFmtId="0" fontId="48" fillId="59" borderId="0" applyNumberFormat="0" applyBorder="0" applyAlignment="0" applyProtection="0"/>
    <xf numFmtId="0" fontId="48" fillId="59" borderId="0" applyNumberFormat="0" applyBorder="0" applyAlignment="0" applyProtection="0"/>
    <xf numFmtId="0" fontId="48" fillId="59" borderId="0" applyNumberFormat="0" applyBorder="0" applyAlignment="0" applyProtection="0"/>
    <xf numFmtId="0" fontId="48" fillId="59" borderId="0" applyNumberFormat="0" applyBorder="0" applyAlignment="0" applyProtection="0"/>
    <xf numFmtId="0" fontId="48" fillId="59" borderId="0" applyNumberFormat="0" applyBorder="0" applyAlignment="0" applyProtection="0"/>
    <xf numFmtId="0" fontId="17" fillId="82" borderId="0" applyNumberFormat="0" applyBorder="0" applyAlignment="0" applyProtection="0"/>
    <xf numFmtId="0" fontId="17" fillId="82" borderId="0" applyNumberFormat="0" applyBorder="0" applyAlignment="0" applyProtection="0"/>
    <xf numFmtId="0" fontId="48" fillId="82" borderId="0" applyNumberFormat="0" applyBorder="0" applyAlignment="0" applyProtection="0"/>
    <xf numFmtId="0" fontId="48" fillId="63"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63" borderId="0" applyNumberFormat="0" applyBorder="0" applyAlignment="0" applyProtection="0"/>
    <xf numFmtId="0" fontId="48" fillId="63" borderId="0" applyNumberFormat="0" applyBorder="0" applyAlignment="0" applyProtection="0"/>
    <xf numFmtId="0" fontId="17" fillId="67" borderId="0" applyNumberFormat="0" applyBorder="0" applyAlignment="0" applyProtection="0"/>
    <xf numFmtId="0" fontId="17" fillId="25" borderId="0" applyNumberFormat="0" applyAlignment="0" applyProtection="0"/>
    <xf numFmtId="0" fontId="17" fillId="67" borderId="0" applyNumberFormat="0" applyBorder="0" applyAlignment="0" applyProtection="0"/>
    <xf numFmtId="0" fontId="17" fillId="67" borderId="0" applyNumberFormat="0" applyBorder="0" applyAlignment="0" applyProtection="0"/>
    <xf numFmtId="0" fontId="17" fillId="67" borderId="0" applyNumberFormat="0" applyBorder="0" applyAlignment="0" applyProtection="0"/>
    <xf numFmtId="0" fontId="17" fillId="25" borderId="0" applyNumberFormat="0" applyAlignment="0" applyProtection="0"/>
    <xf numFmtId="0" fontId="17" fillId="67" borderId="0" applyNumberFormat="0" applyBorder="0" applyAlignment="0" applyProtection="0"/>
    <xf numFmtId="0" fontId="17" fillId="67" borderId="0" applyNumberFormat="0" applyBorder="0" applyAlignment="0" applyProtection="0"/>
    <xf numFmtId="0" fontId="17" fillId="25" borderId="0" applyNumberFormat="0" applyAlignment="0" applyProtection="0"/>
    <xf numFmtId="0" fontId="17" fillId="67" borderId="0" applyNumberFormat="0" applyBorder="0" applyAlignment="0" applyProtection="0"/>
    <xf numFmtId="0" fontId="17" fillId="67" borderId="0" applyNumberFormat="0" applyBorder="0" applyAlignment="0" applyProtection="0"/>
    <xf numFmtId="0" fontId="17" fillId="25" borderId="0" applyNumberFormat="0" applyAlignment="0" applyProtection="0"/>
    <xf numFmtId="0" fontId="17" fillId="25" borderId="0" applyNumberFormat="0" applyAlignment="0" applyProtection="0"/>
    <xf numFmtId="0" fontId="17" fillId="25" borderId="0" applyNumberFormat="0" applyAlignment="0" applyProtection="0"/>
    <xf numFmtId="0" fontId="17" fillId="25" borderId="0" applyNumberFormat="0" applyAlignment="0" applyProtection="0"/>
    <xf numFmtId="0" fontId="17" fillId="25" borderId="0" applyNumberFormat="0" applyAlignment="0" applyProtection="0"/>
    <xf numFmtId="0" fontId="17" fillId="25" borderId="0" applyNumberFormat="0" applyAlignment="0" applyProtection="0"/>
    <xf numFmtId="0" fontId="17" fillId="25" borderId="0" applyNumberFormat="0" applyAlignment="0" applyProtection="0"/>
    <xf numFmtId="0" fontId="17" fillId="82" borderId="0" applyNumberFormat="0" applyBorder="0" applyAlignment="0" applyProtection="0"/>
    <xf numFmtId="0" fontId="17" fillId="25" borderId="0" applyNumberFormat="0" applyAlignment="0" applyProtection="0"/>
    <xf numFmtId="0" fontId="17" fillId="82" borderId="0" applyNumberFormat="0" applyBorder="0" applyAlignment="0" applyProtection="0"/>
    <xf numFmtId="0" fontId="17" fillId="82" borderId="0" applyNumberFormat="0" applyBorder="0" applyAlignment="0" applyProtection="0"/>
    <xf numFmtId="0" fontId="17" fillId="82" borderId="0" applyNumberFormat="0" applyBorder="0" applyAlignment="0" applyProtection="0"/>
    <xf numFmtId="0" fontId="17" fillId="25" borderId="0" applyNumberFormat="0" applyAlignment="0" applyProtection="0"/>
    <xf numFmtId="0" fontId="17" fillId="25" borderId="0" applyNumberFormat="0" applyAlignment="0" applyProtection="0"/>
    <xf numFmtId="0" fontId="17" fillId="82" borderId="0" applyNumberFormat="0" applyBorder="0" applyAlignment="0" applyProtection="0"/>
    <xf numFmtId="0" fontId="17" fillId="25" borderId="0" applyNumberFormat="0" applyAlignment="0" applyProtection="0"/>
    <xf numFmtId="0" fontId="17" fillId="82" borderId="0" applyNumberFormat="0" applyBorder="0" applyAlignment="0" applyProtection="0"/>
    <xf numFmtId="0" fontId="17" fillId="82" borderId="0" applyNumberFormat="0" applyBorder="0" applyAlignment="0" applyProtection="0"/>
    <xf numFmtId="0" fontId="17" fillId="25" borderId="0" applyNumberFormat="0" applyAlignment="0" applyProtection="0"/>
    <xf numFmtId="0" fontId="48" fillId="63"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63" borderId="0" applyNumberFormat="0" applyBorder="0" applyAlignment="0" applyProtection="0"/>
    <xf numFmtId="0" fontId="48" fillId="63"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63" borderId="0" applyNumberFormat="0" applyBorder="0" applyAlignment="0" applyProtection="0"/>
    <xf numFmtId="0" fontId="48" fillId="63"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63" borderId="0" applyNumberFormat="0" applyBorder="0" applyAlignment="0" applyProtection="0"/>
    <xf numFmtId="0" fontId="48" fillId="63"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63" borderId="0" applyNumberFormat="0" applyBorder="0" applyAlignment="0" applyProtection="0"/>
    <xf numFmtId="0" fontId="48" fillId="63"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63" borderId="0" applyNumberFormat="0" applyBorder="0" applyAlignment="0" applyProtection="0"/>
    <xf numFmtId="0" fontId="17" fillId="83" borderId="0" applyNumberFormat="0" applyBorder="0" applyAlignment="0" applyProtection="0"/>
    <xf numFmtId="0" fontId="17" fillId="26" borderId="0" applyNumberFormat="0" applyAlignment="0" applyProtection="0"/>
    <xf numFmtId="0" fontId="17" fillId="83" borderId="0" applyNumberFormat="0" applyBorder="0" applyAlignment="0" applyProtection="0"/>
    <xf numFmtId="0" fontId="17" fillId="83" borderId="0" applyNumberFormat="0" applyBorder="0" applyAlignment="0" applyProtection="0"/>
    <xf numFmtId="0" fontId="17" fillId="83" borderId="0" applyNumberFormat="0" applyBorder="0" applyAlignment="0" applyProtection="0"/>
    <xf numFmtId="0" fontId="17" fillId="26" borderId="0" applyNumberFormat="0" applyAlignment="0" applyProtection="0"/>
    <xf numFmtId="0" fontId="17" fillId="83" borderId="0" applyNumberFormat="0" applyBorder="0" applyAlignment="0" applyProtection="0"/>
    <xf numFmtId="0" fontId="17" fillId="83" borderId="0" applyNumberFormat="0" applyBorder="0" applyAlignment="0" applyProtection="0"/>
    <xf numFmtId="0" fontId="17" fillId="26" borderId="0" applyNumberFormat="0" applyAlignment="0" applyProtection="0"/>
    <xf numFmtId="0" fontId="17" fillId="83" borderId="0" applyNumberFormat="0" applyBorder="0" applyAlignment="0" applyProtection="0"/>
    <xf numFmtId="0" fontId="17" fillId="83" borderId="0" applyNumberFormat="0" applyBorder="0" applyAlignment="0" applyProtection="0"/>
    <xf numFmtId="0" fontId="17" fillId="26" borderId="0" applyNumberFormat="0" applyAlignment="0" applyProtection="0"/>
    <xf numFmtId="0" fontId="17" fillId="26" borderId="0" applyNumberFormat="0" applyAlignment="0" applyProtection="0"/>
    <xf numFmtId="0" fontId="17" fillId="26" borderId="0" applyNumberFormat="0" applyAlignment="0" applyProtection="0"/>
    <xf numFmtId="0" fontId="17" fillId="26" borderId="0" applyNumberFormat="0" applyAlignment="0" applyProtection="0"/>
    <xf numFmtId="0" fontId="17" fillId="26" borderId="0" applyNumberFormat="0" applyAlignment="0" applyProtection="0"/>
    <xf numFmtId="0" fontId="17" fillId="26" borderId="0" applyNumberFormat="0" applyAlignment="0" applyProtection="0"/>
    <xf numFmtId="0" fontId="17" fillId="26" borderId="0" applyNumberFormat="0" applyAlignment="0" applyProtection="0"/>
    <xf numFmtId="0" fontId="17" fillId="26" borderId="0" applyNumberFormat="0" applyAlignment="0" applyProtection="0"/>
    <xf numFmtId="0" fontId="17" fillId="26" borderId="0" applyNumberFormat="0" applyAlignment="0" applyProtection="0"/>
    <xf numFmtId="0" fontId="17" fillId="26" borderId="0" applyNumberFormat="0" applyAlignment="0" applyProtection="0"/>
    <xf numFmtId="0" fontId="17" fillId="26" borderId="0" applyNumberFormat="0" applyAlignment="0" applyProtection="0"/>
    <xf numFmtId="0" fontId="48" fillId="40" borderId="0" applyNumberFormat="0" applyBorder="0" applyAlignment="0" applyProtection="0"/>
    <xf numFmtId="0" fontId="17" fillId="84" borderId="0" applyNumberFormat="0" applyBorder="0" applyAlignment="0" applyProtection="0"/>
    <xf numFmtId="0" fontId="17" fillId="27" borderId="0" applyNumberFormat="0" applyAlignment="0" applyProtection="0"/>
    <xf numFmtId="0" fontId="17" fillId="84" borderId="0" applyNumberFormat="0" applyBorder="0" applyAlignment="0" applyProtection="0"/>
    <xf numFmtId="0" fontId="17" fillId="84" borderId="0" applyNumberFormat="0" applyBorder="0" applyAlignment="0" applyProtection="0"/>
    <xf numFmtId="0" fontId="17" fillId="84" borderId="0" applyNumberFormat="0" applyBorder="0" applyAlignment="0" applyProtection="0"/>
    <xf numFmtId="0" fontId="17" fillId="27" borderId="0" applyNumberFormat="0" applyAlignment="0" applyProtection="0"/>
    <xf numFmtId="0" fontId="17" fillId="84" borderId="0" applyNumberFormat="0" applyBorder="0" applyAlignment="0" applyProtection="0"/>
    <xf numFmtId="0" fontId="17" fillId="84" borderId="0" applyNumberFormat="0" applyBorder="0" applyAlignment="0" applyProtection="0"/>
    <xf numFmtId="0" fontId="17" fillId="27" borderId="0" applyNumberFormat="0" applyAlignment="0" applyProtection="0"/>
    <xf numFmtId="0" fontId="17" fillId="84" borderId="0" applyNumberFormat="0" applyBorder="0" applyAlignment="0" applyProtection="0"/>
    <xf numFmtId="0" fontId="17" fillId="84" borderId="0" applyNumberFormat="0" applyBorder="0" applyAlignment="0" applyProtection="0"/>
    <xf numFmtId="0" fontId="17" fillId="27" borderId="0" applyNumberFormat="0" applyAlignment="0" applyProtection="0"/>
    <xf numFmtId="0" fontId="17" fillId="27" borderId="0" applyNumberFormat="0" applyAlignment="0" applyProtection="0"/>
    <xf numFmtId="0" fontId="17" fillId="27" borderId="0" applyNumberFormat="0" applyAlignment="0" applyProtection="0"/>
    <xf numFmtId="0" fontId="17" fillId="27" borderId="0" applyNumberFormat="0" applyAlignment="0" applyProtection="0"/>
    <xf numFmtId="0" fontId="17" fillId="27" borderId="0" applyNumberFormat="0" applyAlignment="0" applyProtection="0"/>
    <xf numFmtId="0" fontId="17" fillId="27" borderId="0" applyNumberFormat="0" applyAlignment="0" applyProtection="0"/>
    <xf numFmtId="0" fontId="17" fillId="27" borderId="0" applyNumberFormat="0" applyAlignment="0" applyProtection="0"/>
    <xf numFmtId="0" fontId="17" fillId="27" borderId="0" applyNumberFormat="0" applyAlignment="0" applyProtection="0"/>
    <xf numFmtId="0" fontId="17" fillId="27" borderId="0" applyNumberFormat="0" applyAlignment="0" applyProtection="0"/>
    <xf numFmtId="0" fontId="17" fillId="27" borderId="0" applyNumberFormat="0" applyAlignment="0" applyProtection="0"/>
    <xf numFmtId="0" fontId="17" fillId="27" borderId="0" applyNumberFormat="0" applyAlignment="0" applyProtection="0"/>
    <xf numFmtId="0" fontId="48" fillId="44" borderId="0" applyNumberFormat="0" applyBorder="0" applyAlignment="0" applyProtection="0"/>
    <xf numFmtId="0" fontId="17" fillId="85" borderId="0" applyNumberFormat="0" applyBorder="0" applyAlignment="0" applyProtection="0"/>
    <xf numFmtId="0" fontId="17" fillId="85" borderId="0" applyNumberFormat="0" applyBorder="0" applyAlignment="0" applyProtection="0"/>
    <xf numFmtId="0" fontId="48" fillId="48" borderId="0" applyNumberFormat="0" applyBorder="0" applyAlignment="0" applyProtection="0"/>
    <xf numFmtId="0" fontId="48" fillId="48" borderId="0" applyNumberFormat="0" applyBorder="0" applyAlignment="0" applyProtection="0"/>
    <xf numFmtId="0" fontId="17" fillId="76" borderId="0" applyNumberFormat="0" applyBorder="0" applyAlignment="0" applyProtection="0"/>
    <xf numFmtId="0" fontId="17" fillId="28" borderId="0" applyNumberFormat="0" applyAlignment="0" applyProtection="0"/>
    <xf numFmtId="0" fontId="17" fillId="76" borderId="0" applyNumberFormat="0" applyBorder="0" applyAlignment="0" applyProtection="0"/>
    <xf numFmtId="0" fontId="17" fillId="76" borderId="0" applyNumberFormat="0" applyBorder="0" applyAlignment="0" applyProtection="0"/>
    <xf numFmtId="0" fontId="17" fillId="76" borderId="0" applyNumberFormat="0" applyBorder="0" applyAlignment="0" applyProtection="0"/>
    <xf numFmtId="0" fontId="17" fillId="28" borderId="0" applyNumberFormat="0" applyAlignment="0" applyProtection="0"/>
    <xf numFmtId="0" fontId="17" fillId="76" borderId="0" applyNumberFormat="0" applyBorder="0" applyAlignment="0" applyProtection="0"/>
    <xf numFmtId="0" fontId="17" fillId="76" borderId="0" applyNumberFormat="0" applyBorder="0" applyAlignment="0" applyProtection="0"/>
    <xf numFmtId="0" fontId="17" fillId="28" borderId="0" applyNumberFormat="0" applyAlignment="0" applyProtection="0"/>
    <xf numFmtId="0" fontId="17" fillId="76" borderId="0" applyNumberFormat="0" applyBorder="0" applyAlignment="0" applyProtection="0"/>
    <xf numFmtId="0" fontId="17" fillId="76" borderId="0" applyNumberFormat="0" applyBorder="0" applyAlignment="0" applyProtection="0"/>
    <xf numFmtId="0" fontId="17" fillId="28" borderId="0" applyNumberFormat="0" applyAlignment="0" applyProtection="0"/>
    <xf numFmtId="0" fontId="17" fillId="28" borderId="0" applyNumberFormat="0" applyAlignment="0" applyProtection="0"/>
    <xf numFmtId="0" fontId="17" fillId="28" borderId="0" applyNumberFormat="0" applyAlignment="0" applyProtection="0"/>
    <xf numFmtId="0" fontId="17" fillId="28" borderId="0" applyNumberFormat="0" applyAlignment="0" applyProtection="0"/>
    <xf numFmtId="0" fontId="17" fillId="28" borderId="0" applyNumberFormat="0" applyAlignment="0" applyProtection="0"/>
    <xf numFmtId="0" fontId="17" fillId="28" borderId="0" applyNumberFormat="0" applyAlignment="0" applyProtection="0"/>
    <xf numFmtId="0" fontId="17" fillId="28" borderId="0" applyNumberFormat="0" applyAlignment="0" applyProtection="0"/>
    <xf numFmtId="0" fontId="17" fillId="85" borderId="0" applyNumberFormat="0" applyBorder="0" applyAlignment="0" applyProtection="0"/>
    <xf numFmtId="0" fontId="17" fillId="28" borderId="0" applyNumberFormat="0" applyAlignment="0" applyProtection="0"/>
    <xf numFmtId="0" fontId="17" fillId="85" borderId="0" applyNumberFormat="0" applyBorder="0" applyAlignment="0" applyProtection="0"/>
    <xf numFmtId="0" fontId="17" fillId="85" borderId="0" applyNumberFormat="0" applyBorder="0" applyAlignment="0" applyProtection="0"/>
    <xf numFmtId="0" fontId="17" fillId="85" borderId="0" applyNumberFormat="0" applyBorder="0" applyAlignment="0" applyProtection="0"/>
    <xf numFmtId="0" fontId="17" fillId="28" borderId="0" applyNumberFormat="0" applyAlignment="0" applyProtection="0"/>
    <xf numFmtId="0" fontId="17" fillId="28" borderId="0" applyNumberFormat="0" applyAlignment="0" applyProtection="0"/>
    <xf numFmtId="0" fontId="17" fillId="85" borderId="0" applyNumberFormat="0" applyBorder="0" applyAlignment="0" applyProtection="0"/>
    <xf numFmtId="0" fontId="17" fillId="28" borderId="0" applyNumberFormat="0" applyAlignment="0" applyProtection="0"/>
    <xf numFmtId="0" fontId="17" fillId="85" borderId="0" applyNumberFormat="0" applyBorder="0" applyAlignment="0" applyProtection="0"/>
    <xf numFmtId="0" fontId="17" fillId="85" borderId="0" applyNumberFormat="0" applyBorder="0" applyAlignment="0" applyProtection="0"/>
    <xf numFmtId="0" fontId="17" fillId="28" borderId="0" applyNumberFormat="0" applyAlignment="0" applyProtection="0"/>
    <xf numFmtId="0" fontId="48" fillId="48" borderId="0" applyNumberFormat="0" applyBorder="0" applyAlignment="0" applyProtection="0"/>
    <xf numFmtId="0" fontId="48" fillId="48" borderId="0" applyNumberFormat="0" applyBorder="0" applyAlignment="0" applyProtection="0"/>
    <xf numFmtId="0" fontId="48" fillId="48" borderId="0" applyNumberFormat="0" applyBorder="0" applyAlignment="0" applyProtection="0"/>
    <xf numFmtId="0" fontId="48" fillId="48" borderId="0" applyNumberFormat="0" applyBorder="0" applyAlignment="0" applyProtection="0"/>
    <xf numFmtId="0" fontId="48" fillId="48" borderId="0" applyNumberFormat="0" applyBorder="0" applyAlignment="0" applyProtection="0"/>
    <xf numFmtId="0" fontId="17" fillId="80" borderId="0" applyNumberFormat="0" applyBorder="0" applyAlignment="0" applyProtection="0"/>
    <xf numFmtId="0" fontId="17" fillId="80" borderId="0" applyNumberFormat="0" applyBorder="0" applyAlignment="0" applyProtection="0"/>
    <xf numFmtId="0" fontId="48" fillId="52" borderId="0" applyNumberFormat="0" applyBorder="0" applyAlignment="0" applyProtection="0"/>
    <xf numFmtId="0" fontId="48" fillId="52" borderId="0" applyNumberFormat="0" applyBorder="0" applyAlignment="0" applyProtection="0"/>
    <xf numFmtId="0" fontId="17" fillId="79" borderId="0" applyNumberFormat="0" applyBorder="0" applyAlignment="0" applyProtection="0"/>
    <xf numFmtId="0" fontId="17" fillId="23" borderId="0" applyNumberFormat="0" applyAlignment="0" applyProtection="0"/>
    <xf numFmtId="0" fontId="17" fillId="79" borderId="0" applyNumberFormat="0" applyBorder="0" applyAlignment="0" applyProtection="0"/>
    <xf numFmtId="0" fontId="17" fillId="79" borderId="0" applyNumberFormat="0" applyBorder="0" applyAlignment="0" applyProtection="0"/>
    <xf numFmtId="0" fontId="17" fillId="79" borderId="0" applyNumberFormat="0" applyBorder="0" applyAlignment="0" applyProtection="0"/>
    <xf numFmtId="0" fontId="17" fillId="23" borderId="0" applyNumberFormat="0" applyAlignment="0" applyProtection="0"/>
    <xf numFmtId="0" fontId="17" fillId="79" borderId="0" applyNumberFormat="0" applyBorder="0" applyAlignment="0" applyProtection="0"/>
    <xf numFmtId="0" fontId="17" fillId="79" borderId="0" applyNumberFormat="0" applyBorder="0" applyAlignment="0" applyProtection="0"/>
    <xf numFmtId="0" fontId="17" fillId="23" borderId="0" applyNumberFormat="0" applyAlignment="0" applyProtection="0"/>
    <xf numFmtId="0" fontId="17" fillId="79" borderId="0" applyNumberFormat="0" applyBorder="0" applyAlignment="0" applyProtection="0"/>
    <xf numFmtId="0" fontId="17" fillId="79" borderId="0" applyNumberFormat="0" applyBorder="0" applyAlignment="0" applyProtection="0"/>
    <xf numFmtId="0" fontId="17" fillId="23" borderId="0" applyNumberFormat="0" applyAlignment="0" applyProtection="0"/>
    <xf numFmtId="0" fontId="17" fillId="23" borderId="0" applyNumberFormat="0" applyAlignment="0" applyProtection="0"/>
    <xf numFmtId="0" fontId="17" fillId="23" borderId="0" applyNumberFormat="0" applyAlignment="0" applyProtection="0"/>
    <xf numFmtId="0" fontId="17" fillId="23" borderId="0" applyNumberFormat="0" applyAlignment="0" applyProtection="0"/>
    <xf numFmtId="0" fontId="17" fillId="23" borderId="0" applyNumberFormat="0" applyAlignment="0" applyProtection="0"/>
    <xf numFmtId="0" fontId="17" fillId="23" borderId="0" applyNumberFormat="0" applyAlignment="0" applyProtection="0"/>
    <xf numFmtId="0" fontId="17" fillId="23" borderId="0" applyNumberFormat="0" applyAlignment="0" applyProtection="0"/>
    <xf numFmtId="0" fontId="17" fillId="80" borderId="0" applyNumberFormat="0" applyBorder="0" applyAlignment="0" applyProtection="0"/>
    <xf numFmtId="0" fontId="17" fillId="23" borderId="0" applyNumberFormat="0" applyAlignment="0" applyProtection="0"/>
    <xf numFmtId="0" fontId="17" fillId="80" borderId="0" applyNumberFormat="0" applyBorder="0" applyAlignment="0" applyProtection="0"/>
    <xf numFmtId="0" fontId="17" fillId="80" borderId="0" applyNumberFormat="0" applyBorder="0" applyAlignment="0" applyProtection="0"/>
    <xf numFmtId="0" fontId="17" fillId="80" borderId="0" applyNumberFormat="0" applyBorder="0" applyAlignment="0" applyProtection="0"/>
    <xf numFmtId="0" fontId="17" fillId="23" borderId="0" applyNumberFormat="0" applyAlignment="0" applyProtection="0"/>
    <xf numFmtId="0" fontId="17" fillId="23" borderId="0" applyNumberFormat="0" applyAlignment="0" applyProtection="0"/>
    <xf numFmtId="0" fontId="17" fillId="80" borderId="0" applyNumberFormat="0" applyBorder="0" applyAlignment="0" applyProtection="0"/>
    <xf numFmtId="0" fontId="17" fillId="23" borderId="0" applyNumberFormat="0" applyAlignment="0" applyProtection="0"/>
    <xf numFmtId="0" fontId="17" fillId="80" borderId="0" applyNumberFormat="0" applyBorder="0" applyAlignment="0" applyProtection="0"/>
    <xf numFmtId="0" fontId="17" fillId="80" borderId="0" applyNumberFormat="0" applyBorder="0" applyAlignment="0" applyProtection="0"/>
    <xf numFmtId="0" fontId="17" fillId="23" borderId="0" applyNumberFormat="0" applyAlignment="0" applyProtection="0"/>
    <xf numFmtId="0" fontId="48" fillId="52" borderId="0" applyNumberFormat="0" applyBorder="0" applyAlignment="0" applyProtection="0"/>
    <xf numFmtId="0" fontId="48" fillId="52" borderId="0" applyNumberFormat="0" applyBorder="0" applyAlignment="0" applyProtection="0"/>
    <xf numFmtId="0" fontId="48" fillId="52" borderId="0" applyNumberFormat="0" applyBorder="0" applyAlignment="0" applyProtection="0"/>
    <xf numFmtId="0" fontId="48" fillId="52" borderId="0" applyNumberFormat="0" applyBorder="0" applyAlignment="0" applyProtection="0"/>
    <xf numFmtId="0" fontId="48" fillId="52" borderId="0" applyNumberFormat="0" applyBorder="0" applyAlignment="0" applyProtection="0"/>
    <xf numFmtId="0" fontId="17" fillId="81" borderId="0" applyNumberFormat="0" applyBorder="0" applyAlignment="0" applyProtection="0"/>
    <xf numFmtId="0" fontId="17" fillId="81" borderId="0" applyNumberFormat="0" applyBorder="0" applyAlignment="0" applyProtection="0"/>
    <xf numFmtId="0" fontId="48" fillId="56" borderId="0" applyNumberFormat="0" applyBorder="0" applyAlignment="0" applyProtection="0"/>
    <xf numFmtId="0" fontId="48" fillId="56" borderId="0" applyNumberFormat="0" applyBorder="0" applyAlignment="0" applyProtection="0"/>
    <xf numFmtId="0" fontId="17" fillId="85" borderId="0" applyNumberFormat="0" applyBorder="0" applyAlignment="0" applyProtection="0"/>
    <xf numFmtId="0" fontId="17" fillId="24" borderId="0" applyNumberFormat="0" applyAlignment="0" applyProtection="0"/>
    <xf numFmtId="0" fontId="17" fillId="85" borderId="0" applyNumberFormat="0" applyBorder="0" applyAlignment="0" applyProtection="0"/>
    <xf numFmtId="0" fontId="17" fillId="85" borderId="0" applyNumberFormat="0" applyBorder="0" applyAlignment="0" applyProtection="0"/>
    <xf numFmtId="0" fontId="17" fillId="85" borderId="0" applyNumberFormat="0" applyBorder="0" applyAlignment="0" applyProtection="0"/>
    <xf numFmtId="0" fontId="17" fillId="24" borderId="0" applyNumberFormat="0" applyAlignment="0" applyProtection="0"/>
    <xf numFmtId="0" fontId="17" fillId="85" borderId="0" applyNumberFormat="0" applyBorder="0" applyAlignment="0" applyProtection="0"/>
    <xf numFmtId="0" fontId="17" fillId="85" borderId="0" applyNumberFormat="0" applyBorder="0" applyAlignment="0" applyProtection="0"/>
    <xf numFmtId="0" fontId="17" fillId="24" borderId="0" applyNumberFormat="0" applyAlignment="0" applyProtection="0"/>
    <xf numFmtId="0" fontId="17" fillId="85" borderId="0" applyNumberFormat="0" applyBorder="0" applyAlignment="0" applyProtection="0"/>
    <xf numFmtId="0" fontId="17" fillId="85" borderId="0" applyNumberFormat="0" applyBorder="0" applyAlignment="0" applyProtection="0"/>
    <xf numFmtId="0" fontId="17" fillId="24" borderId="0" applyNumberFormat="0" applyAlignment="0" applyProtection="0"/>
    <xf numFmtId="0" fontId="17" fillId="24" borderId="0" applyNumberFormat="0" applyAlignment="0" applyProtection="0"/>
    <xf numFmtId="0" fontId="17" fillId="24" borderId="0" applyNumberFormat="0" applyAlignment="0" applyProtection="0"/>
    <xf numFmtId="0" fontId="17" fillId="24" borderId="0" applyNumberFormat="0" applyAlignment="0" applyProtection="0"/>
    <xf numFmtId="0" fontId="17" fillId="24" borderId="0" applyNumberFormat="0" applyAlignment="0" applyProtection="0"/>
    <xf numFmtId="0" fontId="17" fillId="24" borderId="0" applyNumberFormat="0" applyAlignment="0" applyProtection="0"/>
    <xf numFmtId="0" fontId="17" fillId="24" borderId="0" applyNumberFormat="0" applyAlignment="0" applyProtection="0"/>
    <xf numFmtId="0" fontId="17" fillId="81" borderId="0" applyNumberFormat="0" applyBorder="0" applyAlignment="0" applyProtection="0"/>
    <xf numFmtId="0" fontId="17" fillId="24" borderId="0" applyNumberFormat="0" applyAlignment="0" applyProtection="0"/>
    <xf numFmtId="0" fontId="17" fillId="81" borderId="0" applyNumberFormat="0" applyBorder="0" applyAlignment="0" applyProtection="0"/>
    <xf numFmtId="0" fontId="17" fillId="81" borderId="0" applyNumberFormat="0" applyBorder="0" applyAlignment="0" applyProtection="0"/>
    <xf numFmtId="0" fontId="17" fillId="81" borderId="0" applyNumberFormat="0" applyBorder="0" applyAlignment="0" applyProtection="0"/>
    <xf numFmtId="0" fontId="17" fillId="24" borderId="0" applyNumberFormat="0" applyAlignment="0" applyProtection="0"/>
    <xf numFmtId="0" fontId="17" fillId="24" borderId="0" applyNumberFormat="0" applyAlignment="0" applyProtection="0"/>
    <xf numFmtId="0" fontId="17" fillId="81" borderId="0" applyNumberFormat="0" applyBorder="0" applyAlignment="0" applyProtection="0"/>
    <xf numFmtId="0" fontId="17" fillId="24" borderId="0" applyNumberFormat="0" applyAlignment="0" applyProtection="0"/>
    <xf numFmtId="0" fontId="17" fillId="81" borderId="0" applyNumberFormat="0" applyBorder="0" applyAlignment="0" applyProtection="0"/>
    <xf numFmtId="0" fontId="17" fillId="81" borderId="0" applyNumberFormat="0" applyBorder="0" applyAlignment="0" applyProtection="0"/>
    <xf numFmtId="0" fontId="17" fillId="24" borderId="0" applyNumberFormat="0" applyAlignment="0" applyProtection="0"/>
    <xf numFmtId="0" fontId="48" fillId="56" borderId="0" applyNumberFormat="0" applyBorder="0" applyAlignment="0" applyProtection="0"/>
    <xf numFmtId="0" fontId="48" fillId="56" borderId="0" applyNumberFormat="0" applyBorder="0" applyAlignment="0" applyProtection="0"/>
    <xf numFmtId="0" fontId="48" fillId="56" borderId="0" applyNumberFormat="0" applyBorder="0" applyAlignment="0" applyProtection="0"/>
    <xf numFmtId="0" fontId="48" fillId="56" borderId="0" applyNumberFormat="0" applyBorder="0" applyAlignment="0" applyProtection="0"/>
    <xf numFmtId="0" fontId="48" fillId="56" borderId="0" applyNumberFormat="0" applyBorder="0" applyAlignment="0" applyProtection="0"/>
    <xf numFmtId="0" fontId="17" fillId="86" borderId="0" applyNumberFormat="0" applyBorder="0" applyAlignment="0" applyProtection="0"/>
    <xf numFmtId="0" fontId="17" fillId="86" borderId="0" applyNumberFormat="0" applyBorder="0" applyAlignment="0" applyProtection="0"/>
    <xf numFmtId="0" fontId="48" fillId="60" borderId="0" applyNumberFormat="0" applyBorder="0" applyAlignment="0" applyProtection="0"/>
    <xf numFmtId="0" fontId="48" fillId="60" borderId="0" applyNumberFormat="0" applyBorder="0" applyAlignment="0" applyProtection="0"/>
    <xf numFmtId="0" fontId="17" fillId="74" borderId="0" applyNumberFormat="0" applyBorder="0" applyAlignment="0" applyProtection="0"/>
    <xf numFmtId="0" fontId="17" fillId="29" borderId="0" applyNumberFormat="0" applyAlignment="0" applyProtection="0"/>
    <xf numFmtId="0" fontId="17" fillId="74" borderId="0" applyNumberFormat="0" applyBorder="0" applyAlignment="0" applyProtection="0"/>
    <xf numFmtId="0" fontId="17" fillId="74" borderId="0" applyNumberFormat="0" applyBorder="0" applyAlignment="0" applyProtection="0"/>
    <xf numFmtId="0" fontId="17" fillId="74" borderId="0" applyNumberFormat="0" applyBorder="0" applyAlignment="0" applyProtection="0"/>
    <xf numFmtId="0" fontId="17" fillId="29" borderId="0" applyNumberFormat="0" applyAlignment="0" applyProtection="0"/>
    <xf numFmtId="0" fontId="17" fillId="74" borderId="0" applyNumberFormat="0" applyBorder="0" applyAlignment="0" applyProtection="0"/>
    <xf numFmtId="0" fontId="17" fillId="74" borderId="0" applyNumberFormat="0" applyBorder="0" applyAlignment="0" applyProtection="0"/>
    <xf numFmtId="0" fontId="17" fillId="29" borderId="0" applyNumberFormat="0" applyAlignment="0" applyProtection="0"/>
    <xf numFmtId="0" fontId="17" fillId="74" borderId="0" applyNumberFormat="0" applyBorder="0" applyAlignment="0" applyProtection="0"/>
    <xf numFmtId="0" fontId="17" fillId="74" borderId="0" applyNumberFormat="0" applyBorder="0" applyAlignment="0" applyProtection="0"/>
    <xf numFmtId="0" fontId="17" fillId="29" borderId="0" applyNumberFormat="0" applyAlignment="0" applyProtection="0"/>
    <xf numFmtId="0" fontId="17" fillId="29" borderId="0" applyNumberFormat="0" applyAlignment="0" applyProtection="0"/>
    <xf numFmtId="0" fontId="17" fillId="29" borderId="0" applyNumberFormat="0" applyAlignment="0" applyProtection="0"/>
    <xf numFmtId="0" fontId="17" fillId="29" borderId="0" applyNumberFormat="0" applyAlignment="0" applyProtection="0"/>
    <xf numFmtId="0" fontId="17" fillId="29" borderId="0" applyNumberFormat="0" applyAlignment="0" applyProtection="0"/>
    <xf numFmtId="0" fontId="17" fillId="29" borderId="0" applyNumberFormat="0" applyAlignment="0" applyProtection="0"/>
    <xf numFmtId="0" fontId="17" fillId="29" borderId="0" applyNumberFormat="0" applyAlignment="0" applyProtection="0"/>
    <xf numFmtId="0" fontId="17" fillId="86" borderId="0" applyNumberFormat="0" applyBorder="0" applyAlignment="0" applyProtection="0"/>
    <xf numFmtId="0" fontId="17" fillId="29" borderId="0" applyNumberFormat="0" applyAlignment="0" applyProtection="0"/>
    <xf numFmtId="0" fontId="17" fillId="86" borderId="0" applyNumberFormat="0" applyBorder="0" applyAlignment="0" applyProtection="0"/>
    <xf numFmtId="0" fontId="17" fillId="86" borderId="0" applyNumberFormat="0" applyBorder="0" applyAlignment="0" applyProtection="0"/>
    <xf numFmtId="0" fontId="17" fillId="86" borderId="0" applyNumberFormat="0" applyBorder="0" applyAlignment="0" applyProtection="0"/>
    <xf numFmtId="0" fontId="17" fillId="29" borderId="0" applyNumberFormat="0" applyAlignment="0" applyProtection="0"/>
    <xf numFmtId="0" fontId="17" fillId="29" borderId="0" applyNumberFormat="0" applyAlignment="0" applyProtection="0"/>
    <xf numFmtId="0" fontId="17" fillId="86" borderId="0" applyNumberFormat="0" applyBorder="0" applyAlignment="0" applyProtection="0"/>
    <xf numFmtId="0" fontId="17" fillId="29" borderId="0" applyNumberFormat="0" applyAlignment="0" applyProtection="0"/>
    <xf numFmtId="0" fontId="17" fillId="86" borderId="0" applyNumberFormat="0" applyBorder="0" applyAlignment="0" applyProtection="0"/>
    <xf numFmtId="0" fontId="17" fillId="86" borderId="0" applyNumberFormat="0" applyBorder="0" applyAlignment="0" applyProtection="0"/>
    <xf numFmtId="0" fontId="17" fillId="29" borderId="0" applyNumberFormat="0" applyAlignment="0" applyProtection="0"/>
    <xf numFmtId="0" fontId="48" fillId="60" borderId="0" applyNumberFormat="0" applyBorder="0" applyAlignment="0" applyProtection="0"/>
    <xf numFmtId="0" fontId="48" fillId="60" borderId="0" applyNumberFormat="0" applyBorder="0" applyAlignment="0" applyProtection="0"/>
    <xf numFmtId="0" fontId="48" fillId="60" borderId="0" applyNumberFormat="0" applyBorder="0" applyAlignment="0" applyProtection="0"/>
    <xf numFmtId="0" fontId="48" fillId="60" borderId="0" applyNumberFormat="0" applyBorder="0" applyAlignment="0" applyProtection="0"/>
    <xf numFmtId="0" fontId="48" fillId="60" borderId="0" applyNumberFormat="0" applyBorder="0" applyAlignment="0" applyProtection="0"/>
    <xf numFmtId="0" fontId="18" fillId="66" borderId="0" applyNumberFormat="0" applyBorder="0" applyAlignment="0" applyProtection="0"/>
    <xf numFmtId="0" fontId="3" fillId="3" borderId="0" applyNumberFormat="0" applyBorder="0" applyAlignment="0" applyProtection="0"/>
    <xf numFmtId="0" fontId="52" fillId="66" borderId="0" applyNumberFormat="0" applyBorder="0" applyAlignment="0" applyProtection="0"/>
    <xf numFmtId="0" fontId="18" fillId="13" borderId="0" applyNumberFormat="0" applyAlignment="0" applyProtection="0"/>
    <xf numFmtId="0" fontId="52" fillId="66" borderId="0" applyNumberFormat="0" applyBorder="0" applyAlignment="0" applyProtection="0"/>
    <xf numFmtId="0" fontId="52" fillId="66" borderId="0" applyNumberFormat="0" applyBorder="0" applyAlignment="0" applyProtection="0"/>
    <xf numFmtId="0" fontId="52"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3" fillId="3" borderId="0" applyNumberFormat="0" applyBorder="0" applyAlignment="0" applyProtection="0"/>
    <xf numFmtId="0" fontId="18"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18"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3" fillId="3"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3" fillId="3" borderId="0" applyNumberFormat="0" applyBorder="0" applyAlignment="0" applyProtection="0"/>
    <xf numFmtId="0" fontId="19" fillId="73" borderId="39" applyNumberFormat="0" applyAlignment="0" applyProtection="0"/>
    <xf numFmtId="0" fontId="19" fillId="73" borderId="39" applyNumberFormat="0" applyAlignment="0" applyProtection="0"/>
    <xf numFmtId="0" fontId="42" fillId="37" borderId="11" applyNumberFormat="0" applyAlignment="0" applyProtection="0"/>
    <xf numFmtId="0" fontId="42" fillId="37" borderId="11"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42" fillId="37" borderId="11" applyNumberFormat="0" applyAlignment="0" applyProtection="0"/>
    <xf numFmtId="0" fontId="42" fillId="37" borderId="11" applyNumberFormat="0" applyAlignment="0" applyProtection="0"/>
    <xf numFmtId="0" fontId="42" fillId="37" borderId="11" applyNumberFormat="0" applyAlignment="0" applyProtection="0"/>
    <xf numFmtId="0" fontId="42" fillId="37" borderId="11" applyNumberFormat="0" applyAlignment="0" applyProtection="0"/>
    <xf numFmtId="0" fontId="42" fillId="37" borderId="11" applyNumberFormat="0" applyAlignment="0" applyProtection="0"/>
    <xf numFmtId="0" fontId="20" fillId="87" borderId="40" applyNumberFormat="0" applyAlignment="0" applyProtection="0"/>
    <xf numFmtId="0" fontId="20" fillId="31" borderId="40" applyNumberFormat="0" applyAlignment="0" applyProtection="0"/>
    <xf numFmtId="0" fontId="20" fillId="87" borderId="40" applyNumberFormat="0" applyAlignment="0" applyProtection="0"/>
    <xf numFmtId="0" fontId="20" fillId="87" borderId="40" applyNumberFormat="0" applyAlignment="0" applyProtection="0"/>
    <xf numFmtId="0" fontId="20" fillId="87" borderId="40" applyNumberFormat="0" applyAlignment="0" applyProtection="0"/>
    <xf numFmtId="0" fontId="20" fillId="31" borderId="40" applyNumberFormat="0" applyAlignment="0" applyProtection="0"/>
    <xf numFmtId="0" fontId="20" fillId="87" borderId="40" applyNumberFormat="0" applyAlignment="0" applyProtection="0"/>
    <xf numFmtId="0" fontId="20" fillId="87" borderId="40" applyNumberFormat="0" applyAlignment="0" applyProtection="0"/>
    <xf numFmtId="0" fontId="20" fillId="31" borderId="40" applyNumberFormat="0" applyAlignment="0" applyProtection="0"/>
    <xf numFmtId="0" fontId="20" fillId="87" borderId="40" applyNumberFormat="0" applyAlignment="0" applyProtection="0"/>
    <xf numFmtId="0" fontId="20" fillId="87" borderId="40" applyNumberFormat="0" applyAlignment="0" applyProtection="0"/>
    <xf numFmtId="0" fontId="20" fillId="31" borderId="40" applyNumberFormat="0" applyAlignment="0" applyProtection="0"/>
    <xf numFmtId="0" fontId="20" fillId="31" borderId="40" applyNumberFormat="0" applyAlignment="0" applyProtection="0"/>
    <xf numFmtId="0" fontId="20" fillId="31" borderId="40" applyNumberFormat="0" applyAlignment="0" applyProtection="0"/>
    <xf numFmtId="0" fontId="20" fillId="31" borderId="40" applyNumberFormat="0" applyAlignment="0" applyProtection="0"/>
    <xf numFmtId="0" fontId="20" fillId="31" borderId="40" applyNumberFormat="0" applyAlignment="0" applyProtection="0"/>
    <xf numFmtId="0" fontId="20" fillId="31" borderId="40" applyNumberFormat="0" applyAlignment="0" applyProtection="0"/>
    <xf numFmtId="0" fontId="20" fillId="31" borderId="40" applyNumberFormat="0" applyAlignment="0" applyProtection="0"/>
    <xf numFmtId="0" fontId="20" fillId="31" borderId="40" applyNumberFormat="0" applyAlignment="0" applyProtection="0"/>
    <xf numFmtId="0" fontId="20" fillId="31" borderId="40" applyNumberFormat="0" applyAlignment="0" applyProtection="0"/>
    <xf numFmtId="0" fontId="20" fillId="31" borderId="40" applyNumberFormat="0" applyAlignment="0" applyProtection="0"/>
    <xf numFmtId="0" fontId="20" fillId="31" borderId="40" applyNumberFormat="0" applyAlignment="0" applyProtection="0"/>
    <xf numFmtId="0" fontId="44" fillId="38" borderId="61" applyNumberFormat="0" applyAlignment="0" applyProtection="0"/>
    <xf numFmtId="0" fontId="21" fillId="0" borderId="0" applyNumberFormat="0" applyFill="0" applyBorder="0" applyAlignment="0" applyProtection="0"/>
    <xf numFmtId="0" fontId="21" fillId="0" borderId="0" applyNumberFormat="0" applyFill="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Alignment="0" applyProtection="0"/>
    <xf numFmtId="0" fontId="21" fillId="0" borderId="0" applyNumberFormat="0" applyFill="0" applyAlignment="0" applyProtection="0"/>
    <xf numFmtId="0" fontId="21" fillId="0" borderId="0" applyNumberFormat="0" applyFill="0" applyAlignment="0" applyProtection="0"/>
    <xf numFmtId="0" fontId="21" fillId="0" borderId="0" applyNumberFormat="0" applyFill="0" applyAlignment="0" applyProtection="0"/>
    <xf numFmtId="0" fontId="21" fillId="0" borderId="0" applyNumberFormat="0" applyFill="0" applyAlignment="0" applyProtection="0"/>
    <xf numFmtId="0" fontId="21" fillId="0" borderId="0" applyNumberFormat="0" applyFill="0" applyAlignment="0" applyProtection="0"/>
    <xf numFmtId="0" fontId="21" fillId="0" borderId="0" applyNumberFormat="0" applyFill="0" applyAlignment="0" applyProtection="0"/>
    <xf numFmtId="0" fontId="21" fillId="0" borderId="0" applyNumberFormat="0" applyFill="0" applyAlignment="0" applyProtection="0"/>
    <xf numFmtId="0" fontId="21" fillId="0" borderId="0" applyNumberFormat="0" applyFill="0" applyAlignment="0" applyProtection="0"/>
    <xf numFmtId="0" fontId="21" fillId="0" borderId="0" applyNumberFormat="0" applyFill="0" applyAlignment="0" applyProtection="0"/>
    <xf numFmtId="0" fontId="21" fillId="0" borderId="0" applyNumberFormat="0" applyFill="0" applyAlignment="0" applyProtection="0"/>
    <xf numFmtId="0" fontId="46" fillId="0" borderId="0" applyNumberFormat="0" applyFill="0" applyBorder="0" applyAlignment="0" applyProtection="0"/>
    <xf numFmtId="0" fontId="22" fillId="68" borderId="0" applyNumberFormat="0" applyBorder="0" applyAlignment="0" applyProtection="0"/>
    <xf numFmtId="0" fontId="22" fillId="14" borderId="0" applyNumberFormat="0" applyAlignment="0" applyProtection="0"/>
    <xf numFmtId="0" fontId="22" fillId="68" borderId="0" applyNumberFormat="0" applyBorder="0" applyAlignment="0" applyProtection="0"/>
    <xf numFmtId="0" fontId="22" fillId="68" borderId="0" applyNumberFormat="0" applyBorder="0" applyAlignment="0" applyProtection="0"/>
    <xf numFmtId="0" fontId="22" fillId="68" borderId="0" applyNumberFormat="0" applyBorder="0" applyAlignment="0" applyProtection="0"/>
    <xf numFmtId="0" fontId="22" fillId="14" borderId="0" applyNumberFormat="0" applyAlignment="0" applyProtection="0"/>
    <xf numFmtId="0" fontId="22" fillId="68" borderId="0" applyNumberFormat="0" applyBorder="0" applyAlignment="0" applyProtection="0"/>
    <xf numFmtId="0" fontId="22" fillId="68" borderId="0" applyNumberFormat="0" applyBorder="0" applyAlignment="0" applyProtection="0"/>
    <xf numFmtId="0" fontId="22" fillId="14" borderId="0" applyNumberFormat="0" applyAlignment="0" applyProtection="0"/>
    <xf numFmtId="0" fontId="22" fillId="68" borderId="0" applyNumberFormat="0" applyBorder="0" applyAlignment="0" applyProtection="0"/>
    <xf numFmtId="0" fontId="22" fillId="68" borderId="0" applyNumberFormat="0" applyBorder="0" applyAlignment="0" applyProtection="0"/>
    <xf numFmtId="0" fontId="22" fillId="14" borderId="0" applyNumberFormat="0" applyAlignment="0" applyProtection="0"/>
    <xf numFmtId="0" fontId="22" fillId="14" borderId="0" applyNumberFormat="0" applyAlignment="0" applyProtection="0"/>
    <xf numFmtId="0" fontId="22" fillId="14" borderId="0" applyNumberFormat="0" applyAlignment="0" applyProtection="0"/>
    <xf numFmtId="0" fontId="22" fillId="14" borderId="0" applyNumberFormat="0" applyAlignment="0" applyProtection="0"/>
    <xf numFmtId="0" fontId="22" fillId="14" borderId="0" applyNumberFormat="0" applyAlignment="0" applyProtection="0"/>
    <xf numFmtId="0" fontId="22" fillId="14" borderId="0" applyNumberFormat="0" applyAlignment="0" applyProtection="0"/>
    <xf numFmtId="0" fontId="22" fillId="14" borderId="0" applyNumberFormat="0" applyAlignment="0" applyProtection="0"/>
    <xf numFmtId="0" fontId="22" fillId="14" borderId="0" applyNumberFormat="0" applyAlignment="0" applyProtection="0"/>
    <xf numFmtId="0" fontId="22" fillId="14" borderId="0" applyNumberFormat="0" applyAlignment="0" applyProtection="0"/>
    <xf numFmtId="0" fontId="22" fillId="14" borderId="0" applyNumberFormat="0" applyAlignment="0" applyProtection="0"/>
    <xf numFmtId="0" fontId="22" fillId="14" borderId="0" applyNumberFormat="0" applyAlignment="0" applyProtection="0"/>
    <xf numFmtId="0" fontId="40" fillId="36" borderId="0" applyNumberFormat="0" applyBorder="0" applyAlignment="0" applyProtection="0"/>
    <xf numFmtId="38" fontId="51" fillId="88" borderId="0" applyNumberFormat="0" applyBorder="0" applyAlignment="0" applyProtection="0"/>
    <xf numFmtId="38" fontId="51" fillId="88" borderId="0" applyNumberFormat="0" applyBorder="0" applyAlignment="0" applyProtection="0"/>
    <xf numFmtId="38" fontId="51" fillId="88" borderId="0" applyNumberFormat="0" applyBorder="0" applyAlignment="0" applyProtection="0"/>
    <xf numFmtId="38" fontId="51" fillId="88" borderId="0" applyNumberFormat="0" applyBorder="0" applyAlignment="0" applyProtection="0"/>
    <xf numFmtId="38" fontId="51" fillId="88" borderId="0" applyNumberFormat="0" applyBorder="0" applyAlignment="0" applyProtection="0"/>
    <xf numFmtId="38" fontId="51" fillId="88" borderId="0" applyNumberFormat="0" applyBorder="0" applyAlignment="0" applyProtection="0"/>
    <xf numFmtId="38" fontId="51" fillId="88" borderId="0" applyNumberFormat="0" applyBorder="0" applyAlignment="0" applyProtection="0"/>
    <xf numFmtId="38" fontId="51" fillId="88" borderId="0" applyNumberFormat="0" applyBorder="0" applyAlignment="0" applyProtection="0"/>
    <xf numFmtId="38" fontId="51" fillId="88" borderId="0" applyNumberFormat="0" applyBorder="0" applyAlignment="0" applyProtection="0"/>
    <xf numFmtId="38" fontId="51" fillId="88" borderId="0" applyNumberFormat="0" applyBorder="0" applyAlignment="0" applyProtection="0"/>
    <xf numFmtId="38" fontId="51" fillId="88" borderId="0" applyNumberFormat="0" applyBorder="0" applyAlignment="0" applyProtection="0"/>
    <xf numFmtId="38" fontId="51" fillId="88" borderId="0" applyNumberFormat="0" applyBorder="0" applyAlignment="0" applyProtection="0"/>
    <xf numFmtId="38" fontId="51" fillId="88" borderId="0" applyNumberFormat="0" applyBorder="0" applyAlignment="0" applyProtection="0"/>
    <xf numFmtId="38" fontId="51" fillId="88" borderId="0" applyNumberFormat="0" applyBorder="0" applyAlignment="0" applyProtection="0"/>
    <xf numFmtId="38" fontId="51" fillId="88" borderId="0" applyNumberFormat="0" applyBorder="0" applyAlignment="0" applyProtection="0"/>
    <xf numFmtId="38" fontId="51" fillId="88" borderId="0" applyNumberFormat="0" applyBorder="0" applyAlignment="0" applyProtection="0"/>
    <xf numFmtId="38" fontId="51" fillId="88" borderId="0" applyNumberFormat="0" applyBorder="0" applyAlignment="0" applyProtection="0"/>
    <xf numFmtId="38" fontId="51" fillId="88" borderId="0" applyNumberFormat="0" applyBorder="0" applyAlignment="0" applyProtection="0"/>
    <xf numFmtId="38" fontId="51" fillId="88" borderId="0" applyNumberFormat="0" applyBorder="0" applyAlignment="0" applyProtection="0"/>
    <xf numFmtId="38" fontId="51" fillId="88" borderId="0" applyNumberFormat="0" applyBorder="0" applyAlignment="0" applyProtection="0"/>
    <xf numFmtId="38" fontId="51" fillId="88" borderId="0" applyNumberFormat="0" applyBorder="0" applyAlignment="0" applyProtection="0"/>
    <xf numFmtId="0" fontId="37" fillId="0" borderId="56" applyNumberFormat="0" applyFill="0" applyAlignment="0" applyProtection="0"/>
    <xf numFmtId="0" fontId="53" fillId="0" borderId="41" applyNumberFormat="0" applyFill="0" applyAlignment="0" applyProtection="0"/>
    <xf numFmtId="0" fontId="23" fillId="0" borderId="41" applyNumberFormat="0" applyFill="0" applyAlignment="0" applyProtection="0"/>
    <xf numFmtId="0" fontId="53" fillId="0" borderId="41" applyNumberFormat="0" applyFill="0" applyAlignment="0" applyProtection="0"/>
    <xf numFmtId="0" fontId="53" fillId="0" borderId="41" applyNumberFormat="0" applyFill="0" applyAlignment="0" applyProtection="0"/>
    <xf numFmtId="0" fontId="53" fillId="0" borderId="41" applyNumberFormat="0" applyFill="0" applyAlignment="0" applyProtection="0"/>
    <xf numFmtId="0" fontId="23" fillId="0" borderId="41" applyNumberFormat="0" applyFill="0" applyAlignment="0" applyProtection="0"/>
    <xf numFmtId="0" fontId="23" fillId="0" borderId="41" applyNumberFormat="0" applyFill="0" applyAlignment="0" applyProtection="0"/>
    <xf numFmtId="0" fontId="23" fillId="0" borderId="41" applyNumberFormat="0" applyFill="0" applyAlignment="0" applyProtection="0"/>
    <xf numFmtId="0" fontId="23" fillId="0" borderId="41" applyNumberFormat="0" applyFill="0" applyAlignment="0" applyProtection="0"/>
    <xf numFmtId="0" fontId="37" fillId="0" borderId="56" applyNumberFormat="0" applyFill="0" applyAlignment="0" applyProtection="0"/>
    <xf numFmtId="0" fontId="23" fillId="0" borderId="41" applyNumberFormat="0" applyFill="0" applyAlignment="0" applyProtection="0"/>
    <xf numFmtId="0" fontId="37" fillId="0" borderId="56" applyNumberFormat="0" applyFill="0" applyAlignment="0" applyProtection="0"/>
    <xf numFmtId="0" fontId="37" fillId="0" borderId="56" applyNumberFormat="0" applyFill="0" applyAlignment="0" applyProtection="0"/>
    <xf numFmtId="0" fontId="23" fillId="0" borderId="41" applyNumberFormat="0" applyFill="0" applyAlignment="0" applyProtection="0"/>
    <xf numFmtId="0" fontId="37" fillId="0" borderId="56" applyNumberFormat="0" applyFill="0" applyAlignment="0" applyProtection="0"/>
    <xf numFmtId="0" fontId="37" fillId="0" borderId="56" applyNumberFormat="0" applyFill="0" applyAlignment="0" applyProtection="0"/>
    <xf numFmtId="0" fontId="37" fillId="0" borderId="56" applyNumberFormat="0" applyFill="0" applyAlignment="0" applyProtection="0"/>
    <xf numFmtId="0" fontId="37" fillId="0" borderId="56" applyNumberFormat="0" applyFill="0" applyAlignment="0" applyProtection="0"/>
    <xf numFmtId="0" fontId="37" fillId="0" borderId="56" applyNumberFormat="0" applyFill="0" applyAlignment="0" applyProtection="0"/>
    <xf numFmtId="0" fontId="38" fillId="0" borderId="57" applyNumberFormat="0" applyFill="0" applyAlignment="0" applyProtection="0"/>
    <xf numFmtId="0" fontId="54" fillId="0" borderId="42" applyNumberFormat="0" applyFill="0" applyAlignment="0" applyProtection="0"/>
    <xf numFmtId="0" fontId="24"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4" fillId="0" borderId="42" applyNumberFormat="0" applyFill="0" applyAlignment="0" applyProtection="0"/>
    <xf numFmtId="0" fontId="24" fillId="0" borderId="42" applyNumberFormat="0" applyFill="0" applyAlignment="0" applyProtection="0"/>
    <xf numFmtId="0" fontId="24" fillId="0" borderId="42" applyNumberFormat="0" applyFill="0" applyAlignment="0" applyProtection="0"/>
    <xf numFmtId="0" fontId="24" fillId="0" borderId="42" applyNumberFormat="0" applyFill="0" applyAlignment="0" applyProtection="0"/>
    <xf numFmtId="0" fontId="38" fillId="0" borderId="57" applyNumberFormat="0" applyFill="0" applyAlignment="0" applyProtection="0"/>
    <xf numFmtId="0" fontId="24"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4"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55" fillId="0" borderId="64" applyNumberFormat="0" applyFill="0" applyAlignment="0" applyProtection="0"/>
    <xf numFmtId="0" fontId="55" fillId="0" borderId="64" applyNumberFormat="0" applyFill="0" applyAlignment="0" applyProtection="0"/>
    <xf numFmtId="0" fontId="55" fillId="0" borderId="64" applyNumberFormat="0" applyFill="0" applyAlignment="0" applyProtection="0"/>
    <xf numFmtId="0" fontId="55" fillId="0" borderId="64"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5" fillId="0" borderId="43" applyNumberFormat="0" applyFill="0" applyAlignment="0" applyProtection="0"/>
    <xf numFmtId="0" fontId="39" fillId="0" borderId="58"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39" fillId="0" borderId="58" applyNumberFormat="0" applyFill="0" applyAlignment="0" applyProtection="0"/>
    <xf numFmtId="0" fontId="25" fillId="0" borderId="0" applyNumberFormat="0" applyFill="0" applyBorder="0" applyAlignment="0" applyProtection="0"/>
    <xf numFmtId="0" fontId="39"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55" fillId="0" borderId="0" applyNumberFormat="0" applyFill="0" applyBorder="0" applyAlignment="0" applyProtection="0"/>
    <xf numFmtId="0" fontId="25" fillId="0" borderId="0" applyNumberFormat="0" applyFill="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39" fillId="0" borderId="0" applyNumberFormat="0" applyFill="0" applyBorder="0" applyAlignment="0" applyProtection="0"/>
    <xf numFmtId="0" fontId="25" fillId="0" borderId="0" applyNumberFormat="0" applyFill="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25" fillId="0" borderId="0" applyNumberFormat="0" applyFill="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25" fillId="0" borderId="0" applyNumberFormat="0" applyFill="0" applyBorder="0" applyAlignment="0" applyProtection="0"/>
    <xf numFmtId="0" fontId="39"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25" fillId="0" borderId="0" applyNumberFormat="0" applyFill="0" applyBorder="0" applyAlignment="0" applyProtection="0"/>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6" fillId="6" borderId="11"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43" fillId="0" borderId="60" applyNumberFormat="0" applyFill="0" applyAlignment="0" applyProtection="0"/>
    <xf numFmtId="0" fontId="29" fillId="90" borderId="0" applyNumberFormat="0" applyBorder="0" applyAlignment="0" applyProtection="0"/>
    <xf numFmtId="0" fontId="29" fillId="32" borderId="0" applyNumberFormat="0" applyAlignment="0" applyProtection="0"/>
    <xf numFmtId="0" fontId="29" fillId="90" borderId="0" applyNumberFormat="0" applyBorder="0" applyAlignment="0" applyProtection="0"/>
    <xf numFmtId="0" fontId="29" fillId="90" borderId="0" applyNumberFormat="0" applyBorder="0" applyAlignment="0" applyProtection="0"/>
    <xf numFmtId="0" fontId="29" fillId="90" borderId="0" applyNumberFormat="0" applyBorder="0" applyAlignment="0" applyProtection="0"/>
    <xf numFmtId="0" fontId="29" fillId="32" borderId="0" applyNumberFormat="0" applyAlignment="0" applyProtection="0"/>
    <xf numFmtId="0" fontId="29" fillId="90" borderId="0" applyNumberFormat="0" applyBorder="0" applyAlignment="0" applyProtection="0"/>
    <xf numFmtId="0" fontId="29" fillId="90" borderId="0" applyNumberFormat="0" applyBorder="0" applyAlignment="0" applyProtection="0"/>
    <xf numFmtId="0" fontId="29" fillId="32" borderId="0" applyNumberFormat="0" applyAlignment="0" applyProtection="0"/>
    <xf numFmtId="0" fontId="29" fillId="90" borderId="0" applyNumberFormat="0" applyBorder="0" applyAlignment="0" applyProtection="0"/>
    <xf numFmtId="0" fontId="29" fillId="90" borderId="0" applyNumberFormat="0" applyBorder="0" applyAlignment="0" applyProtection="0"/>
    <xf numFmtId="0" fontId="29" fillId="32" borderId="0" applyNumberFormat="0" applyAlignment="0" applyProtection="0"/>
    <xf numFmtId="0" fontId="29" fillId="32" borderId="0" applyNumberFormat="0" applyAlignment="0" applyProtection="0"/>
    <xf numFmtId="0" fontId="29" fillId="32" borderId="0" applyNumberFormat="0" applyAlignment="0" applyProtection="0"/>
    <xf numFmtId="0" fontId="29" fillId="32" borderId="0" applyNumberFormat="0" applyAlignment="0" applyProtection="0"/>
    <xf numFmtId="0" fontId="29" fillId="32" borderId="0" applyNumberFormat="0" applyAlignment="0" applyProtection="0"/>
    <xf numFmtId="0" fontId="29" fillId="32" borderId="0" applyNumberFormat="0" applyAlignment="0" applyProtection="0"/>
    <xf numFmtId="0" fontId="29" fillId="32" borderId="0" applyNumberFormat="0" applyAlignment="0" applyProtection="0"/>
    <xf numFmtId="0" fontId="29" fillId="32" borderId="0" applyNumberFormat="0" applyAlignment="0" applyProtection="0"/>
    <xf numFmtId="0" fontId="29" fillId="32" borderId="0" applyNumberFormat="0" applyAlignment="0" applyProtection="0"/>
    <xf numFmtId="0" fontId="29" fillId="32" borderId="0" applyNumberFormat="0" applyAlignment="0" applyProtection="0"/>
    <xf numFmtId="0" fontId="29" fillId="32" borderId="0" applyNumberFormat="0" applyAlignment="0" applyProtection="0"/>
    <xf numFmtId="0" fontId="34" fillId="34" borderId="0" applyNumberFormat="0" applyBorder="0" applyAlignment="0" applyProtection="0"/>
    <xf numFmtId="176" fontId="56" fillId="0" borderId="0"/>
    <xf numFmtId="0" fontId="4" fillId="0" borderId="0"/>
    <xf numFmtId="0" fontId="4"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4" fillId="0" borderId="0"/>
    <xf numFmtId="0" fontId="4" fillId="0" borderId="0"/>
    <xf numFmtId="0" fontId="12"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12" fillId="0" borderId="0"/>
    <xf numFmtId="0" fontId="4"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12"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xf numFmtId="0" fontId="16" fillId="0" borderId="0"/>
    <xf numFmtId="0" fontId="12" fillId="0" borderId="0"/>
    <xf numFmtId="0" fontId="12" fillId="0" borderId="0"/>
    <xf numFmtId="0" fontId="12" fillId="0" borderId="0"/>
    <xf numFmtId="0" fontId="12" fillId="0" borderId="0"/>
    <xf numFmtId="0" fontId="16" fillId="0" borderId="0"/>
    <xf numFmtId="0" fontId="4" fillId="0" borderId="0"/>
    <xf numFmtId="0" fontId="12" fillId="0" borderId="0"/>
    <xf numFmtId="0" fontId="4" fillId="0" borderId="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4" fillId="0" borderId="0"/>
    <xf numFmtId="0" fontId="4" fillId="0" borderId="0"/>
    <xf numFmtId="0" fontId="4"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0" borderId="0"/>
    <xf numFmtId="0" fontId="4"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12" fillId="0" borderId="0"/>
    <xf numFmtId="0" fontId="4"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4" fillId="0" borderId="0"/>
    <xf numFmtId="0" fontId="4"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4" fillId="0" borderId="0"/>
    <xf numFmtId="0" fontId="4" fillId="0" borderId="0"/>
    <xf numFmtId="0" fontId="12" fillId="0" borderId="0"/>
    <xf numFmtId="0" fontId="12" fillId="0" borderId="0"/>
    <xf numFmtId="0" fontId="12" fillId="0" borderId="0"/>
    <xf numFmtId="0" fontId="4" fillId="0" borderId="0"/>
    <xf numFmtId="0" fontId="4" fillId="0" borderId="0"/>
    <xf numFmtId="0" fontId="4" fillId="0" borderId="0"/>
    <xf numFmtId="0" fontId="12" fillId="0" borderId="0"/>
    <xf numFmtId="0" fontId="12" fillId="0" borderId="0"/>
    <xf numFmtId="0" fontId="4" fillId="0" borderId="0"/>
    <xf numFmtId="0" fontId="4" fillId="0" borderId="0"/>
    <xf numFmtId="0" fontId="12" fillId="0" borderId="0"/>
    <xf numFmtId="0" fontId="4" fillId="0" borderId="0"/>
    <xf numFmtId="0" fontId="4" fillId="0" borderId="0"/>
    <xf numFmtId="0" fontId="12" fillId="0" borderId="0"/>
    <xf numFmtId="0" fontId="4" fillId="0" borderId="0"/>
    <xf numFmtId="0" fontId="12"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0" borderId="0"/>
    <xf numFmtId="0" fontId="16" fillId="0" borderId="0"/>
    <xf numFmtId="0" fontId="4" fillId="0" borderId="0"/>
    <xf numFmtId="0" fontId="16" fillId="0" borderId="0"/>
    <xf numFmtId="0" fontId="16" fillId="0" borderId="0"/>
    <xf numFmtId="0" fontId="4" fillId="0" borderId="0"/>
    <xf numFmtId="0" fontId="4" fillId="0" borderId="0"/>
    <xf numFmtId="0" fontId="4" fillId="0" borderId="0"/>
    <xf numFmtId="0" fontId="1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0" borderId="0"/>
    <xf numFmtId="0" fontId="4" fillId="0" borderId="0"/>
    <xf numFmtId="0" fontId="4" fillId="0" borderId="0"/>
    <xf numFmtId="0" fontId="4" fillId="0" borderId="0"/>
    <xf numFmtId="0" fontId="4"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4" fillId="0" borderId="0"/>
    <xf numFmtId="0" fontId="4" fillId="0" borderId="0"/>
    <xf numFmtId="0" fontId="4" fillId="0" borderId="0"/>
    <xf numFmtId="0" fontId="4" fillId="0" borderId="0"/>
    <xf numFmtId="0" fontId="16" fillId="0" borderId="0"/>
    <xf numFmtId="0" fontId="4"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4" fillId="0" borderId="0"/>
    <xf numFmtId="0" fontId="4" fillId="0" borderId="0"/>
    <xf numFmtId="0" fontId="4" fillId="0" borderId="0"/>
    <xf numFmtId="0" fontId="4"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4" fillId="0" borderId="0"/>
    <xf numFmtId="0" fontId="4" fillId="0" borderId="0"/>
    <xf numFmtId="0" fontId="4"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4" fillId="0" borderId="0"/>
    <xf numFmtId="0" fontId="4" fillId="0" borderId="0"/>
    <xf numFmtId="0" fontId="4"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2" fillId="39" borderId="62"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4" fillId="33" borderId="45"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30" fillId="73" borderId="46" applyNumberFormat="0" applyAlignment="0" applyProtection="0"/>
    <xf numFmtId="0" fontId="30" fillId="73" borderId="46" applyNumberFormat="0" applyAlignment="0" applyProtection="0"/>
    <xf numFmtId="0" fontId="41" fillId="37" borderId="59" applyNumberFormat="0" applyAlignment="0" applyProtection="0"/>
    <xf numFmtId="0" fontId="41" fillId="37" borderId="59"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41" fillId="37" borderId="59" applyNumberFormat="0" applyAlignment="0" applyProtection="0"/>
    <xf numFmtId="0" fontId="41" fillId="37" borderId="59" applyNumberFormat="0" applyAlignment="0" applyProtection="0"/>
    <xf numFmtId="0" fontId="41" fillId="37" borderId="59" applyNumberFormat="0" applyAlignment="0" applyProtection="0"/>
    <xf numFmtId="0" fontId="41" fillId="37" borderId="59" applyNumberFormat="0" applyAlignment="0" applyProtection="0"/>
    <xf numFmtId="0" fontId="41" fillId="37" borderId="59" applyNumberFormat="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0" fontId="31" fillId="0" borderId="0" applyNumberFormat="0" applyFill="0" applyBorder="0" applyAlignment="0" applyProtection="0"/>
    <xf numFmtId="0" fontId="36"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57" fillId="0" borderId="0" applyNumberFormat="0" applyFill="0" applyBorder="0" applyAlignment="0" applyProtection="0"/>
    <xf numFmtId="0" fontId="31" fillId="0" borderId="0"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31" fillId="0" borderId="0" applyNumberFormat="0" applyFill="0" applyAlignment="0" applyProtection="0"/>
    <xf numFmtId="0" fontId="31" fillId="0" borderId="0" applyNumberFormat="0" applyFill="0" applyAlignment="0" applyProtection="0"/>
    <xf numFmtId="0" fontId="31" fillId="0" borderId="0" applyNumberFormat="0" applyFill="0" applyAlignment="0" applyProtection="0"/>
    <xf numFmtId="0" fontId="31" fillId="0" borderId="0" applyNumberFormat="0" applyFill="0" applyAlignment="0" applyProtection="0"/>
    <xf numFmtId="0" fontId="36" fillId="0" borderId="0" applyNumberFormat="0" applyFill="0" applyBorder="0" applyAlignment="0" applyProtection="0"/>
    <xf numFmtId="0" fontId="31" fillId="0" borderId="0" applyNumberFormat="0" applyFill="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1" fillId="0" borderId="0" applyNumberFormat="0" applyFill="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1" fillId="0" borderId="0" applyNumberFormat="0" applyFill="0" applyBorder="0" applyAlignment="0" applyProtection="0"/>
    <xf numFmtId="0" fontId="36"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1" fillId="0" borderId="0" applyNumberFormat="0" applyFill="0" applyBorder="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47" fillId="0" borderId="63" applyNumberFormat="0" applyFill="0" applyAlignment="0" applyProtection="0"/>
    <xf numFmtId="0" fontId="33" fillId="0" borderId="0" applyNumberFormat="0" applyFill="0" applyBorder="0" applyAlignment="0" applyProtection="0"/>
    <xf numFmtId="0" fontId="33" fillId="0" borderId="0"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45" fillId="0" borderId="0" applyNumberFormat="0" applyFill="0" applyBorder="0" applyAlignment="0" applyProtection="0"/>
    <xf numFmtId="0" fontId="4" fillId="0" borderId="0"/>
    <xf numFmtId="0" fontId="4" fillId="0" borderId="0"/>
    <xf numFmtId="0" fontId="12" fillId="0" borderId="0"/>
    <xf numFmtId="0" fontId="12" fillId="57"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4" fillId="0" borderId="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6" fillId="13" borderId="0" applyNumberFormat="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13" borderId="0" applyNumberFormat="0" applyAlignment="0" applyProtection="0"/>
    <xf numFmtId="0" fontId="16" fillId="66" borderId="0" applyNumberFormat="0" applyBorder="0" applyAlignment="0" applyProtection="0"/>
    <xf numFmtId="0" fontId="16" fillId="66" borderId="0" applyNumberFormat="0" applyBorder="0" applyAlignment="0" applyProtection="0"/>
    <xf numFmtId="0" fontId="16" fillId="13" borderId="0" applyNumberFormat="0" applyAlignment="0" applyProtection="0"/>
    <xf numFmtId="0" fontId="16" fillId="66" borderId="0" applyNumberFormat="0" applyBorder="0" applyAlignment="0" applyProtection="0"/>
    <xf numFmtId="0" fontId="16"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6" fillId="13" borderId="0" applyNumberFormat="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6" fillId="14" borderId="0" applyNumberFormat="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14" borderId="0" applyNumberFormat="0" applyAlignment="0" applyProtection="0"/>
    <xf numFmtId="0" fontId="16" fillId="68" borderId="0" applyNumberFormat="0" applyBorder="0" applyAlignment="0" applyProtection="0"/>
    <xf numFmtId="0" fontId="16" fillId="68" borderId="0" applyNumberFormat="0" applyBorder="0" applyAlignment="0" applyProtection="0"/>
    <xf numFmtId="0" fontId="16" fillId="14" borderId="0" applyNumberFormat="0" applyAlignment="0" applyProtection="0"/>
    <xf numFmtId="0" fontId="16" fillId="68" borderId="0" applyNumberFormat="0" applyBorder="0" applyAlignment="0" applyProtection="0"/>
    <xf numFmtId="0" fontId="16"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6" fillId="14" borderId="0" applyNumberFormat="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6" fillId="15" borderId="0" applyNumberFormat="0" applyAlignment="0" applyProtection="0"/>
    <xf numFmtId="0" fontId="16" fillId="65" borderId="0" applyNumberFormat="0" applyBorder="0" applyAlignment="0" applyProtection="0"/>
    <xf numFmtId="0" fontId="16" fillId="65" borderId="0" applyNumberFormat="0" applyBorder="0" applyAlignment="0" applyProtection="0"/>
    <xf numFmtId="0" fontId="16" fillId="65" borderId="0" applyNumberFormat="0" applyBorder="0" applyAlignment="0" applyProtection="0"/>
    <xf numFmtId="0" fontId="16" fillId="65" borderId="0" applyNumberFormat="0" applyBorder="0" applyAlignment="0" applyProtection="0"/>
    <xf numFmtId="0" fontId="16" fillId="15" borderId="0" applyNumberFormat="0" applyAlignment="0" applyProtection="0"/>
    <xf numFmtId="0" fontId="16" fillId="70" borderId="0" applyNumberFormat="0" applyBorder="0" applyAlignment="0" applyProtection="0"/>
    <xf numFmtId="0" fontId="16" fillId="70" borderId="0" applyNumberFormat="0" applyBorder="0" applyAlignment="0" applyProtection="0"/>
    <xf numFmtId="0" fontId="16" fillId="15" borderId="0" applyNumberFormat="0" applyAlignment="0" applyProtection="0"/>
    <xf numFmtId="0" fontId="16" fillId="70" borderId="0" applyNumberFormat="0" applyBorder="0" applyAlignment="0" applyProtection="0"/>
    <xf numFmtId="0" fontId="16"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6" fillId="15" borderId="0" applyNumberFormat="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6" fillId="16" borderId="0" applyNumberFormat="0" applyAlignment="0" applyProtection="0"/>
    <xf numFmtId="0" fontId="16" fillId="71" borderId="0" applyNumberFormat="0" applyBorder="0" applyAlignment="0" applyProtection="0"/>
    <xf numFmtId="0" fontId="16" fillId="71" borderId="0" applyNumberFormat="0" applyBorder="0" applyAlignment="0" applyProtection="0"/>
    <xf numFmtId="0" fontId="16" fillId="71" borderId="0" applyNumberFormat="0" applyBorder="0" applyAlignment="0" applyProtection="0"/>
    <xf numFmtId="0" fontId="16" fillId="71" borderId="0" applyNumberFormat="0" applyBorder="0" applyAlignment="0" applyProtection="0"/>
    <xf numFmtId="0" fontId="16" fillId="16" borderId="0" applyNumberFormat="0" applyAlignment="0" applyProtection="0"/>
    <xf numFmtId="0" fontId="16" fillId="16" borderId="0" applyNumberFormat="0" applyAlignment="0" applyProtection="0"/>
    <xf numFmtId="0" fontId="16" fillId="16" borderId="0" applyNumberFormat="0" applyAlignment="0" applyProtection="0"/>
    <xf numFmtId="0" fontId="12" fillId="57" borderId="0" applyNumberFormat="0" applyBorder="0" applyAlignment="0" applyProtection="0"/>
    <xf numFmtId="0" fontId="12" fillId="57" borderId="0" applyNumberFormat="0" applyBorder="0" applyAlignment="0" applyProtection="0"/>
    <xf numFmtId="0" fontId="16" fillId="16" borderId="0" applyNumberFormat="0" applyAlignment="0" applyProtection="0"/>
    <xf numFmtId="0" fontId="16" fillId="17" borderId="0" applyNumberFormat="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17" borderId="0" applyNumberFormat="0" applyAlignment="0" applyProtection="0"/>
    <xf numFmtId="0" fontId="16" fillId="17" borderId="0" applyNumberFormat="0" applyAlignment="0" applyProtection="0"/>
    <xf numFmtId="0" fontId="16" fillId="17" borderId="0" applyNumberFormat="0" applyAlignment="0" applyProtection="0"/>
    <xf numFmtId="0" fontId="12" fillId="61" borderId="0" applyNumberFormat="0" applyBorder="0" applyAlignment="0" applyProtection="0"/>
    <xf numFmtId="0" fontId="12" fillId="61" borderId="0" applyNumberFormat="0" applyBorder="0" applyAlignment="0" applyProtection="0"/>
    <xf numFmtId="0" fontId="16" fillId="17" borderId="0" applyNumberFormat="0" applyAlignment="0" applyProtection="0"/>
    <xf numFmtId="0" fontId="12" fillId="42" borderId="0" applyNumberFormat="0" applyBorder="0" applyAlignment="0" applyProtection="0"/>
    <xf numFmtId="0" fontId="16" fillId="18" borderId="0" applyNumberFormat="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18" borderId="0" applyNumberFormat="0" applyAlignment="0" applyProtection="0"/>
    <xf numFmtId="0" fontId="16" fillId="72" borderId="0" applyNumberFormat="0" applyBorder="0" applyAlignment="0" applyProtection="0"/>
    <xf numFmtId="0" fontId="16" fillId="72" borderId="0" applyNumberFormat="0" applyBorder="0" applyAlignment="0" applyProtection="0"/>
    <xf numFmtId="0" fontId="16" fillId="18" borderId="0" applyNumberFormat="0" applyAlignment="0" applyProtection="0"/>
    <xf numFmtId="0" fontId="16" fillId="72" borderId="0" applyNumberFormat="0" applyBorder="0" applyAlignment="0" applyProtection="0"/>
    <xf numFmtId="0" fontId="16" fillId="7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6" fillId="18" borderId="0" applyNumberFormat="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6" fillId="19" borderId="0" applyNumberFormat="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19" borderId="0" applyNumberFormat="0" applyAlignment="0" applyProtection="0"/>
    <xf numFmtId="0" fontId="16" fillId="74" borderId="0" applyNumberFormat="0" applyBorder="0" applyAlignment="0" applyProtection="0"/>
    <xf numFmtId="0" fontId="16" fillId="74" borderId="0" applyNumberFormat="0" applyBorder="0" applyAlignment="0" applyProtection="0"/>
    <xf numFmtId="0" fontId="16" fillId="19" borderId="0" applyNumberFormat="0" applyAlignment="0" applyProtection="0"/>
    <xf numFmtId="0" fontId="16" fillId="74" borderId="0" applyNumberFormat="0" applyBorder="0" applyAlignment="0" applyProtection="0"/>
    <xf numFmtId="0" fontId="16" fillId="74"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6" fillId="19" borderId="0" applyNumberFormat="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6" fillId="20" borderId="0" applyNumberFormat="0" applyAlignment="0" applyProtection="0"/>
    <xf numFmtId="0" fontId="16" fillId="76" borderId="0" applyNumberFormat="0" applyBorder="0" applyAlignment="0" applyProtection="0"/>
    <xf numFmtId="0" fontId="16" fillId="76" borderId="0" applyNumberFormat="0" applyBorder="0" applyAlignment="0" applyProtection="0"/>
    <xf numFmtId="0" fontId="16" fillId="76" borderId="0" applyNumberFormat="0" applyBorder="0" applyAlignment="0" applyProtection="0"/>
    <xf numFmtId="0" fontId="16" fillId="76" borderId="0" applyNumberFormat="0" applyBorder="0" applyAlignment="0" applyProtection="0"/>
    <xf numFmtId="0" fontId="16" fillId="20" borderId="0" applyNumberFormat="0" applyAlignment="0" applyProtection="0"/>
    <xf numFmtId="0" fontId="16" fillId="75" borderId="0" applyNumberFormat="0" applyBorder="0" applyAlignment="0" applyProtection="0"/>
    <xf numFmtId="0" fontId="16" fillId="75" borderId="0" applyNumberFormat="0" applyBorder="0" applyAlignment="0" applyProtection="0"/>
    <xf numFmtId="0" fontId="16" fillId="20" borderId="0" applyNumberFormat="0" applyAlignment="0" applyProtection="0"/>
    <xf numFmtId="0" fontId="16" fillId="75" borderId="0" applyNumberFormat="0" applyBorder="0" applyAlignment="0" applyProtection="0"/>
    <xf numFmtId="0" fontId="16"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6" fillId="20" borderId="0" applyNumberFormat="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4" borderId="0" applyNumberFormat="0" applyBorder="0" applyAlignment="0" applyProtection="0"/>
    <xf numFmtId="0" fontId="16" fillId="15" borderId="0" applyNumberFormat="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15" borderId="0" applyNumberFormat="0" applyAlignment="0" applyProtection="0"/>
    <xf numFmtId="0" fontId="16" fillId="70" borderId="0" applyNumberFormat="0" applyBorder="0" applyAlignment="0" applyProtection="0"/>
    <xf numFmtId="0" fontId="16" fillId="70" borderId="0" applyNumberFormat="0" applyBorder="0" applyAlignment="0" applyProtection="0"/>
    <xf numFmtId="0" fontId="16" fillId="15" borderId="0" applyNumberFormat="0" applyAlignment="0" applyProtection="0"/>
    <xf numFmtId="0" fontId="16" fillId="70" borderId="0" applyNumberFormat="0" applyBorder="0" applyAlignment="0" applyProtection="0"/>
    <xf numFmtId="0" fontId="16" fillId="70"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6" fillId="15" borderId="0" applyNumberFormat="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6" fillId="18" borderId="0" applyNumberFormat="0" applyAlignment="0" applyProtection="0"/>
    <xf numFmtId="0" fontId="16" fillId="72" borderId="0" applyNumberFormat="0" applyBorder="0" applyAlignment="0" applyProtection="0"/>
    <xf numFmtId="0" fontId="16" fillId="72" borderId="0" applyNumberFormat="0" applyBorder="0" applyAlignment="0" applyProtection="0"/>
    <xf numFmtId="0" fontId="16" fillId="72" borderId="0" applyNumberFormat="0" applyBorder="0" applyAlignment="0" applyProtection="0"/>
    <xf numFmtId="0" fontId="16" fillId="72" borderId="0" applyNumberFormat="0" applyBorder="0" applyAlignment="0" applyProtection="0"/>
    <xf numFmtId="0" fontId="16" fillId="18" borderId="0" applyNumberFormat="0" applyAlignment="0" applyProtection="0"/>
    <xf numFmtId="0" fontId="16" fillId="18" borderId="0" applyNumberFormat="0" applyAlignment="0" applyProtection="0"/>
    <xf numFmtId="0" fontId="16" fillId="18" borderId="0" applyNumberFormat="0" applyAlignment="0" applyProtection="0"/>
    <xf numFmtId="0" fontId="12" fillId="58" borderId="0" applyNumberFormat="0" applyBorder="0" applyAlignment="0" applyProtection="0"/>
    <xf numFmtId="0" fontId="12" fillId="58" borderId="0" applyNumberFormat="0" applyBorder="0" applyAlignment="0" applyProtection="0"/>
    <xf numFmtId="0" fontId="16" fillId="18" borderId="0" applyNumberFormat="0" applyAlignment="0" applyProtection="0"/>
    <xf numFmtId="0" fontId="12" fillId="62" borderId="0" applyNumberFormat="0" applyBorder="0" applyAlignment="0" applyProtection="0"/>
    <xf numFmtId="0" fontId="16" fillId="21" borderId="0" applyNumberFormat="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21" borderId="0" applyNumberFormat="0" applyAlignment="0" applyProtection="0"/>
    <xf numFmtId="0" fontId="16" fillId="77" borderId="0" applyNumberFormat="0" applyBorder="0" applyAlignment="0" applyProtection="0"/>
    <xf numFmtId="0" fontId="16" fillId="77" borderId="0" applyNumberFormat="0" applyBorder="0" applyAlignment="0" applyProtection="0"/>
    <xf numFmtId="0" fontId="16" fillId="21" borderId="0" applyNumberFormat="0" applyAlignment="0" applyProtection="0"/>
    <xf numFmtId="0" fontId="16" fillId="77" borderId="0" applyNumberFormat="0" applyBorder="0" applyAlignment="0" applyProtection="0"/>
    <xf numFmtId="0" fontId="16" fillId="77"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6" fillId="21" borderId="0" applyNumberFormat="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7" fillId="22" borderId="0" applyNumberFormat="0" applyAlignment="0" applyProtection="0"/>
    <xf numFmtId="0" fontId="17" fillId="79" borderId="0" applyNumberFormat="0" applyBorder="0" applyAlignment="0" applyProtection="0"/>
    <xf numFmtId="0" fontId="17" fillId="79" borderId="0" applyNumberFormat="0" applyBorder="0" applyAlignment="0" applyProtection="0"/>
    <xf numFmtId="0" fontId="17" fillId="79" borderId="0" applyNumberFormat="0" applyBorder="0" applyAlignment="0" applyProtection="0"/>
    <xf numFmtId="0" fontId="17" fillId="79" borderId="0" applyNumberFormat="0" applyBorder="0" applyAlignment="0" applyProtection="0"/>
    <xf numFmtId="0" fontId="17" fillId="22" borderId="0" applyNumberFormat="0" applyAlignment="0" applyProtection="0"/>
    <xf numFmtId="0" fontId="17" fillId="78" borderId="0" applyNumberFormat="0" applyBorder="0" applyAlignment="0" applyProtection="0"/>
    <xf numFmtId="0" fontId="17" fillId="78" borderId="0" applyNumberFormat="0" applyBorder="0" applyAlignment="0" applyProtection="0"/>
    <xf numFmtId="0" fontId="17" fillId="22" borderId="0" applyNumberFormat="0" applyAlignment="0" applyProtection="0"/>
    <xf numFmtId="0" fontId="17" fillId="78" borderId="0" applyNumberFormat="0" applyBorder="0" applyAlignment="0" applyProtection="0"/>
    <xf numFmtId="0" fontId="17" fillId="78" borderId="0" applyNumberFormat="0" applyBorder="0" applyAlignment="0" applyProtection="0"/>
    <xf numFmtId="0" fontId="48" fillId="43" borderId="0" applyNumberFormat="0" applyBorder="0" applyAlignment="0" applyProtection="0"/>
    <xf numFmtId="0" fontId="17" fillId="22" borderId="0" applyNumberFormat="0" applyAlignment="0" applyProtection="0"/>
    <xf numFmtId="0" fontId="17" fillId="19" borderId="0" applyNumberFormat="0" applyAlignment="0" applyProtection="0"/>
    <xf numFmtId="0" fontId="17" fillId="67" borderId="0" applyNumberFormat="0" applyBorder="0" applyAlignment="0" applyProtection="0"/>
    <xf numFmtId="0" fontId="17" fillId="67" borderId="0" applyNumberFormat="0" applyBorder="0" applyAlignment="0" applyProtection="0"/>
    <xf numFmtId="0" fontId="17" fillId="67" borderId="0" applyNumberFormat="0" applyBorder="0" applyAlignment="0" applyProtection="0"/>
    <xf numFmtId="0" fontId="17" fillId="67" borderId="0" applyNumberFormat="0" applyBorder="0" applyAlignment="0" applyProtection="0"/>
    <xf numFmtId="0" fontId="17" fillId="19" borderId="0" applyNumberFormat="0" applyAlignment="0" applyProtection="0"/>
    <xf numFmtId="0" fontId="17" fillId="74" borderId="0" applyNumberFormat="0" applyBorder="0" applyAlignment="0" applyProtection="0"/>
    <xf numFmtId="0" fontId="17" fillId="74" borderId="0" applyNumberFormat="0" applyBorder="0" applyAlignment="0" applyProtection="0"/>
    <xf numFmtId="0" fontId="17" fillId="19" borderId="0" applyNumberFormat="0" applyAlignment="0" applyProtection="0"/>
    <xf numFmtId="0" fontId="17" fillId="74" borderId="0" applyNumberFormat="0" applyBorder="0" applyAlignment="0" applyProtection="0"/>
    <xf numFmtId="0" fontId="17" fillId="74" borderId="0" applyNumberFormat="0" applyBorder="0" applyAlignment="0" applyProtection="0"/>
    <xf numFmtId="0" fontId="48" fillId="47" borderId="0" applyNumberFormat="0" applyBorder="0" applyAlignment="0" applyProtection="0"/>
    <xf numFmtId="0" fontId="17" fillId="19" borderId="0" applyNumberFormat="0" applyAlignment="0" applyProtection="0"/>
    <xf numFmtId="0" fontId="48" fillId="75" borderId="0" applyNumberFormat="0" applyBorder="0" applyAlignment="0" applyProtection="0"/>
    <xf numFmtId="0" fontId="48" fillId="75" borderId="0" applyNumberFormat="0" applyBorder="0" applyAlignment="0" applyProtection="0"/>
    <xf numFmtId="0" fontId="48" fillId="51" borderId="0" applyNumberFormat="0" applyBorder="0" applyAlignment="0" applyProtection="0"/>
    <xf numFmtId="0" fontId="48" fillId="51" borderId="0" applyNumberFormat="0" applyBorder="0" applyAlignment="0" applyProtection="0"/>
    <xf numFmtId="0" fontId="17" fillId="20" borderId="0" applyNumberFormat="0" applyAlignment="0" applyProtection="0"/>
    <xf numFmtId="0" fontId="17" fillId="76" borderId="0" applyNumberFormat="0" applyBorder="0" applyAlignment="0" applyProtection="0"/>
    <xf numFmtId="0" fontId="17" fillId="76" borderId="0" applyNumberFormat="0" applyBorder="0" applyAlignment="0" applyProtection="0"/>
    <xf numFmtId="0" fontId="17" fillId="76" borderId="0" applyNumberFormat="0" applyBorder="0" applyAlignment="0" applyProtection="0"/>
    <xf numFmtId="0" fontId="17" fillId="76" borderId="0" applyNumberFormat="0" applyBorder="0" applyAlignment="0" applyProtection="0"/>
    <xf numFmtId="0" fontId="17" fillId="20" borderId="0" applyNumberFormat="0" applyAlignment="0" applyProtection="0"/>
    <xf numFmtId="0" fontId="17" fillId="75" borderId="0" applyNumberFormat="0" applyBorder="0" applyAlignment="0" applyProtection="0"/>
    <xf numFmtId="0" fontId="17" fillId="75" borderId="0" applyNumberFormat="0" applyBorder="0" applyAlignment="0" applyProtection="0"/>
    <xf numFmtId="0" fontId="17" fillId="20" borderId="0" applyNumberFormat="0" applyAlignment="0" applyProtection="0"/>
    <xf numFmtId="0" fontId="17" fillId="75" borderId="0" applyNumberFormat="0" applyBorder="0" applyAlignment="0" applyProtection="0"/>
    <xf numFmtId="0" fontId="17" fillId="75" borderId="0" applyNumberFormat="0" applyBorder="0" applyAlignment="0" applyProtection="0"/>
    <xf numFmtId="0" fontId="48" fillId="51"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51" borderId="0" applyNumberFormat="0" applyBorder="0" applyAlignment="0" applyProtection="0"/>
    <xf numFmtId="0" fontId="17" fillId="20" borderId="0" applyNumberFormat="0" applyAlignment="0" applyProtection="0"/>
    <xf numFmtId="0" fontId="48" fillId="75" borderId="0" applyNumberFormat="0" applyBorder="0" applyAlignment="0" applyProtection="0"/>
    <xf numFmtId="0" fontId="48" fillId="75" borderId="0" applyNumberFormat="0" applyBorder="0" applyAlignment="0" applyProtection="0"/>
    <xf numFmtId="0" fontId="48" fillId="51" borderId="0" applyNumberFormat="0" applyBorder="0" applyAlignment="0" applyProtection="0"/>
    <xf numFmtId="0" fontId="48" fillId="51"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51" borderId="0" applyNumberFormat="0" applyBorder="0" applyAlignment="0" applyProtection="0"/>
    <xf numFmtId="0" fontId="48" fillId="51"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51" borderId="0" applyNumberFormat="0" applyBorder="0" applyAlignment="0" applyProtection="0"/>
    <xf numFmtId="0" fontId="48" fillId="51" borderId="0" applyNumberFormat="0" applyBorder="0" applyAlignment="0" applyProtection="0"/>
    <xf numFmtId="0" fontId="48" fillId="75" borderId="0" applyNumberFormat="0" applyBorder="0" applyAlignment="0" applyProtection="0"/>
    <xf numFmtId="0" fontId="48" fillId="75" borderId="0" applyNumberFormat="0" applyBorder="0" applyAlignment="0" applyProtection="0"/>
    <xf numFmtId="0" fontId="48" fillId="51" borderId="0" applyNumberFormat="0" applyBorder="0" applyAlignment="0" applyProtection="0"/>
    <xf numFmtId="0" fontId="48" fillId="51"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55" borderId="0" applyNumberFormat="0" applyBorder="0" applyAlignment="0" applyProtection="0"/>
    <xf numFmtId="0" fontId="48" fillId="55" borderId="0" applyNumberFormat="0" applyBorder="0" applyAlignment="0" applyProtection="0"/>
    <xf numFmtId="0" fontId="17" fillId="23" borderId="0" applyNumberFormat="0" applyAlignment="0" applyProtection="0"/>
    <xf numFmtId="0" fontId="17" fillId="73" borderId="0" applyNumberFormat="0" applyBorder="0" applyAlignment="0" applyProtection="0"/>
    <xf numFmtId="0" fontId="17" fillId="73" borderId="0" applyNumberFormat="0" applyBorder="0" applyAlignment="0" applyProtection="0"/>
    <xf numFmtId="0" fontId="17" fillId="73" borderId="0" applyNumberFormat="0" applyBorder="0" applyAlignment="0" applyProtection="0"/>
    <xf numFmtId="0" fontId="17" fillId="73" borderId="0" applyNumberFormat="0" applyBorder="0" applyAlignment="0" applyProtection="0"/>
    <xf numFmtId="0" fontId="17" fillId="23" borderId="0" applyNumberFormat="0" applyAlignment="0" applyProtection="0"/>
    <xf numFmtId="0" fontId="17" fillId="80" borderId="0" applyNumberFormat="0" applyBorder="0" applyAlignment="0" applyProtection="0"/>
    <xf numFmtId="0" fontId="17" fillId="80" borderId="0" applyNumberFormat="0" applyBorder="0" applyAlignment="0" applyProtection="0"/>
    <xf numFmtId="0" fontId="17" fillId="23" borderId="0" applyNumberFormat="0" applyAlignment="0" applyProtection="0"/>
    <xf numFmtId="0" fontId="17" fillId="80" borderId="0" applyNumberFormat="0" applyBorder="0" applyAlignment="0" applyProtection="0"/>
    <xf numFmtId="0" fontId="17" fillId="80" borderId="0" applyNumberFormat="0" applyBorder="0" applyAlignment="0" applyProtection="0"/>
    <xf numFmtId="0" fontId="48" fillId="55"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55" borderId="0" applyNumberFormat="0" applyBorder="0" applyAlignment="0" applyProtection="0"/>
    <xf numFmtId="0" fontId="17" fillId="23" borderId="0" applyNumberFormat="0" applyAlignment="0" applyProtection="0"/>
    <xf numFmtId="0" fontId="48" fillId="80" borderId="0" applyNumberFormat="0" applyBorder="0" applyAlignment="0" applyProtection="0"/>
    <xf numFmtId="0" fontId="48" fillId="80" borderId="0" applyNumberFormat="0" applyBorder="0" applyAlignment="0" applyProtection="0"/>
    <xf numFmtId="0" fontId="48" fillId="55" borderId="0" applyNumberFormat="0" applyBorder="0" applyAlignment="0" applyProtection="0"/>
    <xf numFmtId="0" fontId="48" fillId="55"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55" borderId="0" applyNumberFormat="0" applyBorder="0" applyAlignment="0" applyProtection="0"/>
    <xf numFmtId="0" fontId="48" fillId="55"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55" borderId="0" applyNumberFormat="0" applyBorder="0" applyAlignment="0" applyProtection="0"/>
    <xf numFmtId="0" fontId="48" fillId="55" borderId="0" applyNumberFormat="0" applyBorder="0" applyAlignment="0" applyProtection="0"/>
    <xf numFmtId="0" fontId="48" fillId="80" borderId="0" applyNumberFormat="0" applyBorder="0" applyAlignment="0" applyProtection="0"/>
    <xf numFmtId="0" fontId="48" fillId="80" borderId="0" applyNumberFormat="0" applyBorder="0" applyAlignment="0" applyProtection="0"/>
    <xf numFmtId="0" fontId="48" fillId="55" borderId="0" applyNumberFormat="0" applyBorder="0" applyAlignment="0" applyProtection="0"/>
    <xf numFmtId="0" fontId="48" fillId="55" borderId="0" applyNumberFormat="0" applyBorder="0" applyAlignment="0" applyProtection="0"/>
    <xf numFmtId="0" fontId="17" fillId="24" borderId="0" applyNumberFormat="0" applyAlignment="0" applyProtection="0"/>
    <xf numFmtId="0" fontId="17" fillId="72" borderId="0" applyNumberFormat="0" applyBorder="0" applyAlignment="0" applyProtection="0"/>
    <xf numFmtId="0" fontId="17" fillId="72" borderId="0" applyNumberFormat="0" applyBorder="0" applyAlignment="0" applyProtection="0"/>
    <xf numFmtId="0" fontId="17" fillId="72" borderId="0" applyNumberFormat="0" applyBorder="0" applyAlignment="0" applyProtection="0"/>
    <xf numFmtId="0" fontId="17" fillId="72" borderId="0" applyNumberFormat="0" applyBorder="0" applyAlignment="0" applyProtection="0"/>
    <xf numFmtId="0" fontId="17" fillId="24" borderId="0" applyNumberFormat="0" applyAlignment="0" applyProtection="0"/>
    <xf numFmtId="0" fontId="17" fillId="81" borderId="0" applyNumberFormat="0" applyBorder="0" applyAlignment="0" applyProtection="0"/>
    <xf numFmtId="0" fontId="17" fillId="81" borderId="0" applyNumberFormat="0" applyBorder="0" applyAlignment="0" applyProtection="0"/>
    <xf numFmtId="0" fontId="17" fillId="24" borderId="0" applyNumberFormat="0" applyAlignment="0" applyProtection="0"/>
    <xf numFmtId="0" fontId="17" fillId="81" borderId="0" applyNumberFormat="0" applyBorder="0" applyAlignment="0" applyProtection="0"/>
    <xf numFmtId="0" fontId="17" fillId="81" borderId="0" applyNumberFormat="0" applyBorder="0" applyAlignment="0" applyProtection="0"/>
    <xf numFmtId="0" fontId="48" fillId="59" borderId="0" applyNumberFormat="0" applyBorder="0" applyAlignment="0" applyProtection="0"/>
    <xf numFmtId="0" fontId="17" fillId="24" borderId="0" applyNumberFormat="0" applyAlignment="0" applyProtection="0"/>
    <xf numFmtId="0" fontId="48" fillId="82" borderId="0" applyNumberFormat="0" applyBorder="0" applyAlignment="0" applyProtection="0"/>
    <xf numFmtId="0" fontId="48" fillId="82" borderId="0" applyNumberFormat="0" applyBorder="0" applyAlignment="0" applyProtection="0"/>
    <xf numFmtId="0" fontId="48" fillId="63" borderId="0" applyNumberFormat="0" applyBorder="0" applyAlignment="0" applyProtection="0"/>
    <xf numFmtId="0" fontId="48" fillId="63" borderId="0" applyNumberFormat="0" applyBorder="0" applyAlignment="0" applyProtection="0"/>
    <xf numFmtId="0" fontId="17" fillId="25" borderId="0" applyNumberFormat="0" applyAlignment="0" applyProtection="0"/>
    <xf numFmtId="0" fontId="17" fillId="67" borderId="0" applyNumberFormat="0" applyBorder="0" applyAlignment="0" applyProtection="0"/>
    <xf numFmtId="0" fontId="17" fillId="67" borderId="0" applyNumberFormat="0" applyBorder="0" applyAlignment="0" applyProtection="0"/>
    <xf numFmtId="0" fontId="17" fillId="67" borderId="0" applyNumberFormat="0" applyBorder="0" applyAlignment="0" applyProtection="0"/>
    <xf numFmtId="0" fontId="17" fillId="67" borderId="0" applyNumberFormat="0" applyBorder="0" applyAlignment="0" applyProtection="0"/>
    <xf numFmtId="0" fontId="17" fillId="25" borderId="0" applyNumberFormat="0" applyAlignment="0" applyProtection="0"/>
    <xf numFmtId="0" fontId="17" fillId="82" borderId="0" applyNumberFormat="0" applyBorder="0" applyAlignment="0" applyProtection="0"/>
    <xf numFmtId="0" fontId="17" fillId="82" borderId="0" applyNumberFormat="0" applyBorder="0" applyAlignment="0" applyProtection="0"/>
    <xf numFmtId="0" fontId="17" fillId="25" borderId="0" applyNumberFormat="0" applyAlignment="0" applyProtection="0"/>
    <xf numFmtId="0" fontId="17" fillId="82" borderId="0" applyNumberFormat="0" applyBorder="0" applyAlignment="0" applyProtection="0"/>
    <xf numFmtId="0" fontId="17" fillId="82" borderId="0" applyNumberFormat="0" applyBorder="0" applyAlignment="0" applyProtection="0"/>
    <xf numFmtId="0" fontId="48" fillId="63"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63" borderId="0" applyNumberFormat="0" applyBorder="0" applyAlignment="0" applyProtection="0"/>
    <xf numFmtId="0" fontId="17" fillId="25" borderId="0" applyNumberFormat="0" applyAlignment="0" applyProtection="0"/>
    <xf numFmtId="0" fontId="48" fillId="82" borderId="0" applyNumberFormat="0" applyBorder="0" applyAlignment="0" applyProtection="0"/>
    <xf numFmtId="0" fontId="48" fillId="82" borderId="0" applyNumberFormat="0" applyBorder="0" applyAlignment="0" applyProtection="0"/>
    <xf numFmtId="0" fontId="48" fillId="63" borderId="0" applyNumberFormat="0" applyBorder="0" applyAlignment="0" applyProtection="0"/>
    <xf numFmtId="0" fontId="48" fillId="63"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63" borderId="0" applyNumberFormat="0" applyBorder="0" applyAlignment="0" applyProtection="0"/>
    <xf numFmtId="0" fontId="48" fillId="63"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63" borderId="0" applyNumberFormat="0" applyBorder="0" applyAlignment="0" applyProtection="0"/>
    <xf numFmtId="0" fontId="48" fillId="63" borderId="0" applyNumberFormat="0" applyBorder="0" applyAlignment="0" applyProtection="0"/>
    <xf numFmtId="0" fontId="48" fillId="82" borderId="0" applyNumberFormat="0" applyBorder="0" applyAlignment="0" applyProtection="0"/>
    <xf numFmtId="0" fontId="48" fillId="82" borderId="0" applyNumberFormat="0" applyBorder="0" applyAlignment="0" applyProtection="0"/>
    <xf numFmtId="0" fontId="48" fillId="63" borderId="0" applyNumberFormat="0" applyBorder="0" applyAlignment="0" applyProtection="0"/>
    <xf numFmtId="0" fontId="48" fillId="63" borderId="0" applyNumberFormat="0" applyBorder="0" applyAlignment="0" applyProtection="0"/>
    <xf numFmtId="0" fontId="17" fillId="26" borderId="0" applyNumberFormat="0" applyAlignment="0" applyProtection="0"/>
    <xf numFmtId="0" fontId="17" fillId="83" borderId="0" applyNumberFormat="0" applyBorder="0" applyAlignment="0" applyProtection="0"/>
    <xf numFmtId="0" fontId="17" fillId="83" borderId="0" applyNumberFormat="0" applyBorder="0" applyAlignment="0" applyProtection="0"/>
    <xf numFmtId="0" fontId="17" fillId="83" borderId="0" applyNumberFormat="0" applyBorder="0" applyAlignment="0" applyProtection="0"/>
    <xf numFmtId="0" fontId="17" fillId="83" borderId="0" applyNumberFormat="0" applyBorder="0" applyAlignment="0" applyProtection="0"/>
    <xf numFmtId="0" fontId="17" fillId="26" borderId="0" applyNumberFormat="0" applyAlignment="0" applyProtection="0"/>
    <xf numFmtId="0" fontId="17" fillId="26" borderId="0" applyNumberFormat="0" applyAlignment="0" applyProtection="0"/>
    <xf numFmtId="0" fontId="17" fillId="26" borderId="0" applyNumberFormat="0" applyAlignment="0" applyProtection="0"/>
    <xf numFmtId="0" fontId="48" fillId="40" borderId="0" applyNumberFormat="0" applyBorder="0" applyAlignment="0" applyProtection="0"/>
    <xf numFmtId="0" fontId="17" fillId="26" borderId="0" applyNumberFormat="0" applyAlignment="0" applyProtection="0"/>
    <xf numFmtId="0" fontId="17" fillId="27" borderId="0" applyNumberFormat="0" applyAlignment="0" applyProtection="0"/>
    <xf numFmtId="0" fontId="17" fillId="84" borderId="0" applyNumberFormat="0" applyBorder="0" applyAlignment="0" applyProtection="0"/>
    <xf numFmtId="0" fontId="17" fillId="84" borderId="0" applyNumberFormat="0" applyBorder="0" applyAlignment="0" applyProtection="0"/>
    <xf numFmtId="0" fontId="17" fillId="84" borderId="0" applyNumberFormat="0" applyBorder="0" applyAlignment="0" applyProtection="0"/>
    <xf numFmtId="0" fontId="17" fillId="84" borderId="0" applyNumberFormat="0" applyBorder="0" applyAlignment="0" applyProtection="0"/>
    <xf numFmtId="0" fontId="17" fillId="27" borderId="0" applyNumberFormat="0" applyAlignment="0" applyProtection="0"/>
    <xf numFmtId="0" fontId="17" fillId="27" borderId="0" applyNumberFormat="0" applyAlignment="0" applyProtection="0"/>
    <xf numFmtId="0" fontId="17" fillId="27" borderId="0" applyNumberFormat="0" applyAlignment="0" applyProtection="0"/>
    <xf numFmtId="0" fontId="48" fillId="44" borderId="0" applyNumberFormat="0" applyBorder="0" applyAlignment="0" applyProtection="0"/>
    <xf numFmtId="0" fontId="17" fillId="27" borderId="0" applyNumberFormat="0" applyAlignment="0" applyProtection="0"/>
    <xf numFmtId="0" fontId="17" fillId="28" borderId="0" applyNumberFormat="0" applyAlignment="0" applyProtection="0"/>
    <xf numFmtId="0" fontId="17" fillId="76" borderId="0" applyNumberFormat="0" applyBorder="0" applyAlignment="0" applyProtection="0"/>
    <xf numFmtId="0" fontId="17" fillId="76" borderId="0" applyNumberFormat="0" applyBorder="0" applyAlignment="0" applyProtection="0"/>
    <xf numFmtId="0" fontId="17" fillId="76" borderId="0" applyNumberFormat="0" applyBorder="0" applyAlignment="0" applyProtection="0"/>
    <xf numFmtId="0" fontId="17" fillId="76" borderId="0" applyNumberFormat="0" applyBorder="0" applyAlignment="0" applyProtection="0"/>
    <xf numFmtId="0" fontId="17" fillId="28" borderId="0" applyNumberFormat="0" applyAlignment="0" applyProtection="0"/>
    <xf numFmtId="0" fontId="17" fillId="85" borderId="0" applyNumberFormat="0" applyBorder="0" applyAlignment="0" applyProtection="0"/>
    <xf numFmtId="0" fontId="17" fillId="85" borderId="0" applyNumberFormat="0" applyBorder="0" applyAlignment="0" applyProtection="0"/>
    <xf numFmtId="0" fontId="17" fillId="28" borderId="0" applyNumberFormat="0" applyAlignment="0" applyProtection="0"/>
    <xf numFmtId="0" fontId="17" fillId="85" borderId="0" applyNumberFormat="0" applyBorder="0" applyAlignment="0" applyProtection="0"/>
    <xf numFmtId="0" fontId="17" fillId="85" borderId="0" applyNumberFormat="0" applyBorder="0" applyAlignment="0" applyProtection="0"/>
    <xf numFmtId="0" fontId="48" fillId="48" borderId="0" applyNumberFormat="0" applyBorder="0" applyAlignment="0" applyProtection="0"/>
    <xf numFmtId="0" fontId="17" fillId="28" borderId="0" applyNumberFormat="0" applyAlignment="0" applyProtection="0"/>
    <xf numFmtId="0" fontId="17" fillId="23" borderId="0" applyNumberFormat="0" applyAlignment="0" applyProtection="0"/>
    <xf numFmtId="0" fontId="17" fillId="79" borderId="0" applyNumberFormat="0" applyBorder="0" applyAlignment="0" applyProtection="0"/>
    <xf numFmtId="0" fontId="17" fillId="79" borderId="0" applyNumberFormat="0" applyBorder="0" applyAlignment="0" applyProtection="0"/>
    <xf numFmtId="0" fontId="17" fillId="79" borderId="0" applyNumberFormat="0" applyBorder="0" applyAlignment="0" applyProtection="0"/>
    <xf numFmtId="0" fontId="17" fillId="79" borderId="0" applyNumberFormat="0" applyBorder="0" applyAlignment="0" applyProtection="0"/>
    <xf numFmtId="0" fontId="17" fillId="23" borderId="0" applyNumberFormat="0" applyAlignment="0" applyProtection="0"/>
    <xf numFmtId="0" fontId="17" fillId="80" borderId="0" applyNumberFormat="0" applyBorder="0" applyAlignment="0" applyProtection="0"/>
    <xf numFmtId="0" fontId="17" fillId="80" borderId="0" applyNumberFormat="0" applyBorder="0" applyAlignment="0" applyProtection="0"/>
    <xf numFmtId="0" fontId="17" fillId="23" borderId="0" applyNumberFormat="0" applyAlignment="0" applyProtection="0"/>
    <xf numFmtId="0" fontId="17" fillId="80" borderId="0" applyNumberFormat="0" applyBorder="0" applyAlignment="0" applyProtection="0"/>
    <xf numFmtId="0" fontId="17" fillId="80" borderId="0" applyNumberFormat="0" applyBorder="0" applyAlignment="0" applyProtection="0"/>
    <xf numFmtId="0" fontId="48" fillId="52" borderId="0" applyNumberFormat="0" applyBorder="0" applyAlignment="0" applyProtection="0"/>
    <xf numFmtId="0" fontId="17" fillId="23" borderId="0" applyNumberFormat="0" applyAlignment="0" applyProtection="0"/>
    <xf numFmtId="0" fontId="17" fillId="24" borderId="0" applyNumberFormat="0" applyAlignment="0" applyProtection="0"/>
    <xf numFmtId="0" fontId="17" fillId="85" borderId="0" applyNumberFormat="0" applyBorder="0" applyAlignment="0" applyProtection="0"/>
    <xf numFmtId="0" fontId="17" fillId="85" borderId="0" applyNumberFormat="0" applyBorder="0" applyAlignment="0" applyProtection="0"/>
    <xf numFmtId="0" fontId="17" fillId="85" borderId="0" applyNumberFormat="0" applyBorder="0" applyAlignment="0" applyProtection="0"/>
    <xf numFmtId="0" fontId="17" fillId="85" borderId="0" applyNumberFormat="0" applyBorder="0" applyAlignment="0" applyProtection="0"/>
    <xf numFmtId="0" fontId="17" fillId="24" borderId="0" applyNumberFormat="0" applyAlignment="0" applyProtection="0"/>
    <xf numFmtId="0" fontId="17" fillId="81" borderId="0" applyNumberFormat="0" applyBorder="0" applyAlignment="0" applyProtection="0"/>
    <xf numFmtId="0" fontId="17" fillId="81" borderId="0" applyNumberFormat="0" applyBorder="0" applyAlignment="0" applyProtection="0"/>
    <xf numFmtId="0" fontId="17" fillId="24" borderId="0" applyNumberFormat="0" applyAlignment="0" applyProtection="0"/>
    <xf numFmtId="0" fontId="17" fillId="81" borderId="0" applyNumberFormat="0" applyBorder="0" applyAlignment="0" applyProtection="0"/>
    <xf numFmtId="0" fontId="17" fillId="81" borderId="0" applyNumberFormat="0" applyBorder="0" applyAlignment="0" applyProtection="0"/>
    <xf numFmtId="0" fontId="48" fillId="56" borderId="0" applyNumberFormat="0" applyBorder="0" applyAlignment="0" applyProtection="0"/>
    <xf numFmtId="0" fontId="17" fillId="24" borderId="0" applyNumberFormat="0" applyAlignment="0" applyProtection="0"/>
    <xf numFmtId="0" fontId="17" fillId="29" borderId="0" applyNumberFormat="0" applyAlignment="0" applyProtection="0"/>
    <xf numFmtId="0" fontId="17" fillId="74" borderId="0" applyNumberFormat="0" applyBorder="0" applyAlignment="0" applyProtection="0"/>
    <xf numFmtId="0" fontId="17" fillId="74" borderId="0" applyNumberFormat="0" applyBorder="0" applyAlignment="0" applyProtection="0"/>
    <xf numFmtId="0" fontId="17" fillId="74" borderId="0" applyNumberFormat="0" applyBorder="0" applyAlignment="0" applyProtection="0"/>
    <xf numFmtId="0" fontId="17" fillId="74" borderId="0" applyNumberFormat="0" applyBorder="0" applyAlignment="0" applyProtection="0"/>
    <xf numFmtId="0" fontId="17" fillId="29" borderId="0" applyNumberFormat="0" applyAlignment="0" applyProtection="0"/>
    <xf numFmtId="0" fontId="17" fillId="86" borderId="0" applyNumberFormat="0" applyBorder="0" applyAlignment="0" applyProtection="0"/>
    <xf numFmtId="0" fontId="17" fillId="86" borderId="0" applyNumberFormat="0" applyBorder="0" applyAlignment="0" applyProtection="0"/>
    <xf numFmtId="0" fontId="17" fillId="29" borderId="0" applyNumberFormat="0" applyAlignment="0" applyProtection="0"/>
    <xf numFmtId="0" fontId="17" fillId="86" borderId="0" applyNumberFormat="0" applyBorder="0" applyAlignment="0" applyProtection="0"/>
    <xf numFmtId="0" fontId="17" fillId="86" borderId="0" applyNumberFormat="0" applyBorder="0" applyAlignment="0" applyProtection="0"/>
    <xf numFmtId="0" fontId="48" fillId="60" borderId="0" applyNumberFormat="0" applyBorder="0" applyAlignment="0" applyProtection="0"/>
    <xf numFmtId="0" fontId="17" fillId="29" borderId="0" applyNumberFormat="0" applyAlignment="0" applyProtection="0"/>
    <xf numFmtId="0" fontId="18" fillId="13" borderId="0" applyNumberFormat="0" applyAlignment="0" applyProtection="0"/>
    <xf numFmtId="0" fontId="52" fillId="66" borderId="0" applyNumberFormat="0" applyBorder="0" applyAlignment="0" applyProtection="0"/>
    <xf numFmtId="0" fontId="52"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18" fillId="13" borderId="0"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42" fillId="37" borderId="11" applyNumberFormat="0" applyAlignment="0" applyProtection="0"/>
    <xf numFmtId="0" fontId="19" fillId="30" borderId="39" applyNumberFormat="0" applyAlignment="0" applyProtection="0"/>
    <xf numFmtId="0" fontId="20" fillId="31" borderId="40" applyNumberFormat="0" applyAlignment="0" applyProtection="0"/>
    <xf numFmtId="0" fontId="20" fillId="87" borderId="40" applyNumberFormat="0" applyAlignment="0" applyProtection="0"/>
    <xf numFmtId="0" fontId="20" fillId="87" borderId="40" applyNumberFormat="0" applyAlignment="0" applyProtection="0"/>
    <xf numFmtId="0" fontId="20" fillId="87" borderId="40" applyNumberFormat="0" applyAlignment="0" applyProtection="0"/>
    <xf numFmtId="0" fontId="20" fillId="87" borderId="40" applyNumberFormat="0" applyAlignment="0" applyProtection="0"/>
    <xf numFmtId="0" fontId="20" fillId="31" borderId="40" applyNumberFormat="0" applyAlignment="0" applyProtection="0"/>
    <xf numFmtId="0" fontId="20" fillId="31" borderId="40" applyNumberFormat="0" applyAlignment="0" applyProtection="0"/>
    <xf numFmtId="0" fontId="20" fillId="31" borderId="40" applyNumberFormat="0" applyAlignment="0" applyProtection="0"/>
    <xf numFmtId="0" fontId="44" fillId="38" borderId="61" applyNumberFormat="0" applyAlignment="0" applyProtection="0"/>
    <xf numFmtId="0" fontId="20" fillId="31" borderId="40" applyNumberFormat="0" applyAlignment="0" applyProtection="0"/>
    <xf numFmtId="0" fontId="21" fillId="0" borderId="0" applyNumberFormat="0" applyFill="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Alignment="0" applyProtection="0"/>
    <xf numFmtId="0" fontId="21" fillId="0" borderId="0" applyNumberFormat="0" applyFill="0" applyAlignment="0" applyProtection="0"/>
    <xf numFmtId="0" fontId="21" fillId="0" borderId="0" applyNumberFormat="0" applyFill="0" applyAlignment="0" applyProtection="0"/>
    <xf numFmtId="0" fontId="46" fillId="0" borderId="0" applyNumberFormat="0" applyFill="0" applyBorder="0" applyAlignment="0" applyProtection="0"/>
    <xf numFmtId="0" fontId="21" fillId="0" borderId="0" applyNumberFormat="0" applyFill="0" applyAlignment="0" applyProtection="0"/>
    <xf numFmtId="0" fontId="22" fillId="14" borderId="0" applyNumberFormat="0" applyAlignment="0" applyProtection="0"/>
    <xf numFmtId="0" fontId="22" fillId="68" borderId="0" applyNumberFormat="0" applyBorder="0" applyAlignment="0" applyProtection="0"/>
    <xf numFmtId="0" fontId="22" fillId="68" borderId="0" applyNumberFormat="0" applyBorder="0" applyAlignment="0" applyProtection="0"/>
    <xf numFmtId="0" fontId="22" fillId="68" borderId="0" applyNumberFormat="0" applyBorder="0" applyAlignment="0" applyProtection="0"/>
    <xf numFmtId="0" fontId="22" fillId="68" borderId="0" applyNumberFormat="0" applyBorder="0" applyAlignment="0" applyProtection="0"/>
    <xf numFmtId="0" fontId="22" fillId="14" borderId="0" applyNumberFormat="0" applyAlignment="0" applyProtection="0"/>
    <xf numFmtId="0" fontId="22" fillId="14" borderId="0" applyNumberFormat="0" applyAlignment="0" applyProtection="0"/>
    <xf numFmtId="0" fontId="22" fillId="14" borderId="0" applyNumberFormat="0" applyAlignment="0" applyProtection="0"/>
    <xf numFmtId="0" fontId="40" fillId="36" borderId="0" applyNumberFormat="0" applyBorder="0" applyAlignment="0" applyProtection="0"/>
    <xf numFmtId="0" fontId="22" fillId="14" borderId="0" applyNumberFormat="0" applyAlignment="0" applyProtection="0"/>
    <xf numFmtId="0" fontId="23" fillId="0" borderId="41" applyNumberFormat="0" applyFill="0" applyAlignment="0" applyProtection="0"/>
    <xf numFmtId="0" fontId="53" fillId="0" borderId="41" applyNumberFormat="0" applyFill="0" applyAlignment="0" applyProtection="0"/>
    <xf numFmtId="0" fontId="53" fillId="0" borderId="41" applyNumberFormat="0" applyFill="0" applyAlignment="0" applyProtection="0"/>
    <xf numFmtId="0" fontId="23" fillId="0" borderId="41" applyNumberFormat="0" applyFill="0" applyAlignment="0" applyProtection="0"/>
    <xf numFmtId="0" fontId="23" fillId="0" borderId="41" applyNumberFormat="0" applyFill="0" applyAlignment="0" applyProtection="0"/>
    <xf numFmtId="0" fontId="37" fillId="0" borderId="56" applyNumberFormat="0" applyFill="0" applyAlignment="0" applyProtection="0"/>
    <xf numFmtId="0" fontId="37" fillId="0" borderId="56" applyNumberFormat="0" applyFill="0" applyAlignment="0" applyProtection="0"/>
    <xf numFmtId="0" fontId="37" fillId="0" borderId="56" applyNumberFormat="0" applyFill="0" applyAlignment="0" applyProtection="0"/>
    <xf numFmtId="0" fontId="23" fillId="0" borderId="41" applyNumberFormat="0" applyFill="0" applyAlignment="0" applyProtection="0"/>
    <xf numFmtId="0" fontId="24"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4" fillId="0" borderId="42" applyNumberFormat="0" applyFill="0" applyAlignment="0" applyProtection="0"/>
    <xf numFmtId="0" fontId="24"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4" fillId="0" borderId="42" applyNumberFormat="0" applyFill="0" applyAlignment="0" applyProtection="0"/>
    <xf numFmtId="0" fontId="25" fillId="0" borderId="43" applyNumberFormat="0" applyFill="0" applyAlignment="0" applyProtection="0"/>
    <xf numFmtId="0" fontId="55" fillId="0" borderId="64" applyNumberFormat="0" applyFill="0" applyAlignment="0" applyProtection="0"/>
    <xf numFmtId="0" fontId="55" fillId="0" borderId="64"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39" fillId="0" borderId="58" applyNumberFormat="0" applyFill="0" applyAlignment="0" applyProtection="0"/>
    <xf numFmtId="0" fontId="25" fillId="0" borderId="43" applyNumberFormat="0" applyFill="0" applyAlignment="0" applyProtection="0"/>
    <xf numFmtId="0" fontId="25" fillId="0" borderId="0" applyNumberFormat="0" applyFill="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25" fillId="0" borderId="0" applyNumberFormat="0" applyFill="0" applyAlignment="0" applyProtection="0"/>
    <xf numFmtId="0" fontId="25" fillId="0" borderId="0" applyNumberFormat="0" applyFill="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25" fillId="0" borderId="0" applyNumberFormat="0" applyFill="0" applyAlignment="0" applyProtection="0"/>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43" fillId="0" borderId="60" applyNumberFormat="0" applyFill="0" applyAlignment="0" applyProtection="0"/>
    <xf numFmtId="0" fontId="28" fillId="0" borderId="44" applyNumberFormat="0" applyFill="0" applyAlignment="0" applyProtection="0"/>
    <xf numFmtId="0" fontId="29" fillId="32" borderId="0" applyNumberFormat="0" applyAlignment="0" applyProtection="0"/>
    <xf numFmtId="0" fontId="29" fillId="90" borderId="0" applyNumberFormat="0" applyBorder="0" applyAlignment="0" applyProtection="0"/>
    <xf numFmtId="0" fontId="29" fillId="90" borderId="0" applyNumberFormat="0" applyBorder="0" applyAlignment="0" applyProtection="0"/>
    <xf numFmtId="0" fontId="29" fillId="90" borderId="0" applyNumberFormat="0" applyBorder="0" applyAlignment="0" applyProtection="0"/>
    <xf numFmtId="0" fontId="29" fillId="90" borderId="0" applyNumberFormat="0" applyBorder="0" applyAlignment="0" applyProtection="0"/>
    <xf numFmtId="0" fontId="29" fillId="32" borderId="0" applyNumberFormat="0" applyAlignment="0" applyProtection="0"/>
    <xf numFmtId="0" fontId="29" fillId="32" borderId="0" applyNumberFormat="0" applyAlignment="0" applyProtection="0"/>
    <xf numFmtId="0" fontId="29" fillId="32" borderId="0" applyNumberFormat="0" applyAlignment="0" applyProtection="0"/>
    <xf numFmtId="0" fontId="34" fillId="34" borderId="0" applyNumberFormat="0" applyBorder="0" applyAlignment="0" applyProtection="0"/>
    <xf numFmtId="0" fontId="29" fillId="32" borderId="0" applyNumberFormat="0" applyAlignment="0" applyProtection="0"/>
    <xf numFmtId="0" fontId="4" fillId="0" borderId="0"/>
    <xf numFmtId="0" fontId="4"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12" fillId="0" borderId="0"/>
    <xf numFmtId="0" fontId="4"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0" borderId="0"/>
    <xf numFmtId="0" fontId="1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12" fillId="0" borderId="0"/>
    <xf numFmtId="0" fontId="4"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4" fillId="0" borderId="0"/>
    <xf numFmtId="0" fontId="12" fillId="0" borderId="0"/>
    <xf numFmtId="0" fontId="12" fillId="0" borderId="0"/>
    <xf numFmtId="0" fontId="4" fillId="0" borderId="0"/>
    <xf numFmtId="0" fontId="12" fillId="0" borderId="0"/>
    <xf numFmtId="0" fontId="4"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4" fillId="0" borderId="0"/>
    <xf numFmtId="0" fontId="12" fillId="0" borderId="0"/>
    <xf numFmtId="0" fontId="4" fillId="0" borderId="0"/>
    <xf numFmtId="0" fontId="12" fillId="0" borderId="0"/>
    <xf numFmtId="0" fontId="4" fillId="0" borderId="0"/>
    <xf numFmtId="0" fontId="12" fillId="0" borderId="0"/>
    <xf numFmtId="0" fontId="12" fillId="0" borderId="0"/>
    <xf numFmtId="0" fontId="12" fillId="0" borderId="0"/>
    <xf numFmtId="0" fontId="4"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12" fillId="0" borderId="0"/>
    <xf numFmtId="0" fontId="4" fillId="0" borderId="0"/>
    <xf numFmtId="0" fontId="4" fillId="0" borderId="0"/>
    <xf numFmtId="0" fontId="16" fillId="0" borderId="0"/>
    <xf numFmtId="0" fontId="1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4" fillId="0" borderId="0"/>
    <xf numFmtId="0" fontId="12" fillId="0" borderId="0"/>
    <xf numFmtId="0" fontId="12" fillId="0" borderId="0"/>
    <xf numFmtId="0" fontId="4" fillId="0" borderId="0"/>
    <xf numFmtId="0" fontId="4" fillId="0" borderId="0"/>
    <xf numFmtId="0" fontId="12" fillId="0" borderId="0"/>
    <xf numFmtId="0" fontId="4" fillId="0" borderId="0"/>
    <xf numFmtId="0" fontId="12"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0" borderId="0"/>
    <xf numFmtId="0" fontId="4" fillId="0" borderId="0"/>
    <xf numFmtId="0" fontId="4" fillId="0" borderId="0"/>
    <xf numFmtId="0" fontId="4" fillId="0" borderId="0"/>
    <xf numFmtId="0" fontId="4" fillId="0" borderId="0"/>
    <xf numFmtId="0" fontId="16" fillId="0" borderId="0"/>
    <xf numFmtId="0" fontId="4" fillId="0" borderId="0"/>
    <xf numFmtId="0" fontId="4" fillId="0" borderId="0"/>
    <xf numFmtId="0" fontId="16" fillId="0" borderId="0"/>
    <xf numFmtId="0" fontId="4" fillId="0" borderId="0"/>
    <xf numFmtId="0" fontId="4" fillId="0" borderId="0"/>
    <xf numFmtId="0" fontId="4" fillId="0" borderId="0"/>
    <xf numFmtId="0" fontId="16" fillId="0" borderId="0"/>
    <xf numFmtId="0" fontId="4" fillId="0" borderId="0"/>
    <xf numFmtId="0" fontId="4" fillId="0" borderId="0"/>
    <xf numFmtId="0" fontId="1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12" fillId="0" borderId="0"/>
    <xf numFmtId="0" fontId="12"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41" fillId="37" borderId="59" applyNumberFormat="0" applyAlignment="0" applyProtection="0"/>
    <xf numFmtId="0" fontId="30" fillId="30" borderId="46" applyNumberForma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0" fontId="31" fillId="0" borderId="0" applyNumberFormat="0" applyFill="0" applyAlignment="0" applyProtection="0"/>
    <xf numFmtId="0" fontId="57" fillId="0" borderId="0" applyNumberFormat="0" applyFill="0" applyBorder="0" applyAlignment="0" applyProtection="0"/>
    <xf numFmtId="0" fontId="31" fillId="0" borderId="0" applyNumberFormat="0" applyFill="0" applyAlignment="0" applyProtection="0"/>
    <xf numFmtId="0" fontId="31" fillId="0" borderId="0" applyNumberFormat="0" applyFill="0" applyAlignment="0" applyProtection="0"/>
    <xf numFmtId="0" fontId="36" fillId="0" borderId="0" applyNumberFormat="0" applyFill="0" applyBorder="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3" fillId="0" borderId="0"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4" fillId="0" borderId="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2" fillId="0" borderId="0"/>
    <xf numFmtId="0" fontId="12" fillId="39" borderId="62" applyNumberFormat="0" applyFont="0" applyAlignment="0" applyProtection="0"/>
    <xf numFmtId="0" fontId="12" fillId="57"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4" fillId="0" borderId="0"/>
    <xf numFmtId="0" fontId="4" fillId="0" borderId="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30" fillId="73" borderId="46" applyNumberFormat="0" applyAlignment="0" applyProtection="0"/>
    <xf numFmtId="0" fontId="4" fillId="0" borderId="0"/>
    <xf numFmtId="0" fontId="12" fillId="0" borderId="0"/>
    <xf numFmtId="0" fontId="12" fillId="57"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9" fillId="65" borderId="39" applyNumberFormat="0" applyAlignment="0" applyProtection="0"/>
    <xf numFmtId="0" fontId="19" fillId="65"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65" borderId="46"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73" borderId="46" applyNumberFormat="0" applyAlignment="0" applyProtection="0"/>
    <xf numFmtId="0" fontId="19" fillId="65" borderId="39" applyNumberFormat="0" applyAlignment="0" applyProtection="0"/>
    <xf numFmtId="0" fontId="19" fillId="65"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65" borderId="46"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27" fillId="67" borderId="39" applyNumberFormat="0" applyAlignment="0" applyProtection="0"/>
    <xf numFmtId="0" fontId="4" fillId="33" borderId="45" applyNumberFormat="0" applyFont="0" applyAlignment="0" applyProtection="0"/>
    <xf numFmtId="0" fontId="27" fillId="17" borderId="39" applyNumberFormat="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9" fillId="73" borderId="39" applyNumberFormat="0" applyAlignment="0" applyProtection="0"/>
    <xf numFmtId="0" fontId="27" fillId="17" borderId="39" applyNumberFormat="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7" borderId="0"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61" borderId="0" applyNumberFormat="0" applyBorder="0" applyAlignment="0" applyProtection="0"/>
    <xf numFmtId="0" fontId="12" fillId="42" borderId="0" applyNumberFormat="0" applyBorder="0" applyAlignment="0" applyProtection="0"/>
    <xf numFmtId="0" fontId="27" fillId="67" borderId="39" applyNumberFormat="0" applyAlignment="0" applyProtection="0"/>
    <xf numFmtId="0" fontId="12" fillId="42" borderId="0"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19" fillId="73" borderId="39" applyNumberFormat="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30" fillId="65"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4" fillId="33" borderId="45" applyNumberFormat="0" applyFont="0" applyAlignment="0" applyProtection="0"/>
    <xf numFmtId="10" fontId="51" fillId="89" borderId="5" applyNumberFormat="0" applyBorder="0" applyAlignment="0" applyProtection="0"/>
    <xf numFmtId="0" fontId="27" fillId="67" borderId="39" applyNumberFormat="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4" fillId="69" borderId="45" applyNumberFormat="0" applyFon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27" fillId="17" borderId="39" applyNumberFormat="0" applyAlignment="0" applyProtection="0"/>
    <xf numFmtId="0" fontId="27" fillId="67"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4" fillId="33" borderId="45" applyNumberFormat="0" applyFont="0" applyAlignment="0" applyProtection="0"/>
    <xf numFmtId="0" fontId="4" fillId="69" borderId="45" applyNumberFormat="0" applyFont="0" applyAlignment="0" applyProtection="0"/>
    <xf numFmtId="0" fontId="19" fillId="73"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30" fillId="30" borderId="46" applyNumberFormat="0" applyAlignment="0" applyProtection="0"/>
    <xf numFmtId="0" fontId="27" fillId="17" borderId="39" applyNumberFormat="0" applyAlignment="0" applyProtection="0"/>
    <xf numFmtId="0" fontId="4" fillId="33"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0" fontId="30" fillId="73"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65"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19" fillId="73"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65"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4" fillId="33" borderId="45" applyNumberFormat="0" applyFont="0" applyAlignment="0" applyProtection="0"/>
    <xf numFmtId="10" fontId="51" fillId="89" borderId="5" applyNumberFormat="0" applyBorder="0" applyAlignment="0" applyProtection="0"/>
    <xf numFmtId="0" fontId="27" fillId="67" borderId="39" applyNumberFormat="0" applyAlignment="0" applyProtection="0"/>
    <xf numFmtId="0" fontId="32" fillId="0" borderId="47" applyNumberFormat="0" applyFill="0" applyAlignment="0" applyProtection="0"/>
    <xf numFmtId="0" fontId="30" fillId="73"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0" fontId="30" fillId="30" borderId="46"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30" fillId="65"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65"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4" fillId="33" borderId="45" applyNumberFormat="0" applyFon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30" fillId="30" borderId="46" applyNumberFormat="0" applyAlignment="0" applyProtection="0"/>
    <xf numFmtId="0" fontId="27" fillId="67" borderId="39" applyNumberFormat="0" applyAlignment="0" applyProtection="0"/>
    <xf numFmtId="0" fontId="19" fillId="65" borderId="39" applyNumberFormat="0" applyAlignment="0" applyProtection="0"/>
    <xf numFmtId="0" fontId="30" fillId="73" borderId="46" applyNumberFormat="0" applyAlignment="0" applyProtection="0"/>
    <xf numFmtId="0" fontId="27" fillId="67" borderId="39" applyNumberFormat="0" applyAlignment="0" applyProtection="0"/>
    <xf numFmtId="0" fontId="4" fillId="69" borderId="45" applyNumberFormat="0" applyFont="0" applyAlignment="0" applyProtection="0"/>
    <xf numFmtId="0" fontId="19" fillId="30" borderId="39" applyNumberFormat="0" applyAlignment="0" applyProtection="0"/>
    <xf numFmtId="0" fontId="30" fillId="30" borderId="46" applyNumberFormat="0" applyAlignment="0" applyProtection="0"/>
    <xf numFmtId="0" fontId="27" fillId="1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32" fillId="0" borderId="47" applyNumberFormat="0" applyFill="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19" fillId="30" borderId="39" applyNumberFormat="0" applyAlignment="0" applyProtection="0"/>
    <xf numFmtId="10" fontId="51" fillId="89" borderId="5" applyNumberFormat="0" applyBorder="0" applyAlignment="0" applyProtection="0"/>
    <xf numFmtId="0" fontId="30" fillId="73" borderId="46" applyNumberFormat="0" applyAlignment="0" applyProtection="0"/>
    <xf numFmtId="0" fontId="32" fillId="0" borderId="47" applyNumberFormat="0" applyFill="0" applyAlignment="0" applyProtection="0"/>
    <xf numFmtId="10" fontId="51" fillId="89" borderId="5" applyNumberFormat="0" applyBorder="0" applyAlignment="0" applyProtection="0"/>
    <xf numFmtId="0" fontId="27" fillId="67" borderId="39" applyNumberFormat="0" applyAlignment="0" applyProtection="0"/>
    <xf numFmtId="0" fontId="19" fillId="73"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19" fillId="73" borderId="39" applyNumberFormat="0" applyAlignment="0" applyProtection="0"/>
    <xf numFmtId="0" fontId="19" fillId="30"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12" fillId="0" borderId="0"/>
    <xf numFmtId="0" fontId="12" fillId="0" borderId="0"/>
    <xf numFmtId="0" fontId="12" fillId="0" borderId="0"/>
    <xf numFmtId="0" fontId="12" fillId="0" borderId="0"/>
    <xf numFmtId="0" fontId="19" fillId="73" borderId="39" applyNumberFormat="0" applyAlignment="0" applyProtection="0"/>
    <xf numFmtId="0" fontId="30" fillId="65" borderId="46"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30" fillId="65" borderId="46" applyNumberFormat="0" applyAlignment="0" applyProtection="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12" fillId="0" borderId="0"/>
    <xf numFmtId="0" fontId="12" fillId="0" borderId="0"/>
    <xf numFmtId="0" fontId="27" fillId="67" borderId="39" applyNumberFormat="0" applyAlignment="0" applyProtection="0"/>
    <xf numFmtId="0" fontId="12" fillId="0" borderId="0"/>
    <xf numFmtId="0" fontId="27" fillId="67" borderId="39" applyNumberFormat="0" applyAlignment="0" applyProtection="0"/>
    <xf numFmtId="0" fontId="4" fillId="69" borderId="45" applyNumberFormat="0" applyFont="0" applyAlignment="0" applyProtection="0"/>
    <xf numFmtId="0" fontId="4" fillId="69" borderId="45" applyNumberFormat="0" applyFont="0" applyAlignment="0" applyProtection="0"/>
    <xf numFmtId="0" fontId="30" fillId="65" borderId="46" applyNumberFormat="0" applyAlignment="0" applyProtection="0"/>
    <xf numFmtId="0" fontId="12" fillId="0" borderId="0"/>
    <xf numFmtId="0" fontId="12" fillId="0" borderId="0"/>
    <xf numFmtId="0" fontId="12" fillId="0" borderId="0"/>
    <xf numFmtId="0" fontId="30" fillId="73" borderId="46" applyNumberFormat="0" applyAlignment="0" applyProtection="0"/>
    <xf numFmtId="0" fontId="12" fillId="0" borderId="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27" fillId="67" borderId="39" applyNumberFormat="0" applyAlignment="0" applyProtection="0"/>
    <xf numFmtId="0" fontId="12" fillId="0" borderId="0"/>
    <xf numFmtId="0" fontId="27" fillId="67" borderId="39" applyNumberFormat="0" applyAlignment="0" applyProtection="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30"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0" borderId="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0" borderId="0"/>
    <xf numFmtId="0" fontId="27" fillId="67" borderId="39" applyNumberFormat="0" applyAlignment="0" applyProtection="0"/>
    <xf numFmtId="0" fontId="12" fillId="0" borderId="0"/>
    <xf numFmtId="0" fontId="12" fillId="0" borderId="0"/>
    <xf numFmtId="10" fontId="51" fillId="89" borderId="5" applyNumberFormat="0" applyBorder="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12" fillId="0" borderId="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17" borderId="39" applyNumberFormat="0" applyAlignment="0" applyProtection="0"/>
    <xf numFmtId="0" fontId="12" fillId="0" borderId="0"/>
    <xf numFmtId="0" fontId="30" fillId="73" borderId="46"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19" fillId="30"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30" borderId="39" applyNumberFormat="0" applyAlignment="0" applyProtection="0"/>
    <xf numFmtId="0" fontId="27" fillId="1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0" fontId="51" fillId="89" borderId="5" applyNumberFormat="0" applyBorder="0" applyAlignment="0" applyProtection="0"/>
    <xf numFmtId="0" fontId="19" fillId="73"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3"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33" borderId="45" applyNumberFormat="0" applyFon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12" fillId="0" borderId="0"/>
    <xf numFmtId="0" fontId="12" fillId="0" borderId="0"/>
    <xf numFmtId="0" fontId="12" fillId="0" borderId="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19" fillId="30" borderId="39" applyNumberFormat="0" applyAlignment="0" applyProtection="0"/>
    <xf numFmtId="0" fontId="4" fillId="69" borderId="45" applyNumberFormat="0" applyFont="0" applyAlignment="0" applyProtection="0"/>
    <xf numFmtId="0" fontId="12" fillId="0" borderId="0"/>
    <xf numFmtId="10" fontId="51" fillId="89" borderId="5" applyNumberFormat="0" applyBorder="0" applyAlignment="0" applyProtection="0"/>
    <xf numFmtId="0" fontId="19" fillId="73"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0" borderId="0"/>
    <xf numFmtId="0" fontId="30" fillId="65"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12" fillId="0" borderId="0"/>
    <xf numFmtId="0" fontId="27" fillId="1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12" fillId="0" borderId="0"/>
    <xf numFmtId="0" fontId="19" fillId="65" borderId="39" applyNumberFormat="0" applyAlignment="0" applyProtection="0"/>
    <xf numFmtId="0" fontId="19" fillId="30" borderId="39" applyNumberFormat="0" applyAlignment="0" applyProtection="0"/>
    <xf numFmtId="0" fontId="27" fillId="67" borderId="39" applyNumberFormat="0" applyAlignment="0" applyProtection="0"/>
    <xf numFmtId="0" fontId="12" fillId="0" borderId="0"/>
    <xf numFmtId="0" fontId="12" fillId="0" borderId="0"/>
    <xf numFmtId="0" fontId="27" fillId="67" borderId="39" applyNumberFormat="0" applyAlignment="0" applyProtection="0"/>
    <xf numFmtId="0" fontId="12" fillId="0" borderId="0"/>
    <xf numFmtId="0" fontId="27" fillId="67" borderId="39" applyNumberFormat="0" applyAlignment="0" applyProtection="0"/>
    <xf numFmtId="0" fontId="12" fillId="0" borderId="0"/>
    <xf numFmtId="0" fontId="27" fillId="67" borderId="39" applyNumberFormat="0" applyAlignment="0" applyProtection="0"/>
    <xf numFmtId="0" fontId="12" fillId="0" borderId="0"/>
    <xf numFmtId="0" fontId="32" fillId="0" borderId="47" applyNumberFormat="0" applyFill="0" applyAlignment="0" applyProtection="0"/>
    <xf numFmtId="0" fontId="12" fillId="0" borderId="0"/>
    <xf numFmtId="0" fontId="12" fillId="0" borderId="0"/>
    <xf numFmtId="0" fontId="27" fillId="67" borderId="39" applyNumberFormat="0" applyAlignment="0" applyProtection="0"/>
    <xf numFmtId="0" fontId="12" fillId="0" borderId="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19" fillId="65"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32" fillId="0" borderId="47" applyNumberFormat="0" applyFill="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32" fillId="0" borderId="47" applyNumberFormat="0" applyFill="0" applyAlignment="0" applyProtection="0"/>
    <xf numFmtId="0" fontId="19" fillId="65"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0" borderId="0"/>
    <xf numFmtId="0" fontId="12" fillId="57"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27" fillId="67" borderId="39" applyNumberFormat="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27" fillId="67" borderId="39" applyNumberFormat="0" applyAlignment="0" applyProtection="0"/>
    <xf numFmtId="0" fontId="27" fillId="67" borderId="39" applyNumberFormat="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27" fillId="17" borderId="39" applyNumberFormat="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27" fillId="67" borderId="39" applyNumberFormat="0" applyAlignment="0" applyProtection="0"/>
    <xf numFmtId="0" fontId="19" fillId="73" borderId="39" applyNumberFormat="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57" borderId="0" applyNumberFormat="0" applyBorder="0" applyAlignment="0" applyProtection="0"/>
    <xf numFmtId="0" fontId="12" fillId="57" borderId="0"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2" fillId="61" borderId="0" applyNumberFormat="0" applyBorder="0" applyAlignment="0" applyProtection="0"/>
    <xf numFmtId="0" fontId="12" fillId="61" borderId="0" applyNumberFormat="0" applyBorder="0" applyAlignment="0" applyProtection="0"/>
    <xf numFmtId="0" fontId="27" fillId="67" borderId="39" applyNumberFormat="0" applyAlignment="0" applyProtection="0"/>
    <xf numFmtId="0" fontId="12" fillId="42" borderId="0" applyNumberFormat="0" applyBorder="0" applyAlignment="0" applyProtection="0"/>
    <xf numFmtId="0" fontId="12" fillId="42" borderId="0"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10" fontId="51" fillId="89" borderId="5" applyNumberFormat="0" applyBorder="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30" fillId="73" borderId="46" applyNumberFormat="0" applyAlignment="0" applyProtection="0"/>
    <xf numFmtId="0" fontId="19" fillId="65" borderId="39" applyNumberFormat="0" applyAlignment="0" applyProtection="0"/>
    <xf numFmtId="0" fontId="27" fillId="67" borderId="39" applyNumberFormat="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27" fillId="67" borderId="39" applyNumberFormat="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27" fillId="17" borderId="39" applyNumberFormat="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9" fillId="65" borderId="39" applyNumberFormat="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27" fillId="17" borderId="39" applyNumberFormat="0" applyAlignment="0" applyProtection="0"/>
    <xf numFmtId="0" fontId="27" fillId="17" borderId="39" applyNumberFormat="0" applyAlignment="0" applyProtection="0"/>
    <xf numFmtId="0" fontId="19" fillId="65"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19" fillId="73"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30" fillId="65" borderId="46" applyNumberFormat="0" applyAlignment="0" applyProtection="0"/>
    <xf numFmtId="0" fontId="4" fillId="69" borderId="45" applyNumberFormat="0" applyFont="0" applyAlignment="0" applyProtection="0"/>
    <xf numFmtId="0" fontId="32" fillId="0" borderId="47" applyNumberFormat="0" applyFill="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19" fillId="30"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0" fontId="30" fillId="73"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4" fillId="69" borderId="45" applyNumberFormat="0" applyFont="0" applyAlignment="0" applyProtection="0"/>
    <xf numFmtId="0" fontId="30" fillId="65" borderId="46" applyNumberFormat="0" applyAlignment="0" applyProtection="0"/>
    <xf numFmtId="0" fontId="4" fillId="33" borderId="45" applyNumberFormat="0" applyFont="0" applyAlignment="0" applyProtection="0"/>
    <xf numFmtId="0" fontId="4" fillId="69" borderId="45" applyNumberFormat="0" applyFon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32" fillId="0" borderId="47" applyNumberFormat="0" applyFill="0" applyAlignment="0" applyProtection="0"/>
    <xf numFmtId="10" fontId="51" fillId="89" borderId="5" applyNumberFormat="0" applyBorder="0" applyAlignment="0" applyProtection="0"/>
    <xf numFmtId="0" fontId="27" fillId="67" borderId="39" applyNumberFormat="0" applyAlignment="0" applyProtection="0"/>
    <xf numFmtId="0" fontId="30" fillId="30" borderId="46"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0" fontId="32" fillId="0" borderId="47" applyNumberFormat="0" applyFill="0" applyAlignment="0" applyProtection="0"/>
    <xf numFmtId="0" fontId="19" fillId="30"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30" borderId="46" applyNumberFormat="0" applyAlignment="0" applyProtection="0"/>
    <xf numFmtId="0" fontId="32" fillId="0" borderId="47" applyNumberFormat="0" applyFill="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19" fillId="65" borderId="39" applyNumberFormat="0" applyAlignment="0" applyProtection="0"/>
    <xf numFmtId="0" fontId="12" fillId="0" borderId="0"/>
    <xf numFmtId="0" fontId="12" fillId="0" borderId="0"/>
    <xf numFmtId="0" fontId="12" fillId="0" borderId="0"/>
    <xf numFmtId="0" fontId="12" fillId="0" borderId="0"/>
    <xf numFmtId="0" fontId="27" fillId="67" borderId="39" applyNumberFormat="0" applyAlignment="0" applyProtection="0"/>
    <xf numFmtId="0" fontId="4" fillId="69" borderId="45" applyNumberFormat="0" applyFont="0" applyAlignment="0" applyProtection="0"/>
    <xf numFmtId="0" fontId="32" fillId="0" borderId="47" applyNumberFormat="0" applyFill="0" applyAlignment="0" applyProtection="0"/>
    <xf numFmtId="0" fontId="27" fillId="67" borderId="39" applyNumberFormat="0" applyAlignment="0" applyProtection="0"/>
    <xf numFmtId="10" fontId="51" fillId="89" borderId="5"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0" fontId="51" fillId="89" borderId="5" applyNumberFormat="0" applyBorder="0" applyAlignment="0" applyProtection="0"/>
    <xf numFmtId="0" fontId="12" fillId="0" borderId="0"/>
    <xf numFmtId="0" fontId="27" fillId="67" borderId="39" applyNumberFormat="0" applyAlignment="0" applyProtection="0"/>
    <xf numFmtId="0" fontId="27" fillId="67" borderId="39" applyNumberFormat="0" applyAlignment="0" applyProtection="0"/>
    <xf numFmtId="0" fontId="12" fillId="0" borderId="0"/>
    <xf numFmtId="0" fontId="4" fillId="69" borderId="45" applyNumberFormat="0" applyFont="0" applyAlignment="0" applyProtection="0"/>
    <xf numFmtId="0" fontId="4" fillId="33" borderId="45" applyNumberFormat="0" applyFont="0" applyAlignment="0" applyProtection="0"/>
    <xf numFmtId="0" fontId="30" fillId="65" borderId="46"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0" borderId="0"/>
    <xf numFmtId="0" fontId="27" fillId="67" borderId="39" applyNumberFormat="0" applyAlignment="0" applyProtection="0"/>
    <xf numFmtId="0" fontId="12" fillId="0" borderId="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30"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12" fillId="0" borderId="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2" fillId="0" borderId="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32" fillId="0" borderId="47" applyNumberFormat="0" applyFill="0" applyAlignment="0" applyProtection="0"/>
    <xf numFmtId="0" fontId="27" fillId="17" borderId="39" applyNumberFormat="0" applyAlignment="0" applyProtection="0"/>
    <xf numFmtId="0" fontId="30" fillId="73" borderId="46"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12" fillId="0" borderId="0"/>
    <xf numFmtId="0" fontId="4" fillId="33" borderId="45" applyNumberFormat="0" applyFont="0" applyAlignment="0" applyProtection="0"/>
    <xf numFmtId="0" fontId="27" fillId="67" borderId="39" applyNumberFormat="0" applyAlignment="0" applyProtection="0"/>
    <xf numFmtId="0" fontId="19" fillId="30"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12" fillId="0" borderId="0"/>
    <xf numFmtId="10" fontId="51" fillId="89" borderId="5" applyNumberFormat="0" applyBorder="0" applyAlignment="0" applyProtection="0"/>
    <xf numFmtId="0" fontId="30" fillId="30" borderId="46"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30" fillId="65" borderId="46" applyNumberFormat="0" applyAlignment="0" applyProtection="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27" fillId="17" borderId="39" applyNumberFormat="0" applyAlignment="0" applyProtection="0"/>
    <xf numFmtId="0" fontId="12" fillId="0" borderId="0"/>
    <xf numFmtId="0" fontId="27" fillId="17" borderId="39" applyNumberFormat="0" applyAlignment="0" applyProtection="0"/>
    <xf numFmtId="0" fontId="12" fillId="0" borderId="0"/>
    <xf numFmtId="0" fontId="12" fillId="0" borderId="0"/>
    <xf numFmtId="0" fontId="12" fillId="0" borderId="0"/>
    <xf numFmtId="0" fontId="12" fillId="0" borderId="0"/>
    <xf numFmtId="0" fontId="30" fillId="30" borderId="46"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30" fillId="30" borderId="46"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3"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12" fillId="0" borderId="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2" fillId="0" borderId="0"/>
    <xf numFmtId="0" fontId="12" fillId="0" borderId="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12" fillId="0" borderId="0"/>
    <xf numFmtId="0" fontId="12" fillId="0" borderId="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0" fillId="73" borderId="46" applyNumberFormat="0" applyAlignment="0" applyProtection="0"/>
    <xf numFmtId="0" fontId="27" fillId="67" borderId="39" applyNumberFormat="0" applyAlignment="0" applyProtection="0"/>
    <xf numFmtId="0" fontId="4" fillId="69" borderId="45" applyNumberFormat="0" applyFon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73" borderId="39"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4" fillId="33" borderId="45" applyNumberFormat="0" applyFont="0" applyAlignment="0" applyProtection="0"/>
    <xf numFmtId="0" fontId="30" fillId="65" borderId="46" applyNumberFormat="0" applyAlignment="0" applyProtection="0"/>
    <xf numFmtId="0" fontId="19" fillId="30"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1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2" fillId="42"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12" fillId="49" borderId="0" applyNumberFormat="0" applyBorder="0" applyAlignment="0" applyProtection="0"/>
    <xf numFmtId="0" fontId="12" fillId="50" borderId="0" applyNumberFormat="0" applyBorder="0" applyAlignment="0" applyProtection="0"/>
    <xf numFmtId="0" fontId="12" fillId="53" borderId="0" applyNumberFormat="0" applyBorder="0" applyAlignment="0" applyProtection="0"/>
    <xf numFmtId="0" fontId="12" fillId="54" borderId="0" applyNumberFormat="0" applyBorder="0" applyAlignment="0" applyProtection="0"/>
    <xf numFmtId="0" fontId="19" fillId="30" borderId="39" applyNumberFormat="0" applyAlignment="0" applyProtection="0"/>
    <xf numFmtId="0" fontId="30" fillId="73" borderId="46" applyNumberFormat="0" applyAlignment="0" applyProtection="0"/>
    <xf numFmtId="0" fontId="12" fillId="62" borderId="0" applyNumberFormat="0" applyBorder="0" applyAlignment="0" applyProtection="0"/>
    <xf numFmtId="0" fontId="4" fillId="69" borderId="45" applyNumberFormat="0" applyFont="0" applyAlignment="0" applyProtection="0"/>
    <xf numFmtId="0" fontId="12" fillId="0" borderId="0"/>
    <xf numFmtId="0" fontId="12" fillId="39" borderId="62" applyNumberFormat="0" applyFont="0" applyAlignment="0" applyProtection="0"/>
    <xf numFmtId="0" fontId="12" fillId="57"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30" fillId="73" borderId="46" applyNumberFormat="0" applyAlignment="0" applyProtection="0"/>
    <xf numFmtId="0" fontId="12" fillId="0" borderId="0"/>
    <xf numFmtId="0" fontId="12" fillId="57"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9" fillId="65" borderId="39" applyNumberFormat="0" applyAlignment="0" applyProtection="0"/>
    <xf numFmtId="0" fontId="19" fillId="65"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65" borderId="46"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73" borderId="46" applyNumberFormat="0" applyAlignment="0" applyProtection="0"/>
    <xf numFmtId="0" fontId="19" fillId="65" borderId="39" applyNumberFormat="0" applyAlignment="0" applyProtection="0"/>
    <xf numFmtId="0" fontId="19" fillId="65"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65" borderId="46"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2" fillId="0" borderId="0"/>
    <xf numFmtId="0" fontId="12" fillId="39" borderId="62" applyNumberFormat="0" applyFont="0" applyAlignment="0" applyProtection="0"/>
    <xf numFmtId="0" fontId="12" fillId="42"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12" fillId="49" borderId="0" applyNumberFormat="0" applyBorder="0" applyAlignment="0" applyProtection="0"/>
    <xf numFmtId="0" fontId="12" fillId="50" borderId="0" applyNumberFormat="0" applyBorder="0" applyAlignment="0" applyProtection="0"/>
    <xf numFmtId="0" fontId="12" fillId="53" borderId="0" applyNumberFormat="0" applyBorder="0" applyAlignment="0" applyProtection="0"/>
    <xf numFmtId="0" fontId="12" fillId="54" borderId="0" applyNumberFormat="0" applyBorder="0" applyAlignment="0" applyProtection="0"/>
    <xf numFmtId="0" fontId="12" fillId="57"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12" fillId="62" borderId="0"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30" fillId="73" borderId="46"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30" borderId="46"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65" borderId="39" applyNumberFormat="0" applyAlignment="0" applyProtection="0"/>
    <xf numFmtId="0" fontId="30" fillId="73" borderId="46" applyNumberFormat="0" applyAlignment="0" applyProtection="0"/>
    <xf numFmtId="0" fontId="19" fillId="65" borderId="39" applyNumberFormat="0" applyAlignment="0" applyProtection="0"/>
    <xf numFmtId="0" fontId="30" fillId="73" borderId="46" applyNumberFormat="0" applyAlignment="0" applyProtection="0"/>
    <xf numFmtId="0" fontId="30" fillId="65" borderId="46"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30" fillId="30" borderId="46" applyNumberFormat="0" applyAlignment="0" applyProtection="0"/>
    <xf numFmtId="0" fontId="19" fillId="65"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19" fillId="65"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1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17" borderId="39" applyNumberFormat="0" applyAlignment="0" applyProtection="0"/>
    <xf numFmtId="0" fontId="27" fillId="67" borderId="39" applyNumberFormat="0" applyAlignment="0" applyProtection="0"/>
    <xf numFmtId="0" fontId="19" fillId="65"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27" fillId="17"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19" fillId="65" borderId="39" applyNumberFormat="0" applyAlignment="0" applyProtection="0"/>
    <xf numFmtId="0" fontId="19" fillId="30" borderId="39" applyNumberFormat="0" applyAlignment="0" applyProtection="0"/>
    <xf numFmtId="0" fontId="4" fillId="69"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65" borderId="39" applyNumberFormat="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0" fontId="19" fillId="65" borderId="39" applyNumberFormat="0" applyAlignment="0" applyProtection="0"/>
    <xf numFmtId="0" fontId="27" fillId="67" borderId="39" applyNumberFormat="0" applyAlignment="0" applyProtection="0"/>
    <xf numFmtId="0" fontId="19" fillId="73"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0" fillId="73" borderId="46" applyNumberFormat="0" applyAlignment="0" applyProtection="0"/>
    <xf numFmtId="0" fontId="30" fillId="65"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73"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32" fillId="0" borderId="47" applyNumberFormat="0" applyFill="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30" fillId="30"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30" fillId="65" borderId="46"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4" fillId="33" borderId="45" applyNumberFormat="0" applyFont="0" applyAlignment="0" applyProtection="0"/>
    <xf numFmtId="0" fontId="30" fillId="65" borderId="46"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65" borderId="39" applyNumberFormat="0" applyAlignment="0" applyProtection="0"/>
    <xf numFmtId="0" fontId="30" fillId="73" borderId="46" applyNumberFormat="0" applyAlignment="0" applyProtection="0"/>
    <xf numFmtId="0" fontId="4" fillId="33" borderId="45" applyNumberFormat="0" applyFont="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4" fillId="69" borderId="45" applyNumberFormat="0" applyFont="0" applyAlignment="0" applyProtection="0"/>
    <xf numFmtId="0" fontId="27" fillId="1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4" fillId="33" borderId="45" applyNumberFormat="0" applyFon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4" fillId="33" borderId="45" applyNumberFormat="0" applyFont="0" applyAlignment="0" applyProtection="0"/>
    <xf numFmtId="0" fontId="32" fillId="0" borderId="47" applyNumberFormat="0" applyFill="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30" fillId="73" borderId="46"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65" borderId="39" applyNumberFormat="0" applyAlignment="0" applyProtection="0"/>
    <xf numFmtId="0" fontId="19" fillId="65"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30" fillId="30" borderId="46" applyNumberFormat="0" applyAlignment="0" applyProtection="0"/>
    <xf numFmtId="0" fontId="27" fillId="67" borderId="39" applyNumberFormat="0" applyAlignment="0" applyProtection="0"/>
    <xf numFmtId="0" fontId="30" fillId="65" borderId="46"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30" fillId="65" borderId="46" applyNumberFormat="0" applyAlignment="0" applyProtection="0"/>
    <xf numFmtId="0" fontId="27" fillId="17" borderId="39" applyNumberFormat="0" applyAlignment="0" applyProtection="0"/>
    <xf numFmtId="10" fontId="51" fillId="89" borderId="5" applyNumberFormat="0" applyBorder="0" applyAlignment="0" applyProtection="0"/>
    <xf numFmtId="0" fontId="19" fillId="65"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30" borderId="46"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10" fontId="51" fillId="89" borderId="5" applyNumberFormat="0" applyBorder="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17" borderId="39"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65" borderId="46" applyNumberFormat="0" applyAlignment="0" applyProtection="0"/>
    <xf numFmtId="0" fontId="32" fillId="0" borderId="47" applyNumberFormat="0" applyFill="0" applyAlignment="0" applyProtection="0"/>
    <xf numFmtId="0" fontId="30" fillId="73" borderId="46" applyNumberFormat="0" applyAlignment="0" applyProtection="0"/>
    <xf numFmtId="0" fontId="30" fillId="73" borderId="46" applyNumberFormat="0" applyAlignment="0" applyProtection="0"/>
    <xf numFmtId="0" fontId="30" fillId="65" borderId="46" applyNumberFormat="0" applyAlignment="0" applyProtection="0"/>
    <xf numFmtId="0" fontId="30" fillId="73" borderId="46" applyNumberFormat="0" applyAlignment="0" applyProtection="0"/>
    <xf numFmtId="0" fontId="4" fillId="69" borderId="45" applyNumberFormat="0" applyFont="0" applyAlignment="0" applyProtection="0"/>
    <xf numFmtId="0" fontId="30" fillId="73" borderId="46"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0" fontId="30" fillId="30" borderId="46" applyNumberFormat="0" applyAlignment="0" applyProtection="0"/>
    <xf numFmtId="0" fontId="4" fillId="69" borderId="45" applyNumberFormat="0" applyFont="0" applyAlignment="0" applyProtection="0"/>
    <xf numFmtId="0" fontId="30" fillId="73"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30" borderId="46" applyNumberFormat="0" applyAlignment="0" applyProtection="0"/>
    <xf numFmtId="0" fontId="30" fillId="30" borderId="46" applyNumberFormat="0" applyAlignment="0" applyProtection="0"/>
    <xf numFmtId="0" fontId="27" fillId="17" borderId="39" applyNumberFormat="0" applyAlignment="0" applyProtection="0"/>
    <xf numFmtId="0" fontId="30" fillId="73" borderId="46" applyNumberFormat="0" applyAlignment="0" applyProtection="0"/>
    <xf numFmtId="0" fontId="32" fillId="0" borderId="47" applyNumberFormat="0" applyFill="0" applyAlignment="0" applyProtection="0"/>
    <xf numFmtId="0" fontId="30" fillId="30"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19" fillId="73" borderId="39" applyNumberFormat="0" applyAlignment="0" applyProtection="0"/>
    <xf numFmtId="0" fontId="19" fillId="65"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27" fillId="67" borderId="39" applyNumberFormat="0" applyAlignment="0" applyProtection="0"/>
    <xf numFmtId="0" fontId="30" fillId="30"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65"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19" fillId="73" borderId="39" applyNumberFormat="0" applyAlignment="0" applyProtection="0"/>
    <xf numFmtId="0" fontId="30" fillId="73"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4" fillId="69"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4" fillId="69"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30" fillId="73" borderId="46" applyNumberFormat="0" applyAlignment="0" applyProtection="0"/>
    <xf numFmtId="0" fontId="30" fillId="30" borderId="46" applyNumberFormat="0" applyAlignment="0" applyProtection="0"/>
    <xf numFmtId="0" fontId="30" fillId="65" borderId="46" applyNumberFormat="0" applyAlignment="0" applyProtection="0"/>
    <xf numFmtId="0" fontId="4" fillId="33" borderId="45" applyNumberFormat="0" applyFont="0" applyAlignment="0" applyProtection="0"/>
    <xf numFmtId="10" fontId="51" fillId="89" borderId="5" applyNumberFormat="0" applyBorder="0" applyAlignment="0" applyProtection="0"/>
    <xf numFmtId="0" fontId="27" fillId="17" borderId="39"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33" borderId="45" applyNumberFormat="0" applyFont="0" applyAlignment="0" applyProtection="0"/>
    <xf numFmtId="10" fontId="51" fillId="89" borderId="5" applyNumberFormat="0" applyBorder="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19" fillId="30"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65" borderId="46"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0" fontId="30" fillId="73" borderId="46" applyNumberFormat="0" applyAlignment="0" applyProtection="0"/>
    <xf numFmtId="0" fontId="30" fillId="65" borderId="46" applyNumberForma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27" fillId="1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30" fillId="73"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65" borderId="46" applyNumberFormat="0" applyAlignment="0" applyProtection="0"/>
    <xf numFmtId="0" fontId="27" fillId="67" borderId="39" applyNumberFormat="0" applyAlignment="0" applyProtection="0"/>
    <xf numFmtId="0" fontId="19" fillId="65" borderId="39" applyNumberFormat="0" applyAlignment="0" applyProtection="0"/>
    <xf numFmtId="0" fontId="4" fillId="69" borderId="45" applyNumberFormat="0" applyFont="0" applyAlignment="0" applyProtection="0"/>
    <xf numFmtId="0" fontId="30" fillId="30" borderId="46"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73"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19" fillId="30" borderId="39" applyNumberFormat="0" applyAlignment="0" applyProtection="0"/>
    <xf numFmtId="0" fontId="30" fillId="65" borderId="46"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30" fillId="30" borderId="46"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4" fillId="69"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19" fillId="30"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65"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1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19" fillId="65"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0" fillId="30" borderId="46" applyNumberFormat="0" applyAlignment="0" applyProtection="0"/>
    <xf numFmtId="0" fontId="30" fillId="73" borderId="46" applyNumberFormat="0" applyAlignment="0" applyProtection="0"/>
    <xf numFmtId="0" fontId="4" fillId="69" borderId="45" applyNumberFormat="0" applyFon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73"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30" fillId="30"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27" fillId="67" borderId="39" applyNumberFormat="0" applyAlignment="0" applyProtection="0"/>
    <xf numFmtId="0" fontId="32" fillId="0" borderId="47" applyNumberFormat="0" applyFill="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69" borderId="45" applyNumberFormat="0" applyFont="0" applyAlignment="0" applyProtection="0"/>
    <xf numFmtId="0" fontId="32" fillId="0" borderId="47" applyNumberFormat="0" applyFill="0" applyAlignment="0" applyProtection="0"/>
    <xf numFmtId="0" fontId="27" fillId="17" borderId="39" applyNumberFormat="0" applyAlignment="0" applyProtection="0"/>
    <xf numFmtId="10" fontId="51" fillId="89" borderId="5" applyNumberFormat="0" applyBorder="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30" fillId="65"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0" fillId="73" borderId="46" applyNumberFormat="0" applyAlignment="0" applyProtection="0"/>
    <xf numFmtId="0" fontId="30" fillId="65" borderId="46" applyNumberFormat="0" applyAlignment="0" applyProtection="0"/>
    <xf numFmtId="0" fontId="30" fillId="65"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27" fillId="67" borderId="39" applyNumberFormat="0" applyAlignment="0" applyProtection="0"/>
    <xf numFmtId="0" fontId="19" fillId="73" borderId="39" applyNumberFormat="0" applyAlignment="0" applyProtection="0"/>
    <xf numFmtId="0" fontId="19" fillId="73"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65" borderId="46" applyNumberFormat="0" applyAlignment="0" applyProtection="0"/>
    <xf numFmtId="0" fontId="19" fillId="73" borderId="39"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33" borderId="45" applyNumberFormat="0" applyFon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30" fillId="73" borderId="46"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73" borderId="46" applyNumberFormat="0" applyAlignment="0" applyProtection="0"/>
    <xf numFmtId="0" fontId="4" fillId="69" borderId="45" applyNumberFormat="0" applyFont="0" applyAlignment="0" applyProtection="0"/>
    <xf numFmtId="0" fontId="30" fillId="65"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73" borderId="39" applyNumberFormat="0" applyAlignment="0" applyProtection="0"/>
    <xf numFmtId="0" fontId="19" fillId="65" borderId="39" applyNumberFormat="0" applyAlignment="0" applyProtection="0"/>
    <xf numFmtId="0" fontId="30" fillId="73" borderId="46"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4" fillId="33" borderId="45" applyNumberFormat="0" applyFont="0" applyAlignment="0" applyProtection="0"/>
    <xf numFmtId="0" fontId="27" fillId="1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4" fillId="69" borderId="45" applyNumberFormat="0" applyFont="0" applyAlignment="0" applyProtection="0"/>
    <xf numFmtId="10" fontId="51" fillId="89" borderId="5" applyNumberFormat="0" applyBorder="0" applyAlignment="0" applyProtection="0"/>
    <xf numFmtId="10" fontId="51" fillId="89" borderId="5" applyNumberFormat="0" applyBorder="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27" fillId="17" borderId="39" applyNumberFormat="0" applyAlignment="0" applyProtection="0"/>
    <xf numFmtId="0" fontId="4" fillId="69" borderId="45" applyNumberFormat="0" applyFon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30" fillId="65"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4" fillId="69" borderId="45" applyNumberFormat="0" applyFont="0" applyAlignment="0" applyProtection="0"/>
    <xf numFmtId="0" fontId="30" fillId="30" borderId="46"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30" fillId="65" borderId="46" applyNumberFormat="0" applyAlignment="0" applyProtection="0"/>
    <xf numFmtId="0" fontId="30" fillId="73" borderId="46" applyNumberFormat="0" applyAlignment="0" applyProtection="0"/>
    <xf numFmtId="0" fontId="30" fillId="65" borderId="46" applyNumberFormat="0" applyAlignment="0" applyProtection="0"/>
    <xf numFmtId="0" fontId="30" fillId="65" borderId="46"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27" fillId="67" borderId="39" applyNumberFormat="0" applyAlignment="0" applyProtection="0"/>
    <xf numFmtId="0" fontId="30" fillId="30"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30" fillId="65" borderId="46" applyNumberFormat="0" applyAlignment="0" applyProtection="0"/>
    <xf numFmtId="0" fontId="27" fillId="17" borderId="39" applyNumberFormat="0" applyAlignment="0" applyProtection="0"/>
    <xf numFmtId="10" fontId="51" fillId="89" borderId="5" applyNumberFormat="0" applyBorder="0" applyAlignment="0" applyProtection="0"/>
    <xf numFmtId="0" fontId="19" fillId="65"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0" fontId="19" fillId="30"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30" fillId="73"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30" fillId="30" borderId="46" applyNumberFormat="0" applyAlignment="0" applyProtection="0"/>
    <xf numFmtId="10" fontId="51" fillId="89" borderId="5" applyNumberFormat="0" applyBorder="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19" fillId="73"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27" fillId="17" borderId="39" applyNumberFormat="0" applyAlignment="0" applyProtection="0"/>
    <xf numFmtId="0" fontId="32" fillId="0" borderId="47" applyNumberFormat="0" applyFill="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4" fillId="33" borderId="45" applyNumberFormat="0" applyFont="0" applyAlignment="0" applyProtection="0"/>
    <xf numFmtId="0" fontId="30" fillId="65" borderId="46" applyNumberFormat="0" applyAlignment="0" applyProtection="0"/>
    <xf numFmtId="0" fontId="27" fillId="67" borderId="39" applyNumberFormat="0" applyAlignment="0" applyProtection="0"/>
    <xf numFmtId="0" fontId="19" fillId="30" borderId="39" applyNumberFormat="0" applyAlignment="0" applyProtection="0"/>
    <xf numFmtId="0" fontId="27" fillId="17" borderId="39" applyNumberFormat="0" applyAlignment="0" applyProtection="0"/>
    <xf numFmtId="0" fontId="19" fillId="65"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2" fillId="0" borderId="47" applyNumberFormat="0" applyFill="0" applyAlignment="0" applyProtection="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30" fillId="30" borderId="46" applyNumberFormat="0" applyAlignment="0" applyProtection="0"/>
    <xf numFmtId="0" fontId="27" fillId="67" borderId="39" applyNumberFormat="0" applyAlignment="0" applyProtection="0"/>
    <xf numFmtId="0" fontId="30" fillId="65"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19" fillId="30" borderId="39" applyNumberFormat="0" applyAlignment="0" applyProtection="0"/>
    <xf numFmtId="0" fontId="30" fillId="30" borderId="46" applyNumberFormat="0" applyAlignment="0" applyProtection="0"/>
    <xf numFmtId="0" fontId="30" fillId="73"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17" borderId="39" applyNumberFormat="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32" fillId="0" borderId="47" applyNumberFormat="0" applyFill="0" applyAlignment="0" applyProtection="0"/>
    <xf numFmtId="0" fontId="27" fillId="1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30" fillId="65" borderId="46"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30" fillId="65" borderId="46" applyNumberFormat="0" applyAlignment="0" applyProtection="0"/>
    <xf numFmtId="10" fontId="51" fillId="89" borderId="5" applyNumberFormat="0" applyBorder="0" applyAlignment="0" applyProtection="0"/>
    <xf numFmtId="0" fontId="4" fillId="69" borderId="45" applyNumberFormat="0" applyFont="0" applyAlignment="0" applyProtection="0"/>
    <xf numFmtId="10" fontId="51" fillId="89" borderId="5" applyNumberFormat="0" applyBorder="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19" fillId="65"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65" borderId="39" applyNumberFormat="0" applyAlignment="0" applyProtection="0"/>
    <xf numFmtId="0" fontId="4" fillId="69" borderId="45" applyNumberFormat="0" applyFon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19" fillId="73" borderId="39" applyNumberFormat="0" applyAlignment="0" applyProtection="0"/>
    <xf numFmtId="0" fontId="4" fillId="69" borderId="45" applyNumberFormat="0" applyFont="0" applyAlignment="0" applyProtection="0"/>
    <xf numFmtId="0" fontId="19" fillId="30" borderId="39" applyNumberFormat="0" applyAlignment="0" applyProtection="0"/>
    <xf numFmtId="0" fontId="30" fillId="65" borderId="46"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30" borderId="46"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30" fillId="65"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27" fillId="17" borderId="39" applyNumberFormat="0" applyAlignment="0" applyProtection="0"/>
    <xf numFmtId="0" fontId="19" fillId="65" borderId="39"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4" fillId="69" borderId="45" applyNumberFormat="0" applyFon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30" fillId="65" borderId="46"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4" fillId="69" borderId="45" applyNumberFormat="0" applyFont="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4" fillId="33" borderId="45" applyNumberFormat="0" applyFont="0" applyAlignment="0" applyProtection="0"/>
    <xf numFmtId="10" fontId="51" fillId="89" borderId="5" applyNumberFormat="0" applyBorder="0" applyAlignment="0" applyProtection="0"/>
    <xf numFmtId="0" fontId="32" fillId="0" borderId="47" applyNumberFormat="0" applyFill="0" applyAlignment="0" applyProtection="0"/>
    <xf numFmtId="0" fontId="27" fillId="67" borderId="39" applyNumberFormat="0" applyAlignment="0" applyProtection="0"/>
    <xf numFmtId="0" fontId="30" fillId="65"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32" fillId="0" borderId="47" applyNumberFormat="0" applyFill="0" applyAlignment="0" applyProtection="0"/>
    <xf numFmtId="10" fontId="51" fillId="89" borderId="5" applyNumberFormat="0" applyBorder="0" applyAlignment="0" applyProtection="0"/>
    <xf numFmtId="0" fontId="30" fillId="30" borderId="46"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4" fillId="69" borderId="45" applyNumberFormat="0" applyFont="0" applyAlignment="0" applyProtection="0"/>
    <xf numFmtId="0" fontId="30" fillId="30" borderId="46" applyNumberFormat="0" applyAlignment="0" applyProtection="0"/>
    <xf numFmtId="0" fontId="27" fillId="1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30" borderId="46"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30" fillId="65" borderId="46" applyNumberFormat="0" applyAlignment="0" applyProtection="0"/>
    <xf numFmtId="0" fontId="32" fillId="0" borderId="47" applyNumberFormat="0" applyFill="0" applyAlignment="0" applyProtection="0"/>
    <xf numFmtId="0" fontId="30" fillId="30"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30" fillId="73" borderId="46" applyNumberFormat="0" applyAlignment="0" applyProtection="0"/>
    <xf numFmtId="0" fontId="27" fillId="67" borderId="39" applyNumberFormat="0" applyAlignment="0" applyProtection="0"/>
    <xf numFmtId="0" fontId="30" fillId="65" borderId="46" applyNumberFormat="0" applyAlignment="0" applyProtection="0"/>
    <xf numFmtId="0" fontId="19" fillId="30"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73" borderId="46" applyNumberFormat="0" applyAlignment="0" applyProtection="0"/>
    <xf numFmtId="0" fontId="19" fillId="65" borderId="39" applyNumberFormat="0" applyAlignment="0" applyProtection="0"/>
    <xf numFmtId="0" fontId="19" fillId="65"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65" borderId="46"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73" borderId="46" applyNumberFormat="0" applyAlignment="0" applyProtection="0"/>
    <xf numFmtId="0" fontId="19" fillId="65" borderId="39" applyNumberFormat="0" applyAlignment="0" applyProtection="0"/>
    <xf numFmtId="0" fontId="19" fillId="65"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65" borderId="46"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2" fillId="0" borderId="0"/>
    <xf numFmtId="0" fontId="12" fillId="57"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0" borderId="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4" fillId="0" borderId="0"/>
    <xf numFmtId="0" fontId="4" fillId="0" borderId="0"/>
    <xf numFmtId="0" fontId="25" fillId="0" borderId="43" applyNumberFormat="0" applyFill="0" applyAlignment="0" applyProtection="0"/>
    <xf numFmtId="0" fontId="25" fillId="0" borderId="0" applyNumberForma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58" fillId="0" borderId="0"/>
    <xf numFmtId="0" fontId="59" fillId="0" borderId="0"/>
    <xf numFmtId="0" fontId="59" fillId="0" borderId="0"/>
    <xf numFmtId="0" fontId="59" fillId="0" borderId="0"/>
    <xf numFmtId="0" fontId="59" fillId="0" borderId="0"/>
    <xf numFmtId="0" fontId="59" fillId="0" borderId="0"/>
    <xf numFmtId="0" fontId="12" fillId="0" borderId="0"/>
    <xf numFmtId="0" fontId="60" fillId="0" borderId="0">
      <alignment vertical="center"/>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31" fillId="0" borderId="0" applyNumberFormat="0" applyFill="0" applyBorder="0" applyAlignment="0" applyProtection="0"/>
    <xf numFmtId="0" fontId="58" fillId="0" borderId="0">
      <alignment vertical="center"/>
    </xf>
    <xf numFmtId="0" fontId="31" fillId="0" borderId="0" applyNumberFormat="0" applyFill="0" applyBorder="0" applyAlignment="0" applyProtection="0"/>
    <xf numFmtId="0" fontId="25" fillId="0" borderId="0" applyNumberFormat="0" applyFill="0" applyBorder="0" applyAlignment="0" applyProtection="0"/>
    <xf numFmtId="0" fontId="59" fillId="0" borderId="0"/>
    <xf numFmtId="0" fontId="59" fillId="0" borderId="0"/>
    <xf numFmtId="0" fontId="59" fillId="0" borderId="0"/>
    <xf numFmtId="0" fontId="59" fillId="0" borderId="0"/>
    <xf numFmtId="0" fontId="59" fillId="0" borderId="0"/>
    <xf numFmtId="0" fontId="59" fillId="0" borderId="0"/>
    <xf numFmtId="0" fontId="12"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4" fillId="0" borderId="0"/>
    <xf numFmtId="0" fontId="59" fillId="0" borderId="0"/>
    <xf numFmtId="0" fontId="59" fillId="0" borderId="0"/>
    <xf numFmtId="0" fontId="59" fillId="0" borderId="0"/>
    <xf numFmtId="0" fontId="59" fillId="0" borderId="0"/>
    <xf numFmtId="0" fontId="59" fillId="0" borderId="0"/>
    <xf numFmtId="0" fontId="4" fillId="0" borderId="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6" fillId="13" borderId="0" applyNumberFormat="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6" fillId="13" borderId="0" applyNumberFormat="0" applyAlignment="0" applyProtection="0"/>
    <xf numFmtId="0" fontId="16" fillId="13" borderId="0" applyNumberFormat="0" applyAlignment="0" applyProtection="0"/>
    <xf numFmtId="0" fontId="16" fillId="66" borderId="0" applyNumberFormat="0" applyBorder="0" applyAlignment="0" applyProtection="0"/>
    <xf numFmtId="0" fontId="16" fillId="66"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6" fillId="14" borderId="0" applyNumberFormat="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6" fillId="14" borderId="0" applyNumberFormat="0" applyAlignment="0" applyProtection="0"/>
    <xf numFmtId="0" fontId="16" fillId="14" borderId="0" applyNumberFormat="0" applyAlignment="0" applyProtection="0"/>
    <xf numFmtId="0" fontId="16" fillId="68" borderId="0" applyNumberFormat="0" applyBorder="0" applyAlignment="0" applyProtection="0"/>
    <xf numFmtId="0" fontId="16" fillId="68"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6" fillId="15" borderId="0" applyNumberFormat="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6" fillId="15" borderId="0" applyNumberFormat="0" applyAlignment="0" applyProtection="0"/>
    <xf numFmtId="0" fontId="16" fillId="15" borderId="0" applyNumberFormat="0" applyAlignment="0" applyProtection="0"/>
    <xf numFmtId="0" fontId="16" fillId="70" borderId="0" applyNumberFormat="0" applyBorder="0" applyAlignment="0" applyProtection="0"/>
    <xf numFmtId="0" fontId="16" fillId="70"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6" fillId="16" borderId="0" applyNumberFormat="0" applyAlignment="0" applyProtection="0"/>
    <xf numFmtId="0" fontId="16" fillId="71" borderId="0" applyNumberFormat="0" applyBorder="0" applyAlignment="0" applyProtection="0"/>
    <xf numFmtId="0" fontId="16" fillId="71" borderId="0" applyNumberFormat="0" applyBorder="0" applyAlignment="0" applyProtection="0"/>
    <xf numFmtId="0" fontId="12" fillId="57" borderId="0" applyNumberFormat="0" applyBorder="0" applyAlignment="0" applyProtection="0"/>
    <xf numFmtId="0" fontId="16" fillId="16" borderId="0" applyNumberFormat="0" applyAlignment="0" applyProtection="0"/>
    <xf numFmtId="0" fontId="16" fillId="17" borderId="0" applyNumberFormat="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6" fillId="17" borderId="0" applyNumberFormat="0" applyAlignment="0" applyProtection="0"/>
    <xf numFmtId="0" fontId="16" fillId="67" borderId="0" applyNumberFormat="0" applyBorder="0" applyAlignment="0" applyProtection="0"/>
    <xf numFmtId="0" fontId="16" fillId="67"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6" fillId="18" borderId="0" applyNumberFormat="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6" fillId="18" borderId="0" applyNumberFormat="0" applyAlignment="0" applyProtection="0"/>
    <xf numFmtId="0" fontId="16" fillId="18" borderId="0" applyNumberFormat="0" applyAlignment="0" applyProtection="0"/>
    <xf numFmtId="0" fontId="16" fillId="72" borderId="0" applyNumberFormat="0" applyBorder="0" applyAlignment="0" applyProtection="0"/>
    <xf numFmtId="0" fontId="16" fillId="72"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6" fillId="19" borderId="0" applyNumberFormat="0" applyAlignment="0" applyProtection="0"/>
    <xf numFmtId="0" fontId="16" fillId="19" borderId="0" applyNumberFormat="0" applyAlignment="0" applyProtection="0"/>
    <xf numFmtId="0" fontId="16" fillId="74" borderId="0" applyNumberFormat="0" applyBorder="0" applyAlignment="0" applyProtection="0"/>
    <xf numFmtId="0" fontId="16" fillId="74" borderId="0" applyNumberFormat="0" applyBorder="0" applyAlignment="0" applyProtection="0"/>
    <xf numFmtId="0" fontId="12" fillId="46" borderId="0" applyNumberFormat="0" applyBorder="0" applyAlignment="0" applyProtection="0"/>
    <xf numFmtId="0" fontId="16" fillId="19" borderId="0" applyNumberFormat="0" applyAlignment="0" applyProtection="0"/>
    <xf numFmtId="0" fontId="16" fillId="20" borderId="0" applyNumberFormat="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6" fillId="20" borderId="0" applyNumberFormat="0" applyAlignment="0" applyProtection="0"/>
    <xf numFmtId="0" fontId="16" fillId="20" borderId="0" applyNumberFormat="0" applyAlignment="0" applyProtection="0"/>
    <xf numFmtId="0" fontId="16" fillId="75" borderId="0" applyNumberFormat="0" applyBorder="0" applyAlignment="0" applyProtection="0"/>
    <xf numFmtId="0" fontId="16" fillId="75"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6" fillId="15" borderId="0" applyNumberFormat="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6" fillId="15" borderId="0" applyNumberFormat="0" applyAlignment="0" applyProtection="0"/>
    <xf numFmtId="0" fontId="16" fillId="15" borderId="0" applyNumberFormat="0" applyAlignment="0" applyProtection="0"/>
    <xf numFmtId="0" fontId="16" fillId="70" borderId="0" applyNumberFormat="0" applyBorder="0" applyAlignment="0" applyProtection="0"/>
    <xf numFmtId="0" fontId="16" fillId="70"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6" fillId="18" borderId="0" applyNumberFormat="0" applyAlignment="0" applyProtection="0"/>
    <xf numFmtId="0" fontId="16" fillId="72" borderId="0" applyNumberFormat="0" applyBorder="0" applyAlignment="0" applyProtection="0"/>
    <xf numFmtId="0" fontId="16" fillId="72" borderId="0" applyNumberFormat="0" applyBorder="0" applyAlignment="0" applyProtection="0"/>
    <xf numFmtId="0" fontId="12" fillId="58" borderId="0" applyNumberFormat="0" applyBorder="0" applyAlignment="0" applyProtection="0"/>
    <xf numFmtId="0" fontId="16" fillId="18" borderId="0" applyNumberFormat="0" applyAlignment="0" applyProtection="0"/>
    <xf numFmtId="0" fontId="16" fillId="21" borderId="0" applyNumberFormat="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6" fillId="21" borderId="0" applyNumberFormat="0" applyAlignment="0" applyProtection="0"/>
    <xf numFmtId="0" fontId="16" fillId="21" borderId="0" applyNumberFormat="0" applyAlignment="0" applyProtection="0"/>
    <xf numFmtId="0" fontId="16" fillId="77" borderId="0" applyNumberFormat="0" applyBorder="0" applyAlignment="0" applyProtection="0"/>
    <xf numFmtId="0" fontId="16" fillId="77"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7" fillId="22" borderId="0" applyNumberFormat="0" applyAlignment="0" applyProtection="0"/>
    <xf numFmtId="0" fontId="48" fillId="81" borderId="0" applyNumberFormat="0" applyBorder="0" applyAlignment="0" applyProtection="0"/>
    <xf numFmtId="0" fontId="48" fillId="81" borderId="0" applyNumberFormat="0" applyBorder="0" applyAlignment="0" applyProtection="0"/>
    <xf numFmtId="0" fontId="48" fillId="81" borderId="0" applyNumberFormat="0" applyBorder="0" applyAlignment="0" applyProtection="0"/>
    <xf numFmtId="0" fontId="48" fillId="81" borderId="0" applyNumberFormat="0" applyBorder="0" applyAlignment="0" applyProtection="0"/>
    <xf numFmtId="0" fontId="48" fillId="81" borderId="0" applyNumberFormat="0" applyBorder="0" applyAlignment="0" applyProtection="0"/>
    <xf numFmtId="0" fontId="17" fillId="22" borderId="0" applyNumberFormat="0" applyAlignment="0" applyProtection="0"/>
    <xf numFmtId="0" fontId="17" fillId="22" borderId="0" applyNumberFormat="0" applyAlignment="0" applyProtection="0"/>
    <xf numFmtId="0" fontId="17" fillId="78" borderId="0" applyNumberFormat="0" applyBorder="0" applyAlignment="0" applyProtection="0"/>
    <xf numFmtId="0" fontId="17" fillId="78" borderId="0" applyNumberFormat="0" applyBorder="0" applyAlignment="0" applyProtection="0"/>
    <xf numFmtId="0" fontId="48" fillId="81" borderId="0" applyNumberFormat="0" applyBorder="0" applyAlignment="0" applyProtection="0"/>
    <xf numFmtId="0" fontId="48" fillId="81" borderId="0" applyNumberFormat="0" applyBorder="0" applyAlignment="0" applyProtection="0"/>
    <xf numFmtId="0" fontId="48" fillId="81" borderId="0" applyNumberFormat="0" applyBorder="0" applyAlignment="0" applyProtection="0"/>
    <xf numFmtId="0" fontId="48" fillId="81" borderId="0" applyNumberFormat="0" applyBorder="0" applyAlignment="0" applyProtection="0"/>
    <xf numFmtId="0" fontId="17" fillId="19" borderId="0" applyNumberFormat="0" applyAlignment="0" applyProtection="0"/>
    <xf numFmtId="0" fontId="17" fillId="19" borderId="0" applyNumberFormat="0" applyAlignment="0" applyProtection="0"/>
    <xf numFmtId="0" fontId="17" fillId="74" borderId="0" applyNumberFormat="0" applyBorder="0" applyAlignment="0" applyProtection="0"/>
    <xf numFmtId="0" fontId="17" fillId="74" borderId="0" applyNumberFormat="0" applyBorder="0" applyAlignment="0" applyProtection="0"/>
    <xf numFmtId="0" fontId="17" fillId="19" borderId="0" applyNumberFormat="0" applyAlignment="0" applyProtection="0"/>
    <xf numFmtId="0" fontId="17" fillId="20" borderId="0" applyNumberFormat="0" applyAlignment="0" applyProtection="0"/>
    <xf numFmtId="0" fontId="48" fillId="90" borderId="0" applyNumberFormat="0" applyBorder="0" applyAlignment="0" applyProtection="0"/>
    <xf numFmtId="0" fontId="48" fillId="90" borderId="0" applyNumberFormat="0" applyBorder="0" applyAlignment="0" applyProtection="0"/>
    <xf numFmtId="0" fontId="48" fillId="90" borderId="0" applyNumberFormat="0" applyBorder="0" applyAlignment="0" applyProtection="0"/>
    <xf numFmtId="0" fontId="48" fillId="90" borderId="0" applyNumberFormat="0" applyBorder="0" applyAlignment="0" applyProtection="0"/>
    <xf numFmtId="0" fontId="48" fillId="90" borderId="0" applyNumberFormat="0" applyBorder="0" applyAlignment="0" applyProtection="0"/>
    <xf numFmtId="0" fontId="17" fillId="20" borderId="0" applyNumberFormat="0" applyAlignment="0" applyProtection="0"/>
    <xf numFmtId="0" fontId="17" fillId="20" borderId="0" applyNumberFormat="0" applyAlignment="0" applyProtection="0"/>
    <xf numFmtId="0" fontId="17" fillId="75" borderId="0" applyNumberFormat="0" applyBorder="0" applyAlignment="0" applyProtection="0"/>
    <xf numFmtId="0" fontId="17" fillId="75" borderId="0" applyNumberFormat="0" applyBorder="0" applyAlignment="0" applyProtection="0"/>
    <xf numFmtId="0" fontId="48" fillId="90" borderId="0" applyNumberFormat="0" applyBorder="0" applyAlignment="0" applyProtection="0"/>
    <xf numFmtId="0" fontId="48" fillId="90" borderId="0" applyNumberFormat="0" applyBorder="0" applyAlignment="0" applyProtection="0"/>
    <xf numFmtId="0" fontId="48" fillId="90" borderId="0" applyNumberFormat="0" applyBorder="0" applyAlignment="0" applyProtection="0"/>
    <xf numFmtId="0" fontId="48" fillId="90" borderId="0" applyNumberFormat="0" applyBorder="0" applyAlignment="0" applyProtection="0"/>
    <xf numFmtId="0" fontId="17" fillId="23" borderId="0" applyNumberFormat="0" applyAlignment="0" applyProtection="0"/>
    <xf numFmtId="0" fontId="48" fillId="73" borderId="0" applyNumberFormat="0" applyBorder="0" applyAlignment="0" applyProtection="0"/>
    <xf numFmtId="0" fontId="48" fillId="73" borderId="0" applyNumberFormat="0" applyBorder="0" applyAlignment="0" applyProtection="0"/>
    <xf numFmtId="0" fontId="48" fillId="73" borderId="0" applyNumberFormat="0" applyBorder="0" applyAlignment="0" applyProtection="0"/>
    <xf numFmtId="0" fontId="48" fillId="73" borderId="0" applyNumberFormat="0" applyBorder="0" applyAlignment="0" applyProtection="0"/>
    <xf numFmtId="0" fontId="48" fillId="73" borderId="0" applyNumberFormat="0" applyBorder="0" applyAlignment="0" applyProtection="0"/>
    <xf numFmtId="0" fontId="17" fillId="23" borderId="0" applyNumberFormat="0" applyAlignment="0" applyProtection="0"/>
    <xf numFmtId="0" fontId="17" fillId="23" borderId="0" applyNumberFormat="0" applyAlignment="0" applyProtection="0"/>
    <xf numFmtId="0" fontId="17" fillId="80" borderId="0" applyNumberFormat="0" applyBorder="0" applyAlignment="0" applyProtection="0"/>
    <xf numFmtId="0" fontId="17" fillId="80" borderId="0" applyNumberFormat="0" applyBorder="0" applyAlignment="0" applyProtection="0"/>
    <xf numFmtId="0" fontId="48" fillId="73" borderId="0" applyNumberFormat="0" applyBorder="0" applyAlignment="0" applyProtection="0"/>
    <xf numFmtId="0" fontId="48" fillId="73" borderId="0" applyNumberFormat="0" applyBorder="0" applyAlignment="0" applyProtection="0"/>
    <xf numFmtId="0" fontId="48" fillId="73" borderId="0" applyNumberFormat="0" applyBorder="0" applyAlignment="0" applyProtection="0"/>
    <xf numFmtId="0" fontId="48" fillId="73" borderId="0" applyNumberFormat="0" applyBorder="0" applyAlignment="0" applyProtection="0"/>
    <xf numFmtId="0" fontId="17" fillId="24" borderId="0" applyNumberFormat="0" applyAlignment="0" applyProtection="0"/>
    <xf numFmtId="0" fontId="17" fillId="24" borderId="0" applyNumberFormat="0" applyAlignment="0" applyProtection="0"/>
    <xf numFmtId="0" fontId="17" fillId="81" borderId="0" applyNumberFormat="0" applyBorder="0" applyAlignment="0" applyProtection="0"/>
    <xf numFmtId="0" fontId="17" fillId="81" borderId="0" applyNumberFormat="0" applyBorder="0" applyAlignment="0" applyProtection="0"/>
    <xf numFmtId="0" fontId="17" fillId="24" borderId="0" applyNumberFormat="0" applyAlignment="0" applyProtection="0"/>
    <xf numFmtId="0" fontId="17" fillId="25" borderId="0" applyNumberFormat="0" applyAlignment="0" applyProtection="0"/>
    <xf numFmtId="0" fontId="48" fillId="74" borderId="0" applyNumberFormat="0" applyBorder="0" applyAlignment="0" applyProtection="0"/>
    <xf numFmtId="0" fontId="48" fillId="74" borderId="0" applyNumberFormat="0" applyBorder="0" applyAlignment="0" applyProtection="0"/>
    <xf numFmtId="0" fontId="48" fillId="74" borderId="0" applyNumberFormat="0" applyBorder="0" applyAlignment="0" applyProtection="0"/>
    <xf numFmtId="0" fontId="48" fillId="74" borderId="0" applyNumberFormat="0" applyBorder="0" applyAlignment="0" applyProtection="0"/>
    <xf numFmtId="0" fontId="48" fillId="74" borderId="0" applyNumberFormat="0" applyBorder="0" applyAlignment="0" applyProtection="0"/>
    <xf numFmtId="0" fontId="17" fillId="25" borderId="0" applyNumberFormat="0" applyAlignment="0" applyProtection="0"/>
    <xf numFmtId="0" fontId="17" fillId="25" borderId="0" applyNumberFormat="0" applyAlignment="0" applyProtection="0"/>
    <xf numFmtId="0" fontId="17" fillId="82" borderId="0" applyNumberFormat="0" applyBorder="0" applyAlignment="0" applyProtection="0"/>
    <xf numFmtId="0" fontId="17" fillId="82" borderId="0" applyNumberFormat="0" applyBorder="0" applyAlignment="0" applyProtection="0"/>
    <xf numFmtId="0" fontId="48" fillId="74" borderId="0" applyNumberFormat="0" applyBorder="0" applyAlignment="0" applyProtection="0"/>
    <xf numFmtId="0" fontId="48" fillId="74" borderId="0" applyNumberFormat="0" applyBorder="0" applyAlignment="0" applyProtection="0"/>
    <xf numFmtId="0" fontId="48" fillId="74" borderId="0" applyNumberFormat="0" applyBorder="0" applyAlignment="0" applyProtection="0"/>
    <xf numFmtId="0" fontId="48" fillId="74" borderId="0" applyNumberFormat="0" applyBorder="0" applyAlignment="0" applyProtection="0"/>
    <xf numFmtId="0" fontId="17" fillId="26" borderId="0" applyNumberFormat="0" applyAlignment="0" applyProtection="0"/>
    <xf numFmtId="0" fontId="48" fillId="81" borderId="0" applyNumberFormat="0" applyBorder="0" applyAlignment="0" applyProtection="0"/>
    <xf numFmtId="0" fontId="48" fillId="81" borderId="0" applyNumberFormat="0" applyBorder="0" applyAlignment="0" applyProtection="0"/>
    <xf numFmtId="0" fontId="48" fillId="81" borderId="0" applyNumberFormat="0" applyBorder="0" applyAlignment="0" applyProtection="0"/>
    <xf numFmtId="0" fontId="48" fillId="81" borderId="0" applyNumberFormat="0" applyBorder="0" applyAlignment="0" applyProtection="0"/>
    <xf numFmtId="0" fontId="48" fillId="81" borderId="0" applyNumberFormat="0" applyBorder="0" applyAlignment="0" applyProtection="0"/>
    <xf numFmtId="0" fontId="17" fillId="26" borderId="0" applyNumberFormat="0" applyAlignment="0" applyProtection="0"/>
    <xf numFmtId="0" fontId="17" fillId="83" borderId="0" applyNumberFormat="0" applyBorder="0" applyAlignment="0" applyProtection="0"/>
    <xf numFmtId="0" fontId="17" fillId="83" borderId="0" applyNumberFormat="0" applyBorder="0" applyAlignment="0" applyProtection="0"/>
    <xf numFmtId="0" fontId="48" fillId="81" borderId="0" applyNumberFormat="0" applyBorder="0" applyAlignment="0" applyProtection="0"/>
    <xf numFmtId="0" fontId="48" fillId="81" borderId="0" applyNumberFormat="0" applyBorder="0" applyAlignment="0" applyProtection="0"/>
    <xf numFmtId="0" fontId="48" fillId="81" borderId="0" applyNumberFormat="0" applyBorder="0" applyAlignment="0" applyProtection="0"/>
    <xf numFmtId="0" fontId="48" fillId="81" borderId="0" applyNumberFormat="0" applyBorder="0" applyAlignment="0" applyProtection="0"/>
    <xf numFmtId="0" fontId="17" fillId="27" borderId="0" applyNumberFormat="0" applyAlignment="0" applyProtection="0"/>
    <xf numFmtId="0" fontId="48" fillId="44" borderId="0" applyNumberFormat="0" applyBorder="0" applyAlignment="0" applyProtection="0"/>
    <xf numFmtId="0" fontId="17" fillId="84" borderId="0" applyNumberFormat="0" applyBorder="0" applyAlignment="0" applyProtection="0"/>
    <xf numFmtId="0" fontId="17" fillId="84" borderId="0" applyNumberFormat="0" applyBorder="0" applyAlignment="0" applyProtection="0"/>
    <xf numFmtId="0" fontId="17" fillId="27" borderId="0" applyNumberFormat="0" applyAlignment="0" applyProtection="0"/>
    <xf numFmtId="0" fontId="17" fillId="28" borderId="0" applyNumberFormat="0" applyAlignment="0" applyProtection="0"/>
    <xf numFmtId="0" fontId="17" fillId="28" borderId="0" applyNumberFormat="0" applyAlignment="0" applyProtection="0"/>
    <xf numFmtId="0" fontId="17" fillId="85" borderId="0" applyNumberFormat="0" applyBorder="0" applyAlignment="0" applyProtection="0"/>
    <xf numFmtId="0" fontId="17" fillId="85" borderId="0" applyNumberFormat="0" applyBorder="0" applyAlignment="0" applyProtection="0"/>
    <xf numFmtId="0" fontId="17" fillId="28" borderId="0" applyNumberFormat="0" applyAlignment="0" applyProtection="0"/>
    <xf numFmtId="0" fontId="17" fillId="23" borderId="0" applyNumberFormat="0" applyAlignment="0" applyProtection="0"/>
    <xf numFmtId="0" fontId="48" fillId="79" borderId="0" applyNumberFormat="0" applyBorder="0" applyAlignment="0" applyProtection="0"/>
    <xf numFmtId="0" fontId="48" fillId="79" borderId="0" applyNumberFormat="0" applyBorder="0" applyAlignment="0" applyProtection="0"/>
    <xf numFmtId="0" fontId="48" fillId="79" borderId="0" applyNumberFormat="0" applyBorder="0" applyAlignment="0" applyProtection="0"/>
    <xf numFmtId="0" fontId="48" fillId="79" borderId="0" applyNumberFormat="0" applyBorder="0" applyAlignment="0" applyProtection="0"/>
    <xf numFmtId="0" fontId="48" fillId="79" borderId="0" applyNumberFormat="0" applyBorder="0" applyAlignment="0" applyProtection="0"/>
    <xf numFmtId="0" fontId="17" fillId="23" borderId="0" applyNumberFormat="0" applyAlignment="0" applyProtection="0"/>
    <xf numFmtId="0" fontId="17" fillId="23" borderId="0" applyNumberFormat="0" applyAlignment="0" applyProtection="0"/>
    <xf numFmtId="0" fontId="17" fillId="80" borderId="0" applyNumberFormat="0" applyBorder="0" applyAlignment="0" applyProtection="0"/>
    <xf numFmtId="0" fontId="17" fillId="80" borderId="0" applyNumberFormat="0" applyBorder="0" applyAlignment="0" applyProtection="0"/>
    <xf numFmtId="0" fontId="48" fillId="79" borderId="0" applyNumberFormat="0" applyBorder="0" applyAlignment="0" applyProtection="0"/>
    <xf numFmtId="0" fontId="48" fillId="79" borderId="0" applyNumberFormat="0" applyBorder="0" applyAlignment="0" applyProtection="0"/>
    <xf numFmtId="0" fontId="48" fillId="79" borderId="0" applyNumberFormat="0" applyBorder="0" applyAlignment="0" applyProtection="0"/>
    <xf numFmtId="0" fontId="48" fillId="79" borderId="0" applyNumberFormat="0" applyBorder="0" applyAlignment="0" applyProtection="0"/>
    <xf numFmtId="0" fontId="17" fillId="24" borderId="0" applyNumberFormat="0" applyAlignment="0" applyProtection="0"/>
    <xf numFmtId="0" fontId="17" fillId="24" borderId="0" applyNumberFormat="0" applyAlignment="0" applyProtection="0"/>
    <xf numFmtId="0" fontId="17" fillId="81" borderId="0" applyNumberFormat="0" applyBorder="0" applyAlignment="0" applyProtection="0"/>
    <xf numFmtId="0" fontId="17" fillId="81" borderId="0" applyNumberFormat="0" applyBorder="0" applyAlignment="0" applyProtection="0"/>
    <xf numFmtId="0" fontId="17" fillId="24" borderId="0" applyNumberFormat="0" applyAlignment="0" applyProtection="0"/>
    <xf numFmtId="0" fontId="17" fillId="29" borderId="0" applyNumberFormat="0" applyAlignment="0" applyProtection="0"/>
    <xf numFmtId="0" fontId="17" fillId="29" borderId="0" applyNumberFormat="0" applyAlignment="0" applyProtection="0"/>
    <xf numFmtId="0" fontId="17" fillId="86" borderId="0" applyNumberFormat="0" applyBorder="0" applyAlignment="0" applyProtection="0"/>
    <xf numFmtId="0" fontId="17" fillId="86" borderId="0" applyNumberFormat="0" applyBorder="0" applyAlignment="0" applyProtection="0"/>
    <xf numFmtId="0" fontId="17" fillId="29" borderId="0" applyNumberFormat="0" applyAlignment="0" applyProtection="0"/>
    <xf numFmtId="0" fontId="18"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4" fillId="0" borderId="0"/>
    <xf numFmtId="0" fontId="3" fillId="3"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9" fillId="30" borderId="39" applyNumberFormat="0" applyAlignment="0" applyProtection="0"/>
    <xf numFmtId="0" fontId="42" fillId="65" borderId="11" applyNumberFormat="0" applyAlignment="0" applyProtection="0"/>
    <xf numFmtId="0" fontId="42" fillId="65" borderId="11" applyNumberFormat="0" applyAlignment="0" applyProtection="0"/>
    <xf numFmtId="0" fontId="42" fillId="65" borderId="11" applyNumberFormat="0" applyAlignment="0" applyProtection="0"/>
    <xf numFmtId="0" fontId="42" fillId="65" borderId="11" applyNumberFormat="0" applyAlignment="0" applyProtection="0"/>
    <xf numFmtId="0" fontId="42" fillId="65" borderId="11" applyNumberFormat="0" applyAlignment="0" applyProtection="0"/>
    <xf numFmtId="0" fontId="19" fillId="30" borderId="39" applyNumberFormat="0" applyAlignment="0" applyProtection="0"/>
    <xf numFmtId="0" fontId="19" fillId="30" borderId="39" applyNumberFormat="0" applyAlignment="0" applyProtection="0"/>
    <xf numFmtId="0" fontId="4" fillId="0" borderId="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42" fillId="65" borderId="11" applyNumberFormat="0" applyAlignment="0" applyProtection="0"/>
    <xf numFmtId="0" fontId="42" fillId="65" borderId="11" applyNumberFormat="0" applyAlignment="0" applyProtection="0"/>
    <xf numFmtId="0" fontId="42" fillId="65" borderId="11" applyNumberFormat="0" applyAlignment="0" applyProtection="0"/>
    <xf numFmtId="0" fontId="42" fillId="65" borderId="11" applyNumberFormat="0" applyAlignment="0" applyProtection="0"/>
    <xf numFmtId="0" fontId="20" fillId="31" borderId="40" applyNumberFormat="0" applyAlignment="0" applyProtection="0"/>
    <xf numFmtId="0" fontId="44" fillId="38" borderId="61" applyNumberFormat="0" applyAlignment="0" applyProtection="0"/>
    <xf numFmtId="0" fontId="20" fillId="87" borderId="40" applyNumberFormat="0" applyAlignment="0" applyProtection="0"/>
    <xf numFmtId="0" fontId="20" fillId="87" borderId="40" applyNumberFormat="0" applyAlignment="0" applyProtection="0"/>
    <xf numFmtId="0" fontId="20" fillId="31" borderId="40" applyNumberFormat="0" applyAlignment="0" applyProtection="0"/>
    <xf numFmtId="0" fontId="21" fillId="0" borderId="0" applyNumberFormat="0" applyFill="0" applyAlignment="0" applyProtection="0"/>
    <xf numFmtId="0" fontId="46" fillId="0" borderId="0" applyNumberFormat="0" applyFill="0" applyBorder="0" applyAlignment="0" applyProtection="0"/>
    <xf numFmtId="0" fontId="21" fillId="0" borderId="0" applyNumberFormat="0" applyFill="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Alignment="0" applyProtection="0"/>
    <xf numFmtId="0" fontId="22" fillId="14" borderId="0" applyNumberFormat="0" applyAlignment="0" applyProtection="0"/>
    <xf numFmtId="0" fontId="40" fillId="36" borderId="0" applyNumberFormat="0" applyBorder="0" applyAlignment="0" applyProtection="0"/>
    <xf numFmtId="0" fontId="22" fillId="68" borderId="0" applyNumberFormat="0" applyBorder="0" applyAlignment="0" applyProtection="0"/>
    <xf numFmtId="0" fontId="22" fillId="68" borderId="0" applyNumberFormat="0" applyBorder="0" applyAlignment="0" applyProtection="0"/>
    <xf numFmtId="0" fontId="22" fillId="14" borderId="0" applyNumberFormat="0" applyAlignment="0" applyProtection="0"/>
    <xf numFmtId="0" fontId="12" fillId="0" borderId="0"/>
    <xf numFmtId="0" fontId="23" fillId="0" borderId="41"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23" fillId="0" borderId="41"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23" fillId="0" borderId="41"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23" fillId="0" borderId="41" applyNumberFormat="0" applyFill="0" applyAlignment="0" applyProtection="0"/>
    <xf numFmtId="0" fontId="23" fillId="0" borderId="41"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53" fillId="0" borderId="65" applyNumberFormat="0" applyFill="0" applyAlignment="0" applyProtection="0"/>
    <xf numFmtId="0" fontId="24" fillId="0" borderId="42" applyNumberFormat="0" applyFill="0" applyAlignment="0" applyProtection="0"/>
    <xf numFmtId="0" fontId="61" fillId="0" borderId="57" applyNumberFormat="0" applyFill="0" applyAlignment="0" applyProtection="0"/>
    <xf numFmtId="0" fontId="61" fillId="0" borderId="57" applyNumberFormat="0" applyFill="0" applyAlignment="0" applyProtection="0"/>
    <xf numFmtId="0" fontId="61" fillId="0" borderId="57" applyNumberFormat="0" applyFill="0" applyAlignment="0" applyProtection="0"/>
    <xf numFmtId="0" fontId="61" fillId="0" borderId="57" applyNumberFormat="0" applyFill="0" applyAlignment="0" applyProtection="0"/>
    <xf numFmtId="0" fontId="61" fillId="0" borderId="57" applyNumberFormat="0" applyFill="0" applyAlignment="0" applyProtection="0"/>
    <xf numFmtId="0" fontId="24" fillId="0" borderId="42" applyNumberFormat="0" applyFill="0" applyAlignment="0" applyProtection="0"/>
    <xf numFmtId="0" fontId="24" fillId="0" borderId="42" applyNumberFormat="0" applyFill="0" applyAlignment="0" applyProtection="0"/>
    <xf numFmtId="0" fontId="24" fillId="0" borderId="42" applyNumberFormat="0" applyFill="0" applyAlignment="0" applyProtection="0"/>
    <xf numFmtId="0" fontId="61" fillId="0" borderId="57" applyNumberFormat="0" applyFill="0" applyAlignment="0" applyProtection="0"/>
    <xf numFmtId="0" fontId="61" fillId="0" borderId="57" applyNumberFormat="0" applyFill="0" applyAlignment="0" applyProtection="0"/>
    <xf numFmtId="0" fontId="61" fillId="0" borderId="57" applyNumberFormat="0" applyFill="0" applyAlignment="0" applyProtection="0"/>
    <xf numFmtId="0" fontId="61" fillId="0" borderId="57" applyNumberFormat="0" applyFill="0" applyAlignment="0" applyProtection="0"/>
    <xf numFmtId="0" fontId="55" fillId="0" borderId="66" applyNumberFormat="0" applyFill="0" applyAlignment="0" applyProtection="0"/>
    <xf numFmtId="0" fontId="55" fillId="0" borderId="66" applyNumberFormat="0" applyFill="0" applyAlignment="0" applyProtection="0"/>
    <xf numFmtId="0" fontId="55" fillId="0" borderId="66" applyNumberFormat="0" applyFill="0" applyAlignment="0" applyProtection="0"/>
    <xf numFmtId="0" fontId="55" fillId="0" borderId="66" applyNumberFormat="0" applyFill="0" applyAlignment="0" applyProtection="0"/>
    <xf numFmtId="0" fontId="55" fillId="0" borderId="66" applyNumberFormat="0" applyFill="0" applyAlignment="0" applyProtection="0"/>
    <xf numFmtId="0" fontId="55" fillId="0" borderId="66" applyNumberFormat="0" applyFill="0" applyAlignment="0" applyProtection="0"/>
    <xf numFmtId="0" fontId="55" fillId="0" borderId="66" applyNumberFormat="0" applyFill="0" applyAlignment="0" applyProtection="0"/>
    <xf numFmtId="0" fontId="55" fillId="0" borderId="66" applyNumberFormat="0" applyFill="0" applyAlignment="0" applyProtection="0"/>
    <xf numFmtId="0" fontId="55" fillId="0" borderId="66" applyNumberFormat="0" applyFill="0" applyAlignment="0" applyProtection="0"/>
    <xf numFmtId="0" fontId="55" fillId="0" borderId="66" applyNumberFormat="0" applyFill="0" applyAlignment="0" applyProtection="0"/>
    <xf numFmtId="0" fontId="55" fillId="0" borderId="66" applyNumberFormat="0" applyFill="0" applyAlignment="0" applyProtection="0"/>
    <xf numFmtId="0" fontId="4" fillId="0" borderId="0"/>
    <xf numFmtId="0" fontId="55" fillId="0" borderId="66" applyNumberFormat="0" applyFill="0" applyAlignment="0" applyProtection="0"/>
    <xf numFmtId="0" fontId="55" fillId="0" borderId="66" applyNumberFormat="0" applyFill="0" applyAlignment="0" applyProtection="0"/>
    <xf numFmtId="0" fontId="55" fillId="0" borderId="66" applyNumberFormat="0" applyFill="0" applyAlignment="0" applyProtection="0"/>
    <xf numFmtId="0" fontId="55" fillId="0" borderId="66" applyNumberFormat="0" applyFill="0" applyAlignment="0" applyProtection="0"/>
    <xf numFmtId="0" fontId="55" fillId="0" borderId="66" applyNumberFormat="0" applyFill="0" applyAlignment="0" applyProtection="0"/>
    <xf numFmtId="0" fontId="55" fillId="0" borderId="66" applyNumberFormat="0" applyFill="0" applyAlignment="0" applyProtection="0"/>
    <xf numFmtId="0" fontId="55" fillId="0" borderId="66" applyNumberFormat="0" applyFill="0" applyAlignment="0" applyProtection="0"/>
    <xf numFmtId="0" fontId="25" fillId="0" borderId="0" applyNumberFormat="0" applyFill="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25" fillId="0" borderId="0" applyNumberFormat="0" applyFill="0" applyAlignment="0" applyProtection="0"/>
    <xf numFmtId="0" fontId="4" fillId="0" borderId="0"/>
    <xf numFmtId="0" fontId="25" fillId="0" borderId="0" applyNumberFormat="0" applyFill="0" applyAlignment="0" applyProtection="0"/>
    <xf numFmtId="0" fontId="4" fillId="0" borderId="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49" fillId="0" borderId="0" applyNumberFormat="0" applyFill="0" applyBorder="0" applyAlignment="0" applyProtection="0"/>
    <xf numFmtId="0" fontId="27" fillId="17" borderId="39"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27" fillId="17" borderId="39"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28" fillId="0" borderId="44" applyNumberFormat="0" applyFill="0" applyAlignment="0" applyProtection="0"/>
    <xf numFmtId="0" fontId="28" fillId="0" borderId="44" applyNumberFormat="0" applyFill="0" applyAlignment="0" applyProtection="0"/>
    <xf numFmtId="0" fontId="43" fillId="0" borderId="60" applyNumberFormat="0" applyFill="0" applyAlignment="0" applyProtection="0"/>
    <xf numFmtId="0" fontId="28" fillId="0" borderId="44" applyNumberFormat="0" applyFill="0" applyAlignment="0" applyProtection="0"/>
    <xf numFmtId="0" fontId="29" fillId="32" borderId="0" applyNumberFormat="0" applyAlignment="0" applyProtection="0"/>
    <xf numFmtId="0" fontId="34" fillId="34" borderId="0" applyNumberFormat="0" applyBorder="0" applyAlignment="0" applyProtection="0"/>
    <xf numFmtId="0" fontId="29" fillId="90" borderId="0" applyNumberFormat="0" applyBorder="0" applyAlignment="0" applyProtection="0"/>
    <xf numFmtId="0" fontId="29" fillId="90" borderId="0" applyNumberFormat="0" applyBorder="0" applyAlignment="0" applyProtection="0"/>
    <xf numFmtId="0" fontId="29" fillId="32" borderId="0"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4" fillId="0" borderId="0"/>
    <xf numFmtId="0" fontId="4"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12" fillId="0" borderId="0"/>
    <xf numFmtId="0" fontId="12" fillId="0" borderId="0"/>
    <xf numFmtId="0" fontId="4" fillId="33" borderId="45"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4" fillId="33" borderId="45"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4" fillId="33" borderId="45"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39" borderId="62" applyNumberFormat="0" applyFont="0" applyAlignment="0" applyProtection="0"/>
    <xf numFmtId="0" fontId="16" fillId="69" borderId="45" applyNumberFormat="0" applyFont="0" applyAlignment="0" applyProtection="0"/>
    <xf numFmtId="0" fontId="16" fillId="69" borderId="45" applyNumberFormat="0" applyFont="0" applyAlignment="0" applyProtection="0"/>
    <xf numFmtId="0" fontId="30" fillId="30" borderId="46" applyNumberFormat="0" applyAlignment="0" applyProtection="0"/>
    <xf numFmtId="0" fontId="41" fillId="65" borderId="59" applyNumberFormat="0" applyAlignment="0" applyProtection="0"/>
    <xf numFmtId="0" fontId="41" fillId="65" borderId="59" applyNumberFormat="0" applyAlignment="0" applyProtection="0"/>
    <xf numFmtId="0" fontId="41" fillId="65" borderId="59" applyNumberFormat="0" applyAlignment="0" applyProtection="0"/>
    <xf numFmtId="0" fontId="41" fillId="65" borderId="59" applyNumberFormat="0" applyAlignment="0" applyProtection="0"/>
    <xf numFmtId="0" fontId="41" fillId="65" borderId="59"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41" fillId="65" borderId="59" applyNumberFormat="0" applyAlignment="0" applyProtection="0"/>
    <xf numFmtId="0" fontId="41" fillId="65" borderId="59" applyNumberFormat="0" applyAlignment="0" applyProtection="0"/>
    <xf numFmtId="0" fontId="41" fillId="65" borderId="59" applyNumberFormat="0" applyAlignment="0" applyProtection="0"/>
    <xf numFmtId="0" fontId="41" fillId="65" borderId="59" applyNumberFormat="0" applyAlignment="0" applyProtection="0"/>
    <xf numFmtId="0" fontId="31" fillId="0" borderId="0"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31" fillId="0" borderId="0" applyNumberFormat="0" applyFill="0" applyAlignment="0" applyProtection="0"/>
    <xf numFmtId="0" fontId="31" fillId="0" borderId="0"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32" fillId="0" borderId="4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33" fillId="0" borderId="0" applyNumberFormat="0" applyFill="0" applyAlignment="0" applyProtection="0"/>
    <xf numFmtId="0" fontId="12" fillId="0" borderId="0"/>
    <xf numFmtId="0" fontId="33" fillId="0" borderId="0" applyNumberFormat="0" applyFill="0" applyBorder="0" applyAlignment="0" applyProtection="0"/>
    <xf numFmtId="0" fontId="33" fillId="0" borderId="0" applyNumberFormat="0" applyFill="0" applyBorder="0" applyAlignment="0" applyProtection="0"/>
    <xf numFmtId="0" fontId="45" fillId="0" borderId="0" applyNumberFormat="0" applyFill="0" applyBorder="0" applyAlignment="0" applyProtection="0"/>
    <xf numFmtId="0" fontId="33" fillId="0" borderId="0" applyNumberFormat="0" applyFill="0" applyAlignment="0" applyProtection="0"/>
    <xf numFmtId="0" fontId="12" fillId="0" borderId="0"/>
    <xf numFmtId="0" fontId="36" fillId="0" borderId="0" applyNumberFormat="0" applyFill="0" applyBorder="0" applyAlignment="0" applyProtection="0"/>
    <xf numFmtId="0" fontId="37" fillId="0" borderId="56"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39" fillId="0" borderId="0" applyNumberFormat="0" applyFill="0" applyBorder="0" applyAlignment="0" applyProtection="0"/>
    <xf numFmtId="0" fontId="6" fillId="6" borderId="11" applyNumberFormat="0" applyAlignment="0" applyProtection="0"/>
    <xf numFmtId="0" fontId="41" fillId="37" borderId="59" applyNumberFormat="0" applyAlignment="0" applyProtection="0"/>
    <xf numFmtId="0" fontId="42" fillId="37" borderId="11" applyNumberFormat="0" applyAlignment="0" applyProtection="0"/>
    <xf numFmtId="0" fontId="12" fillId="39" borderId="62" applyNumberFormat="0" applyFont="0" applyAlignment="0" applyProtection="0"/>
    <xf numFmtId="0" fontId="47" fillId="0" borderId="63" applyNumberFormat="0" applyFill="0" applyAlignment="0" applyProtection="0"/>
    <xf numFmtId="0" fontId="48" fillId="40" borderId="0" applyNumberFormat="0" applyBorder="0" applyAlignment="0" applyProtection="0"/>
    <xf numFmtId="0" fontId="12" fillId="42" borderId="0" applyNumberFormat="0" applyBorder="0" applyAlignment="0" applyProtection="0"/>
    <xf numFmtId="0" fontId="48" fillId="43"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12" fillId="49" borderId="0" applyNumberFormat="0" applyBorder="0" applyAlignment="0" applyProtection="0"/>
    <xf numFmtId="0" fontId="12" fillId="50" borderId="0" applyNumberFormat="0" applyBorder="0" applyAlignment="0" applyProtection="0"/>
    <xf numFmtId="0" fontId="48" fillId="51" borderId="0" applyNumberFormat="0" applyBorder="0" applyAlignment="0" applyProtection="0"/>
    <xf numFmtId="0" fontId="48" fillId="52" borderId="0" applyNumberFormat="0" applyBorder="0" applyAlignment="0" applyProtection="0"/>
    <xf numFmtId="0" fontId="12" fillId="53" borderId="0" applyNumberFormat="0" applyBorder="0" applyAlignment="0" applyProtection="0"/>
    <xf numFmtId="0" fontId="12" fillId="54" borderId="0" applyNumberFormat="0" applyBorder="0" applyAlignment="0" applyProtection="0"/>
    <xf numFmtId="0" fontId="48" fillId="55" borderId="0" applyNumberFormat="0" applyBorder="0" applyAlignment="0" applyProtection="0"/>
    <xf numFmtId="0" fontId="12" fillId="57"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12" fillId="62" borderId="0" applyNumberFormat="0" applyBorder="0" applyAlignment="0" applyProtection="0"/>
    <xf numFmtId="0" fontId="48" fillId="63" borderId="0" applyNumberFormat="0" applyBorder="0" applyAlignment="0" applyProtection="0"/>
    <xf numFmtId="0" fontId="12" fillId="0" borderId="0"/>
    <xf numFmtId="0" fontId="12" fillId="0" borderId="0"/>
    <xf numFmtId="0" fontId="6" fillId="6" borderId="11" applyNumberFormat="0" applyAlignment="0" applyProtection="0"/>
    <xf numFmtId="0" fontId="12" fillId="0" borderId="0"/>
    <xf numFmtId="0" fontId="6" fillId="6" borderId="11" applyNumberFormat="0" applyAlignment="0" applyProtection="0"/>
    <xf numFmtId="0" fontId="12" fillId="0" borderId="0"/>
    <xf numFmtId="0" fontId="6" fillId="6" borderId="11" applyNumberFormat="0" applyAlignment="0" applyProtection="0"/>
    <xf numFmtId="0" fontId="6" fillId="6" borderId="11" applyNumberFormat="0" applyAlignment="0" applyProtection="0"/>
    <xf numFmtId="0" fontId="12" fillId="0" borderId="0"/>
    <xf numFmtId="0" fontId="26" fillId="0" borderId="0" applyNumberFormat="0" applyFill="0" applyBorder="0" applyAlignment="0" applyProtection="0">
      <alignment vertical="top"/>
      <protection locked="0"/>
    </xf>
    <xf numFmtId="0" fontId="12" fillId="0" borderId="0"/>
    <xf numFmtId="0" fontId="4" fillId="0" borderId="0"/>
    <xf numFmtId="0" fontId="4" fillId="0" borderId="0"/>
    <xf numFmtId="0" fontId="6" fillId="6" borderId="11" applyNumberFormat="0" applyAlignment="0" applyProtection="0"/>
    <xf numFmtId="0" fontId="12" fillId="0" borderId="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57"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46"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58"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62" fillId="0" borderId="65" applyNumberFormat="0" applyFill="0" applyAlignment="0" applyProtection="0"/>
    <xf numFmtId="0" fontId="63" fillId="0" borderId="66" applyNumberFormat="0" applyFill="0" applyAlignment="0" applyProtection="0"/>
    <xf numFmtId="0" fontId="63" fillId="0" borderId="0" applyNumberForma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64" fillId="0" borderId="0" applyNumberFormat="0" applyFill="0" applyBorder="0" applyAlignment="0" applyProtection="0"/>
    <xf numFmtId="0" fontId="4"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4" fillId="0" borderId="0"/>
    <xf numFmtId="0" fontId="4"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4" fillId="0" borderId="0"/>
    <xf numFmtId="0" fontId="16"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6"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6"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6" fillId="7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6" fillId="74"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6"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6" fillId="70"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0" borderId="0"/>
    <xf numFmtId="0" fontId="16" fillId="77"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7" fillId="78" borderId="0" applyNumberFormat="0" applyBorder="0" applyAlignment="0" applyProtection="0"/>
    <xf numFmtId="0" fontId="48" fillId="43" borderId="0" applyNumberFormat="0" applyBorder="0" applyAlignment="0" applyProtection="0"/>
    <xf numFmtId="0" fontId="17" fillId="74" borderId="0" applyNumberFormat="0" applyBorder="0" applyAlignment="0" applyProtection="0"/>
    <xf numFmtId="0" fontId="48" fillId="47" borderId="0" applyNumberFormat="0" applyBorder="0" applyAlignment="0" applyProtection="0"/>
    <xf numFmtId="0" fontId="17" fillId="75" borderId="0" applyNumberFormat="0" applyBorder="0" applyAlignment="0" applyProtection="0"/>
    <xf numFmtId="0" fontId="48" fillId="51" borderId="0" applyNumberFormat="0" applyBorder="0" applyAlignment="0" applyProtection="0"/>
    <xf numFmtId="0" fontId="48" fillId="51" borderId="0" applyNumberFormat="0" applyBorder="0" applyAlignment="0" applyProtection="0"/>
    <xf numFmtId="0" fontId="17" fillId="80" borderId="0" applyNumberFormat="0" applyBorder="0" applyAlignment="0" applyProtection="0"/>
    <xf numFmtId="0" fontId="48" fillId="55" borderId="0" applyNumberFormat="0" applyBorder="0" applyAlignment="0" applyProtection="0"/>
    <xf numFmtId="0" fontId="48" fillId="55" borderId="0" applyNumberFormat="0" applyBorder="0" applyAlignment="0" applyProtection="0"/>
    <xf numFmtId="0" fontId="17" fillId="81" borderId="0" applyNumberFormat="0" applyBorder="0" applyAlignment="0" applyProtection="0"/>
    <xf numFmtId="0" fontId="48" fillId="59" borderId="0" applyNumberFormat="0" applyBorder="0" applyAlignment="0" applyProtection="0"/>
    <xf numFmtId="0" fontId="17" fillId="82" borderId="0" applyNumberFormat="0" applyBorder="0" applyAlignment="0" applyProtection="0"/>
    <xf numFmtId="0" fontId="48" fillId="63" borderId="0" applyNumberFormat="0" applyBorder="0" applyAlignment="0" applyProtection="0"/>
    <xf numFmtId="0" fontId="48" fillId="63" borderId="0" applyNumberFormat="0" applyBorder="0" applyAlignment="0" applyProtection="0"/>
    <xf numFmtId="0" fontId="17" fillId="85" borderId="0" applyNumberFormat="0" applyBorder="0" applyAlignment="0" applyProtection="0"/>
    <xf numFmtId="0" fontId="48" fillId="48" borderId="0" applyNumberFormat="0" applyBorder="0" applyAlignment="0" applyProtection="0"/>
    <xf numFmtId="0" fontId="17" fillId="80" borderId="0" applyNumberFormat="0" applyBorder="0" applyAlignment="0" applyProtection="0"/>
    <xf numFmtId="0" fontId="48" fillId="52" borderId="0" applyNumberFormat="0" applyBorder="0" applyAlignment="0" applyProtection="0"/>
    <xf numFmtId="0" fontId="12" fillId="0" borderId="0"/>
    <xf numFmtId="0" fontId="17" fillId="81" borderId="0" applyNumberFormat="0" applyBorder="0" applyAlignment="0" applyProtection="0"/>
    <xf numFmtId="0" fontId="48" fillId="56" borderId="0" applyNumberFormat="0" applyBorder="0" applyAlignment="0" applyProtection="0"/>
    <xf numFmtId="0" fontId="17" fillId="86" borderId="0" applyNumberFormat="0" applyBorder="0" applyAlignment="0" applyProtection="0"/>
    <xf numFmtId="0" fontId="48" fillId="60" borderId="0" applyNumberFormat="0" applyBorder="0" applyAlignment="0" applyProtection="0"/>
    <xf numFmtId="0" fontId="52"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3" fillId="3" borderId="0" applyNumberFormat="0" applyBorder="0" applyAlignment="0" applyProtection="0"/>
    <xf numFmtId="0" fontId="19" fillId="65" borderId="39" applyNumberForma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19" fillId="73" borderId="39" applyNumberFormat="0" applyAlignment="0" applyProtection="0"/>
    <xf numFmtId="0" fontId="42" fillId="37" borderId="11" applyNumberFormat="0" applyAlignment="0" applyProtection="0"/>
    <xf numFmtId="0" fontId="4" fillId="0" borderId="0"/>
    <xf numFmtId="0" fontId="4" fillId="0" borderId="0"/>
    <xf numFmtId="0" fontId="21" fillId="0" borderId="0" applyNumberFormat="0" applyFill="0" applyBorder="0" applyAlignment="0" applyProtection="0"/>
    <xf numFmtId="0" fontId="21" fillId="0" borderId="0" applyNumberFormat="0" applyFill="0" applyBorder="0" applyAlignment="0" applyProtection="0"/>
    <xf numFmtId="0" fontId="53" fillId="0" borderId="41" applyNumberFormat="0" applyFill="0" applyAlignment="0" applyProtection="0"/>
    <xf numFmtId="0" fontId="53" fillId="0" borderId="41" applyNumberFormat="0" applyFill="0" applyAlignment="0" applyProtection="0"/>
    <xf numFmtId="0" fontId="37" fillId="0" borderId="56" applyNumberFormat="0" applyFill="0" applyAlignment="0" applyProtection="0"/>
    <xf numFmtId="0" fontId="38" fillId="0" borderId="57" applyNumberFormat="0" applyFill="0" applyAlignment="0" applyProtection="0"/>
    <xf numFmtId="0" fontId="39" fillId="0" borderId="0" applyNumberFormat="0" applyFill="0" applyBorder="0" applyAlignment="0" applyProtection="0"/>
    <xf numFmtId="0" fontId="4" fillId="0" borderId="0"/>
    <xf numFmtId="0" fontId="50" fillId="0" borderId="0" applyNumberFormat="0" applyFill="0" applyBorder="0" applyAlignment="0" applyProtection="0">
      <alignment vertical="top"/>
      <protection locked="0"/>
    </xf>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6" fillId="90" borderId="11"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6"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58" fillId="0" borderId="0"/>
    <xf numFmtId="0" fontId="59" fillId="0" borderId="0"/>
    <xf numFmtId="0" fontId="59" fillId="0" borderId="0"/>
    <xf numFmtId="0" fontId="59" fillId="0" borderId="0"/>
    <xf numFmtId="0" fontId="59" fillId="0" borderId="0"/>
    <xf numFmtId="0" fontId="59"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30" fillId="65" borderId="46" applyNumberFormat="0" applyAlignment="0" applyProtection="0"/>
    <xf numFmtId="0" fontId="30" fillId="73" borderId="46" applyNumberFormat="0" applyAlignment="0" applyProtection="0"/>
    <xf numFmtId="0" fontId="41" fillId="37" borderId="59" applyNumberFormat="0" applyAlignment="0" applyProtection="0"/>
    <xf numFmtId="0" fontId="36" fillId="0" borderId="0" applyNumberFormat="0" applyFill="0" applyBorder="0" applyAlignment="0" applyProtection="0"/>
    <xf numFmtId="0" fontId="31" fillId="0" borderId="0" applyNumberFormat="0" applyFill="0" applyBorder="0" applyAlignment="0" applyProtection="0"/>
    <xf numFmtId="0" fontId="25" fillId="0" borderId="0" applyNumberFormat="0" applyFill="0" applyBorder="0" applyAlignment="0" applyProtection="0"/>
    <xf numFmtId="0" fontId="59" fillId="0" borderId="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19" fillId="65" borderId="39" applyNumberFormat="0" applyAlignment="0" applyProtection="0"/>
    <xf numFmtId="0" fontId="19" fillId="73" borderId="39" applyNumberFormat="0" applyAlignment="0" applyProtection="0"/>
    <xf numFmtId="0" fontId="12" fillId="0" borderId="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2" fillId="0" borderId="0"/>
    <xf numFmtId="0" fontId="12" fillId="42"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12" fillId="49" borderId="0" applyNumberFormat="0" applyBorder="0" applyAlignment="0" applyProtection="0"/>
    <xf numFmtId="0" fontId="12" fillId="50" borderId="0" applyNumberFormat="0" applyBorder="0" applyAlignment="0" applyProtection="0"/>
    <xf numFmtId="0" fontId="12" fillId="53" borderId="0" applyNumberFormat="0" applyBorder="0" applyAlignment="0" applyProtection="0"/>
    <xf numFmtId="0" fontId="12" fillId="54" borderId="0" applyNumberFormat="0" applyBorder="0" applyAlignment="0" applyProtection="0"/>
    <xf numFmtId="0" fontId="12" fillId="57"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12" fillId="62" borderId="0" applyNumberFormat="0" applyBorder="0" applyAlignment="0" applyProtection="0"/>
    <xf numFmtId="0" fontId="4" fillId="0" borderId="0"/>
    <xf numFmtId="0" fontId="4" fillId="0" borderId="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57"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39" borderId="62" applyNumberFormat="0" applyFont="0" applyAlignment="0" applyProtection="0"/>
    <xf numFmtId="0" fontId="12" fillId="57"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57"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27" fillId="17" borderId="39" applyNumberFormat="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9" fillId="73" borderId="39" applyNumberFormat="0" applyAlignment="0" applyProtection="0"/>
    <xf numFmtId="0" fontId="27" fillId="17" borderId="39" applyNumberFormat="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7" borderId="0"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61" borderId="0" applyNumberFormat="0" applyBorder="0" applyAlignment="0" applyProtection="0"/>
    <xf numFmtId="0" fontId="12" fillId="42" borderId="0" applyNumberFormat="0" applyBorder="0" applyAlignment="0" applyProtection="0"/>
    <xf numFmtId="0" fontId="27" fillId="67" borderId="39" applyNumberFormat="0" applyAlignment="0" applyProtection="0"/>
    <xf numFmtId="0" fontId="12" fillId="42" borderId="0"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30" fillId="65"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4" fillId="33" borderId="45" applyNumberFormat="0" applyFont="0" applyAlignment="0" applyProtection="0"/>
    <xf numFmtId="10" fontId="51" fillId="89" borderId="5" applyNumberFormat="0" applyBorder="0" applyAlignment="0" applyProtection="0"/>
    <xf numFmtId="0" fontId="27" fillId="67" borderId="39" applyNumberFormat="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4" fillId="69" borderId="45" applyNumberFormat="0" applyFont="0" applyAlignment="0" applyProtection="0"/>
    <xf numFmtId="0" fontId="27" fillId="67" borderId="39" applyNumberFormat="0" applyAlignment="0" applyProtection="0"/>
    <xf numFmtId="0" fontId="30" fillId="65" borderId="46"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27" fillId="17" borderId="39" applyNumberFormat="0" applyAlignment="0" applyProtection="0"/>
    <xf numFmtId="0" fontId="27" fillId="67" borderId="39" applyNumberFormat="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27" fillId="17" borderId="39" applyNumberFormat="0" applyAlignment="0" applyProtection="0"/>
    <xf numFmtId="0" fontId="27" fillId="67"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4" fillId="33" borderId="45" applyNumberFormat="0" applyFont="0" applyAlignment="0" applyProtection="0"/>
    <xf numFmtId="0" fontId="4" fillId="69" borderId="45" applyNumberFormat="0" applyFont="0" applyAlignment="0" applyProtection="0"/>
    <xf numFmtId="0" fontId="19" fillId="73"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17" borderId="39" applyNumberFormat="0" applyAlignment="0" applyProtection="0"/>
    <xf numFmtId="0" fontId="4" fillId="33"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0" fontId="30" fillId="73"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65"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19" fillId="73"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65"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0" fillId="73" borderId="46" applyNumberFormat="0" applyAlignment="0" applyProtection="0"/>
    <xf numFmtId="0" fontId="4" fillId="33" borderId="45" applyNumberFormat="0" applyFont="0" applyAlignment="0" applyProtection="0"/>
    <xf numFmtId="10" fontId="51" fillId="89" borderId="5" applyNumberFormat="0" applyBorder="0" applyAlignment="0" applyProtection="0"/>
    <xf numFmtId="0" fontId="32" fillId="0" borderId="47" applyNumberFormat="0" applyFill="0" applyAlignment="0" applyProtection="0"/>
    <xf numFmtId="0" fontId="30" fillId="73"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30" fillId="65"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65"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30" fillId="30" borderId="46" applyNumberFormat="0" applyAlignment="0" applyProtection="0"/>
    <xf numFmtId="0" fontId="27" fillId="67" borderId="39" applyNumberFormat="0" applyAlignment="0" applyProtection="0"/>
    <xf numFmtId="0" fontId="19" fillId="65" borderId="39" applyNumberFormat="0" applyAlignment="0" applyProtection="0"/>
    <xf numFmtId="0" fontId="30" fillId="73" borderId="46" applyNumberFormat="0" applyAlignment="0" applyProtection="0"/>
    <xf numFmtId="0" fontId="4" fillId="69" borderId="45" applyNumberFormat="0" applyFont="0" applyAlignment="0" applyProtection="0"/>
    <xf numFmtId="0" fontId="19" fillId="30" borderId="39" applyNumberFormat="0" applyAlignment="0" applyProtection="0"/>
    <xf numFmtId="0" fontId="30" fillId="30"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32" fillId="0" borderId="47" applyNumberFormat="0" applyFill="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0" fontId="19" fillId="30"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19" fillId="73"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19" fillId="73" borderId="39" applyNumberFormat="0" applyAlignment="0" applyProtection="0"/>
    <xf numFmtId="0" fontId="19" fillId="30"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12" fillId="0" borderId="0"/>
    <xf numFmtId="0" fontId="12" fillId="0" borderId="0"/>
    <xf numFmtId="0" fontId="12" fillId="0" borderId="0"/>
    <xf numFmtId="0" fontId="12" fillId="0" borderId="0"/>
    <xf numFmtId="0" fontId="19" fillId="73" borderId="39" applyNumberFormat="0" applyAlignment="0" applyProtection="0"/>
    <xf numFmtId="0" fontId="30" fillId="65" borderId="46"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30" fillId="73" borderId="46" applyNumberFormat="0" applyAlignment="0" applyProtection="0"/>
    <xf numFmtId="0" fontId="27" fillId="67" borderId="39" applyNumberFormat="0" applyAlignment="0" applyProtection="0"/>
    <xf numFmtId="0" fontId="12" fillId="0" borderId="0"/>
    <xf numFmtId="0" fontId="12" fillId="0" borderId="0"/>
    <xf numFmtId="0" fontId="27" fillId="67" borderId="39" applyNumberFormat="0" applyAlignment="0" applyProtection="0"/>
    <xf numFmtId="0" fontId="12" fillId="0" borderId="0"/>
    <xf numFmtId="0" fontId="27" fillId="67" borderId="39" applyNumberFormat="0" applyAlignment="0" applyProtection="0"/>
    <xf numFmtId="0" fontId="4" fillId="69" borderId="45" applyNumberFormat="0" applyFont="0" applyAlignment="0" applyProtection="0"/>
    <xf numFmtId="0" fontId="4" fillId="69" borderId="45" applyNumberFormat="0" applyFont="0" applyAlignment="0" applyProtection="0"/>
    <xf numFmtId="0" fontId="30" fillId="65" borderId="46" applyNumberFormat="0" applyAlignment="0" applyProtection="0"/>
    <xf numFmtId="0" fontId="12" fillId="0" borderId="0"/>
    <xf numFmtId="0" fontId="12" fillId="0" borderId="0"/>
    <xf numFmtId="0" fontId="12" fillId="0" borderId="0"/>
    <xf numFmtId="0" fontId="30" fillId="73" borderId="46" applyNumberFormat="0" applyAlignment="0" applyProtection="0"/>
    <xf numFmtId="0" fontId="12" fillId="0" borderId="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27" fillId="67" borderId="39" applyNumberFormat="0" applyAlignment="0" applyProtection="0"/>
    <xf numFmtId="0" fontId="12" fillId="0" borderId="0"/>
    <xf numFmtId="0" fontId="27" fillId="67" borderId="39" applyNumberFormat="0" applyAlignment="0" applyProtection="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30"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27" fillId="67" borderId="39" applyNumberFormat="0" applyAlignment="0" applyProtection="0"/>
    <xf numFmtId="0" fontId="12" fillId="0" borderId="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0" borderId="0"/>
    <xf numFmtId="0" fontId="27" fillId="67" borderId="39" applyNumberFormat="0" applyAlignment="0" applyProtection="0"/>
    <xf numFmtId="0" fontId="12" fillId="0" borderId="0"/>
    <xf numFmtId="0" fontId="12" fillId="0" borderId="0"/>
    <xf numFmtId="10" fontId="51" fillId="89" borderId="5" applyNumberFormat="0" applyBorder="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12" fillId="0" borderId="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17" borderId="39" applyNumberFormat="0" applyAlignment="0" applyProtection="0"/>
    <xf numFmtId="0" fontId="12" fillId="0" borderId="0"/>
    <xf numFmtId="0" fontId="30" fillId="73" borderId="46"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19" fillId="30"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1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32" fillId="0" borderId="47" applyNumberFormat="0" applyFill="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0" fontId="51" fillId="89" borderId="5" applyNumberFormat="0" applyBorder="0" applyAlignment="0" applyProtection="0"/>
    <xf numFmtId="0" fontId="19" fillId="73"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3"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12" fillId="0" borderId="0"/>
    <xf numFmtId="0" fontId="12" fillId="0" borderId="0"/>
    <xf numFmtId="0" fontId="12" fillId="0" borderId="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30" borderId="46" applyNumberFormat="0" applyAlignment="0" applyProtection="0"/>
    <xf numFmtId="0" fontId="19" fillId="30" borderId="39" applyNumberFormat="0" applyAlignment="0" applyProtection="0"/>
    <xf numFmtId="0" fontId="12" fillId="0" borderId="0"/>
    <xf numFmtId="10" fontId="51" fillId="89" borderId="5" applyNumberFormat="0" applyBorder="0" applyAlignment="0" applyProtection="0"/>
    <xf numFmtId="0" fontId="19" fillId="73"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0" borderId="0"/>
    <xf numFmtId="0" fontId="30" fillId="65"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12" fillId="0" borderId="0"/>
    <xf numFmtId="0" fontId="27" fillId="1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12" fillId="0" borderId="0"/>
    <xf numFmtId="0" fontId="19" fillId="30" borderId="39" applyNumberFormat="0" applyAlignment="0" applyProtection="0"/>
    <xf numFmtId="0" fontId="27" fillId="67" borderId="39" applyNumberFormat="0" applyAlignment="0" applyProtection="0"/>
    <xf numFmtId="0" fontId="12" fillId="0" borderId="0"/>
    <xf numFmtId="0" fontId="12" fillId="0" borderId="0"/>
    <xf numFmtId="0" fontId="27" fillId="67" borderId="39" applyNumberFormat="0" applyAlignment="0" applyProtection="0"/>
    <xf numFmtId="0" fontId="12" fillId="0" borderId="0"/>
    <xf numFmtId="0" fontId="27" fillId="67" borderId="39" applyNumberFormat="0" applyAlignment="0" applyProtection="0"/>
    <xf numFmtId="0" fontId="12" fillId="0" borderId="0"/>
    <xf numFmtId="0" fontId="27" fillId="67" borderId="39" applyNumberFormat="0" applyAlignment="0" applyProtection="0"/>
    <xf numFmtId="0" fontId="12" fillId="0" borderId="0"/>
    <xf numFmtId="0" fontId="32" fillId="0" borderId="47" applyNumberFormat="0" applyFill="0" applyAlignment="0" applyProtection="0"/>
    <xf numFmtId="0" fontId="12" fillId="0" borderId="0"/>
    <xf numFmtId="0" fontId="12" fillId="0" borderId="0"/>
    <xf numFmtId="0" fontId="12" fillId="0" borderId="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19" fillId="65"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32" fillId="0" borderId="47" applyNumberFormat="0" applyFill="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32" fillId="0" borderId="47" applyNumberFormat="0" applyFill="0" applyAlignment="0" applyProtection="0"/>
    <xf numFmtId="0" fontId="19" fillId="65"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27" fillId="17"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0" borderId="0"/>
    <xf numFmtId="0" fontId="12" fillId="57"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27" fillId="67" borderId="39" applyNumberFormat="0" applyAlignment="0" applyProtection="0"/>
    <xf numFmtId="0" fontId="27" fillId="67" borderId="39" applyNumberFormat="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27" fillId="17" borderId="39" applyNumberFormat="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27" fillId="67" borderId="39" applyNumberFormat="0" applyAlignment="0" applyProtection="0"/>
    <xf numFmtId="0" fontId="19" fillId="73" borderId="39" applyNumberFormat="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57" borderId="0" applyNumberFormat="0" applyBorder="0" applyAlignment="0" applyProtection="0"/>
    <xf numFmtId="0" fontId="12" fillId="57" borderId="0"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2" fillId="61" borderId="0" applyNumberFormat="0" applyBorder="0" applyAlignment="0" applyProtection="0"/>
    <xf numFmtId="0" fontId="12" fillId="61" borderId="0" applyNumberFormat="0" applyBorder="0" applyAlignment="0" applyProtection="0"/>
    <xf numFmtId="0" fontId="27" fillId="67" borderId="39" applyNumberFormat="0" applyAlignment="0" applyProtection="0"/>
    <xf numFmtId="0" fontId="12" fillId="42" borderId="0" applyNumberFormat="0" applyBorder="0" applyAlignment="0" applyProtection="0"/>
    <xf numFmtId="0" fontId="12" fillId="42" borderId="0"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27" fillId="67" borderId="39" applyNumberFormat="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9" fillId="65" borderId="39" applyNumberFormat="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27" fillId="17" borderId="39" applyNumberFormat="0" applyAlignment="0" applyProtection="0"/>
    <xf numFmtId="0" fontId="19" fillId="65"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19" fillId="73"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30" fillId="65" borderId="46" applyNumberFormat="0" applyAlignment="0" applyProtection="0"/>
    <xf numFmtId="0" fontId="4" fillId="69" borderId="45" applyNumberFormat="0" applyFont="0" applyAlignment="0" applyProtection="0"/>
    <xf numFmtId="0" fontId="32" fillId="0" borderId="47" applyNumberFormat="0" applyFill="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19" fillId="30"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73"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4" fillId="69" borderId="45" applyNumberFormat="0" applyFont="0" applyAlignment="0" applyProtection="0"/>
    <xf numFmtId="0" fontId="30" fillId="65" borderId="46" applyNumberFormat="0" applyAlignment="0" applyProtection="0"/>
    <xf numFmtId="0" fontId="4" fillId="33" borderId="45" applyNumberFormat="0" applyFont="0" applyAlignment="0" applyProtection="0"/>
    <xf numFmtId="0" fontId="4" fillId="69" borderId="45" applyNumberFormat="0" applyFon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0" fillId="30" borderId="46" applyNumberFormat="0" applyAlignment="0" applyProtection="0"/>
    <xf numFmtId="0" fontId="32" fillId="0" borderId="47" applyNumberFormat="0" applyFill="0" applyAlignment="0" applyProtection="0"/>
    <xf numFmtId="10" fontId="51" fillId="89" borderId="5" applyNumberFormat="0" applyBorder="0" applyAlignment="0" applyProtection="0"/>
    <xf numFmtId="0" fontId="27" fillId="67" borderId="39" applyNumberFormat="0" applyAlignment="0" applyProtection="0"/>
    <xf numFmtId="0" fontId="30" fillId="30" borderId="46" applyNumberFormat="0" applyAlignment="0" applyProtection="0"/>
    <xf numFmtId="0" fontId="27" fillId="1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19" fillId="30"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30" borderId="46" applyNumberFormat="0" applyAlignment="0" applyProtection="0"/>
    <xf numFmtId="0" fontId="32" fillId="0" borderId="47" applyNumberFormat="0" applyFill="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32" fillId="0" borderId="47" applyNumberFormat="0" applyFill="0" applyAlignment="0" applyProtection="0"/>
    <xf numFmtId="0" fontId="19" fillId="65" borderId="39" applyNumberFormat="0" applyAlignment="0" applyProtection="0"/>
    <xf numFmtId="0" fontId="12" fillId="0" borderId="0"/>
    <xf numFmtId="0" fontId="12" fillId="0" borderId="0"/>
    <xf numFmtId="0" fontId="12" fillId="0" borderId="0"/>
    <xf numFmtId="0" fontId="12" fillId="0" borderId="0"/>
    <xf numFmtId="0" fontId="4" fillId="69"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0" fontId="51" fillId="89" borderId="5" applyNumberFormat="0" applyBorder="0" applyAlignment="0" applyProtection="0"/>
    <xf numFmtId="0" fontId="12" fillId="0" borderId="0"/>
    <xf numFmtId="0" fontId="27" fillId="67" borderId="39" applyNumberFormat="0" applyAlignment="0" applyProtection="0"/>
    <xf numFmtId="0" fontId="27" fillId="67" borderId="39" applyNumberFormat="0" applyAlignment="0" applyProtection="0"/>
    <xf numFmtId="0" fontId="12" fillId="0" borderId="0"/>
    <xf numFmtId="0" fontId="4" fillId="69" borderId="45" applyNumberFormat="0" applyFont="0" applyAlignment="0" applyProtection="0"/>
    <xf numFmtId="0" fontId="4" fillId="33" borderId="45" applyNumberFormat="0" applyFont="0" applyAlignment="0" applyProtection="0"/>
    <xf numFmtId="0" fontId="30" fillId="65" borderId="46"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0" borderId="0"/>
    <xf numFmtId="0" fontId="27" fillId="67" borderId="39" applyNumberFormat="0" applyAlignment="0" applyProtection="0"/>
    <xf numFmtId="0" fontId="12" fillId="0" borderId="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30"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12" fillId="0" borderId="0"/>
    <xf numFmtId="0" fontId="27" fillId="17" borderId="39" applyNumberFormat="0" applyAlignment="0" applyProtection="0"/>
    <xf numFmtId="0" fontId="27" fillId="67" borderId="39" applyNumberFormat="0" applyAlignment="0" applyProtection="0"/>
    <xf numFmtId="0" fontId="12" fillId="0" borderId="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32" fillId="0" borderId="47" applyNumberFormat="0" applyFill="0" applyAlignment="0" applyProtection="0"/>
    <xf numFmtId="0" fontId="27" fillId="17" borderId="39" applyNumberFormat="0" applyAlignment="0" applyProtection="0"/>
    <xf numFmtId="0" fontId="30" fillId="73"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12" fillId="0" borderId="0"/>
    <xf numFmtId="0" fontId="4" fillId="33" borderId="45" applyNumberFormat="0" applyFont="0" applyAlignment="0" applyProtection="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12" fillId="0" borderId="0"/>
    <xf numFmtId="10" fontId="51" fillId="89" borderId="5" applyNumberFormat="0" applyBorder="0" applyAlignment="0" applyProtection="0"/>
    <xf numFmtId="0" fontId="30" fillId="30" borderId="46"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30" fillId="65" borderId="46" applyNumberFormat="0" applyAlignment="0" applyProtection="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27" fillId="1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30" fillId="30" borderId="46"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30" fillId="30" borderId="46"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3"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12" fillId="0" borderId="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2" fillId="0" borderId="0"/>
    <xf numFmtId="0" fontId="12" fillId="0" borderId="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12" fillId="0" borderId="0"/>
    <xf numFmtId="0" fontId="12" fillId="0" borderId="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4" fillId="69" borderId="45" applyNumberFormat="0" applyFon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73" borderId="39"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30" fillId="65" borderId="46" applyNumberFormat="0" applyAlignment="0" applyProtection="0"/>
    <xf numFmtId="0" fontId="19" fillId="30"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19" fillId="73"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1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17" borderId="39" applyNumberFormat="0" applyAlignment="0" applyProtection="0"/>
    <xf numFmtId="0" fontId="27" fillId="67" borderId="39" applyNumberFormat="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2" fillId="42"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12" fillId="49" borderId="0" applyNumberFormat="0" applyBorder="0" applyAlignment="0" applyProtection="0"/>
    <xf numFmtId="0" fontId="12" fillId="50" borderId="0" applyNumberFormat="0" applyBorder="0" applyAlignment="0" applyProtection="0"/>
    <xf numFmtId="0" fontId="12" fillId="53" borderId="0" applyNumberFormat="0" applyBorder="0" applyAlignment="0" applyProtection="0"/>
    <xf numFmtId="0" fontId="12" fillId="54" borderId="0" applyNumberFormat="0" applyBorder="0" applyAlignment="0" applyProtection="0"/>
    <xf numFmtId="0" fontId="19" fillId="30" borderId="39" applyNumberFormat="0" applyAlignment="0" applyProtection="0"/>
    <xf numFmtId="0" fontId="30" fillId="73" borderId="46" applyNumberFormat="0" applyAlignment="0" applyProtection="0"/>
    <xf numFmtId="0" fontId="12" fillId="62" borderId="0" applyNumberFormat="0" applyBorder="0" applyAlignment="0" applyProtection="0"/>
    <xf numFmtId="0" fontId="4" fillId="69" borderId="45" applyNumberFormat="0" applyFont="0" applyAlignment="0" applyProtection="0"/>
    <xf numFmtId="0" fontId="12" fillId="0" borderId="0"/>
    <xf numFmtId="0" fontId="12" fillId="39" borderId="62" applyNumberFormat="0" applyFont="0" applyAlignment="0" applyProtection="0"/>
    <xf numFmtId="0" fontId="12" fillId="57"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30" fillId="73" borderId="46" applyNumberFormat="0" applyAlignment="0" applyProtection="0"/>
    <xf numFmtId="0" fontId="12" fillId="0" borderId="0"/>
    <xf numFmtId="0" fontId="12" fillId="57"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9" fillId="65" borderId="39" applyNumberFormat="0" applyAlignment="0" applyProtection="0"/>
    <xf numFmtId="0" fontId="19" fillId="65"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65" borderId="46"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73" borderId="46" applyNumberFormat="0" applyAlignment="0" applyProtection="0"/>
    <xf numFmtId="0" fontId="19" fillId="65" borderId="39" applyNumberFormat="0" applyAlignment="0" applyProtection="0"/>
    <xf numFmtId="0" fontId="19" fillId="65"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65" borderId="46"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2" fillId="0" borderId="0"/>
    <xf numFmtId="0" fontId="12" fillId="39" borderId="62" applyNumberFormat="0" applyFont="0" applyAlignment="0" applyProtection="0"/>
    <xf numFmtId="0" fontId="12" fillId="42"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12" fillId="49" borderId="0" applyNumberFormat="0" applyBorder="0" applyAlignment="0" applyProtection="0"/>
    <xf numFmtId="0" fontId="12" fillId="50" borderId="0" applyNumberFormat="0" applyBorder="0" applyAlignment="0" applyProtection="0"/>
    <xf numFmtId="0" fontId="12" fillId="53" borderId="0" applyNumberFormat="0" applyBorder="0" applyAlignment="0" applyProtection="0"/>
    <xf numFmtId="0" fontId="12" fillId="54" borderId="0" applyNumberFormat="0" applyBorder="0" applyAlignment="0" applyProtection="0"/>
    <xf numFmtId="0" fontId="12" fillId="57"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12" fillId="62" borderId="0"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30"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65" borderId="39" applyNumberFormat="0" applyAlignment="0" applyProtection="0"/>
    <xf numFmtId="0" fontId="19" fillId="65" borderId="39" applyNumberFormat="0" applyAlignment="0" applyProtection="0"/>
    <xf numFmtId="0" fontId="30" fillId="73" borderId="46" applyNumberFormat="0" applyAlignment="0" applyProtection="0"/>
    <xf numFmtId="0" fontId="30" fillId="65" borderId="46"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19" fillId="65"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1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19" fillId="65"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19" fillId="65" borderId="39" applyNumberFormat="0" applyAlignment="0" applyProtection="0"/>
    <xf numFmtId="0" fontId="19" fillId="30" borderId="39" applyNumberFormat="0" applyAlignment="0" applyProtection="0"/>
    <xf numFmtId="0" fontId="4" fillId="69"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65" borderId="39" applyNumberFormat="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0" fillId="73" borderId="46" applyNumberFormat="0" applyAlignment="0" applyProtection="0"/>
    <xf numFmtId="0" fontId="30" fillId="65" borderId="46" applyNumberFormat="0" applyAlignment="0" applyProtection="0"/>
    <xf numFmtId="0" fontId="27" fillId="67" borderId="39" applyNumberFormat="0" applyAlignment="0" applyProtection="0"/>
    <xf numFmtId="0" fontId="19" fillId="73"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30" fillId="30"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4" fillId="33" borderId="45" applyNumberFormat="0" applyFont="0" applyAlignment="0" applyProtection="0"/>
    <xf numFmtId="0" fontId="30" fillId="65" borderId="46"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65" borderId="39" applyNumberFormat="0" applyAlignment="0" applyProtection="0"/>
    <xf numFmtId="0" fontId="30" fillId="73" borderId="46" applyNumberFormat="0" applyAlignment="0" applyProtection="0"/>
    <xf numFmtId="0" fontId="4" fillId="33" borderId="45" applyNumberFormat="0" applyFont="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17"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4" fillId="69" borderId="45" applyNumberFormat="0" applyFont="0" applyAlignment="0" applyProtection="0"/>
    <xf numFmtId="0" fontId="27" fillId="1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4" fillId="33" borderId="45" applyNumberFormat="0" applyFon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4" fillId="33" borderId="45" applyNumberFormat="0" applyFont="0" applyAlignment="0" applyProtection="0"/>
    <xf numFmtId="0" fontId="32" fillId="0" borderId="47" applyNumberFormat="0" applyFill="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65" borderId="39" applyNumberFormat="0" applyAlignment="0" applyProtection="0"/>
    <xf numFmtId="0" fontId="19" fillId="65"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30" fillId="30" borderId="46" applyNumberFormat="0" applyAlignment="0" applyProtection="0"/>
    <xf numFmtId="0" fontId="27" fillId="67" borderId="39" applyNumberFormat="0" applyAlignment="0" applyProtection="0"/>
    <xf numFmtId="0" fontId="30" fillId="65" borderId="46"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30" fillId="65" borderId="46" applyNumberFormat="0" applyAlignment="0" applyProtection="0"/>
    <xf numFmtId="0" fontId="27" fillId="17" borderId="39" applyNumberFormat="0" applyAlignment="0" applyProtection="0"/>
    <xf numFmtId="10" fontId="51" fillId="89" borderId="5" applyNumberFormat="0" applyBorder="0" applyAlignment="0" applyProtection="0"/>
    <xf numFmtId="0" fontId="19" fillId="65"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30" borderId="46"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17" borderId="39"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65" borderId="46" applyNumberFormat="0" applyAlignment="0" applyProtection="0"/>
    <xf numFmtId="0" fontId="30" fillId="73" borderId="46"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0" fontId="30" fillId="30" borderId="46" applyNumberFormat="0" applyAlignment="0" applyProtection="0"/>
    <xf numFmtId="0" fontId="4" fillId="69" borderId="45" applyNumberFormat="0" applyFont="0" applyAlignment="0" applyProtection="0"/>
    <xf numFmtId="0" fontId="30" fillId="73"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30"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0" fillId="30"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19" fillId="73" borderId="39" applyNumberFormat="0" applyAlignment="0" applyProtection="0"/>
    <xf numFmtId="0" fontId="19" fillId="65"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27" fillId="67" borderId="39" applyNumberFormat="0" applyAlignment="0" applyProtection="0"/>
    <xf numFmtId="0" fontId="30" fillId="30"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65"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19" fillId="73" borderId="39" applyNumberFormat="0" applyAlignment="0" applyProtection="0"/>
    <xf numFmtId="0" fontId="30" fillId="73"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30" fillId="73" borderId="46" applyNumberFormat="0" applyAlignment="0" applyProtection="0"/>
    <xf numFmtId="0" fontId="30" fillId="30" borderId="46" applyNumberFormat="0" applyAlignment="0" applyProtection="0"/>
    <xf numFmtId="0" fontId="30" fillId="65" borderId="46" applyNumberFormat="0" applyAlignment="0" applyProtection="0"/>
    <xf numFmtId="0" fontId="4" fillId="33" borderId="45" applyNumberFormat="0" applyFont="0" applyAlignment="0" applyProtection="0"/>
    <xf numFmtId="10" fontId="51" fillId="89" borderId="5" applyNumberFormat="0" applyBorder="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32" fillId="0" borderId="47" applyNumberFormat="0" applyFill="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0" fontId="30" fillId="73" borderId="46" applyNumberFormat="0" applyAlignment="0" applyProtection="0"/>
    <xf numFmtId="0" fontId="30" fillId="65" borderId="46" applyNumberFormat="0" applyAlignment="0" applyProtection="0"/>
    <xf numFmtId="0" fontId="4" fillId="33" borderId="45" applyNumberFormat="0" applyFont="0" applyAlignment="0" applyProtection="0"/>
    <xf numFmtId="0" fontId="4" fillId="33" borderId="45" applyNumberFormat="0" applyFont="0" applyAlignment="0" applyProtection="0"/>
    <xf numFmtId="0" fontId="27" fillId="1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65" borderId="46" applyNumberFormat="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19" fillId="30" borderId="39" applyNumberFormat="0" applyAlignment="0" applyProtection="0"/>
    <xf numFmtId="0" fontId="30" fillId="65" borderId="46"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33"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30" fillId="30" borderId="46"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4" fillId="69"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19" fillId="30"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65"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1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19" fillId="65"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0" fillId="30" borderId="46" applyNumberFormat="0" applyAlignment="0" applyProtection="0"/>
    <xf numFmtId="0" fontId="30" fillId="73" borderId="46" applyNumberFormat="0" applyAlignment="0" applyProtection="0"/>
    <xf numFmtId="0" fontId="4" fillId="69" borderId="45" applyNumberFormat="0" applyFon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73"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30" fillId="30"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2" fillId="0" borderId="47" applyNumberFormat="0" applyFill="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69" borderId="45" applyNumberFormat="0" applyFont="0" applyAlignment="0" applyProtection="0"/>
    <xf numFmtId="0" fontId="32" fillId="0" borderId="47" applyNumberFormat="0" applyFill="0" applyAlignment="0" applyProtection="0"/>
    <xf numFmtId="0" fontId="27" fillId="17" borderId="39" applyNumberFormat="0" applyAlignment="0" applyProtection="0"/>
    <xf numFmtId="10" fontId="51" fillId="89" borderId="5" applyNumberFormat="0" applyBorder="0" applyAlignment="0" applyProtection="0"/>
    <xf numFmtId="0" fontId="19" fillId="65"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30" fillId="65"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0" fillId="73" borderId="46" applyNumberFormat="0" applyAlignment="0" applyProtection="0"/>
    <xf numFmtId="0" fontId="30" fillId="65" borderId="46" applyNumberFormat="0" applyAlignment="0" applyProtection="0"/>
    <xf numFmtId="0" fontId="30" fillId="65"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27" fillId="67" borderId="39" applyNumberFormat="0" applyAlignment="0" applyProtection="0"/>
    <xf numFmtId="0" fontId="19" fillId="73" borderId="39" applyNumberFormat="0" applyAlignment="0" applyProtection="0"/>
    <xf numFmtId="0" fontId="19" fillId="73"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30" fillId="65" borderId="46"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33" borderId="45" applyNumberFormat="0" applyFont="0" applyAlignment="0" applyProtection="0"/>
    <xf numFmtId="0" fontId="19" fillId="73" borderId="39" applyNumberFormat="0" applyAlignment="0" applyProtection="0"/>
    <xf numFmtId="0" fontId="27" fillId="67" borderId="39" applyNumberFormat="0" applyAlignment="0" applyProtection="0"/>
    <xf numFmtId="0" fontId="19" fillId="73"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73" borderId="46" applyNumberFormat="0" applyAlignment="0" applyProtection="0"/>
    <xf numFmtId="0" fontId="4" fillId="69" borderId="45" applyNumberFormat="0" applyFont="0" applyAlignment="0" applyProtection="0"/>
    <xf numFmtId="0" fontId="30" fillId="65"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73" borderId="39" applyNumberFormat="0" applyAlignment="0" applyProtection="0"/>
    <xf numFmtId="0" fontId="19" fillId="65" borderId="39" applyNumberFormat="0" applyAlignment="0" applyProtection="0"/>
    <xf numFmtId="0" fontId="30" fillId="73" borderId="46"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33" borderId="45" applyNumberFormat="0" applyFont="0" applyAlignment="0" applyProtection="0"/>
    <xf numFmtId="0" fontId="27" fillId="17"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30" fillId="73" borderId="46" applyNumberFormat="0" applyAlignment="0" applyProtection="0"/>
    <xf numFmtId="0" fontId="27" fillId="67" borderId="39" applyNumberFormat="0" applyAlignment="0" applyProtection="0"/>
    <xf numFmtId="0" fontId="4" fillId="69" borderId="45" applyNumberFormat="0" applyFont="0" applyAlignment="0" applyProtection="0"/>
    <xf numFmtId="10" fontId="51" fillId="89" borderId="5" applyNumberFormat="0" applyBorder="0" applyAlignment="0" applyProtection="0"/>
    <xf numFmtId="10" fontId="51" fillId="89" borderId="5" applyNumberFormat="0" applyBorder="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27" fillId="17" borderId="39" applyNumberFormat="0" applyAlignment="0" applyProtection="0"/>
    <xf numFmtId="0" fontId="4" fillId="69" borderId="45" applyNumberFormat="0" applyFon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30" fillId="65" borderId="46"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30" fillId="30" borderId="46" applyNumberFormat="0" applyAlignment="0" applyProtection="0"/>
    <xf numFmtId="0" fontId="27" fillId="67"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27" fillId="67" borderId="39" applyNumberFormat="0" applyAlignment="0" applyProtection="0"/>
    <xf numFmtId="0" fontId="30" fillId="30"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30" fillId="65" borderId="46" applyNumberFormat="0" applyAlignment="0" applyProtection="0"/>
    <xf numFmtId="0" fontId="27" fillId="17" borderId="39" applyNumberFormat="0" applyAlignment="0" applyProtection="0"/>
    <xf numFmtId="10" fontId="51" fillId="89" borderId="5" applyNumberFormat="0" applyBorder="0" applyAlignment="0" applyProtection="0"/>
    <xf numFmtId="0" fontId="19" fillId="65"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32" fillId="0" borderId="47" applyNumberFormat="0" applyFill="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30" fillId="73"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19" fillId="73"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32" fillId="0" borderId="47" applyNumberFormat="0" applyFill="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10" fontId="51" fillId="89" borderId="5" applyNumberFormat="0" applyBorder="0" applyAlignment="0" applyProtection="0"/>
    <xf numFmtId="0" fontId="4" fillId="33" borderId="45" applyNumberFormat="0" applyFont="0" applyAlignment="0" applyProtection="0"/>
    <xf numFmtId="0" fontId="30" fillId="65" borderId="46" applyNumberFormat="0" applyAlignment="0" applyProtection="0"/>
    <xf numFmtId="0" fontId="19" fillId="30" borderId="39" applyNumberFormat="0" applyAlignment="0" applyProtection="0"/>
    <xf numFmtId="0" fontId="27" fillId="17" borderId="39" applyNumberFormat="0" applyAlignment="0" applyProtection="0"/>
    <xf numFmtId="0" fontId="19" fillId="65"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2" fillId="0" borderId="47" applyNumberFormat="0" applyFill="0" applyAlignment="0" applyProtection="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30" fillId="30" borderId="46" applyNumberFormat="0" applyAlignment="0" applyProtection="0"/>
    <xf numFmtId="0" fontId="27" fillId="67" borderId="39" applyNumberFormat="0" applyAlignment="0" applyProtection="0"/>
    <xf numFmtId="0" fontId="30" fillId="65"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4" fillId="33"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19" fillId="30" borderId="39" applyNumberFormat="0" applyAlignment="0" applyProtection="0"/>
    <xf numFmtId="0" fontId="30" fillId="30"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32" fillId="0" borderId="47" applyNumberFormat="0" applyFill="0" applyAlignment="0" applyProtection="0"/>
    <xf numFmtId="0" fontId="27" fillId="1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30" fillId="65" borderId="46" applyNumberFormat="0" applyAlignment="0" applyProtection="0"/>
    <xf numFmtId="0" fontId="27" fillId="17" borderId="39" applyNumberFormat="0" applyAlignment="0" applyProtection="0"/>
    <xf numFmtId="0" fontId="19" fillId="30"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10" fontId="51" fillId="89" borderId="5" applyNumberFormat="0" applyBorder="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19" fillId="65" borderId="39" applyNumberFormat="0" applyAlignment="0" applyProtection="0"/>
    <xf numFmtId="0" fontId="27" fillId="1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19" fillId="30" borderId="39" applyNumberFormat="0" applyAlignment="0" applyProtection="0"/>
    <xf numFmtId="0" fontId="30" fillId="65" borderId="46"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10" fontId="51" fillId="89" borderId="5" applyNumberFormat="0" applyBorder="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30" borderId="46"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30" fillId="65"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19" fillId="65" borderId="39"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4" fillId="69" borderId="45" applyNumberFormat="0" applyFon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30" borderId="39" applyNumberFormat="0" applyAlignment="0" applyProtection="0"/>
    <xf numFmtId="0" fontId="32" fillId="0" borderId="47" applyNumberFormat="0" applyFill="0" applyAlignment="0" applyProtection="0"/>
    <xf numFmtId="0" fontId="27" fillId="67"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10" fontId="51" fillId="89" borderId="5" applyNumberFormat="0" applyBorder="0" applyAlignment="0" applyProtection="0"/>
    <xf numFmtId="0" fontId="32" fillId="0" borderId="47" applyNumberFormat="0" applyFill="0" applyAlignment="0" applyProtection="0"/>
    <xf numFmtId="0" fontId="27" fillId="67" borderId="39" applyNumberFormat="0" applyAlignment="0" applyProtection="0"/>
    <xf numFmtId="0" fontId="30" fillId="65"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73" borderId="46" applyNumberFormat="0" applyAlignment="0" applyProtection="0"/>
    <xf numFmtId="0" fontId="19" fillId="65" borderId="39" applyNumberFormat="0" applyAlignment="0" applyProtection="0"/>
    <xf numFmtId="0" fontId="19" fillId="65"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65" borderId="46"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2" fillId="0" borderId="0"/>
    <xf numFmtId="0" fontId="12" fillId="57"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0" borderId="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57"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46"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58"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2" fillId="0" borderId="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33"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16" fillId="69" borderId="45" applyNumberFormat="0" applyFont="0" applyAlignment="0" applyProtection="0"/>
    <xf numFmtId="0" fontId="16" fillId="69" borderId="45" applyNumberFormat="0" applyFont="0" applyAlignment="0" applyProtection="0"/>
    <xf numFmtId="0" fontId="12" fillId="0" borderId="0"/>
    <xf numFmtId="0" fontId="12" fillId="0" borderId="0"/>
    <xf numFmtId="0" fontId="12" fillId="39" borderId="62" applyNumberFormat="0" applyFont="0" applyAlignment="0" applyProtection="0"/>
    <xf numFmtId="0" fontId="12" fillId="42"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12" fillId="49" borderId="0" applyNumberFormat="0" applyBorder="0" applyAlignment="0" applyProtection="0"/>
    <xf numFmtId="0" fontId="12" fillId="50" borderId="0" applyNumberFormat="0" applyBorder="0" applyAlignment="0" applyProtection="0"/>
    <xf numFmtId="0" fontId="12" fillId="53" borderId="0" applyNumberFormat="0" applyBorder="0" applyAlignment="0" applyProtection="0"/>
    <xf numFmtId="0" fontId="12" fillId="54" borderId="0" applyNumberFormat="0" applyBorder="0" applyAlignment="0" applyProtection="0"/>
    <xf numFmtId="0" fontId="12" fillId="57"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57"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46"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58"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90"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45" borderId="0" applyNumberFormat="0" applyBorder="0" applyAlignment="0" applyProtection="0"/>
    <xf numFmtId="0" fontId="12" fillId="45"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0" borderId="0"/>
    <xf numFmtId="0" fontId="12" fillId="62" borderId="0" applyNumberFormat="0" applyBorder="0" applyAlignment="0" applyProtection="0"/>
    <xf numFmtId="0" fontId="12" fillId="62" borderId="0" applyNumberFormat="0" applyBorder="0" applyAlignment="0" applyProtection="0"/>
    <xf numFmtId="0" fontId="12" fillId="0" borderId="0"/>
    <xf numFmtId="0" fontId="19" fillId="65"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0" fontId="51" fillId="89" borderId="5" applyNumberFormat="0" applyBorder="0" applyAlignment="0" applyProtection="0"/>
    <xf numFmtId="0" fontId="30" fillId="30" borderId="46"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65"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2" fillId="0" borderId="47" applyNumberFormat="0" applyFill="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65"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19" fillId="65" borderId="39" applyNumberFormat="0" applyAlignment="0" applyProtection="0"/>
    <xf numFmtId="0" fontId="27" fillId="67" borderId="39" applyNumberFormat="0" applyAlignment="0" applyProtection="0"/>
    <xf numFmtId="0" fontId="30" fillId="65" borderId="46" applyNumberFormat="0" applyAlignment="0" applyProtection="0"/>
    <xf numFmtId="0" fontId="32" fillId="0" borderId="47" applyNumberFormat="0" applyFill="0" applyAlignment="0" applyProtection="0"/>
    <xf numFmtId="10" fontId="51" fillId="89" borderId="5" applyNumberFormat="0" applyBorder="0" applyAlignment="0" applyProtection="0"/>
    <xf numFmtId="0" fontId="30" fillId="73" borderId="46" applyNumberFormat="0" applyAlignment="0" applyProtection="0"/>
    <xf numFmtId="0" fontId="27" fillId="1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4" fillId="69" borderId="45" applyNumberFormat="0" applyFont="0" applyAlignment="0" applyProtection="0"/>
    <xf numFmtId="0" fontId="19" fillId="30"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0" fillId="73"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65" borderId="46" applyNumberFormat="0" applyAlignment="0" applyProtection="0"/>
    <xf numFmtId="0" fontId="30" fillId="65" borderId="46" applyNumberFormat="0" applyAlignment="0" applyProtection="0"/>
    <xf numFmtId="0" fontId="4" fillId="33"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65" borderId="39" applyNumberFormat="0" applyAlignment="0" applyProtection="0"/>
    <xf numFmtId="0" fontId="19" fillId="65"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4" fillId="69" borderId="45" applyNumberFormat="0" applyFont="0" applyAlignment="0" applyProtection="0"/>
    <xf numFmtId="10" fontId="51" fillId="89" borderId="5" applyNumberFormat="0" applyBorder="0" applyAlignment="0" applyProtection="0"/>
    <xf numFmtId="10" fontId="51" fillId="89" borderId="5" applyNumberFormat="0" applyBorder="0" applyAlignment="0" applyProtection="0"/>
    <xf numFmtId="0" fontId="4" fillId="69" borderId="45" applyNumberFormat="0" applyFont="0" applyAlignment="0" applyProtection="0"/>
    <xf numFmtId="0" fontId="30" fillId="30"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30" borderId="46" applyNumberFormat="0" applyAlignment="0" applyProtection="0"/>
    <xf numFmtId="0" fontId="19" fillId="73"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69" borderId="45" applyNumberFormat="0" applyFont="0" applyAlignment="0" applyProtection="0"/>
    <xf numFmtId="0" fontId="19" fillId="30"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30" borderId="46" applyNumberFormat="0" applyAlignment="0" applyProtection="0"/>
    <xf numFmtId="0" fontId="4" fillId="33" borderId="45" applyNumberFormat="0" applyFont="0" applyAlignment="0" applyProtection="0"/>
    <xf numFmtId="0" fontId="32" fillId="0" borderId="47" applyNumberFormat="0" applyFill="0" applyAlignment="0" applyProtection="0"/>
    <xf numFmtId="0" fontId="27" fillId="67" borderId="39" applyNumberFormat="0" applyAlignment="0" applyProtection="0"/>
    <xf numFmtId="0" fontId="32" fillId="0" borderId="47" applyNumberFormat="0" applyFill="0" applyAlignment="0" applyProtection="0"/>
    <xf numFmtId="0" fontId="19" fillId="73"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4" fillId="33" borderId="45" applyNumberFormat="0" applyFon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30" fillId="30" borderId="46" applyNumberFormat="0" applyAlignment="0" applyProtection="0"/>
    <xf numFmtId="0" fontId="19" fillId="65" borderId="39" applyNumberFormat="0" applyAlignment="0" applyProtection="0"/>
    <xf numFmtId="0" fontId="30" fillId="73"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19" fillId="30" borderId="39" applyNumberFormat="0" applyAlignment="0" applyProtection="0"/>
    <xf numFmtId="0" fontId="4" fillId="33" borderId="45" applyNumberFormat="0" applyFont="0" applyAlignment="0" applyProtection="0"/>
    <xf numFmtId="0" fontId="30" fillId="73" borderId="46" applyNumberFormat="0" applyAlignment="0" applyProtection="0"/>
    <xf numFmtId="0" fontId="19" fillId="65"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2" fillId="0" borderId="47" applyNumberFormat="0" applyFill="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30" fillId="30"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4" fillId="33" borderId="45" applyNumberFormat="0" applyFont="0" applyAlignment="0" applyProtection="0"/>
    <xf numFmtId="10" fontId="51" fillId="89" borderId="5" applyNumberFormat="0" applyBorder="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19" fillId="73"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30" fillId="30" borderId="46" applyNumberFormat="0" applyAlignment="0" applyProtection="0"/>
    <xf numFmtId="0" fontId="32" fillId="0" borderId="47" applyNumberFormat="0" applyFill="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19" fillId="65"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30" fillId="30" borderId="46" applyNumberFormat="0" applyAlignment="0" applyProtection="0"/>
    <xf numFmtId="0" fontId="19" fillId="73" borderId="39"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65" borderId="39" applyNumberFormat="0" applyAlignment="0" applyProtection="0"/>
    <xf numFmtId="0" fontId="4" fillId="69" borderId="45" applyNumberFormat="0" applyFont="0" applyAlignment="0" applyProtection="0"/>
    <xf numFmtId="10" fontId="51" fillId="89" borderId="5" applyNumberFormat="0" applyBorder="0" applyAlignment="0" applyProtection="0"/>
    <xf numFmtId="10" fontId="51" fillId="89" borderId="5" applyNumberFormat="0" applyBorder="0" applyAlignment="0" applyProtection="0"/>
    <xf numFmtId="0" fontId="30" fillId="73"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19" fillId="30"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0" fillId="65" borderId="46" applyNumberFormat="0" applyAlignment="0" applyProtection="0"/>
    <xf numFmtId="0" fontId="32" fillId="0" borderId="47" applyNumberFormat="0" applyFill="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27" fillId="1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30" fillId="30"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19" fillId="30" borderId="39" applyNumberFormat="0" applyAlignment="0" applyProtection="0"/>
    <xf numFmtId="0" fontId="30" fillId="73" borderId="46" applyNumberFormat="0" applyAlignment="0" applyProtection="0"/>
    <xf numFmtId="0" fontId="27" fillId="67"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67" borderId="39" applyNumberFormat="0" applyAlignment="0" applyProtection="0"/>
    <xf numFmtId="0" fontId="30" fillId="65" borderId="46" applyNumberFormat="0" applyAlignment="0" applyProtection="0"/>
    <xf numFmtId="0" fontId="32" fillId="0" borderId="47" applyNumberFormat="0" applyFill="0" applyAlignment="0" applyProtection="0"/>
    <xf numFmtId="0" fontId="27" fillId="17" borderId="39" applyNumberFormat="0" applyAlignment="0" applyProtection="0"/>
    <xf numFmtId="0" fontId="19" fillId="30" borderId="39" applyNumberFormat="0" applyAlignment="0" applyProtection="0"/>
    <xf numFmtId="0" fontId="30" fillId="65" borderId="46" applyNumberFormat="0" applyAlignment="0" applyProtection="0"/>
    <xf numFmtId="0" fontId="19" fillId="65" borderId="39" applyNumberFormat="0" applyAlignment="0" applyProtection="0"/>
    <xf numFmtId="0" fontId="19" fillId="73"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1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4" fillId="69" borderId="45" applyNumberFormat="0" applyFont="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30"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0" fillId="30" borderId="46" applyNumberFormat="0" applyAlignment="0" applyProtection="0"/>
    <xf numFmtId="0" fontId="32" fillId="0" borderId="47" applyNumberFormat="0" applyFill="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65"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10" fontId="51" fillId="89" borderId="5" applyNumberFormat="0" applyBorder="0" applyAlignment="0" applyProtection="0"/>
    <xf numFmtId="0" fontId="30" fillId="73"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2" fillId="0" borderId="47" applyNumberFormat="0" applyFill="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19" fillId="30" borderId="39" applyNumberFormat="0" applyAlignment="0" applyProtection="0"/>
    <xf numFmtId="0" fontId="19" fillId="65"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30" fillId="30" borderId="46" applyNumberFormat="0" applyAlignment="0" applyProtection="0"/>
    <xf numFmtId="0" fontId="30" fillId="30" borderId="46" applyNumberFormat="0" applyAlignment="0" applyProtection="0"/>
    <xf numFmtId="0" fontId="27" fillId="17" borderId="39" applyNumberFormat="0" applyAlignment="0" applyProtection="0"/>
    <xf numFmtId="0" fontId="19" fillId="65"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30"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19" fillId="30" borderId="39" applyNumberFormat="0" applyAlignment="0" applyProtection="0"/>
    <xf numFmtId="0" fontId="30" fillId="30" borderId="46"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2" fillId="0" borderId="47" applyNumberFormat="0" applyFill="0" applyAlignment="0" applyProtection="0"/>
    <xf numFmtId="0" fontId="19" fillId="73" borderId="39" applyNumberFormat="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2" fillId="0" borderId="47" applyNumberFormat="0" applyFill="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30" fillId="73" borderId="46" applyNumberFormat="0" applyAlignment="0" applyProtection="0"/>
    <xf numFmtId="0" fontId="32" fillId="0" borderId="47" applyNumberFormat="0" applyFill="0" applyAlignment="0" applyProtection="0"/>
    <xf numFmtId="10" fontId="51" fillId="89" borderId="5" applyNumberFormat="0" applyBorder="0" applyAlignment="0" applyProtection="0"/>
    <xf numFmtId="0" fontId="30" fillId="30" borderId="46" applyNumberFormat="0" applyAlignment="0" applyProtection="0"/>
    <xf numFmtId="0" fontId="4" fillId="69" borderId="45" applyNumberFormat="0" applyFont="0" applyAlignment="0" applyProtection="0"/>
    <xf numFmtId="0" fontId="4" fillId="33" borderId="45" applyNumberFormat="0" applyFont="0" applyAlignment="0" applyProtection="0"/>
    <xf numFmtId="10" fontId="51" fillId="89" borderId="5" applyNumberFormat="0" applyBorder="0" applyAlignment="0" applyProtection="0"/>
    <xf numFmtId="10" fontId="51" fillId="89" borderId="5" applyNumberFormat="0" applyBorder="0" applyAlignment="0" applyProtection="0"/>
    <xf numFmtId="0" fontId="4" fillId="33" borderId="45" applyNumberFormat="0" applyFont="0" applyAlignment="0" applyProtection="0"/>
    <xf numFmtId="0" fontId="30" fillId="73"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32" fillId="0" borderId="47" applyNumberFormat="0" applyFill="0" applyAlignment="0" applyProtection="0"/>
    <xf numFmtId="0" fontId="4" fillId="69" borderId="45" applyNumberFormat="0" applyFont="0" applyAlignment="0" applyProtection="0"/>
    <xf numFmtId="0" fontId="27" fillId="67" borderId="39" applyNumberFormat="0" applyAlignment="0" applyProtection="0"/>
    <xf numFmtId="0" fontId="4" fillId="69" borderId="45" applyNumberFormat="0" applyFont="0" applyAlignment="0" applyProtection="0"/>
    <xf numFmtId="0" fontId="19" fillId="65"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19" fillId="73"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19" fillId="73"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30" fillId="30" borderId="46" applyNumberFormat="0" applyAlignment="0" applyProtection="0"/>
    <xf numFmtId="0" fontId="19" fillId="30"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73" borderId="46" applyNumberFormat="0" applyAlignment="0" applyProtection="0"/>
    <xf numFmtId="0" fontId="30" fillId="65" borderId="46" applyNumberFormat="0" applyAlignment="0" applyProtection="0"/>
    <xf numFmtId="0" fontId="4" fillId="69" borderId="45" applyNumberFormat="0" applyFont="0" applyAlignment="0" applyProtection="0"/>
    <xf numFmtId="0" fontId="4" fillId="69" borderId="45" applyNumberFormat="0" applyFon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30" fillId="30" borderId="46" applyNumberFormat="0" applyAlignment="0" applyProtection="0"/>
    <xf numFmtId="0" fontId="19" fillId="65" borderId="39"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19" fillId="65" borderId="39" applyNumberFormat="0" applyAlignment="0" applyProtection="0"/>
    <xf numFmtId="0" fontId="4" fillId="69" borderId="45" applyNumberFormat="0" applyFont="0" applyAlignment="0" applyProtection="0"/>
    <xf numFmtId="0" fontId="30" fillId="65" borderId="46" applyNumberFormat="0" applyAlignment="0" applyProtection="0"/>
    <xf numFmtId="0" fontId="30" fillId="73"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19" fillId="65" borderId="39" applyNumberFormat="0" applyAlignment="0" applyProtection="0"/>
    <xf numFmtId="0" fontId="19" fillId="65"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65" borderId="46"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19" fillId="73"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32" fillId="0" borderId="47" applyNumberFormat="0" applyFill="0" applyAlignment="0" applyProtection="0"/>
    <xf numFmtId="0" fontId="19" fillId="30"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30" fillId="65" borderId="46" applyNumberFormat="0" applyAlignment="0" applyProtection="0"/>
    <xf numFmtId="0" fontId="32" fillId="0" borderId="47" applyNumberFormat="0" applyFill="0" applyAlignment="0" applyProtection="0"/>
    <xf numFmtId="0" fontId="30" fillId="30"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65" borderId="39" applyNumberFormat="0" applyAlignment="0" applyProtection="0"/>
    <xf numFmtId="0" fontId="4" fillId="33" borderId="45" applyNumberFormat="0" applyFont="0" applyAlignment="0" applyProtection="0"/>
    <xf numFmtId="10" fontId="51" fillId="89" borderId="5" applyNumberFormat="0" applyBorder="0" applyAlignment="0" applyProtection="0"/>
    <xf numFmtId="10" fontId="51" fillId="89" borderId="5" applyNumberFormat="0" applyBorder="0" applyAlignment="0" applyProtection="0"/>
    <xf numFmtId="0" fontId="30" fillId="73" borderId="46" applyNumberFormat="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65"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65" borderId="46"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1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27" fillId="17"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30" fillId="30" borderId="46" applyNumberFormat="0" applyAlignment="0" applyProtection="0"/>
    <xf numFmtId="0" fontId="27" fillId="17" borderId="39" applyNumberFormat="0" applyAlignment="0" applyProtection="0"/>
    <xf numFmtId="0" fontId="30" fillId="73" borderId="46" applyNumberFormat="0" applyAlignment="0" applyProtection="0"/>
    <xf numFmtId="0" fontId="32" fillId="0" borderId="47" applyNumberFormat="0" applyFill="0" applyAlignment="0" applyProtection="0"/>
    <xf numFmtId="0" fontId="27" fillId="67" borderId="39" applyNumberFormat="0" applyAlignment="0" applyProtection="0"/>
    <xf numFmtId="0" fontId="4" fillId="69" borderId="45" applyNumberFormat="0" applyFont="0" applyAlignment="0" applyProtection="0"/>
    <xf numFmtId="0" fontId="19" fillId="73" borderId="39" applyNumberFormat="0" applyAlignment="0" applyProtection="0"/>
    <xf numFmtId="0" fontId="27" fillId="67" borderId="39" applyNumberFormat="0" applyAlignment="0" applyProtection="0"/>
    <xf numFmtId="0" fontId="30" fillId="73"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19" fillId="30"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30" fillId="73" borderId="46" applyNumberFormat="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17" borderId="39" applyNumberFormat="0" applyAlignment="0" applyProtection="0"/>
    <xf numFmtId="0" fontId="32" fillId="0" borderId="47" applyNumberFormat="0" applyFill="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0" fillId="65" borderId="46" applyNumberFormat="0" applyAlignment="0" applyProtection="0"/>
    <xf numFmtId="0" fontId="32" fillId="0" borderId="47" applyNumberFormat="0" applyFill="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30" fillId="30" borderId="46" applyNumberFormat="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19" fillId="30" borderId="39" applyNumberFormat="0" applyAlignment="0" applyProtection="0"/>
    <xf numFmtId="0" fontId="30" fillId="65"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32" fillId="0" borderId="47" applyNumberFormat="0" applyFill="0" applyAlignment="0" applyProtection="0"/>
    <xf numFmtId="0" fontId="30" fillId="30" borderId="46" applyNumberFormat="0" applyAlignment="0" applyProtection="0"/>
    <xf numFmtId="0" fontId="30" fillId="73"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69" borderId="45" applyNumberFormat="0" applyFon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65" borderId="46" applyNumberFormat="0" applyAlignment="0" applyProtection="0"/>
    <xf numFmtId="0" fontId="19" fillId="30" borderId="39" applyNumberFormat="0" applyAlignment="0" applyProtection="0"/>
    <xf numFmtId="10" fontId="51" fillId="89" borderId="5" applyNumberFormat="0" applyBorder="0" applyAlignment="0" applyProtection="0"/>
    <xf numFmtId="0" fontId="27" fillId="1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30" fillId="30"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0" fillId="65" borderId="46" applyNumberFormat="0" applyAlignment="0" applyProtection="0"/>
    <xf numFmtId="0" fontId="32" fillId="0" borderId="47" applyNumberFormat="0" applyFill="0" applyAlignment="0" applyProtection="0"/>
    <xf numFmtId="0" fontId="30" fillId="73"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2" fillId="0" borderId="47" applyNumberFormat="0" applyFill="0" applyAlignment="0" applyProtection="0"/>
    <xf numFmtId="0" fontId="30" fillId="30"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73" borderId="46" applyNumberFormat="0" applyAlignment="0" applyProtection="0"/>
    <xf numFmtId="0" fontId="19" fillId="65" borderId="39" applyNumberFormat="0" applyAlignment="0" applyProtection="0"/>
    <xf numFmtId="0" fontId="19" fillId="65"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65" borderId="46"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65"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4" fillId="33" borderId="45" applyNumberFormat="0" applyFont="0" applyAlignment="0" applyProtection="0"/>
    <xf numFmtId="0" fontId="27" fillId="17" borderId="39" applyNumberFormat="0" applyAlignment="0" applyProtection="0"/>
    <xf numFmtId="0" fontId="30" fillId="73" borderId="46"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65"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19" fillId="73"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32" fillId="0" borderId="47" applyNumberFormat="0" applyFill="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73" borderId="46"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30" fillId="65"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4" fillId="33" borderId="45" applyNumberFormat="0" applyFon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19" fillId="65" borderId="39" applyNumberFormat="0" applyAlignment="0" applyProtection="0"/>
    <xf numFmtId="0" fontId="30" fillId="73" borderId="46" applyNumberForma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0" fillId="30" borderId="46" applyNumberFormat="0" applyAlignment="0" applyProtection="0"/>
    <xf numFmtId="0" fontId="19" fillId="65"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4" fillId="33" borderId="45" applyNumberFormat="0" applyFont="0" applyAlignment="0" applyProtection="0"/>
    <xf numFmtId="0" fontId="4" fillId="69" borderId="45" applyNumberFormat="0" applyFont="0" applyAlignment="0" applyProtection="0"/>
    <xf numFmtId="0" fontId="19" fillId="73"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30" fillId="30" borderId="46" applyNumberFormat="0" applyAlignment="0" applyProtection="0"/>
    <xf numFmtId="0" fontId="27" fillId="17" borderId="39" applyNumberFormat="0" applyAlignment="0" applyProtection="0"/>
    <xf numFmtId="0" fontId="4" fillId="33"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0" fontId="30" fillId="73"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65"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19" fillId="73"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65"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4" fillId="33" borderId="45" applyNumberFormat="0" applyFont="0" applyAlignment="0" applyProtection="0"/>
    <xf numFmtId="10" fontId="51" fillId="89" borderId="5" applyNumberFormat="0" applyBorder="0" applyAlignment="0" applyProtection="0"/>
    <xf numFmtId="0" fontId="27" fillId="67" borderId="39" applyNumberFormat="0" applyAlignment="0" applyProtection="0"/>
    <xf numFmtId="0" fontId="32" fillId="0" borderId="47" applyNumberFormat="0" applyFill="0" applyAlignment="0" applyProtection="0"/>
    <xf numFmtId="0" fontId="30" fillId="73"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0" fontId="30" fillId="30" borderId="46"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30" fillId="65"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65"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4" fillId="33" borderId="45" applyNumberFormat="0" applyFon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30" fillId="30" borderId="46" applyNumberFormat="0" applyAlignment="0" applyProtection="0"/>
    <xf numFmtId="0" fontId="27" fillId="67" borderId="39" applyNumberFormat="0" applyAlignment="0" applyProtection="0"/>
    <xf numFmtId="0" fontId="19" fillId="65" borderId="39" applyNumberFormat="0" applyAlignment="0" applyProtection="0"/>
    <xf numFmtId="0" fontId="30" fillId="73" borderId="46" applyNumberFormat="0" applyAlignment="0" applyProtection="0"/>
    <xf numFmtId="0" fontId="27" fillId="67" borderId="39" applyNumberFormat="0" applyAlignment="0" applyProtection="0"/>
    <xf numFmtId="0" fontId="4" fillId="69" borderId="45" applyNumberFormat="0" applyFont="0" applyAlignment="0" applyProtection="0"/>
    <xf numFmtId="0" fontId="19" fillId="30" borderId="39" applyNumberFormat="0" applyAlignment="0" applyProtection="0"/>
    <xf numFmtId="0" fontId="30" fillId="30" borderId="46" applyNumberFormat="0" applyAlignment="0" applyProtection="0"/>
    <xf numFmtId="0" fontId="27" fillId="1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32" fillId="0" borderId="47" applyNumberFormat="0" applyFill="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19" fillId="30" borderId="39" applyNumberFormat="0" applyAlignment="0" applyProtection="0"/>
    <xf numFmtId="10" fontId="51" fillId="89" borderId="5" applyNumberFormat="0" applyBorder="0" applyAlignment="0" applyProtection="0"/>
    <xf numFmtId="0" fontId="30" fillId="73" borderId="46" applyNumberFormat="0" applyAlignment="0" applyProtection="0"/>
    <xf numFmtId="0" fontId="32" fillId="0" borderId="47" applyNumberFormat="0" applyFill="0" applyAlignment="0" applyProtection="0"/>
    <xf numFmtId="10" fontId="51" fillId="89" borderId="5" applyNumberFormat="0" applyBorder="0" applyAlignment="0" applyProtection="0"/>
    <xf numFmtId="0" fontId="27" fillId="67" borderId="39" applyNumberFormat="0" applyAlignment="0" applyProtection="0"/>
    <xf numFmtId="0" fontId="19" fillId="73"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19" fillId="73" borderId="39" applyNumberFormat="0" applyAlignment="0" applyProtection="0"/>
    <xf numFmtId="0" fontId="19" fillId="30"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73" borderId="39" applyNumberFormat="0" applyAlignment="0" applyProtection="0"/>
    <xf numFmtId="0" fontId="30" fillId="65" borderId="46"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69" borderId="45" applyNumberFormat="0" applyFont="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1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19" fillId="30" borderId="39" applyNumberFormat="0" applyAlignment="0" applyProtection="0"/>
    <xf numFmtId="0" fontId="19" fillId="30" borderId="39" applyNumberFormat="0" applyAlignment="0" applyProtection="0"/>
    <xf numFmtId="0" fontId="27" fillId="1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32" fillId="0" borderId="47" applyNumberFormat="0" applyFill="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73"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19" fillId="30" borderId="39"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19" fillId="73"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19" fillId="65"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19" fillId="65"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32" fillId="0" borderId="47" applyNumberFormat="0" applyFill="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32" fillId="0" borderId="47" applyNumberFormat="0" applyFill="0" applyAlignment="0" applyProtection="0"/>
    <xf numFmtId="0" fontId="19" fillId="65"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69" borderId="45" applyNumberFormat="0" applyFon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65" borderId="46"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73"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32" fillId="0" borderId="47" applyNumberFormat="0" applyFill="0" applyAlignment="0" applyProtection="0"/>
    <xf numFmtId="0" fontId="27" fillId="17" borderId="39" applyNumberFormat="0" applyAlignment="0" applyProtection="0"/>
    <xf numFmtId="0" fontId="30" fillId="73" borderId="46" applyNumberFormat="0" applyAlignment="0" applyProtection="0"/>
    <xf numFmtId="0" fontId="27" fillId="67"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30" fillId="73" borderId="46"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27" fillId="1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19" fillId="30" borderId="39" applyNumberFormat="0" applyAlignment="0" applyProtection="0"/>
    <xf numFmtId="0" fontId="30" fillId="73" borderId="46" applyNumberFormat="0" applyAlignment="0" applyProtection="0"/>
    <xf numFmtId="0" fontId="30" fillId="30" borderId="46"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32" fillId="0" borderId="47" applyNumberFormat="0" applyFill="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30" fillId="30" borderId="46" applyNumberFormat="0" applyAlignment="0" applyProtection="0"/>
    <xf numFmtId="0" fontId="30" fillId="73" borderId="46" applyNumberFormat="0" applyAlignment="0" applyProtection="0"/>
    <xf numFmtId="0" fontId="4" fillId="33" borderId="45" applyNumberFormat="0" applyFon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0" fillId="30" borderId="46" applyNumberFormat="0" applyAlignment="0" applyProtection="0"/>
    <xf numFmtId="0" fontId="19" fillId="65" borderId="39"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19" fillId="30"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17" borderId="39" applyNumberFormat="0" applyAlignment="0" applyProtection="0"/>
    <xf numFmtId="0" fontId="19" fillId="65" borderId="39" applyNumberFormat="0" applyAlignment="0" applyProtection="0"/>
    <xf numFmtId="0" fontId="27" fillId="17" borderId="39" applyNumberFormat="0" applyAlignment="0" applyProtection="0"/>
    <xf numFmtId="0" fontId="27" fillId="17" borderId="39" applyNumberFormat="0" applyAlignment="0" applyProtection="0"/>
    <xf numFmtId="0" fontId="19" fillId="65"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19" fillId="73"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30" fillId="65" borderId="46" applyNumberFormat="0" applyAlignment="0" applyProtection="0"/>
    <xf numFmtId="0" fontId="4" fillId="69" borderId="45" applyNumberFormat="0" applyFont="0" applyAlignment="0" applyProtection="0"/>
    <xf numFmtId="0" fontId="32" fillId="0" borderId="47" applyNumberFormat="0" applyFill="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19" fillId="30"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0" fontId="30" fillId="73"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4" fillId="69" borderId="45" applyNumberFormat="0" applyFont="0" applyAlignment="0" applyProtection="0"/>
    <xf numFmtId="0" fontId="30" fillId="65" borderId="46" applyNumberFormat="0" applyAlignment="0" applyProtection="0"/>
    <xf numFmtId="0" fontId="4" fillId="33" borderId="45" applyNumberFormat="0" applyFont="0" applyAlignment="0" applyProtection="0"/>
    <xf numFmtId="0" fontId="4" fillId="69" borderId="45" applyNumberFormat="0" applyFon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32" fillId="0" borderId="47" applyNumberFormat="0" applyFill="0" applyAlignment="0" applyProtection="0"/>
    <xf numFmtId="10" fontId="51" fillId="89" borderId="5" applyNumberFormat="0" applyBorder="0" applyAlignment="0" applyProtection="0"/>
    <xf numFmtId="0" fontId="27" fillId="67" borderId="39" applyNumberFormat="0" applyAlignment="0" applyProtection="0"/>
    <xf numFmtId="0" fontId="30" fillId="30" borderId="46"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0" fontId="32" fillId="0" borderId="47" applyNumberFormat="0" applyFill="0" applyAlignment="0" applyProtection="0"/>
    <xf numFmtId="0" fontId="19" fillId="30"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30" borderId="46" applyNumberFormat="0" applyAlignment="0" applyProtection="0"/>
    <xf numFmtId="0" fontId="32" fillId="0" borderId="47" applyNumberFormat="0" applyFill="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19" fillId="65"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32" fillId="0" borderId="47" applyNumberFormat="0" applyFill="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30" fillId="30" borderId="46" applyNumberFormat="0" applyAlignment="0" applyProtection="0"/>
    <xf numFmtId="0" fontId="30" fillId="65"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65"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17" borderId="39" applyNumberFormat="0" applyAlignment="0" applyProtection="0"/>
    <xf numFmtId="0" fontId="30" fillId="73" borderId="46"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19" fillId="73"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0" fillId="73" borderId="46" applyNumberFormat="0" applyAlignment="0" applyProtection="0"/>
    <xf numFmtId="0" fontId="27" fillId="67" borderId="39" applyNumberFormat="0" applyAlignment="0" applyProtection="0"/>
    <xf numFmtId="0" fontId="4" fillId="69" borderId="45" applyNumberFormat="0" applyFon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73" borderId="39"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73" borderId="46"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19" fillId="65"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19" fillId="73" borderId="39" applyNumberFormat="0" applyAlignment="0" applyProtection="0"/>
    <xf numFmtId="0" fontId="27" fillId="67" borderId="39" applyNumberFormat="0" applyAlignment="0" applyProtection="0"/>
    <xf numFmtId="0" fontId="30" fillId="30" borderId="46" applyNumberFormat="0" applyAlignment="0" applyProtection="0"/>
    <xf numFmtId="0" fontId="32" fillId="0" borderId="47" applyNumberFormat="0" applyFill="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30" fillId="30" borderId="46" applyNumberFormat="0" applyAlignment="0" applyProtection="0"/>
    <xf numFmtId="0" fontId="32" fillId="0" borderId="47" applyNumberFormat="0" applyFill="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27" fillId="1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30" fillId="73"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4" fillId="33" borderId="45" applyNumberFormat="0" applyFont="0" applyAlignment="0" applyProtection="0"/>
    <xf numFmtId="0" fontId="30" fillId="65" borderId="46" applyNumberFormat="0" applyAlignment="0" applyProtection="0"/>
    <xf numFmtId="0" fontId="19" fillId="30"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1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30" fillId="73" borderId="46" applyNumberFormat="0" applyAlignment="0" applyProtection="0"/>
    <xf numFmtId="0" fontId="32" fillId="0" borderId="47" applyNumberFormat="0" applyFill="0" applyAlignment="0" applyProtection="0"/>
    <xf numFmtId="0" fontId="30" fillId="30" borderId="46" applyNumberFormat="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65"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17" borderId="39" applyNumberFormat="0" applyAlignment="0" applyProtection="0"/>
    <xf numFmtId="0" fontId="30" fillId="73" borderId="46" applyNumberFormat="0" applyAlignment="0" applyProtection="0"/>
    <xf numFmtId="0" fontId="19" fillId="30"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17" borderId="39" applyNumberFormat="0" applyAlignment="0" applyProtection="0"/>
    <xf numFmtId="0" fontId="27" fillId="67" borderId="39" applyNumberFormat="0" applyAlignment="0" applyProtection="0"/>
    <xf numFmtId="0" fontId="19" fillId="65" borderId="39" applyNumberFormat="0" applyAlignment="0" applyProtection="0"/>
    <xf numFmtId="0" fontId="4" fillId="69" borderId="45" applyNumberFormat="0" applyFon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0" fillId="30" borderId="46" applyNumberFormat="0" applyAlignment="0" applyProtection="0"/>
    <xf numFmtId="0" fontId="32" fillId="0" borderId="47" applyNumberFormat="0" applyFill="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65" borderId="39" applyNumberFormat="0" applyAlignment="0" applyProtection="0"/>
    <xf numFmtId="0" fontId="4" fillId="33" borderId="45" applyNumberFormat="0" applyFont="0" applyAlignment="0" applyProtection="0"/>
    <xf numFmtId="0" fontId="19" fillId="73" borderId="39" applyNumberFormat="0" applyAlignment="0" applyProtection="0"/>
    <xf numFmtId="10" fontId="51" fillId="89" borderId="5" applyNumberFormat="0" applyBorder="0" applyAlignment="0" applyProtection="0"/>
    <xf numFmtId="0" fontId="30" fillId="73" borderId="46" applyNumberFormat="0" applyAlignment="0" applyProtection="0"/>
    <xf numFmtId="0" fontId="32" fillId="0" borderId="47" applyNumberFormat="0" applyFill="0" applyAlignment="0" applyProtection="0"/>
    <xf numFmtId="0" fontId="30" fillId="30"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73" borderId="39" applyNumberFormat="0" applyAlignment="0" applyProtection="0"/>
    <xf numFmtId="0" fontId="19" fillId="73"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19" fillId="65" borderId="39" applyNumberFormat="0" applyAlignment="0" applyProtection="0"/>
    <xf numFmtId="0" fontId="30" fillId="65" borderId="46" applyNumberFormat="0" applyAlignment="0" applyProtection="0"/>
    <xf numFmtId="0" fontId="32" fillId="0" borderId="47" applyNumberFormat="0" applyFill="0" applyAlignment="0" applyProtection="0"/>
    <xf numFmtId="0" fontId="30" fillId="73"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2" fillId="0" borderId="47" applyNumberFormat="0" applyFill="0" applyAlignment="0" applyProtection="0"/>
    <xf numFmtId="0" fontId="19" fillId="30" borderId="39" applyNumberFormat="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73"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30" fillId="73"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19" fillId="65"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19" fillId="65"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19" fillId="65" borderId="39" applyNumberFormat="0" applyAlignment="0" applyProtection="0"/>
    <xf numFmtId="0" fontId="30" fillId="65" borderId="46"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2" fillId="0" borderId="47" applyNumberFormat="0" applyFill="0" applyAlignment="0" applyProtection="0"/>
    <xf numFmtId="0" fontId="19" fillId="73" borderId="39" applyNumberFormat="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2" fillId="0" borderId="47" applyNumberFormat="0" applyFill="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30" fillId="73" borderId="46" applyNumberFormat="0" applyAlignment="0" applyProtection="0"/>
    <xf numFmtId="0" fontId="32" fillId="0" borderId="47" applyNumberFormat="0" applyFill="0" applyAlignment="0" applyProtection="0"/>
    <xf numFmtId="10" fontId="51" fillId="89" borderId="5" applyNumberFormat="0" applyBorder="0" applyAlignment="0" applyProtection="0"/>
    <xf numFmtId="0" fontId="27" fillId="67" borderId="39" applyNumberFormat="0" applyAlignment="0" applyProtection="0"/>
    <xf numFmtId="0" fontId="4" fillId="33" borderId="45" applyNumberFormat="0" applyFont="0" applyAlignment="0" applyProtection="0"/>
    <xf numFmtId="0" fontId="4" fillId="69" borderId="45" applyNumberFormat="0" applyFont="0" applyAlignment="0" applyProtection="0"/>
    <xf numFmtId="10" fontId="51" fillId="89" borderId="5" applyNumberFormat="0" applyBorder="0" applyAlignment="0" applyProtection="0"/>
    <xf numFmtId="10" fontId="51" fillId="89" borderId="5" applyNumberFormat="0" applyBorder="0" applyAlignment="0" applyProtection="0"/>
    <xf numFmtId="0" fontId="4" fillId="69" borderId="45" applyNumberFormat="0" applyFont="0" applyAlignment="0" applyProtection="0"/>
    <xf numFmtId="0" fontId="30" fillId="73"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4" fillId="33" borderId="45" applyNumberFormat="0" applyFont="0" applyAlignment="0" applyProtection="0"/>
    <xf numFmtId="10" fontId="51" fillId="89" borderId="5" applyNumberFormat="0" applyBorder="0" applyAlignment="0" applyProtection="0"/>
    <xf numFmtId="0" fontId="30" fillId="30"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27" fillId="1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0" fillId="65" borderId="46"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0" fillId="30" borderId="46" applyNumberFormat="0" applyAlignment="0" applyProtection="0"/>
    <xf numFmtId="0" fontId="19" fillId="30" borderId="39" applyNumberFormat="0" applyAlignment="0" applyProtection="0"/>
    <xf numFmtId="0" fontId="30" fillId="73"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19" fillId="65" borderId="39" applyNumberFormat="0" applyAlignment="0" applyProtection="0"/>
    <xf numFmtId="0" fontId="4" fillId="69" borderId="45" applyNumberFormat="0" applyFont="0" applyAlignment="0" applyProtection="0"/>
    <xf numFmtId="0" fontId="30" fillId="65"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19" fillId="65" borderId="39" applyNumberFormat="0" applyAlignment="0" applyProtection="0"/>
    <xf numFmtId="0" fontId="19" fillId="65"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30" fillId="73" borderId="46"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65"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65" borderId="46"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27" fillId="17"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4" fillId="69" borderId="45" applyNumberFormat="0" applyFon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19" fillId="73"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27" fillId="17" borderId="39"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30" fillId="30" borderId="46" applyNumberFormat="0" applyAlignment="0" applyProtection="0"/>
    <xf numFmtId="0" fontId="19" fillId="73"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17" borderId="39" applyNumberFormat="0" applyAlignment="0" applyProtection="0"/>
    <xf numFmtId="0" fontId="27" fillId="67"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0" fillId="65" borderId="46" applyNumberFormat="0" applyAlignment="0" applyProtection="0"/>
    <xf numFmtId="0" fontId="32" fillId="0" borderId="47" applyNumberFormat="0" applyFill="0" applyAlignment="0" applyProtection="0"/>
    <xf numFmtId="0" fontId="30" fillId="73"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65" borderId="39" applyNumberFormat="0" applyAlignment="0" applyProtection="0"/>
    <xf numFmtId="0" fontId="4" fillId="69" borderId="45" applyNumberFormat="0" applyFont="0" applyAlignment="0" applyProtection="0"/>
    <xf numFmtId="10" fontId="51" fillId="89" borderId="5" applyNumberFormat="0" applyBorder="0" applyAlignment="0" applyProtection="0"/>
    <xf numFmtId="10" fontId="51" fillId="89" borderId="5" applyNumberFormat="0" applyBorder="0" applyAlignment="0" applyProtection="0"/>
    <xf numFmtId="0" fontId="30" fillId="30" borderId="46" applyNumberFormat="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0" fillId="30" borderId="46" applyNumberFormat="0" applyAlignment="0" applyProtection="0"/>
    <xf numFmtId="0" fontId="27" fillId="67"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73"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4" fillId="69" borderId="45" applyNumberFormat="0" applyFont="0" applyAlignment="0" applyProtection="0"/>
    <xf numFmtId="10" fontId="51" fillId="89" borderId="5" applyNumberFormat="0" applyBorder="0" applyAlignment="0" applyProtection="0"/>
    <xf numFmtId="0" fontId="30" fillId="30" borderId="46" applyNumberFormat="0" applyAlignment="0" applyProtection="0"/>
    <xf numFmtId="0" fontId="27" fillId="17" borderId="39" applyNumberFormat="0" applyAlignment="0" applyProtection="0"/>
    <xf numFmtId="0" fontId="30" fillId="65" borderId="46" applyNumberFormat="0" applyAlignment="0" applyProtection="0"/>
    <xf numFmtId="0" fontId="4" fillId="33"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17" borderId="39" applyNumberFormat="0" applyAlignment="0" applyProtection="0"/>
    <xf numFmtId="0" fontId="32" fillId="0" borderId="47" applyNumberFormat="0" applyFill="0" applyAlignment="0" applyProtection="0"/>
    <xf numFmtId="0" fontId="19" fillId="30"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30" fillId="30" borderId="46" applyNumberFormat="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0" fontId="4" fillId="33" borderId="45" applyNumberFormat="0" applyFont="0" applyAlignment="0" applyProtection="0"/>
    <xf numFmtId="0" fontId="32" fillId="0" borderId="47" applyNumberFormat="0" applyFill="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0" fillId="65" borderId="46" applyNumberFormat="0" applyAlignment="0" applyProtection="0"/>
    <xf numFmtId="0" fontId="32" fillId="0" borderId="47" applyNumberFormat="0" applyFill="0" applyAlignment="0" applyProtection="0"/>
    <xf numFmtId="0" fontId="30" fillId="73"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30" fillId="73"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19" fillId="65" borderId="39" applyNumberFormat="0" applyAlignment="0" applyProtection="0"/>
    <xf numFmtId="0" fontId="30" fillId="65" borderId="46" applyNumberFormat="0" applyAlignment="0" applyProtection="0"/>
    <xf numFmtId="0" fontId="19" fillId="30"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30" fillId="30"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30" borderId="39" applyNumberFormat="0" applyAlignment="0" applyProtection="0"/>
    <xf numFmtId="0" fontId="32" fillId="0" borderId="47" applyNumberFormat="0" applyFill="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17" borderId="39" applyNumberFormat="0" applyAlignment="0" applyProtection="0"/>
    <xf numFmtId="0" fontId="19" fillId="73" borderId="39" applyNumberFormat="0" applyAlignment="0" applyProtection="0"/>
    <xf numFmtId="0" fontId="30" fillId="73"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65" borderId="39" applyNumberFormat="0" applyAlignment="0" applyProtection="0"/>
    <xf numFmtId="0" fontId="30" fillId="65" borderId="46" applyNumberFormat="0" applyAlignment="0" applyProtection="0"/>
    <xf numFmtId="0" fontId="32" fillId="0" borderId="47" applyNumberFormat="0" applyFill="0" applyAlignment="0" applyProtection="0"/>
    <xf numFmtId="0" fontId="30" fillId="73"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73"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2" fillId="0" borderId="47" applyNumberFormat="0" applyFill="0" applyAlignment="0" applyProtection="0"/>
    <xf numFmtId="0" fontId="30" fillId="73"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65"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73" borderId="46" applyNumberFormat="0" applyAlignment="0" applyProtection="0"/>
    <xf numFmtId="0" fontId="19" fillId="65" borderId="39" applyNumberFormat="0" applyAlignment="0" applyProtection="0"/>
    <xf numFmtId="0" fontId="19" fillId="65"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65" borderId="46"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30"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30" fillId="73" borderId="46"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30" borderId="46"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65" borderId="39" applyNumberFormat="0" applyAlignment="0" applyProtection="0"/>
    <xf numFmtId="0" fontId="30" fillId="73" borderId="46" applyNumberFormat="0" applyAlignment="0" applyProtection="0"/>
    <xf numFmtId="0" fontId="19" fillId="65" borderId="39" applyNumberFormat="0" applyAlignment="0" applyProtection="0"/>
    <xf numFmtId="0" fontId="30" fillId="73" borderId="46" applyNumberFormat="0" applyAlignment="0" applyProtection="0"/>
    <xf numFmtId="0" fontId="30" fillId="65" borderId="46"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30" fillId="30" borderId="46" applyNumberFormat="0" applyAlignment="0" applyProtection="0"/>
    <xf numFmtId="0" fontId="19" fillId="65"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19" fillId="65"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1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17" borderId="39" applyNumberFormat="0" applyAlignment="0" applyProtection="0"/>
    <xf numFmtId="0" fontId="27" fillId="67" borderId="39" applyNumberFormat="0" applyAlignment="0" applyProtection="0"/>
    <xf numFmtId="0" fontId="19" fillId="65"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27" fillId="17"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19" fillId="65" borderId="39" applyNumberFormat="0" applyAlignment="0" applyProtection="0"/>
    <xf numFmtId="0" fontId="19" fillId="30" borderId="39" applyNumberFormat="0" applyAlignment="0" applyProtection="0"/>
    <xf numFmtId="0" fontId="4" fillId="69"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65" borderId="39" applyNumberFormat="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0" fontId="19" fillId="65" borderId="39" applyNumberFormat="0" applyAlignment="0" applyProtection="0"/>
    <xf numFmtId="0" fontId="27" fillId="67" borderId="39" applyNumberFormat="0" applyAlignment="0" applyProtection="0"/>
    <xf numFmtId="0" fontId="19" fillId="73"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0" fillId="73" borderId="46" applyNumberFormat="0" applyAlignment="0" applyProtection="0"/>
    <xf numFmtId="0" fontId="30" fillId="65"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73"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32" fillId="0" borderId="47" applyNumberFormat="0" applyFill="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30" fillId="30"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30" fillId="65" borderId="46"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4" fillId="33" borderId="45" applyNumberFormat="0" applyFont="0" applyAlignment="0" applyProtection="0"/>
    <xf numFmtId="0" fontId="30" fillId="65" borderId="46"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65" borderId="39" applyNumberFormat="0" applyAlignment="0" applyProtection="0"/>
    <xf numFmtId="0" fontId="30" fillId="73" borderId="46" applyNumberFormat="0" applyAlignment="0" applyProtection="0"/>
    <xf numFmtId="0" fontId="4" fillId="33" borderId="45" applyNumberFormat="0" applyFont="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4" fillId="69" borderId="45" applyNumberFormat="0" applyFont="0" applyAlignment="0" applyProtection="0"/>
    <xf numFmtId="0" fontId="27" fillId="1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4" fillId="33" borderId="45" applyNumberFormat="0" applyFon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4" fillId="33" borderId="45" applyNumberFormat="0" applyFont="0" applyAlignment="0" applyProtection="0"/>
    <xf numFmtId="0" fontId="32" fillId="0" borderId="47" applyNumberFormat="0" applyFill="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30" fillId="73" borderId="46"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65" borderId="39" applyNumberFormat="0" applyAlignment="0" applyProtection="0"/>
    <xf numFmtId="0" fontId="19" fillId="65"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30" fillId="30" borderId="46" applyNumberFormat="0" applyAlignment="0" applyProtection="0"/>
    <xf numFmtId="0" fontId="27" fillId="67" borderId="39" applyNumberFormat="0" applyAlignment="0" applyProtection="0"/>
    <xf numFmtId="0" fontId="30" fillId="65" borderId="46"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30" fillId="65" borderId="46" applyNumberFormat="0" applyAlignment="0" applyProtection="0"/>
    <xf numFmtId="0" fontId="27" fillId="17" borderId="39" applyNumberFormat="0" applyAlignment="0" applyProtection="0"/>
    <xf numFmtId="10" fontId="51" fillId="89" borderId="5" applyNumberFormat="0" applyBorder="0" applyAlignment="0" applyProtection="0"/>
    <xf numFmtId="0" fontId="19" fillId="65"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30" borderId="46"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10" fontId="51" fillId="89" borderId="5" applyNumberFormat="0" applyBorder="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17" borderId="39"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65" borderId="46" applyNumberFormat="0" applyAlignment="0" applyProtection="0"/>
    <xf numFmtId="0" fontId="32" fillId="0" borderId="47" applyNumberFormat="0" applyFill="0" applyAlignment="0" applyProtection="0"/>
    <xf numFmtId="0" fontId="30" fillId="73" borderId="46" applyNumberFormat="0" applyAlignment="0" applyProtection="0"/>
    <xf numFmtId="0" fontId="30" fillId="73" borderId="46" applyNumberFormat="0" applyAlignment="0" applyProtection="0"/>
    <xf numFmtId="0" fontId="30" fillId="65" borderId="46" applyNumberFormat="0" applyAlignment="0" applyProtection="0"/>
    <xf numFmtId="0" fontId="30" fillId="73" borderId="46" applyNumberFormat="0" applyAlignment="0" applyProtection="0"/>
    <xf numFmtId="0" fontId="4" fillId="69" borderId="45" applyNumberFormat="0" applyFont="0" applyAlignment="0" applyProtection="0"/>
    <xf numFmtId="0" fontId="30" fillId="73" borderId="46"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0" fontId="30" fillId="30" borderId="46" applyNumberFormat="0" applyAlignment="0" applyProtection="0"/>
    <xf numFmtId="0" fontId="4" fillId="69" borderId="45" applyNumberFormat="0" applyFont="0" applyAlignment="0" applyProtection="0"/>
    <xf numFmtId="0" fontId="30" fillId="73"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30" borderId="46" applyNumberFormat="0" applyAlignment="0" applyProtection="0"/>
    <xf numFmtId="0" fontId="30" fillId="30" borderId="46" applyNumberFormat="0" applyAlignment="0" applyProtection="0"/>
    <xf numFmtId="0" fontId="27" fillId="17" borderId="39" applyNumberFormat="0" applyAlignment="0" applyProtection="0"/>
    <xf numFmtId="0" fontId="30" fillId="73" borderId="46" applyNumberFormat="0" applyAlignment="0" applyProtection="0"/>
    <xf numFmtId="0" fontId="32" fillId="0" borderId="47" applyNumberFormat="0" applyFill="0" applyAlignment="0" applyProtection="0"/>
    <xf numFmtId="0" fontId="30" fillId="30"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19" fillId="73" borderId="39" applyNumberFormat="0" applyAlignment="0" applyProtection="0"/>
    <xf numFmtId="0" fontId="19" fillId="65"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27" fillId="67" borderId="39" applyNumberFormat="0" applyAlignment="0" applyProtection="0"/>
    <xf numFmtId="0" fontId="30" fillId="30"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65"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19" fillId="73" borderId="39" applyNumberFormat="0" applyAlignment="0" applyProtection="0"/>
    <xf numFmtId="0" fontId="30" fillId="73"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4" fillId="69"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4" fillId="69"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30" fillId="73" borderId="46" applyNumberFormat="0" applyAlignment="0" applyProtection="0"/>
    <xf numFmtId="0" fontId="30" fillId="30" borderId="46" applyNumberFormat="0" applyAlignment="0" applyProtection="0"/>
    <xf numFmtId="0" fontId="30" fillId="65" borderId="46" applyNumberFormat="0" applyAlignment="0" applyProtection="0"/>
    <xf numFmtId="0" fontId="4" fillId="33" borderId="45" applyNumberFormat="0" applyFont="0" applyAlignment="0" applyProtection="0"/>
    <xf numFmtId="10" fontId="51" fillId="89" borderId="5" applyNumberFormat="0" applyBorder="0" applyAlignment="0" applyProtection="0"/>
    <xf numFmtId="0" fontId="27" fillId="17" borderId="39"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33" borderId="45" applyNumberFormat="0" applyFont="0" applyAlignment="0" applyProtection="0"/>
    <xf numFmtId="10" fontId="51" fillId="89" borderId="5" applyNumberFormat="0" applyBorder="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19" fillId="30"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65" borderId="46"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0" fontId="30" fillId="73" borderId="46" applyNumberFormat="0" applyAlignment="0" applyProtection="0"/>
    <xf numFmtId="0" fontId="30" fillId="65" borderId="46" applyNumberForma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27" fillId="1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30" fillId="73"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65" borderId="46" applyNumberFormat="0" applyAlignment="0" applyProtection="0"/>
    <xf numFmtId="0" fontId="27" fillId="67" borderId="39" applyNumberFormat="0" applyAlignment="0" applyProtection="0"/>
    <xf numFmtId="0" fontId="19" fillId="65" borderId="39" applyNumberFormat="0" applyAlignment="0" applyProtection="0"/>
    <xf numFmtId="0" fontId="4" fillId="69" borderId="45" applyNumberFormat="0" applyFont="0" applyAlignment="0" applyProtection="0"/>
    <xf numFmtId="0" fontId="30" fillId="30" borderId="46"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73"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19" fillId="30" borderId="39" applyNumberFormat="0" applyAlignment="0" applyProtection="0"/>
    <xf numFmtId="0" fontId="30" fillId="65" borderId="46"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30" fillId="30" borderId="46"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4" fillId="69"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19" fillId="30"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65"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1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19" fillId="65"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0" fillId="30" borderId="46" applyNumberFormat="0" applyAlignment="0" applyProtection="0"/>
    <xf numFmtId="0" fontId="30" fillId="73" borderId="46" applyNumberFormat="0" applyAlignment="0" applyProtection="0"/>
    <xf numFmtId="0" fontId="4" fillId="69" borderId="45" applyNumberFormat="0" applyFon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73"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30" fillId="30"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27" fillId="67" borderId="39" applyNumberFormat="0" applyAlignment="0" applyProtection="0"/>
    <xf numFmtId="0" fontId="32" fillId="0" borderId="47" applyNumberFormat="0" applyFill="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69" borderId="45" applyNumberFormat="0" applyFont="0" applyAlignment="0" applyProtection="0"/>
    <xf numFmtId="0" fontId="32" fillId="0" borderId="47" applyNumberFormat="0" applyFill="0" applyAlignment="0" applyProtection="0"/>
    <xf numFmtId="0" fontId="27" fillId="17" borderId="39" applyNumberFormat="0" applyAlignment="0" applyProtection="0"/>
    <xf numFmtId="10" fontId="51" fillId="89" borderId="5" applyNumberFormat="0" applyBorder="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30" fillId="65"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0" fillId="73" borderId="46" applyNumberFormat="0" applyAlignment="0" applyProtection="0"/>
    <xf numFmtId="0" fontId="30" fillId="65" borderId="46" applyNumberFormat="0" applyAlignment="0" applyProtection="0"/>
    <xf numFmtId="0" fontId="30" fillId="65"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27" fillId="67" borderId="39" applyNumberFormat="0" applyAlignment="0" applyProtection="0"/>
    <xf numFmtId="0" fontId="19" fillId="73" borderId="39" applyNumberFormat="0" applyAlignment="0" applyProtection="0"/>
    <xf numFmtId="0" fontId="19" fillId="73"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65" borderId="46" applyNumberFormat="0" applyAlignment="0" applyProtection="0"/>
    <xf numFmtId="0" fontId="19" fillId="73" borderId="39"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33" borderId="45" applyNumberFormat="0" applyFon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30" fillId="73" borderId="46"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73" borderId="46" applyNumberFormat="0" applyAlignment="0" applyProtection="0"/>
    <xf numFmtId="0" fontId="4" fillId="69" borderId="45" applyNumberFormat="0" applyFont="0" applyAlignment="0" applyProtection="0"/>
    <xf numFmtId="0" fontId="30" fillId="65"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73" borderId="39" applyNumberFormat="0" applyAlignment="0" applyProtection="0"/>
    <xf numFmtId="0" fontId="19" fillId="65" borderId="39" applyNumberFormat="0" applyAlignment="0" applyProtection="0"/>
    <xf numFmtId="0" fontId="30" fillId="73" borderId="46"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4" fillId="33" borderId="45" applyNumberFormat="0" applyFont="0" applyAlignment="0" applyProtection="0"/>
    <xf numFmtId="0" fontId="27" fillId="1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4" fillId="69" borderId="45" applyNumberFormat="0" applyFont="0" applyAlignment="0" applyProtection="0"/>
    <xf numFmtId="10" fontId="51" fillId="89" borderId="5" applyNumberFormat="0" applyBorder="0" applyAlignment="0" applyProtection="0"/>
    <xf numFmtId="10" fontId="51" fillId="89" borderId="5" applyNumberFormat="0" applyBorder="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27" fillId="17" borderId="39" applyNumberFormat="0" applyAlignment="0" applyProtection="0"/>
    <xf numFmtId="0" fontId="4" fillId="69" borderId="45" applyNumberFormat="0" applyFon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30" fillId="65"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4" fillId="69" borderId="45" applyNumberFormat="0" applyFont="0" applyAlignment="0" applyProtection="0"/>
    <xf numFmtId="0" fontId="30" fillId="30" borderId="46"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30" fillId="65" borderId="46" applyNumberFormat="0" applyAlignment="0" applyProtection="0"/>
    <xf numFmtId="0" fontId="30" fillId="73" borderId="46" applyNumberFormat="0" applyAlignment="0" applyProtection="0"/>
    <xf numFmtId="0" fontId="30" fillId="65" borderId="46" applyNumberFormat="0" applyAlignment="0" applyProtection="0"/>
    <xf numFmtId="0" fontId="30" fillId="65" borderId="46"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27" fillId="67" borderId="39" applyNumberFormat="0" applyAlignment="0" applyProtection="0"/>
    <xf numFmtId="0" fontId="30" fillId="30"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30" fillId="65" borderId="46" applyNumberFormat="0" applyAlignment="0" applyProtection="0"/>
    <xf numFmtId="0" fontId="27" fillId="17" borderId="39" applyNumberFormat="0" applyAlignment="0" applyProtection="0"/>
    <xf numFmtId="10" fontId="51" fillId="89" borderId="5" applyNumberFormat="0" applyBorder="0" applyAlignment="0" applyProtection="0"/>
    <xf numFmtId="0" fontId="19" fillId="65"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0" fontId="19" fillId="30"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30" fillId="73"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30" fillId="30" borderId="46" applyNumberFormat="0" applyAlignment="0" applyProtection="0"/>
    <xf numFmtId="10" fontId="51" fillId="89" borderId="5" applyNumberFormat="0" applyBorder="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19" fillId="73"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27" fillId="17" borderId="39" applyNumberFormat="0" applyAlignment="0" applyProtection="0"/>
    <xf numFmtId="0" fontId="32" fillId="0" borderId="47" applyNumberFormat="0" applyFill="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4" fillId="33" borderId="45" applyNumberFormat="0" applyFont="0" applyAlignment="0" applyProtection="0"/>
    <xf numFmtId="0" fontId="30" fillId="65" borderId="46" applyNumberFormat="0" applyAlignment="0" applyProtection="0"/>
    <xf numFmtId="0" fontId="27" fillId="67" borderId="39" applyNumberFormat="0" applyAlignment="0" applyProtection="0"/>
    <xf numFmtId="0" fontId="19" fillId="30" borderId="39" applyNumberFormat="0" applyAlignment="0" applyProtection="0"/>
    <xf numFmtId="0" fontId="27" fillId="17" borderId="39" applyNumberFormat="0" applyAlignment="0" applyProtection="0"/>
    <xf numFmtId="0" fontId="19" fillId="65"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2" fillId="0" borderId="47" applyNumberFormat="0" applyFill="0" applyAlignment="0" applyProtection="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30" fillId="30" borderId="46" applyNumberFormat="0" applyAlignment="0" applyProtection="0"/>
    <xf numFmtId="0" fontId="27" fillId="67" borderId="39" applyNumberFormat="0" applyAlignment="0" applyProtection="0"/>
    <xf numFmtId="0" fontId="30" fillId="65"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19" fillId="30" borderId="39" applyNumberFormat="0" applyAlignment="0" applyProtection="0"/>
    <xf numFmtId="0" fontId="30" fillId="30" borderId="46" applyNumberFormat="0" applyAlignment="0" applyProtection="0"/>
    <xf numFmtId="0" fontId="30" fillId="73"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17" borderId="39" applyNumberFormat="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32" fillId="0" borderId="47" applyNumberFormat="0" applyFill="0" applyAlignment="0" applyProtection="0"/>
    <xf numFmtId="0" fontId="27" fillId="1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30" fillId="65" borderId="46"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30" fillId="65" borderId="46" applyNumberFormat="0" applyAlignment="0" applyProtection="0"/>
    <xf numFmtId="10" fontId="51" fillId="89" borderId="5" applyNumberFormat="0" applyBorder="0" applyAlignment="0" applyProtection="0"/>
    <xf numFmtId="0" fontId="4" fillId="69" borderId="45" applyNumberFormat="0" applyFont="0" applyAlignment="0" applyProtection="0"/>
    <xf numFmtId="10" fontId="51" fillId="89" borderId="5" applyNumberFormat="0" applyBorder="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19" fillId="65"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65" borderId="39" applyNumberFormat="0" applyAlignment="0" applyProtection="0"/>
    <xf numFmtId="0" fontId="4" fillId="69" borderId="45" applyNumberFormat="0" applyFon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19" fillId="73" borderId="39" applyNumberFormat="0" applyAlignment="0" applyProtection="0"/>
    <xf numFmtId="0" fontId="4" fillId="69" borderId="45" applyNumberFormat="0" applyFont="0" applyAlignment="0" applyProtection="0"/>
    <xf numFmtId="0" fontId="19" fillId="30" borderId="39" applyNumberFormat="0" applyAlignment="0" applyProtection="0"/>
    <xf numFmtId="0" fontId="30" fillId="65" borderId="46"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30" borderId="46"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30" fillId="65"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27" fillId="17" borderId="39" applyNumberFormat="0" applyAlignment="0" applyProtection="0"/>
    <xf numFmtId="0" fontId="19" fillId="65" borderId="39"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4" fillId="69" borderId="45" applyNumberFormat="0" applyFon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30" fillId="65" borderId="46"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4" fillId="69" borderId="45" applyNumberFormat="0" applyFont="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4" fillId="33" borderId="45" applyNumberFormat="0" applyFont="0" applyAlignment="0" applyProtection="0"/>
    <xf numFmtId="10" fontId="51" fillId="89" borderId="5" applyNumberFormat="0" applyBorder="0" applyAlignment="0" applyProtection="0"/>
    <xf numFmtId="0" fontId="32" fillId="0" borderId="47" applyNumberFormat="0" applyFill="0" applyAlignment="0" applyProtection="0"/>
    <xf numFmtId="0" fontId="27" fillId="67" borderId="39" applyNumberFormat="0" applyAlignment="0" applyProtection="0"/>
    <xf numFmtId="0" fontId="30" fillId="65"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32" fillId="0" borderId="47" applyNumberFormat="0" applyFill="0" applyAlignment="0" applyProtection="0"/>
    <xf numFmtId="10" fontId="51" fillId="89" borderId="5" applyNumberFormat="0" applyBorder="0" applyAlignment="0" applyProtection="0"/>
    <xf numFmtId="0" fontId="30" fillId="30" borderId="46"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4" fillId="69" borderId="45" applyNumberFormat="0" applyFont="0" applyAlignment="0" applyProtection="0"/>
    <xf numFmtId="0" fontId="30" fillId="30" borderId="46" applyNumberFormat="0" applyAlignment="0" applyProtection="0"/>
    <xf numFmtId="0" fontId="27" fillId="1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30" borderId="46"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30" fillId="65" borderId="46" applyNumberFormat="0" applyAlignment="0" applyProtection="0"/>
    <xf numFmtId="0" fontId="32" fillId="0" borderId="47" applyNumberFormat="0" applyFill="0" applyAlignment="0" applyProtection="0"/>
    <xf numFmtId="0" fontId="30" fillId="30"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30" fillId="73" borderId="46" applyNumberFormat="0" applyAlignment="0" applyProtection="0"/>
    <xf numFmtId="0" fontId="27" fillId="67" borderId="39" applyNumberFormat="0" applyAlignment="0" applyProtection="0"/>
    <xf numFmtId="0" fontId="30" fillId="65" borderId="46" applyNumberFormat="0" applyAlignment="0" applyProtection="0"/>
    <xf numFmtId="0" fontId="19" fillId="30"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73" borderId="46" applyNumberFormat="0" applyAlignment="0" applyProtection="0"/>
    <xf numFmtId="0" fontId="19" fillId="65" borderId="39" applyNumberFormat="0" applyAlignment="0" applyProtection="0"/>
    <xf numFmtId="0" fontId="19" fillId="65"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65" borderId="46"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73" borderId="46" applyNumberFormat="0" applyAlignment="0" applyProtection="0"/>
    <xf numFmtId="0" fontId="19" fillId="65" borderId="39" applyNumberFormat="0" applyAlignment="0" applyProtection="0"/>
    <xf numFmtId="0" fontId="19" fillId="65"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65" borderId="46"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30" fillId="30" borderId="46" applyNumberFormat="0" applyAlignment="0" applyProtection="0"/>
    <xf numFmtId="0" fontId="4" fillId="69" borderId="45" applyNumberFormat="0" applyFont="0" applyAlignment="0" applyProtection="0"/>
    <xf numFmtId="0" fontId="4" fillId="0" borderId="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30" fillId="30" borderId="46" applyNumberFormat="0" applyAlignment="0" applyProtection="0"/>
    <xf numFmtId="0" fontId="19" fillId="65" borderId="39" applyNumberFormat="0" applyAlignment="0" applyProtection="0"/>
    <xf numFmtId="0" fontId="32" fillId="0" borderId="47" applyNumberFormat="0" applyFill="0" applyAlignment="0" applyProtection="0"/>
    <xf numFmtId="0" fontId="27" fillId="6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30" fillId="73" borderId="46" applyNumberFormat="0" applyAlignment="0" applyProtection="0"/>
    <xf numFmtId="0" fontId="4" fillId="33" borderId="45" applyNumberFormat="0" applyFon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73" borderId="39" applyNumberFormat="0" applyAlignment="0" applyProtection="0"/>
    <xf numFmtId="0" fontId="19" fillId="65" borderId="39" applyNumberFormat="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30" fillId="73" borderId="46" applyNumberFormat="0" applyAlignment="0" applyProtection="0"/>
    <xf numFmtId="10" fontId="51" fillId="89" borderId="5" applyNumberFormat="0" applyBorder="0" applyAlignment="0" applyProtection="0"/>
    <xf numFmtId="0" fontId="30" fillId="73" borderId="46" applyNumberFormat="0" applyAlignment="0" applyProtection="0"/>
    <xf numFmtId="0" fontId="30" fillId="65" borderId="46" applyNumberFormat="0" applyAlignment="0" applyProtection="0"/>
    <xf numFmtId="0" fontId="27" fillId="67" borderId="39" applyNumberFormat="0" applyAlignment="0" applyProtection="0"/>
    <xf numFmtId="0" fontId="4" fillId="33"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16" fillId="69" borderId="45" applyNumberFormat="0" applyFont="0" applyAlignment="0" applyProtection="0"/>
    <xf numFmtId="0" fontId="16" fillId="69" borderId="45" applyNumberFormat="0" applyFon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19" fillId="73"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19" fillId="65" borderId="39" applyNumberFormat="0" applyAlignment="0" applyProtection="0"/>
    <xf numFmtId="0" fontId="19" fillId="73"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30" fillId="65" borderId="46" applyNumberFormat="0" applyAlignment="0" applyProtection="0"/>
    <xf numFmtId="0" fontId="27" fillId="67" borderId="39" applyNumberFormat="0" applyAlignment="0" applyProtection="0"/>
    <xf numFmtId="0" fontId="30" fillId="65" borderId="46" applyNumberFormat="0" applyAlignment="0" applyProtection="0"/>
    <xf numFmtId="0" fontId="30" fillId="73" borderId="46"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19" fillId="65" borderId="39" applyNumberFormat="0" applyAlignment="0" applyProtection="0"/>
    <xf numFmtId="0" fontId="19" fillId="73"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73" borderId="46" applyNumberFormat="0" applyAlignment="0" applyProtection="0"/>
    <xf numFmtId="0" fontId="19" fillId="65" borderId="39" applyNumberFormat="0" applyAlignment="0" applyProtection="0"/>
    <xf numFmtId="0" fontId="19" fillId="65"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65" borderId="46"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30" fillId="73" borderId="46"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30" borderId="46"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65" borderId="39" applyNumberFormat="0" applyAlignment="0" applyProtection="0"/>
    <xf numFmtId="0" fontId="30" fillId="73" borderId="46" applyNumberFormat="0" applyAlignment="0" applyProtection="0"/>
    <xf numFmtId="0" fontId="19" fillId="65" borderId="39" applyNumberFormat="0" applyAlignment="0" applyProtection="0"/>
    <xf numFmtId="0" fontId="30" fillId="73" borderId="46" applyNumberFormat="0" applyAlignment="0" applyProtection="0"/>
    <xf numFmtId="0" fontId="30" fillId="65" borderId="46"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30" fillId="30" borderId="46" applyNumberFormat="0" applyAlignment="0" applyProtection="0"/>
    <xf numFmtId="0" fontId="19" fillId="65"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19" fillId="65"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1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17" borderId="39" applyNumberFormat="0" applyAlignment="0" applyProtection="0"/>
    <xf numFmtId="0" fontId="27" fillId="67" borderId="39" applyNumberFormat="0" applyAlignment="0" applyProtection="0"/>
    <xf numFmtId="0" fontId="19" fillId="65"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27" fillId="17"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19" fillId="65" borderId="39" applyNumberFormat="0" applyAlignment="0" applyProtection="0"/>
    <xf numFmtId="0" fontId="19" fillId="30" borderId="39" applyNumberFormat="0" applyAlignment="0" applyProtection="0"/>
    <xf numFmtId="0" fontId="4" fillId="69"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65" borderId="39" applyNumberFormat="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0" fontId="19" fillId="65" borderId="39" applyNumberFormat="0" applyAlignment="0" applyProtection="0"/>
    <xf numFmtId="0" fontId="27" fillId="67" borderId="39" applyNumberFormat="0" applyAlignment="0" applyProtection="0"/>
    <xf numFmtId="0" fontId="19" fillId="73"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0" fillId="73" borderId="46" applyNumberFormat="0" applyAlignment="0" applyProtection="0"/>
    <xf numFmtId="0" fontId="30" fillId="65"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73"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32" fillId="0" borderId="47" applyNumberFormat="0" applyFill="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30" fillId="30"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30" fillId="65" borderId="46"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4" fillId="33" borderId="45" applyNumberFormat="0" applyFont="0" applyAlignment="0" applyProtection="0"/>
    <xf numFmtId="0" fontId="30" fillId="65" borderId="46"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65" borderId="39" applyNumberFormat="0" applyAlignment="0" applyProtection="0"/>
    <xf numFmtId="0" fontId="30" fillId="73" borderId="46" applyNumberFormat="0" applyAlignment="0" applyProtection="0"/>
    <xf numFmtId="0" fontId="4" fillId="33" borderId="45" applyNumberFormat="0" applyFont="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4" fillId="69" borderId="45" applyNumberFormat="0" applyFont="0" applyAlignment="0" applyProtection="0"/>
    <xf numFmtId="0" fontId="27" fillId="1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4" fillId="33" borderId="45" applyNumberFormat="0" applyFon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4" fillId="33" borderId="45" applyNumberFormat="0" applyFont="0" applyAlignment="0" applyProtection="0"/>
    <xf numFmtId="0" fontId="32" fillId="0" borderId="47" applyNumberFormat="0" applyFill="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30" fillId="73" borderId="46"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65" borderId="39" applyNumberFormat="0" applyAlignment="0" applyProtection="0"/>
    <xf numFmtId="0" fontId="19" fillId="65"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30" fillId="30" borderId="46" applyNumberFormat="0" applyAlignment="0" applyProtection="0"/>
    <xf numFmtId="0" fontId="27" fillId="67" borderId="39" applyNumberFormat="0" applyAlignment="0" applyProtection="0"/>
    <xf numFmtId="0" fontId="30" fillId="65" borderId="46"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30" fillId="65" borderId="46" applyNumberFormat="0" applyAlignment="0" applyProtection="0"/>
    <xf numFmtId="0" fontId="27" fillId="17" borderId="39" applyNumberFormat="0" applyAlignment="0" applyProtection="0"/>
    <xf numFmtId="10" fontId="51" fillId="89" borderId="5" applyNumberFormat="0" applyBorder="0" applyAlignment="0" applyProtection="0"/>
    <xf numFmtId="0" fontId="19" fillId="65"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30" borderId="46"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10" fontId="51" fillId="89" borderId="5" applyNumberFormat="0" applyBorder="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17" borderId="39"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65" borderId="46" applyNumberFormat="0" applyAlignment="0" applyProtection="0"/>
    <xf numFmtId="0" fontId="32" fillId="0" borderId="47" applyNumberFormat="0" applyFill="0" applyAlignment="0" applyProtection="0"/>
    <xf numFmtId="0" fontId="30" fillId="73" borderId="46" applyNumberFormat="0" applyAlignment="0" applyProtection="0"/>
    <xf numFmtId="0" fontId="30" fillId="73" borderId="46" applyNumberFormat="0" applyAlignment="0" applyProtection="0"/>
    <xf numFmtId="0" fontId="30" fillId="65" borderId="46" applyNumberFormat="0" applyAlignment="0" applyProtection="0"/>
    <xf numFmtId="0" fontId="30" fillId="73" borderId="46" applyNumberFormat="0" applyAlignment="0" applyProtection="0"/>
    <xf numFmtId="0" fontId="4" fillId="69" borderId="45" applyNumberFormat="0" applyFont="0" applyAlignment="0" applyProtection="0"/>
    <xf numFmtId="0" fontId="30" fillId="73" borderId="46"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0" fontId="30" fillId="30" borderId="46" applyNumberFormat="0" applyAlignment="0" applyProtection="0"/>
    <xf numFmtId="0" fontId="4" fillId="69" borderId="45" applyNumberFormat="0" applyFont="0" applyAlignment="0" applyProtection="0"/>
    <xf numFmtId="0" fontId="30" fillId="73"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30" borderId="46" applyNumberFormat="0" applyAlignment="0" applyProtection="0"/>
    <xf numFmtId="0" fontId="30" fillId="30" borderId="46" applyNumberFormat="0" applyAlignment="0" applyProtection="0"/>
    <xf numFmtId="0" fontId="27" fillId="17" borderId="39" applyNumberFormat="0" applyAlignment="0" applyProtection="0"/>
    <xf numFmtId="0" fontId="30" fillId="73" borderId="46" applyNumberFormat="0" applyAlignment="0" applyProtection="0"/>
    <xf numFmtId="0" fontId="32" fillId="0" borderId="47" applyNumberFormat="0" applyFill="0" applyAlignment="0" applyProtection="0"/>
    <xf numFmtId="0" fontId="30" fillId="30"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19" fillId="73" borderId="39" applyNumberFormat="0" applyAlignment="0" applyProtection="0"/>
    <xf numFmtId="0" fontId="19" fillId="65"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27" fillId="67" borderId="39" applyNumberFormat="0" applyAlignment="0" applyProtection="0"/>
    <xf numFmtId="0" fontId="30" fillId="30"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65"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19" fillId="73" borderId="39" applyNumberFormat="0" applyAlignment="0" applyProtection="0"/>
    <xf numFmtId="0" fontId="30" fillId="73"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4" fillId="69"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4" fillId="69"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30" fillId="73" borderId="46" applyNumberFormat="0" applyAlignment="0" applyProtection="0"/>
    <xf numFmtId="0" fontId="30" fillId="30" borderId="46" applyNumberFormat="0" applyAlignment="0" applyProtection="0"/>
    <xf numFmtId="0" fontId="30" fillId="65" borderId="46" applyNumberFormat="0" applyAlignment="0" applyProtection="0"/>
    <xf numFmtId="0" fontId="4" fillId="33" borderId="45" applyNumberFormat="0" applyFont="0" applyAlignment="0" applyProtection="0"/>
    <xf numFmtId="10" fontId="51" fillId="89" borderId="5" applyNumberFormat="0" applyBorder="0" applyAlignment="0" applyProtection="0"/>
    <xf numFmtId="0" fontId="27" fillId="17" borderId="39"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33" borderId="45" applyNumberFormat="0" applyFont="0" applyAlignment="0" applyProtection="0"/>
    <xf numFmtId="10" fontId="51" fillId="89" borderId="5" applyNumberFormat="0" applyBorder="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19" fillId="30"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65" borderId="46"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0" fontId="30" fillId="73" borderId="46" applyNumberFormat="0" applyAlignment="0" applyProtection="0"/>
    <xf numFmtId="0" fontId="30" fillId="65" borderId="46" applyNumberForma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27" fillId="1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33" borderId="45" applyNumberFormat="0" applyFont="0" applyAlignment="0" applyProtection="0"/>
    <xf numFmtId="0" fontId="30" fillId="73"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65" borderId="46" applyNumberFormat="0" applyAlignment="0" applyProtection="0"/>
    <xf numFmtId="0" fontId="27" fillId="67" borderId="39" applyNumberFormat="0" applyAlignment="0" applyProtection="0"/>
    <xf numFmtId="0" fontId="19" fillId="65" borderId="39" applyNumberFormat="0" applyAlignment="0" applyProtection="0"/>
    <xf numFmtId="0" fontId="4" fillId="69" borderId="45" applyNumberFormat="0" applyFont="0" applyAlignment="0" applyProtection="0"/>
    <xf numFmtId="0" fontId="30" fillId="30" borderId="46"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73"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19" fillId="30" borderId="39" applyNumberFormat="0" applyAlignment="0" applyProtection="0"/>
    <xf numFmtId="0" fontId="30" fillId="65" borderId="46"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30" fillId="30" borderId="46"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4" fillId="69" borderId="45" applyNumberFormat="0" applyFon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19" fillId="30"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65"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1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19" fillId="65"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0" fillId="30" borderId="46" applyNumberFormat="0" applyAlignment="0" applyProtection="0"/>
    <xf numFmtId="0" fontId="30" fillId="73" borderId="46" applyNumberFormat="0" applyAlignment="0" applyProtection="0"/>
    <xf numFmtId="0" fontId="4" fillId="69" borderId="45" applyNumberFormat="0" applyFon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73"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30" fillId="30"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27" fillId="67" borderId="39" applyNumberFormat="0" applyAlignment="0" applyProtection="0"/>
    <xf numFmtId="0" fontId="32" fillId="0" borderId="47" applyNumberFormat="0" applyFill="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69" borderId="45" applyNumberFormat="0" applyFont="0" applyAlignment="0" applyProtection="0"/>
    <xf numFmtId="0" fontId="32" fillId="0" borderId="47" applyNumberFormat="0" applyFill="0" applyAlignment="0" applyProtection="0"/>
    <xf numFmtId="0" fontId="27" fillId="17" borderId="39" applyNumberFormat="0" applyAlignment="0" applyProtection="0"/>
    <xf numFmtId="10" fontId="51" fillId="89" borderId="5" applyNumberFormat="0" applyBorder="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30" fillId="65"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0" fillId="73" borderId="46" applyNumberFormat="0" applyAlignment="0" applyProtection="0"/>
    <xf numFmtId="0" fontId="30" fillId="65" borderId="46" applyNumberFormat="0" applyAlignment="0" applyProtection="0"/>
    <xf numFmtId="0" fontId="30" fillId="65"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27" fillId="67" borderId="39" applyNumberFormat="0" applyAlignment="0" applyProtection="0"/>
    <xf numFmtId="0" fontId="19" fillId="73" borderId="39" applyNumberFormat="0" applyAlignment="0" applyProtection="0"/>
    <xf numFmtId="0" fontId="19" fillId="73"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65" borderId="46" applyNumberFormat="0" applyAlignment="0" applyProtection="0"/>
    <xf numFmtId="0" fontId="19" fillId="73" borderId="39"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33" borderId="45" applyNumberFormat="0" applyFon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30" fillId="73" borderId="46"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73" borderId="46" applyNumberFormat="0" applyAlignment="0" applyProtection="0"/>
    <xf numFmtId="0" fontId="4" fillId="69" borderId="45" applyNumberFormat="0" applyFont="0" applyAlignment="0" applyProtection="0"/>
    <xf numFmtId="0" fontId="30" fillId="65" borderId="46" applyNumberFormat="0" applyAlignment="0" applyProtection="0"/>
    <xf numFmtId="0" fontId="30" fillId="65"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73" borderId="39" applyNumberFormat="0" applyAlignment="0" applyProtection="0"/>
    <xf numFmtId="0" fontId="19" fillId="65" borderId="39" applyNumberFormat="0" applyAlignment="0" applyProtection="0"/>
    <xf numFmtId="0" fontId="30" fillId="73" borderId="46"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4" fillId="33" borderId="45" applyNumberFormat="0" applyFont="0" applyAlignment="0" applyProtection="0"/>
    <xf numFmtId="0" fontId="27" fillId="1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4" fillId="69" borderId="45" applyNumberFormat="0" applyFont="0" applyAlignment="0" applyProtection="0"/>
    <xf numFmtId="10" fontId="51" fillId="89" borderId="5" applyNumberFormat="0" applyBorder="0" applyAlignment="0" applyProtection="0"/>
    <xf numFmtId="10" fontId="51" fillId="89" borderId="5" applyNumberFormat="0" applyBorder="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27" fillId="17" borderId="39" applyNumberFormat="0" applyAlignment="0" applyProtection="0"/>
    <xf numFmtId="0" fontId="4" fillId="69" borderId="45" applyNumberFormat="0" applyFon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30" fillId="65"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4" fillId="69" borderId="45" applyNumberFormat="0" applyFont="0" applyAlignment="0" applyProtection="0"/>
    <xf numFmtId="0" fontId="30" fillId="30" borderId="46"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30" fillId="65" borderId="46" applyNumberFormat="0" applyAlignment="0" applyProtection="0"/>
    <xf numFmtId="0" fontId="30" fillId="73" borderId="46" applyNumberFormat="0" applyAlignment="0" applyProtection="0"/>
    <xf numFmtId="0" fontId="30" fillId="65" borderId="46" applyNumberFormat="0" applyAlignment="0" applyProtection="0"/>
    <xf numFmtId="0" fontId="30" fillId="65" borderId="46"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65" borderId="39" applyNumberFormat="0" applyAlignment="0" applyProtection="0"/>
    <xf numFmtId="0" fontId="32" fillId="0" borderId="47" applyNumberFormat="0" applyFill="0" applyAlignment="0" applyProtection="0"/>
    <xf numFmtId="0" fontId="30" fillId="73" borderId="46" applyNumberFormat="0" applyAlignment="0" applyProtection="0"/>
    <xf numFmtId="0" fontId="30" fillId="30" borderId="46" applyNumberFormat="0" applyAlignment="0" applyProtection="0"/>
    <xf numFmtId="0" fontId="27" fillId="67" borderId="39" applyNumberFormat="0" applyAlignment="0" applyProtection="0"/>
    <xf numFmtId="0" fontId="30" fillId="30"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30" fillId="65" borderId="46" applyNumberFormat="0" applyAlignment="0" applyProtection="0"/>
    <xf numFmtId="0" fontId="27" fillId="17" borderId="39" applyNumberFormat="0" applyAlignment="0" applyProtection="0"/>
    <xf numFmtId="10" fontId="51" fillId="89" borderId="5" applyNumberFormat="0" applyBorder="0" applyAlignment="0" applyProtection="0"/>
    <xf numFmtId="0" fontId="19" fillId="65" borderId="39" applyNumberFormat="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10" fontId="51" fillId="89" borderId="5" applyNumberFormat="0" applyBorder="0" applyAlignment="0" applyProtection="0"/>
    <xf numFmtId="0" fontId="19" fillId="30" borderId="39"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0" fontId="30" fillId="73"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30" fillId="30" borderId="46" applyNumberFormat="0" applyAlignment="0" applyProtection="0"/>
    <xf numFmtId="10" fontId="51" fillId="89" borderId="5" applyNumberFormat="0" applyBorder="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19" fillId="73"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27" fillId="17" borderId="39" applyNumberFormat="0" applyAlignment="0" applyProtection="0"/>
    <xf numFmtId="0" fontId="32" fillId="0" borderId="47" applyNumberFormat="0" applyFill="0" applyAlignment="0" applyProtection="0"/>
    <xf numFmtId="0" fontId="27" fillId="17" borderId="39" applyNumberFormat="0" applyAlignment="0" applyProtection="0"/>
    <xf numFmtId="0" fontId="27" fillId="67" borderId="39"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4" fillId="33" borderId="45" applyNumberFormat="0" applyFont="0" applyAlignment="0" applyProtection="0"/>
    <xf numFmtId="0" fontId="30" fillId="65" borderId="46" applyNumberFormat="0" applyAlignment="0" applyProtection="0"/>
    <xf numFmtId="0" fontId="27" fillId="67" borderId="39" applyNumberFormat="0" applyAlignment="0" applyProtection="0"/>
    <xf numFmtId="0" fontId="19" fillId="30" borderId="39" applyNumberFormat="0" applyAlignment="0" applyProtection="0"/>
    <xf numFmtId="0" fontId="27" fillId="17" borderId="39" applyNumberFormat="0" applyAlignment="0" applyProtection="0"/>
    <xf numFmtId="0" fontId="19" fillId="65"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27" fillId="67" borderId="39" applyNumberFormat="0" applyAlignment="0" applyProtection="0"/>
    <xf numFmtId="0" fontId="19" fillId="73"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2" fillId="0" borderId="47" applyNumberFormat="0" applyFill="0" applyAlignment="0" applyProtection="0"/>
    <xf numFmtId="10" fontId="51" fillId="89" borderId="5" applyNumberFormat="0" applyBorder="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32" fillId="0" borderId="47" applyNumberFormat="0" applyFill="0" applyAlignment="0" applyProtection="0"/>
    <xf numFmtId="0" fontId="30" fillId="30" borderId="46" applyNumberFormat="0" applyAlignment="0" applyProtection="0"/>
    <xf numFmtId="0" fontId="30" fillId="30" borderId="46" applyNumberFormat="0" applyAlignment="0" applyProtection="0"/>
    <xf numFmtId="0" fontId="27" fillId="67" borderId="39" applyNumberFormat="0" applyAlignment="0" applyProtection="0"/>
    <xf numFmtId="0" fontId="30" fillId="65"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4" fillId="33" borderId="45" applyNumberFormat="0" applyFon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19" fillId="30" borderId="39" applyNumberFormat="0" applyAlignment="0" applyProtection="0"/>
    <xf numFmtId="0" fontId="30" fillId="30" borderId="46" applyNumberFormat="0" applyAlignment="0" applyProtection="0"/>
    <xf numFmtId="0" fontId="30" fillId="73" borderId="46"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17" borderId="39" applyNumberFormat="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30" fillId="30" borderId="46"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32" fillId="0" borderId="47" applyNumberFormat="0" applyFill="0" applyAlignment="0" applyProtection="0"/>
    <xf numFmtId="0" fontId="27" fillId="1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30" fillId="65" borderId="46" applyNumberFormat="0" applyAlignment="0" applyProtection="0"/>
    <xf numFmtId="0" fontId="27" fillId="1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30" fillId="65" borderId="46" applyNumberFormat="0" applyAlignment="0" applyProtection="0"/>
    <xf numFmtId="10" fontId="51" fillId="89" borderId="5" applyNumberFormat="0" applyBorder="0" applyAlignment="0" applyProtection="0"/>
    <xf numFmtId="0" fontId="4" fillId="69" borderId="45" applyNumberFormat="0" applyFont="0" applyAlignment="0" applyProtection="0"/>
    <xf numFmtId="10" fontId="51" fillId="89" borderId="5" applyNumberFormat="0" applyBorder="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19" fillId="65"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65" borderId="39" applyNumberFormat="0" applyAlignment="0" applyProtection="0"/>
    <xf numFmtId="0" fontId="4" fillId="69" borderId="45" applyNumberFormat="0" applyFon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19" fillId="73" borderId="39" applyNumberFormat="0" applyAlignment="0" applyProtection="0"/>
    <xf numFmtId="0" fontId="4" fillId="69" borderId="45" applyNumberFormat="0" applyFont="0" applyAlignment="0" applyProtection="0"/>
    <xf numFmtId="0" fontId="19" fillId="30" borderId="39" applyNumberFormat="0" applyAlignment="0" applyProtection="0"/>
    <xf numFmtId="0" fontId="30" fillId="65" borderId="46"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30" borderId="46"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30" fillId="65"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73"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27" fillId="67" borderId="39" applyNumberFormat="0" applyAlignment="0" applyProtection="0"/>
    <xf numFmtId="0" fontId="27" fillId="17" borderId="39" applyNumberFormat="0" applyAlignment="0" applyProtection="0"/>
    <xf numFmtId="0" fontId="19" fillId="65" borderId="39"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27" fillId="67" borderId="39" applyNumberFormat="0" applyAlignment="0" applyProtection="0"/>
    <xf numFmtId="0" fontId="4" fillId="69" borderId="45" applyNumberFormat="0" applyFon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0" fontId="30" fillId="65" borderId="46" applyNumberFormat="0" applyAlignment="0" applyProtection="0"/>
    <xf numFmtId="10" fontId="51" fillId="89" borderId="5" applyNumberFormat="0" applyBorder="0" applyAlignment="0" applyProtection="0"/>
    <xf numFmtId="0" fontId="32" fillId="0" borderId="47" applyNumberFormat="0" applyFill="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4" fillId="69" borderId="45" applyNumberFormat="0" applyFont="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10" fontId="51" fillId="89" borderId="5" applyNumberFormat="0" applyBorder="0" applyAlignment="0" applyProtection="0"/>
    <xf numFmtId="0" fontId="4" fillId="69" borderId="45" applyNumberFormat="0" applyFon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19" fillId="65"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30"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4" fillId="33" borderId="45" applyNumberFormat="0" applyFont="0" applyAlignment="0" applyProtection="0"/>
    <xf numFmtId="10" fontId="51" fillId="89" borderId="5" applyNumberFormat="0" applyBorder="0" applyAlignment="0" applyProtection="0"/>
    <xf numFmtId="0" fontId="32" fillId="0" borderId="47" applyNumberFormat="0" applyFill="0" applyAlignment="0" applyProtection="0"/>
    <xf numFmtId="0" fontId="27" fillId="67" borderId="39" applyNumberFormat="0" applyAlignment="0" applyProtection="0"/>
    <xf numFmtId="0" fontId="30" fillId="65"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30" fillId="65"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4" fillId="69" borderId="45" applyNumberFormat="0" applyFont="0" applyAlignment="0" applyProtection="0"/>
    <xf numFmtId="0" fontId="32" fillId="0" borderId="47" applyNumberFormat="0" applyFill="0" applyAlignment="0" applyProtection="0"/>
    <xf numFmtId="10" fontId="51" fillId="89" borderId="5" applyNumberFormat="0" applyBorder="0" applyAlignment="0" applyProtection="0"/>
    <xf numFmtId="0" fontId="30" fillId="30" borderId="46" applyNumberFormat="0" applyAlignment="0" applyProtection="0"/>
    <xf numFmtId="0" fontId="19" fillId="65"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0" fillId="30" borderId="46" applyNumberFormat="0" applyAlignment="0" applyProtection="0"/>
    <xf numFmtId="0" fontId="4" fillId="33" borderId="45" applyNumberFormat="0" applyFont="0" applyAlignment="0" applyProtection="0"/>
    <xf numFmtId="0" fontId="27" fillId="67" borderId="39" applyNumberFormat="0" applyAlignment="0" applyProtection="0"/>
    <xf numFmtId="0" fontId="4" fillId="69" borderId="45" applyNumberFormat="0" applyFont="0" applyAlignment="0" applyProtection="0"/>
    <xf numFmtId="0" fontId="30" fillId="30" borderId="46" applyNumberFormat="0" applyAlignment="0" applyProtection="0"/>
    <xf numFmtId="0" fontId="27" fillId="17" borderId="39" applyNumberFormat="0" applyAlignment="0" applyProtection="0"/>
    <xf numFmtId="0" fontId="19" fillId="30"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30" borderId="46"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17" borderId="39" applyNumberFormat="0" applyAlignment="0" applyProtection="0"/>
    <xf numFmtId="0" fontId="30" fillId="65" borderId="46" applyNumberFormat="0" applyAlignment="0" applyProtection="0"/>
    <xf numFmtId="0" fontId="32" fillId="0" borderId="47" applyNumberFormat="0" applyFill="0" applyAlignment="0" applyProtection="0"/>
    <xf numFmtId="0" fontId="30" fillId="30" borderId="46" applyNumberFormat="0" applyAlignment="0" applyProtection="0"/>
    <xf numFmtId="0" fontId="27" fillId="67" borderId="39" applyNumberFormat="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32" fillId="0" borderId="47" applyNumberFormat="0" applyFill="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10" fontId="51" fillId="89" borderId="5" applyNumberFormat="0" applyBorder="0" applyAlignment="0" applyProtection="0"/>
    <xf numFmtId="0" fontId="30" fillId="73" borderId="46" applyNumberFormat="0" applyAlignment="0" applyProtection="0"/>
    <xf numFmtId="0" fontId="27" fillId="67" borderId="39" applyNumberFormat="0" applyAlignment="0" applyProtection="0"/>
    <xf numFmtId="0" fontId="30" fillId="65" borderId="46" applyNumberFormat="0" applyAlignment="0" applyProtection="0"/>
    <xf numFmtId="0" fontId="19" fillId="30" borderId="39" applyNumberFormat="0" applyAlignment="0" applyProtection="0"/>
    <xf numFmtId="0" fontId="19" fillId="73"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30" fillId="30" borderId="46"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73" borderId="46" applyNumberFormat="0" applyAlignment="0" applyProtection="0"/>
    <xf numFmtId="0" fontId="19" fillId="65" borderId="39" applyNumberFormat="0" applyAlignment="0" applyProtection="0"/>
    <xf numFmtId="0" fontId="19" fillId="65"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65" borderId="46"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30" fillId="73" borderId="46" applyNumberFormat="0" applyAlignment="0" applyProtection="0"/>
    <xf numFmtId="0" fontId="19" fillId="65" borderId="39" applyNumberFormat="0" applyAlignment="0" applyProtection="0"/>
    <xf numFmtId="0" fontId="19" fillId="65"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65" borderId="46" applyNumberFormat="0" applyAlignment="0" applyProtection="0"/>
    <xf numFmtId="0" fontId="30" fillId="65"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73"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73"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4" fillId="33"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16" fillId="69" borderId="45" applyNumberFormat="0" applyFont="0" applyAlignment="0" applyProtection="0"/>
    <xf numFmtId="0" fontId="16" fillId="69" borderId="45" applyNumberFormat="0" applyFon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2" fillId="0" borderId="4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19" fillId="65" borderId="39" applyNumberFormat="0" applyAlignment="0" applyProtection="0"/>
    <xf numFmtId="0" fontId="19" fillId="73"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30" fillId="65" borderId="46" applyNumberFormat="0" applyAlignment="0" applyProtection="0"/>
    <xf numFmtId="0" fontId="30" fillId="73" borderId="46"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19" fillId="65" borderId="39" applyNumberFormat="0" applyAlignment="0" applyProtection="0"/>
    <xf numFmtId="0" fontId="19" fillId="73"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12" fillId="0" borderId="0"/>
    <xf numFmtId="0" fontId="12" fillId="39" borderId="62" applyNumberFormat="0" applyFont="0" applyAlignment="0" applyProtection="0"/>
    <xf numFmtId="0" fontId="12" fillId="42"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12" fillId="49" borderId="0" applyNumberFormat="0" applyBorder="0" applyAlignment="0" applyProtection="0"/>
    <xf numFmtId="0" fontId="12" fillId="50" borderId="0" applyNumberFormat="0" applyBorder="0" applyAlignment="0" applyProtection="0"/>
    <xf numFmtId="0" fontId="12" fillId="53" borderId="0" applyNumberFormat="0" applyBorder="0" applyAlignment="0" applyProtection="0"/>
    <xf numFmtId="0" fontId="12" fillId="54" borderId="0" applyNumberFormat="0" applyBorder="0" applyAlignment="0" applyProtection="0"/>
    <xf numFmtId="0" fontId="12" fillId="57"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12" fillId="62" borderId="0" applyNumberFormat="0" applyBorder="0" applyAlignment="0" applyProtection="0"/>
    <xf numFmtId="0" fontId="12" fillId="0" borderId="0"/>
    <xf numFmtId="0" fontId="12" fillId="39" borderId="62" applyNumberFormat="0" applyFont="0" applyAlignment="0" applyProtection="0"/>
    <xf numFmtId="0" fontId="12" fillId="42"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12" fillId="49" borderId="0" applyNumberFormat="0" applyBorder="0" applyAlignment="0" applyProtection="0"/>
    <xf numFmtId="0" fontId="12" fillId="50" borderId="0" applyNumberFormat="0" applyBorder="0" applyAlignment="0" applyProtection="0"/>
    <xf numFmtId="0" fontId="12" fillId="53" borderId="0" applyNumberFormat="0" applyBorder="0" applyAlignment="0" applyProtection="0"/>
    <xf numFmtId="0" fontId="12" fillId="54" borderId="0" applyNumberFormat="0" applyBorder="0" applyAlignment="0" applyProtection="0"/>
    <xf numFmtId="0" fontId="12" fillId="57"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12" fillId="62" borderId="0" applyNumberFormat="0" applyBorder="0" applyAlignment="0" applyProtection="0"/>
    <xf numFmtId="0" fontId="12" fillId="0" borderId="0"/>
    <xf numFmtId="0" fontId="12" fillId="39" borderId="62" applyNumberFormat="0" applyFont="0" applyAlignment="0" applyProtection="0"/>
    <xf numFmtId="0" fontId="12" fillId="42"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12" fillId="49" borderId="0" applyNumberFormat="0" applyBorder="0" applyAlignment="0" applyProtection="0"/>
    <xf numFmtId="0" fontId="12" fillId="50" borderId="0" applyNumberFormat="0" applyBorder="0" applyAlignment="0" applyProtection="0"/>
    <xf numFmtId="0" fontId="12" fillId="53" borderId="0" applyNumberFormat="0" applyBorder="0" applyAlignment="0" applyProtection="0"/>
    <xf numFmtId="0" fontId="12" fillId="54" borderId="0" applyNumberFormat="0" applyBorder="0" applyAlignment="0" applyProtection="0"/>
    <xf numFmtId="0" fontId="12" fillId="57"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12" fillId="62"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41"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64" borderId="0" applyNumberFormat="0" applyBorder="0" applyAlignment="0" applyProtection="0"/>
    <xf numFmtId="0" fontId="12" fillId="41"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45"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49"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53" borderId="0" applyNumberFormat="0" applyBorder="0" applyAlignment="0" applyProtection="0"/>
    <xf numFmtId="0" fontId="12" fillId="57" borderId="0" applyNumberFormat="0" applyBorder="0" applyAlignment="0" applyProtection="0"/>
    <xf numFmtId="0" fontId="12" fillId="57" borderId="0" applyNumberFormat="0" applyBorder="0" applyAlignment="0" applyProtection="0"/>
    <xf numFmtId="0" fontId="12" fillId="61" borderId="0" applyNumberFormat="0" applyBorder="0" applyAlignment="0" applyProtection="0"/>
    <xf numFmtId="0" fontId="12" fillId="61"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50"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8" borderId="0" applyNumberFormat="0" applyBorder="0" applyAlignment="0" applyProtection="0"/>
    <xf numFmtId="0" fontId="12" fillId="58"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12" fillId="62" borderId="0" applyNumberFormat="0" applyBorder="0" applyAlignment="0" applyProtection="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12"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12" fillId="0" borderId="0"/>
    <xf numFmtId="0" fontId="4"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12" fillId="0" borderId="0"/>
    <xf numFmtId="0" fontId="4" fillId="0" borderId="0"/>
    <xf numFmtId="0" fontId="4" fillId="0" borderId="0"/>
    <xf numFmtId="0" fontId="4"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4" fillId="0" borderId="0"/>
    <xf numFmtId="0" fontId="4" fillId="0" borderId="0"/>
    <xf numFmtId="0" fontId="12" fillId="0" borderId="0"/>
    <xf numFmtId="0" fontId="12" fillId="0" borderId="0"/>
    <xf numFmtId="0" fontId="12" fillId="0" borderId="0"/>
    <xf numFmtId="0" fontId="4" fillId="0" borderId="0"/>
    <xf numFmtId="0" fontId="4" fillId="0" borderId="0"/>
    <xf numFmtId="0" fontId="4" fillId="0" borderId="0"/>
    <xf numFmtId="0" fontId="12" fillId="0" borderId="0"/>
    <xf numFmtId="0" fontId="12" fillId="0" borderId="0"/>
    <xf numFmtId="0" fontId="4" fillId="0" borderId="0"/>
    <xf numFmtId="0" fontId="4" fillId="0" borderId="0"/>
    <xf numFmtId="0" fontId="12" fillId="0" borderId="0"/>
    <xf numFmtId="0" fontId="4" fillId="0" borderId="0"/>
    <xf numFmtId="0" fontId="4" fillId="0" borderId="0"/>
    <xf numFmtId="0" fontId="12" fillId="0" borderId="0"/>
    <xf numFmtId="0" fontId="4" fillId="0" borderId="0"/>
    <xf numFmtId="0" fontId="12"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4" fillId="0" borderId="0"/>
    <xf numFmtId="0" fontId="12"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69"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0" fontId="30" fillId="30" borderId="46"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4" fillId="33"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19" fillId="30"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27" fillId="17" borderId="39" applyNumberFormat="0" applyAlignment="0" applyProtection="0"/>
    <xf numFmtId="0" fontId="19" fillId="30"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17"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27" fillId="17" borderId="39" applyNumberFormat="0" applyAlignment="0" applyProtection="0"/>
    <xf numFmtId="0" fontId="30" fillId="30" borderId="46" applyNumberFormat="0" applyAlignment="0" applyProtection="0"/>
    <xf numFmtId="0" fontId="30" fillId="30" borderId="46"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27" fillId="17" borderId="39" applyNumberFormat="0" applyAlignment="0" applyProtection="0"/>
    <xf numFmtId="0" fontId="30" fillId="30" borderId="46"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19" fillId="30" borderId="39" applyNumberFormat="0" applyAlignment="0" applyProtection="0"/>
    <xf numFmtId="0" fontId="30" fillId="30" borderId="46" applyNumberFormat="0" applyAlignment="0" applyProtection="0"/>
    <xf numFmtId="0" fontId="19" fillId="30" borderId="39" applyNumberFormat="0" applyAlignment="0" applyProtection="0"/>
    <xf numFmtId="0" fontId="27" fillId="17" borderId="39" applyNumberFormat="0" applyAlignment="0" applyProtection="0"/>
    <xf numFmtId="0" fontId="30" fillId="30" borderId="46" applyNumberFormat="0" applyAlignment="0" applyProtection="0"/>
    <xf numFmtId="0" fontId="30" fillId="30" borderId="46" applyNumberFormat="0" applyAlignment="0" applyProtection="0"/>
    <xf numFmtId="0" fontId="27" fillId="17"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27" fillId="17"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17" borderId="39" applyNumberFormat="0" applyAlignment="0" applyProtection="0"/>
    <xf numFmtId="0" fontId="19" fillId="30" borderId="39" applyNumberFormat="0" applyAlignment="0" applyProtection="0"/>
    <xf numFmtId="0" fontId="27" fillId="17" borderId="39" applyNumberFormat="0" applyAlignment="0" applyProtection="0"/>
    <xf numFmtId="0" fontId="27" fillId="17" borderId="39"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27" fillId="17" borderId="39" applyNumberFormat="0" applyAlignment="0" applyProtection="0"/>
    <xf numFmtId="0" fontId="19" fillId="30" borderId="39" applyNumberFormat="0" applyAlignment="0" applyProtection="0"/>
    <xf numFmtId="0" fontId="30" fillId="30" borderId="46" applyNumberFormat="0" applyAlignment="0" applyProtection="0"/>
    <xf numFmtId="0" fontId="4" fillId="0" borderId="0"/>
    <xf numFmtId="0" fontId="12" fillId="41" borderId="0" applyNumberFormat="0" applyBorder="0" applyAlignment="0" applyProtection="0"/>
    <xf numFmtId="0" fontId="12" fillId="45" borderId="0" applyNumberFormat="0" applyBorder="0" applyAlignment="0" applyProtection="0"/>
    <xf numFmtId="0" fontId="12" fillId="45"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48" fillId="43" borderId="0" applyNumberFormat="0" applyBorder="0" applyAlignment="0" applyProtection="0"/>
    <xf numFmtId="0" fontId="48" fillId="43" borderId="0" applyNumberFormat="0" applyBorder="0" applyAlignment="0" applyProtection="0"/>
    <xf numFmtId="0" fontId="48" fillId="47" borderId="0" applyNumberFormat="0" applyBorder="0" applyAlignment="0" applyProtection="0"/>
    <xf numFmtId="0" fontId="48" fillId="47" borderId="0" applyNumberFormat="0" applyBorder="0" applyAlignment="0" applyProtection="0"/>
    <xf numFmtId="0" fontId="48" fillId="51" borderId="0" applyNumberFormat="0" applyBorder="0" applyAlignment="0" applyProtection="0"/>
    <xf numFmtId="0" fontId="48" fillId="51" borderId="0" applyNumberFormat="0" applyBorder="0" applyAlignment="0" applyProtection="0"/>
    <xf numFmtId="0" fontId="48" fillId="51" borderId="0" applyNumberFormat="0" applyBorder="0" applyAlignment="0" applyProtection="0"/>
    <xf numFmtId="0" fontId="48" fillId="55" borderId="0" applyNumberFormat="0" applyBorder="0" applyAlignment="0" applyProtection="0"/>
    <xf numFmtId="0" fontId="48" fillId="55" borderId="0" applyNumberFormat="0" applyBorder="0" applyAlignment="0" applyProtection="0"/>
    <xf numFmtId="0" fontId="48" fillId="55" borderId="0" applyNumberFormat="0" applyBorder="0" applyAlignment="0" applyProtection="0"/>
    <xf numFmtId="0" fontId="48" fillId="59" borderId="0" applyNumberFormat="0" applyBorder="0" applyAlignment="0" applyProtection="0"/>
    <xf numFmtId="0" fontId="48" fillId="59" borderId="0" applyNumberFormat="0" applyBorder="0" applyAlignment="0" applyProtection="0"/>
    <xf numFmtId="0" fontId="48" fillId="63" borderId="0" applyNumberFormat="0" applyBorder="0" applyAlignment="0" applyProtection="0"/>
    <xf numFmtId="0" fontId="48" fillId="63" borderId="0" applyNumberFormat="0" applyBorder="0" applyAlignment="0" applyProtection="0"/>
    <xf numFmtId="0" fontId="48" fillId="63" borderId="0" applyNumberFormat="0" applyBorder="0" applyAlignment="0" applyProtection="0"/>
    <xf numFmtId="0" fontId="48" fillId="48" borderId="0" applyNumberFormat="0" applyBorder="0" applyAlignment="0" applyProtection="0"/>
    <xf numFmtId="0" fontId="48" fillId="48" borderId="0" applyNumberFormat="0" applyBorder="0" applyAlignment="0" applyProtection="0"/>
    <xf numFmtId="0" fontId="48" fillId="52" borderId="0" applyNumberFormat="0" applyBorder="0" applyAlignment="0" applyProtection="0"/>
    <xf numFmtId="0" fontId="48" fillId="52" borderId="0" applyNumberFormat="0" applyBorder="0" applyAlignment="0" applyProtection="0"/>
    <xf numFmtId="0" fontId="48" fillId="56" borderId="0" applyNumberFormat="0" applyBorder="0" applyAlignment="0" applyProtection="0"/>
    <xf numFmtId="0" fontId="48" fillId="56" borderId="0" applyNumberFormat="0" applyBorder="0" applyAlignment="0" applyProtection="0"/>
    <xf numFmtId="0" fontId="48" fillId="60" borderId="0" applyNumberFormat="0" applyBorder="0" applyAlignment="0" applyProtection="0"/>
    <xf numFmtId="0" fontId="48" fillId="60" borderId="0" applyNumberFormat="0" applyBorder="0" applyAlignment="0" applyProtection="0"/>
    <xf numFmtId="0" fontId="52" fillId="66" borderId="0" applyNumberFormat="0" applyBorder="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65"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30" borderId="39" applyNumberFormat="0" applyAlignment="0" applyProtection="0"/>
    <xf numFmtId="0" fontId="19" fillId="73" borderId="39" applyNumberFormat="0" applyAlignment="0" applyProtection="0"/>
    <xf numFmtId="0" fontId="19" fillId="73" borderId="39" applyNumberFormat="0" applyAlignment="0" applyProtection="0"/>
    <xf numFmtId="0" fontId="19" fillId="73" borderId="39" applyNumberFormat="0" applyAlignment="0" applyProtection="0"/>
    <xf numFmtId="0" fontId="42" fillId="37" borderId="11" applyNumberFormat="0" applyAlignment="0" applyProtection="0"/>
    <xf numFmtId="0" fontId="19" fillId="73" borderId="39" applyNumberFormat="0" applyAlignment="0" applyProtection="0"/>
    <xf numFmtId="0" fontId="19" fillId="73" borderId="39" applyNumberFormat="0" applyAlignment="0" applyProtection="0"/>
    <xf numFmtId="0" fontId="42" fillId="37" borderId="11" applyNumberFormat="0" applyAlignment="0" applyProtection="0"/>
    <xf numFmtId="0" fontId="21" fillId="0" borderId="0" applyNumberFormat="0" applyFill="0" applyBorder="0" applyAlignment="0" applyProtection="0"/>
    <xf numFmtId="0" fontId="53" fillId="0" borderId="65" applyNumberFormat="0" applyFill="0" applyAlignment="0" applyProtection="0"/>
    <xf numFmtId="0" fontId="55" fillId="0" borderId="66" applyNumberFormat="0" applyFill="0" applyAlignment="0" applyProtection="0"/>
    <xf numFmtId="0" fontId="55"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10" fontId="51" fillId="89" borderId="5" applyNumberFormat="0" applyBorder="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1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27" fillId="67" borderId="39" applyNumberFormat="0" applyAlignment="0" applyProtection="0"/>
    <xf numFmtId="0" fontId="4" fillId="0" borderId="0"/>
    <xf numFmtId="0" fontId="16" fillId="0" borderId="0"/>
    <xf numFmtId="0" fontId="4" fillId="0" borderId="0"/>
    <xf numFmtId="0" fontId="4" fillId="0" borderId="0"/>
    <xf numFmtId="0" fontId="16" fillId="0" borderId="0"/>
    <xf numFmtId="0" fontId="4" fillId="0" borderId="0"/>
    <xf numFmtId="0" fontId="16" fillId="0" borderId="0"/>
    <xf numFmtId="0" fontId="16" fillId="0" borderId="0"/>
    <xf numFmtId="0" fontId="4" fillId="0" borderId="0"/>
    <xf numFmtId="0" fontId="16" fillId="0" borderId="0"/>
    <xf numFmtId="0" fontId="4" fillId="0" borderId="0"/>
    <xf numFmtId="0" fontId="4" fillId="0" borderId="0"/>
    <xf numFmtId="0" fontId="16" fillId="0" borderId="0"/>
    <xf numFmtId="0" fontId="4"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4" fillId="0" borderId="0"/>
    <xf numFmtId="0" fontId="4" fillId="0" borderId="0"/>
    <xf numFmtId="0" fontId="4" fillId="33"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16" fillId="69" borderId="45" applyNumberFormat="0" applyFont="0" applyAlignment="0" applyProtection="0"/>
    <xf numFmtId="0" fontId="16" fillId="69" borderId="45" applyNumberFormat="0" applyFont="0" applyAlignment="0" applyProtection="0"/>
    <xf numFmtId="0" fontId="16" fillId="69" borderId="45" applyNumberFormat="0" applyFont="0" applyAlignment="0" applyProtection="0"/>
    <xf numFmtId="0" fontId="16" fillId="69" borderId="45" applyNumberFormat="0" applyFon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41" fillId="37" borderId="59"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41" fillId="37" borderId="59" applyNumberFormat="0" applyAlignment="0" applyProtection="0"/>
    <xf numFmtId="0" fontId="30" fillId="73" borderId="46" applyNumberFormat="0" applyAlignment="0" applyProtection="0"/>
    <xf numFmtId="10" fontId="4" fillId="0" borderId="0" applyFont="0" applyFill="0" applyBorder="0" applyAlignment="0" applyProtection="0"/>
    <xf numFmtId="10" fontId="4" fillId="0" borderId="0" applyFont="0" applyFill="0" applyBorder="0" applyAlignment="0" applyProtection="0"/>
    <xf numFmtId="0" fontId="57" fillId="0" borderId="0" applyNumberFormat="0" applyFill="0" applyBorder="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55" fillId="0" borderId="66" applyNumberFormat="0" applyFill="0" applyAlignment="0" applyProtection="0"/>
    <xf numFmtId="0" fontId="27" fillId="17" borderId="39" applyNumberFormat="0" applyAlignment="0" applyProtection="0"/>
    <xf numFmtId="0" fontId="4" fillId="0" borderId="0"/>
    <xf numFmtId="0" fontId="4" fillId="0" borderId="0"/>
    <xf numFmtId="0" fontId="4" fillId="33"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16" fillId="39" borderId="62"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69"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4" fillId="33" borderId="45" applyNumberFormat="0" applyFont="0" applyAlignment="0" applyProtection="0"/>
    <xf numFmtId="0" fontId="16" fillId="69" borderId="45" applyNumberFormat="0" applyFont="0" applyAlignment="0" applyProtection="0"/>
    <xf numFmtId="0" fontId="16" fillId="69" borderId="45" applyNumberFormat="0" applyFont="0" applyAlignment="0" applyProtection="0"/>
    <xf numFmtId="0" fontId="16" fillId="69" borderId="45" applyNumberFormat="0" applyFont="0" applyAlignment="0" applyProtection="0"/>
    <xf numFmtId="0" fontId="16" fillId="69" borderId="45" applyNumberFormat="0" applyFon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65"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30"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30" fillId="73" borderId="46" applyNumberFormat="0" applyAlignment="0" applyProtection="0"/>
    <xf numFmtId="0" fontId="57" fillId="0" borderId="0" applyNumberFormat="0" applyFill="0" applyBorder="0" applyAlignment="0" applyProtection="0"/>
    <xf numFmtId="0" fontId="47" fillId="0" borderId="6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32" fillId="0" borderId="4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47" fillId="0" borderId="67" applyNumberFormat="0" applyFill="0" applyAlignment="0" applyProtection="0"/>
    <xf numFmtId="0" fontId="47" fillId="0" borderId="67" applyNumberFormat="0" applyFill="0" applyAlignment="0" applyProtection="0"/>
  </cellStyleXfs>
  <cellXfs count="380">
    <xf numFmtId="0" fontId="0" fillId="0" borderId="0" xfId="0"/>
    <xf numFmtId="0" fontId="0" fillId="91" borderId="0" xfId="0" applyFill="1"/>
    <xf numFmtId="0" fontId="1" fillId="0" borderId="4" xfId="0" applyFont="1" applyBorder="1" applyAlignment="1">
      <alignment horizontal="left"/>
    </xf>
    <xf numFmtId="0" fontId="5" fillId="11" borderId="18" xfId="0" applyFont="1" applyFill="1" applyBorder="1" applyAlignment="1" applyProtection="1">
      <alignment horizontal="center" vertical="center"/>
      <protection locked="0"/>
    </xf>
    <xf numFmtId="0" fontId="5" fillId="11" borderId="18" xfId="0" applyFont="1" applyFill="1" applyBorder="1" applyAlignment="1" applyProtection="1">
      <alignment horizontal="center"/>
      <protection locked="0"/>
    </xf>
    <xf numFmtId="0" fontId="5" fillId="9" borderId="19" xfId="0" applyFont="1" applyFill="1" applyBorder="1" applyAlignment="1" applyProtection="1">
      <alignment horizontal="center"/>
      <protection locked="0"/>
    </xf>
    <xf numFmtId="0" fontId="1" fillId="0" borderId="0" xfId="0" applyFont="1" applyFill="1" applyAlignment="1" applyProtection="1">
      <alignment horizontal="left"/>
      <protection hidden="1"/>
    </xf>
    <xf numFmtId="0" fontId="5" fillId="11" borderId="22" xfId="0" applyFont="1" applyFill="1" applyBorder="1" applyAlignment="1" applyProtection="1">
      <alignment horizontal="center"/>
      <protection locked="0"/>
    </xf>
    <xf numFmtId="49" fontId="1" fillId="10" borderId="1" xfId="0" applyNumberFormat="1" applyFont="1" applyFill="1" applyBorder="1" applyAlignment="1" applyProtection="1">
      <alignment horizontal="left"/>
      <protection hidden="1"/>
    </xf>
    <xf numFmtId="0" fontId="5" fillId="11" borderId="30" xfId="0" applyFont="1" applyFill="1" applyBorder="1" applyAlignment="1" applyProtection="1">
      <alignment horizontal="center"/>
      <protection locked="0"/>
    </xf>
    <xf numFmtId="0" fontId="5" fillId="11" borderId="31" xfId="0" applyFont="1" applyFill="1" applyBorder="1" applyAlignment="1" applyProtection="1">
      <alignment horizontal="center"/>
      <protection locked="0"/>
    </xf>
    <xf numFmtId="0" fontId="5" fillId="11" borderId="33" xfId="0" applyFont="1" applyFill="1" applyBorder="1" applyAlignment="1" applyProtection="1">
      <alignment horizontal="center"/>
      <protection locked="0"/>
    </xf>
    <xf numFmtId="0" fontId="5" fillId="11" borderId="34" xfId="0" quotePrefix="1" applyFont="1" applyFill="1" applyBorder="1" applyAlignment="1" applyProtection="1">
      <alignment horizontal="center"/>
      <protection locked="0"/>
    </xf>
    <xf numFmtId="0" fontId="5" fillId="11" borderId="36" xfId="0" applyFont="1" applyFill="1" applyBorder="1" applyAlignment="1" applyProtection="1">
      <alignment horizontal="center"/>
      <protection locked="0"/>
    </xf>
    <xf numFmtId="0" fontId="5" fillId="11" borderId="22" xfId="0" quotePrefix="1" applyFont="1" applyFill="1" applyBorder="1" applyAlignment="1" applyProtection="1">
      <alignment horizontal="center"/>
      <protection locked="0"/>
    </xf>
    <xf numFmtId="0" fontId="5" fillId="11" borderId="37" xfId="0" quotePrefix="1" applyFont="1" applyFill="1" applyBorder="1" applyAlignment="1" applyProtection="1">
      <alignment horizontal="center"/>
      <protection locked="0"/>
    </xf>
    <xf numFmtId="0" fontId="5" fillId="11" borderId="31" xfId="0" quotePrefix="1" applyFont="1" applyFill="1" applyBorder="1" applyAlignment="1" applyProtection="1">
      <alignment horizontal="center"/>
      <protection locked="0"/>
    </xf>
    <xf numFmtId="0" fontId="7" fillId="0" borderId="0" xfId="0" applyFont="1" applyAlignment="1" applyProtection="1">
      <alignment horizontal="center"/>
    </xf>
    <xf numFmtId="0" fontId="1" fillId="0" borderId="0" xfId="0" applyFont="1" applyAlignment="1">
      <alignment horizontal="left"/>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5" fillId="0" borderId="0" xfId="0" applyFont="1"/>
    <xf numFmtId="0" fontId="5" fillId="0" borderId="14" xfId="0" applyFont="1" applyBorder="1" applyAlignment="1" applyProtection="1">
      <alignment horizontal="left"/>
    </xf>
    <xf numFmtId="0" fontId="7" fillId="0" borderId="0" xfId="0" applyFont="1"/>
    <xf numFmtId="0" fontId="7" fillId="0" borderId="0" xfId="0" applyFont="1" applyAlignment="1">
      <alignment horizontal="center"/>
    </xf>
    <xf numFmtId="49" fontId="7" fillId="0" borderId="0" xfId="0" applyNumberFormat="1" applyFont="1" applyBorder="1"/>
    <xf numFmtId="0" fontId="7" fillId="0" borderId="9" xfId="0" applyFont="1" applyBorder="1" applyAlignment="1">
      <alignment horizontal="left"/>
    </xf>
    <xf numFmtId="0" fontId="7" fillId="0" borderId="7" xfId="0" applyFont="1" applyBorder="1" applyAlignment="1">
      <alignment horizontal="center" wrapText="1"/>
    </xf>
    <xf numFmtId="0" fontId="7" fillId="0" borderId="16" xfId="0" applyFont="1" applyBorder="1" applyAlignment="1">
      <alignment horizontal="center" vertical="center"/>
    </xf>
    <xf numFmtId="0" fontId="7" fillId="0" borderId="1" xfId="0" applyFont="1" applyBorder="1" applyAlignment="1">
      <alignment horizontal="left" wrapText="1"/>
    </xf>
    <xf numFmtId="0" fontId="7" fillId="0" borderId="0" xfId="0" applyFont="1" applyBorder="1" applyAlignment="1">
      <alignment horizontal="left" wrapText="1"/>
    </xf>
    <xf numFmtId="0" fontId="7" fillId="0" borderId="1" xfId="0" applyFont="1" applyBorder="1" applyAlignment="1">
      <alignment horizontal="left" shrinkToFit="1"/>
    </xf>
    <xf numFmtId="0" fontId="7" fillId="0" borderId="0" xfId="0" applyFont="1" applyBorder="1" applyAlignment="1">
      <alignment horizontal="left" shrinkToFit="1"/>
    </xf>
    <xf numFmtId="0" fontId="7" fillId="0" borderId="14" xfId="0" applyFont="1" applyBorder="1" applyAlignment="1">
      <alignment horizontal="left" shrinkToFit="1"/>
    </xf>
    <xf numFmtId="0" fontId="7" fillId="0" borderId="14" xfId="0" applyFont="1" applyBorder="1" applyAlignment="1">
      <alignment horizontal="left" wrapText="1"/>
    </xf>
    <xf numFmtId="0" fontId="7" fillId="0" borderId="0" xfId="0" applyFont="1" applyBorder="1" applyAlignment="1">
      <alignment horizontal="center" wrapText="1"/>
    </xf>
    <xf numFmtId="49" fontId="7" fillId="0" borderId="1" xfId="0" applyNumberFormat="1" applyFont="1" applyBorder="1" applyAlignment="1">
      <alignment horizontal="left"/>
    </xf>
    <xf numFmtId="49" fontId="7" fillId="0" borderId="0" xfId="0" applyNumberFormat="1" applyFont="1" applyBorder="1" applyAlignment="1">
      <alignment horizontal="left" wrapText="1"/>
    </xf>
    <xf numFmtId="49" fontId="7" fillId="0" borderId="0" xfId="0" applyNumberFormat="1" applyFont="1" applyBorder="1" applyAlignment="1">
      <alignment horizontal="left"/>
    </xf>
    <xf numFmtId="49" fontId="7" fillId="0" borderId="14" xfId="0" applyNumberFormat="1" applyFont="1" applyBorder="1" applyAlignment="1">
      <alignment horizontal="left" wrapText="1"/>
    </xf>
    <xf numFmtId="0" fontId="7" fillId="0" borderId="1" xfId="0" applyFont="1" applyBorder="1" applyAlignment="1">
      <alignment horizontal="center"/>
    </xf>
    <xf numFmtId="0" fontId="7" fillId="0" borderId="14" xfId="0" applyFont="1" applyBorder="1" applyAlignment="1">
      <alignment horizontal="center" vertical="center" wrapText="1"/>
    </xf>
    <xf numFmtId="0" fontId="10" fillId="9" borderId="13" xfId="0" applyFont="1" applyFill="1" applyBorder="1" applyAlignment="1">
      <alignment horizontal="left" wrapText="1"/>
    </xf>
    <xf numFmtId="0" fontId="10" fillId="9" borderId="12" xfId="0" applyFont="1" applyFill="1" applyBorder="1" applyAlignment="1">
      <alignment horizontal="left" wrapText="1"/>
    </xf>
    <xf numFmtId="0" fontId="10" fillId="9" borderId="12" xfId="0" applyFont="1" applyFill="1" applyBorder="1" applyAlignment="1">
      <alignment horizontal="left" shrinkToFit="1"/>
    </xf>
    <xf numFmtId="49" fontId="10" fillId="9" borderId="12" xfId="0" applyNumberFormat="1" applyFont="1" applyFill="1" applyBorder="1" applyAlignment="1">
      <alignment horizontal="left"/>
    </xf>
    <xf numFmtId="0" fontId="10" fillId="9" borderId="12" xfId="0" applyFont="1" applyFill="1" applyBorder="1" applyAlignment="1">
      <alignment horizontal="left"/>
    </xf>
    <xf numFmtId="0" fontId="10" fillId="9" borderId="12" xfId="0" applyFont="1" applyFill="1" applyBorder="1" applyAlignment="1">
      <alignment horizontal="center"/>
    </xf>
    <xf numFmtId="0" fontId="10"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4"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4"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10" borderId="9"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9" xfId="0" applyNumberFormat="1" applyFont="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1" fillId="0" borderId="8" xfId="0" applyNumberFormat="1" applyFont="1" applyBorder="1" applyAlignment="1" applyProtection="1">
      <alignment horizontal="left"/>
      <protection hidden="1"/>
    </xf>
    <xf numFmtId="0" fontId="1" fillId="10" borderId="0" xfId="0" applyFont="1" applyFill="1" applyAlignment="1" applyProtection="1">
      <alignment horizontal="left"/>
      <protection hidden="1"/>
    </xf>
    <xf numFmtId="0" fontId="1" fillId="10" borderId="0" xfId="0" applyNumberFormat="1" applyFont="1" applyFill="1" applyBorder="1" applyAlignment="1" applyProtection="1">
      <alignment horizontal="left"/>
      <protection hidden="1"/>
    </xf>
    <xf numFmtId="0" fontId="1" fillId="0" borderId="14" xfId="0" applyNumberFormat="1" applyFont="1" applyBorder="1" applyAlignment="1" applyProtection="1">
      <alignment horizontal="left"/>
      <protection hidden="1"/>
    </xf>
    <xf numFmtId="0" fontId="10" fillId="9" borderId="13" xfId="0" applyFont="1" applyFill="1" applyBorder="1" applyAlignment="1" applyProtection="1">
      <alignment horizontal="left" wrapText="1"/>
      <protection hidden="1"/>
    </xf>
    <xf numFmtId="0" fontId="10" fillId="9" borderId="12" xfId="0" applyFont="1" applyFill="1" applyBorder="1" applyAlignment="1" applyProtection="1">
      <alignment horizontal="left" wrapText="1"/>
      <protection hidden="1"/>
    </xf>
    <xf numFmtId="0" fontId="10" fillId="9" borderId="12" xfId="0" applyFont="1" applyFill="1" applyBorder="1" applyAlignment="1" applyProtection="1">
      <alignment horizontal="left" shrinkToFit="1"/>
      <protection hidden="1"/>
    </xf>
    <xf numFmtId="49" fontId="10" fillId="9" borderId="12" xfId="0" applyNumberFormat="1" applyFont="1" applyFill="1" applyBorder="1" applyAlignment="1" applyProtection="1">
      <alignment horizontal="left"/>
      <protection hidden="1"/>
    </xf>
    <xf numFmtId="0" fontId="10" fillId="9" borderId="12" xfId="0" applyFont="1" applyFill="1" applyBorder="1" applyAlignment="1" applyProtection="1">
      <alignment horizontal="left"/>
      <protection locked="0"/>
    </xf>
    <xf numFmtId="0" fontId="11" fillId="9" borderId="12" xfId="0" applyFont="1" applyFill="1" applyBorder="1" applyAlignment="1" applyProtection="1">
      <alignment horizontal="center"/>
      <protection locked="0"/>
    </xf>
    <xf numFmtId="0" fontId="1" fillId="0" borderId="17" xfId="0" applyNumberFormat="1" applyFont="1" applyBorder="1" applyAlignment="1" applyProtection="1">
      <alignment horizontal="left"/>
      <protection hidden="1"/>
    </xf>
    <xf numFmtId="0" fontId="1" fillId="10" borderId="1" xfId="0" applyFont="1" applyFill="1" applyBorder="1" applyAlignment="1" applyProtection="1">
      <alignment horizontal="left"/>
      <protection hidden="1"/>
    </xf>
    <xf numFmtId="49" fontId="1" fillId="10" borderId="0" xfId="0" applyNumberFormat="1" applyFont="1" applyFill="1" applyBorder="1" applyAlignment="1" applyProtection="1">
      <alignment horizontal="left"/>
      <protection hidden="1"/>
    </xf>
    <xf numFmtId="49" fontId="1" fillId="10" borderId="14" xfId="0" applyNumberFormat="1" applyFont="1" applyFill="1" applyBorder="1" applyAlignment="1" applyProtection="1">
      <alignment horizontal="left"/>
      <protection hidden="1"/>
    </xf>
    <xf numFmtId="0" fontId="1" fillId="0" borderId="0" xfId="0" applyFont="1" applyBorder="1" applyAlignment="1">
      <alignment horizontal="left" shrinkToFit="1"/>
    </xf>
    <xf numFmtId="0" fontId="1" fillId="0" borderId="1" xfId="0" applyFont="1" applyBorder="1" applyAlignment="1" applyProtection="1">
      <alignment horizontal="left" vertical="center"/>
      <protection hidden="1"/>
    </xf>
    <xf numFmtId="0" fontId="1" fillId="0" borderId="0" xfId="0" applyFont="1" applyBorder="1" applyAlignment="1" applyProtection="1">
      <alignment horizontal="left" vertical="center"/>
      <protection hidden="1"/>
    </xf>
    <xf numFmtId="0" fontId="1" fillId="0" borderId="14" xfId="0" applyFont="1" applyBorder="1" applyAlignment="1" applyProtection="1">
      <alignment horizontal="left" vertical="center"/>
      <protection hidden="1"/>
    </xf>
    <xf numFmtId="49" fontId="1" fillId="0" borderId="8" xfId="0" applyNumberFormat="1" applyFont="1" applyBorder="1" applyAlignment="1" applyProtection="1">
      <alignment horizontal="left" vertical="center"/>
      <protection hidden="1"/>
    </xf>
    <xf numFmtId="49" fontId="1" fillId="10"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10" borderId="0" xfId="0" applyFont="1" applyFill="1" applyAlignment="1" applyProtection="1">
      <alignment horizontal="left" vertical="center"/>
      <protection hidden="1"/>
    </xf>
    <xf numFmtId="49" fontId="1" fillId="10" borderId="14" xfId="0" applyNumberFormat="1" applyFont="1" applyFill="1" applyBorder="1" applyAlignment="1" applyProtection="1">
      <alignment horizontal="left" vertical="center"/>
      <protection hidden="1"/>
    </xf>
    <xf numFmtId="49" fontId="1" fillId="10" borderId="8" xfId="0" applyNumberFormat="1" applyFont="1" applyFill="1" applyBorder="1" applyAlignment="1" applyProtection="1">
      <alignment horizontal="left" vertical="center"/>
      <protection hidden="1"/>
    </xf>
    <xf numFmtId="0" fontId="10" fillId="9" borderId="13" xfId="0" applyFont="1" applyFill="1" applyBorder="1" applyAlignment="1" applyProtection="1">
      <alignment horizontal="left" vertical="center" wrapText="1"/>
      <protection hidden="1"/>
    </xf>
    <xf numFmtId="0" fontId="10" fillId="9" borderId="12" xfId="0" applyFont="1" applyFill="1" applyBorder="1" applyAlignment="1" applyProtection="1">
      <alignment horizontal="left" vertical="center" wrapText="1"/>
      <protection hidden="1"/>
    </xf>
    <xf numFmtId="0" fontId="10" fillId="9" borderId="12" xfId="0" applyFont="1" applyFill="1" applyBorder="1" applyAlignment="1" applyProtection="1">
      <alignment horizontal="left" vertical="center" shrinkToFit="1"/>
      <protection hidden="1"/>
    </xf>
    <xf numFmtId="49" fontId="10" fillId="9" borderId="12" xfId="0" applyNumberFormat="1" applyFont="1" applyFill="1" applyBorder="1" applyAlignment="1" applyProtection="1">
      <alignment horizontal="left" vertical="center"/>
      <protection hidden="1"/>
    </xf>
    <xf numFmtId="0" fontId="10" fillId="9" borderId="12" xfId="0" applyFont="1" applyFill="1" applyBorder="1" applyAlignment="1">
      <alignment horizontal="left" vertical="center"/>
    </xf>
    <xf numFmtId="0" fontId="11" fillId="9" borderId="12" xfId="0" applyFont="1" applyFill="1" applyBorder="1" applyAlignment="1">
      <alignment horizontal="center" vertical="center"/>
    </xf>
    <xf numFmtId="0" fontId="10" fillId="0" borderId="0" xfId="0" applyFont="1" applyBorder="1" applyAlignment="1">
      <alignment vertical="center"/>
    </xf>
    <xf numFmtId="49" fontId="1" fillId="10" borderId="15" xfId="0" applyNumberFormat="1" applyFont="1" applyFill="1" applyBorder="1" applyAlignment="1" applyProtection="1">
      <alignment horizontal="left" vertical="center"/>
      <protection hidden="1"/>
    </xf>
    <xf numFmtId="49" fontId="1" fillId="10" borderId="9" xfId="0" applyNumberFormat="1" applyFont="1" applyFill="1" applyBorder="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 xfId="0" applyNumberFormat="1" applyFont="1" applyFill="1" applyBorder="1" applyAlignment="1" applyProtection="1">
      <alignment horizontal="left" vertical="center"/>
      <protection hidden="1"/>
    </xf>
    <xf numFmtId="49" fontId="1" fillId="10" borderId="3"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7" xfId="0" applyNumberFormat="1" applyFont="1" applyFill="1" applyBorder="1" applyAlignment="1" applyProtection="1">
      <alignment horizontal="left" vertical="center"/>
      <protection hidden="1"/>
    </xf>
    <xf numFmtId="49" fontId="1" fillId="10" borderId="6" xfId="0" applyNumberFormat="1" applyFont="1" applyFill="1" applyBorder="1" applyAlignment="1" applyProtection="1">
      <alignment horizontal="left" vertical="center"/>
      <protection hidden="1"/>
    </xf>
    <xf numFmtId="0" fontId="11" fillId="9" borderId="12" xfId="0" applyFont="1" applyFill="1" applyBorder="1" applyAlignment="1" applyProtection="1">
      <alignment horizontal="center" vertical="center"/>
    </xf>
    <xf numFmtId="0" fontId="1" fillId="0" borderId="15" xfId="0" applyFont="1" applyBorder="1" applyAlignment="1" applyProtection="1">
      <alignment horizontal="left" vertical="center"/>
      <protection hidden="1"/>
    </xf>
    <xf numFmtId="0" fontId="1" fillId="0" borderId="9" xfId="0" applyFont="1" applyBorder="1" applyAlignment="1" applyProtection="1">
      <alignment horizontal="left"/>
      <protection hidden="1"/>
    </xf>
    <xf numFmtId="0" fontId="1" fillId="0" borderId="9" xfId="0" applyFont="1" applyBorder="1" applyAlignment="1" applyProtection="1">
      <alignment horizontal="left" vertical="center"/>
      <protection hidden="1"/>
    </xf>
    <xf numFmtId="0" fontId="1" fillId="0" borderId="9" xfId="0" applyFont="1" applyBorder="1" applyAlignment="1" applyProtection="1">
      <alignment horizontal="left" vertical="center" shrinkToFit="1"/>
      <protection hidden="1"/>
    </xf>
    <xf numFmtId="0" fontId="1" fillId="0" borderId="16" xfId="0" applyFont="1" applyBorder="1" applyAlignment="1" applyProtection="1">
      <alignment horizontal="left" vertical="center" shrinkToFit="1"/>
      <protection hidden="1"/>
    </xf>
    <xf numFmtId="0" fontId="1" fillId="10" borderId="9" xfId="0" applyFont="1" applyFill="1" applyBorder="1" applyAlignment="1" applyProtection="1">
      <alignment horizontal="left" vertical="center"/>
      <protection hidden="1"/>
    </xf>
    <xf numFmtId="49" fontId="1" fillId="0" borderId="7" xfId="0" applyNumberFormat="1" applyFont="1" applyBorder="1" applyAlignment="1" applyProtection="1">
      <alignment horizontal="left" vertical="center"/>
      <protection hidden="1"/>
    </xf>
    <xf numFmtId="49" fontId="1" fillId="10" borderId="7" xfId="0" applyNumberFormat="1" applyFont="1" applyFill="1" applyBorder="1" applyAlignment="1" applyProtection="1">
      <alignment horizontal="left" vertical="center"/>
      <protection hidden="1"/>
    </xf>
    <xf numFmtId="0" fontId="1" fillId="0" borderId="3" xfId="0" applyFont="1" applyBorder="1" applyAlignment="1" applyProtection="1">
      <alignment horizontal="left" vertical="center"/>
      <protection hidden="1"/>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0" borderId="2" xfId="0" applyFont="1" applyBorder="1" applyAlignment="1" applyProtection="1">
      <alignment horizontal="left" vertical="center" shrinkToFit="1"/>
      <protection hidden="1"/>
    </xf>
    <xf numFmtId="0" fontId="1" fillId="0" borderId="17" xfId="0" applyFont="1" applyBorder="1" applyAlignment="1" applyProtection="1">
      <alignment horizontal="left" vertical="center" shrinkToFit="1"/>
      <protection hidden="1"/>
    </xf>
    <xf numFmtId="0" fontId="1" fillId="0" borderId="17"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49" fontId="1" fillId="0" borderId="6" xfId="0" applyNumberFormat="1" applyFont="1" applyBorder="1" applyAlignment="1" applyProtection="1">
      <alignment horizontal="left" vertical="center"/>
      <protection hidden="1"/>
    </xf>
    <xf numFmtId="49" fontId="1" fillId="0" borderId="0" xfId="0" applyNumberFormat="1" applyFont="1" applyBorder="1" applyAlignment="1">
      <alignment horizontal="left"/>
    </xf>
    <xf numFmtId="49" fontId="1" fillId="0" borderId="0" xfId="0" applyNumberFormat="1" applyFont="1" applyBorder="1" applyAlignment="1" applyProtection="1">
      <alignment horizontal="left"/>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15" xfId="0" applyFont="1" applyBorder="1" applyAlignment="1" applyProtection="1">
      <alignment horizontal="left"/>
      <protection hidden="1"/>
    </xf>
    <xf numFmtId="0" fontId="1" fillId="0" borderId="3" xfId="0" applyFont="1" applyBorder="1" applyAlignment="1" applyProtection="1">
      <alignment horizontal="left"/>
      <protection hidden="1"/>
    </xf>
    <xf numFmtId="0" fontId="7" fillId="0" borderId="0" xfId="0" applyFont="1" applyBorder="1" applyAlignment="1">
      <alignment horizontal="center" shrinkToFit="1"/>
    </xf>
    <xf numFmtId="0" fontId="10" fillId="9" borderId="12"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0" fillId="9" borderId="12" xfId="0" applyFont="1" applyFill="1" applyBorder="1" applyAlignment="1" applyProtection="1">
      <alignment horizontal="center" shrinkToFit="1"/>
      <protection hidden="1"/>
    </xf>
    <xf numFmtId="0" fontId="1" fillId="10" borderId="0"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0" fillId="9" borderId="12" xfId="0" applyFont="1" applyFill="1" applyBorder="1" applyAlignment="1" applyProtection="1">
      <alignment horizontal="center" vertical="center" shrinkToFit="1"/>
      <protection hidden="1"/>
    </xf>
    <xf numFmtId="0" fontId="1" fillId="0" borderId="9" xfId="0" applyFont="1" applyBorder="1" applyAlignment="1" applyProtection="1">
      <alignment horizontal="center" vertical="center" shrinkToFit="1"/>
      <protection hidden="1"/>
    </xf>
    <xf numFmtId="0" fontId="1" fillId="0" borderId="2" xfId="0" applyFont="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7"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7" fillId="0" borderId="9" xfId="0" applyFont="1" applyBorder="1" applyAlignment="1" applyProtection="1">
      <alignment horizontal="center" vertical="center"/>
    </xf>
    <xf numFmtId="0" fontId="7" fillId="0" borderId="0" xfId="0" applyFont="1" applyBorder="1" applyAlignment="1" applyProtection="1">
      <alignment horizontal="center" vertical="center" wrapText="1"/>
    </xf>
    <xf numFmtId="49" fontId="1" fillId="10" borderId="3" xfId="0" applyNumberFormat="1" applyFont="1" applyFill="1" applyBorder="1" applyAlignment="1" applyProtection="1">
      <alignment horizontal="left"/>
      <protection hidden="1"/>
    </xf>
    <xf numFmtId="0" fontId="1" fillId="0" borderId="7" xfId="0" applyFont="1" applyBorder="1" applyAlignment="1" applyProtection="1">
      <alignment horizontal="left"/>
      <protection hidden="1"/>
    </xf>
    <xf numFmtId="0" fontId="1" fillId="0" borderId="8" xfId="0" applyFont="1" applyBorder="1" applyAlignment="1" applyProtection="1">
      <alignment horizontal="left"/>
      <protection hidden="1"/>
    </xf>
    <xf numFmtId="0" fontId="7" fillId="7" borderId="5" xfId="0" applyFont="1" applyFill="1" applyBorder="1" applyAlignment="1">
      <alignment horizontal="center" shrinkToFit="1"/>
    </xf>
    <xf numFmtId="0" fontId="7" fillId="5" borderId="5" xfId="0" applyFont="1" applyFill="1" applyBorder="1" applyAlignment="1">
      <alignment horizontal="center" shrinkToFit="1"/>
    </xf>
    <xf numFmtId="0" fontId="7" fillId="8" borderId="7" xfId="0" applyFont="1" applyFill="1" applyBorder="1" applyAlignment="1">
      <alignment horizontal="center" shrinkToFit="1"/>
    </xf>
    <xf numFmtId="0" fontId="7" fillId="2" borderId="5" xfId="0" applyFont="1" applyFill="1" applyBorder="1" applyAlignment="1">
      <alignment horizontal="center" vertical="center" shrinkToFit="1"/>
    </xf>
    <xf numFmtId="0" fontId="7" fillId="0" borderId="0" xfId="0" applyFont="1" applyAlignment="1">
      <alignment shrinkToFit="1"/>
    </xf>
    <xf numFmtId="0" fontId="1" fillId="0" borderId="0" xfId="0" applyFont="1" applyFill="1" applyBorder="1" applyAlignment="1" applyProtection="1">
      <alignment horizontal="center" shrinkToFit="1"/>
      <protection locked="0"/>
    </xf>
    <xf numFmtId="0" fontId="13" fillId="0" borderId="0" xfId="0" applyFont="1" applyBorder="1" applyAlignment="1">
      <alignment horizontal="left"/>
    </xf>
    <xf numFmtId="49" fontId="4" fillId="0" borderId="0" xfId="0" applyNumberFormat="1" applyFont="1" applyBorder="1"/>
    <xf numFmtId="49" fontId="0" fillId="0" borderId="0" xfId="0" applyNumberFormat="1"/>
    <xf numFmtId="0" fontId="14" fillId="0" borderId="0" xfId="0" applyFont="1" applyBorder="1" applyAlignment="1">
      <alignment horizontal="center"/>
    </xf>
    <xf numFmtId="49" fontId="14" fillId="0" borderId="0" xfId="0" applyNumberFormat="1" applyFont="1" applyBorder="1" applyAlignment="1">
      <alignment horizontal="center"/>
    </xf>
    <xf numFmtId="49" fontId="14" fillId="0" borderId="0" xfId="0" applyNumberFormat="1" applyFont="1" applyBorder="1"/>
    <xf numFmtId="14" fontId="15"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3" fillId="0" borderId="0" xfId="0" applyFont="1" applyBorder="1" applyAlignment="1">
      <alignment horizontal="center"/>
    </xf>
    <xf numFmtId="0" fontId="5" fillId="11" borderId="30" xfId="0" applyFont="1" applyFill="1" applyBorder="1" applyAlignment="1" applyProtection="1">
      <alignment horizontal="center" vertical="center"/>
      <protection locked="0"/>
    </xf>
    <xf numFmtId="0" fontId="1" fillId="0" borderId="0" xfId="0" applyFont="1" applyAlignment="1">
      <alignment horizontal="center"/>
    </xf>
    <xf numFmtId="0" fontId="3" fillId="3" borderId="0" xfId="1" applyAlignment="1">
      <alignment horizontal="center"/>
    </xf>
    <xf numFmtId="0" fontId="34" fillId="5" borderId="0" xfId="148" applyFill="1" applyAlignment="1">
      <alignment horizontal="center"/>
    </xf>
    <xf numFmtId="0" fontId="7" fillId="11" borderId="12" xfId="0" quotePrefix="1" applyFont="1" applyFill="1" applyBorder="1" applyAlignment="1" applyProtection="1">
      <alignment horizontal="center"/>
      <protection locked="0"/>
    </xf>
    <xf numFmtId="0" fontId="11" fillId="9" borderId="10" xfId="0" applyFont="1" applyFill="1" applyBorder="1" applyAlignment="1" applyProtection="1">
      <protection locked="0"/>
    </xf>
    <xf numFmtId="0" fontId="10" fillId="9" borderId="13" xfId="0" applyFont="1" applyFill="1" applyBorder="1" applyAlignment="1">
      <alignment horizontal="left"/>
    </xf>
    <xf numFmtId="0" fontId="10" fillId="9" borderId="13" xfId="0" applyFont="1" applyFill="1" applyBorder="1" applyAlignment="1" applyProtection="1">
      <alignment horizontal="left"/>
      <protection hidden="1"/>
    </xf>
    <xf numFmtId="0" fontId="11" fillId="9" borderId="12" xfId="0" applyFont="1" applyFill="1" applyBorder="1" applyAlignment="1" applyProtection="1">
      <protection locked="0"/>
    </xf>
    <xf numFmtId="0" fontId="10" fillId="9" borderId="10" xfId="0" applyFont="1" applyFill="1" applyBorder="1" applyAlignment="1">
      <alignment shrinkToFit="1"/>
    </xf>
    <xf numFmtId="0" fontId="11" fillId="2" borderId="5" xfId="0" applyFont="1" applyFill="1" applyBorder="1" applyAlignment="1" applyProtection="1">
      <protection locked="0"/>
    </xf>
    <xf numFmtId="0" fontId="1" fillId="10" borderId="1" xfId="0" applyNumberFormat="1" applyFont="1" applyFill="1" applyBorder="1" applyAlignment="1" applyProtection="1">
      <alignment horizontal="left"/>
      <protection hidden="1"/>
    </xf>
    <xf numFmtId="0" fontId="1" fillId="0" borderId="8" xfId="0" applyNumberFormat="1" applyFont="1" applyBorder="1" applyAlignment="1" applyProtection="1">
      <alignment horizontal="left"/>
      <protection locked="0" hidden="1"/>
    </xf>
    <xf numFmtId="0" fontId="1" fillId="35" borderId="1" xfId="0" applyNumberFormat="1" applyFont="1" applyFill="1" applyBorder="1" applyAlignment="1" applyProtection="1">
      <alignment horizontal="left"/>
      <protection hidden="1"/>
    </xf>
    <xf numFmtId="0" fontId="1" fillId="0" borderId="0" xfId="0" applyFont="1" applyFill="1" applyAlignment="1" applyProtection="1">
      <alignment horizontal="left" vertical="center"/>
      <protection hidden="1"/>
    </xf>
    <xf numFmtId="0" fontId="1" fillId="0" borderId="1" xfId="0" applyFont="1" applyBorder="1" applyAlignment="1" applyProtection="1">
      <alignment horizontal="left" wrapText="1" shrinkToFit="1"/>
      <protection hidden="1"/>
    </xf>
    <xf numFmtId="0" fontId="1" fillId="0" borderId="0" xfId="0" applyFont="1" applyBorder="1" applyAlignment="1" applyProtection="1">
      <alignment horizontal="left" wrapText="1" shrinkToFit="1"/>
      <protection hidden="1"/>
    </xf>
    <xf numFmtId="0" fontId="5" fillId="11" borderId="19" xfId="0" applyFont="1" applyFill="1" applyBorder="1" applyAlignment="1" applyProtection="1">
      <alignment horizontal="center"/>
      <protection locked="0"/>
    </xf>
    <xf numFmtId="0" fontId="5" fillId="11" borderId="19" xfId="0" applyFont="1" applyFill="1" applyBorder="1" applyAlignment="1" applyProtection="1">
      <alignment horizontal="center" vertical="center"/>
      <protection locked="0"/>
    </xf>
    <xf numFmtId="0" fontId="11" fillId="9" borderId="10" xfId="0" applyFont="1" applyFill="1" applyBorder="1" applyAlignment="1">
      <alignment horizontal="center" vertical="center"/>
    </xf>
    <xf numFmtId="0" fontId="11" fillId="9" borderId="10" xfId="0" applyFont="1" applyFill="1" applyBorder="1" applyAlignment="1" applyProtection="1">
      <alignment shrinkToFit="1"/>
      <protection locked="0"/>
    </xf>
    <xf numFmtId="0" fontId="1" fillId="0" borderId="0" xfId="0" applyNumberFormat="1" applyFont="1" applyFill="1" applyBorder="1" applyAlignment="1" applyProtection="1">
      <alignment horizontal="left"/>
      <protection hidden="1"/>
    </xf>
    <xf numFmtId="0" fontId="1" fillId="0" borderId="0" xfId="0" applyFont="1" applyFill="1" applyBorder="1" applyAlignment="1" applyProtection="1">
      <alignment horizontal="left"/>
      <protection hidden="1"/>
    </xf>
    <xf numFmtId="0" fontId="1" fillId="0" borderId="15" xfId="0" applyFont="1" applyBorder="1" applyAlignment="1" applyProtection="1">
      <alignment horizontal="left" wrapText="1" shrinkToFit="1"/>
      <protection hidden="1"/>
    </xf>
    <xf numFmtId="0" fontId="1" fillId="0" borderId="3" xfId="0" applyFont="1" applyBorder="1" applyAlignment="1" applyProtection="1">
      <alignment horizontal="left" wrapText="1" shrinkToFit="1"/>
      <protection hidden="1"/>
    </xf>
    <xf numFmtId="0" fontId="1" fillId="0" borderId="6" xfId="0" applyFont="1" applyBorder="1" applyAlignment="1" applyProtection="1">
      <alignment horizontal="left"/>
      <protection hidden="1"/>
    </xf>
    <xf numFmtId="49" fontId="1" fillId="0" borderId="5" xfId="0" applyNumberFormat="1" applyFont="1" applyBorder="1" applyAlignment="1">
      <alignment horizontal="left"/>
    </xf>
    <xf numFmtId="49" fontId="1" fillId="0" borderId="5" xfId="0" applyNumberFormat="1" applyFont="1" applyBorder="1" applyAlignment="1" applyProtection="1">
      <alignment horizontal="left"/>
    </xf>
    <xf numFmtId="0" fontId="1" fillId="0" borderId="5" xfId="0" applyNumberFormat="1" applyFont="1" applyBorder="1" applyAlignment="1" applyProtection="1">
      <alignment horizontal="left"/>
    </xf>
    <xf numFmtId="0" fontId="1" fillId="0" borderId="5" xfId="0" applyNumberFormat="1" applyFont="1" applyBorder="1" applyAlignment="1">
      <alignment horizontal="left"/>
    </xf>
    <xf numFmtId="0" fontId="1" fillId="0" borderId="5" xfId="0" applyNumberFormat="1" applyFont="1" applyBorder="1"/>
    <xf numFmtId="0" fontId="1" fillId="0" borderId="0" xfId="0" applyFont="1" applyAlignment="1">
      <alignment horizontal="left" vertical="center"/>
    </xf>
    <xf numFmtId="49" fontId="7" fillId="0" borderId="8" xfId="0" applyNumberFormat="1" applyFont="1" applyBorder="1" applyAlignment="1">
      <alignment horizontal="center" wrapText="1"/>
    </xf>
    <xf numFmtId="49" fontId="7" fillId="0" borderId="1" xfId="0" applyNumberFormat="1" applyFont="1" applyBorder="1" applyAlignment="1">
      <alignment horizontal="center" wrapText="1"/>
    </xf>
    <xf numFmtId="49" fontId="7" fillId="0" borderId="2" xfId="0" applyNumberFormat="1" applyFont="1" applyBorder="1" applyAlignment="1">
      <alignment horizontal="center" wrapText="1"/>
    </xf>
    <xf numFmtId="0" fontId="7" fillId="0" borderId="17" xfId="0" applyFont="1" applyBorder="1" applyAlignment="1">
      <alignment horizontal="center" wrapText="1"/>
    </xf>
    <xf numFmtId="177" fontId="5" fillId="11" borderId="19" xfId="0" applyNumberFormat="1" applyFont="1" applyFill="1" applyBorder="1" applyAlignment="1" applyProtection="1">
      <alignment horizontal="center"/>
      <protection locked="0"/>
    </xf>
    <xf numFmtId="0" fontId="1" fillId="0" borderId="0" xfId="0" applyFont="1" applyBorder="1" applyAlignment="1" applyProtection="1">
      <alignment horizontal="left"/>
    </xf>
    <xf numFmtId="0" fontId="5" fillId="0" borderId="0" xfId="0" applyFont="1" applyBorder="1" applyAlignment="1" applyProtection="1">
      <alignment horizontal="left"/>
    </xf>
    <xf numFmtId="0" fontId="7" fillId="0" borderId="16" xfId="0" applyFont="1" applyBorder="1" applyAlignment="1">
      <alignment horizontal="center"/>
    </xf>
    <xf numFmtId="0" fontId="1" fillId="0" borderId="0" xfId="0" applyFont="1" applyBorder="1" applyAlignment="1" applyProtection="1">
      <alignment horizontal="left" shrinkToFit="1"/>
    </xf>
    <xf numFmtId="0" fontId="1" fillId="4" borderId="0" xfId="0" applyFont="1" applyFill="1"/>
    <xf numFmtId="0" fontId="0" fillId="4" borderId="0" xfId="0" applyFill="1"/>
    <xf numFmtId="0" fontId="1" fillId="0" borderId="0" xfId="0" applyFont="1" applyBorder="1" applyAlignment="1" applyProtection="1">
      <alignment horizontal="left" vertical="center" wrapText="1" shrinkToFit="1"/>
      <protection hidden="1"/>
    </xf>
    <xf numFmtId="0" fontId="1" fillId="91" borderId="0" xfId="0" applyFont="1" applyFill="1"/>
    <xf numFmtId="0" fontId="1" fillId="0" borderId="0" xfId="0" applyFont="1" applyFill="1" applyAlignment="1">
      <alignment vertical="center"/>
    </xf>
    <xf numFmtId="0" fontId="1" fillId="0" borderId="0" xfId="0" applyFont="1" applyFill="1"/>
    <xf numFmtId="0" fontId="6" fillId="6" borderId="51" xfId="3" applyBorder="1" applyProtection="1">
      <protection locked="0"/>
    </xf>
    <xf numFmtId="0" fontId="5" fillId="12" borderId="19" xfId="0" applyFont="1" applyFill="1" applyBorder="1" applyAlignment="1" applyProtection="1">
      <alignment horizontal="center"/>
      <protection locked="0"/>
    </xf>
    <xf numFmtId="0" fontId="6" fillId="6" borderId="52" xfId="3" applyBorder="1" applyProtection="1">
      <protection locked="0"/>
    </xf>
    <xf numFmtId="0" fontId="5" fillId="9" borderId="18" xfId="0" applyFont="1" applyFill="1" applyBorder="1" applyAlignment="1" applyProtection="1">
      <alignment horizontal="center"/>
      <protection locked="0"/>
    </xf>
    <xf numFmtId="0" fontId="5" fillId="9" borderId="38" xfId="0" applyFont="1" applyFill="1" applyBorder="1" applyAlignment="1" applyProtection="1">
      <alignment horizontal="center"/>
      <protection locked="0"/>
    </xf>
    <xf numFmtId="0" fontId="5" fillId="12" borderId="18" xfId="0" quotePrefix="1" applyFont="1" applyFill="1" applyBorder="1" applyAlignment="1" applyProtection="1">
      <alignment horizontal="center"/>
      <protection locked="0"/>
    </xf>
    <xf numFmtId="0" fontId="6" fillId="11" borderId="51" xfId="3" applyFill="1" applyBorder="1" applyProtection="1">
      <protection locked="0"/>
    </xf>
    <xf numFmtId="0" fontId="6" fillId="11" borderId="54" xfId="3" applyFill="1" applyBorder="1" applyProtection="1">
      <protection locked="0"/>
    </xf>
    <xf numFmtId="0" fontId="5" fillId="9" borderId="30" xfId="0" applyFont="1" applyFill="1" applyBorder="1" applyAlignment="1" applyProtection="1">
      <alignment horizontal="center"/>
      <protection locked="0"/>
    </xf>
    <xf numFmtId="0" fontId="5" fillId="12" borderId="30" xfId="0" applyFont="1" applyFill="1" applyBorder="1" applyAlignment="1" applyProtection="1">
      <alignment horizontal="center"/>
      <protection locked="0"/>
    </xf>
    <xf numFmtId="0" fontId="6" fillId="6" borderId="55" xfId="3" applyBorder="1" applyProtection="1">
      <protection locked="0"/>
    </xf>
    <xf numFmtId="0" fontId="5" fillId="12" borderId="19" xfId="0" quotePrefix="1" applyFont="1" applyFill="1" applyBorder="1" applyAlignment="1" applyProtection="1">
      <alignment horizontal="center"/>
      <protection locked="0"/>
    </xf>
    <xf numFmtId="0" fontId="5" fillId="12" borderId="22" xfId="0" applyFont="1" applyFill="1" applyBorder="1" applyAlignment="1" applyProtection="1">
      <alignment horizontal="center"/>
      <protection locked="0"/>
    </xf>
    <xf numFmtId="0" fontId="6" fillId="6" borderId="49" xfId="3" applyBorder="1" applyAlignment="1" applyProtection="1">
      <alignment horizontal="left" vertical="center"/>
      <protection locked="0"/>
    </xf>
    <xf numFmtId="0" fontId="6" fillId="6" borderId="53" xfId="3" applyBorder="1" applyProtection="1">
      <protection locked="0"/>
    </xf>
    <xf numFmtId="0" fontId="6" fillId="6" borderId="49" xfId="3" applyBorder="1" applyProtection="1">
      <protection locked="0"/>
    </xf>
    <xf numFmtId="0" fontId="6" fillId="11" borderId="49" xfId="3" applyFill="1" applyBorder="1" applyProtection="1">
      <protection locked="0"/>
    </xf>
    <xf numFmtId="0" fontId="6" fillId="6" borderId="48" xfId="3" applyBorder="1" applyAlignment="1" applyProtection="1">
      <alignment horizontal="left" vertical="center"/>
      <protection locked="0"/>
    </xf>
    <xf numFmtId="0" fontId="6" fillId="6" borderId="26" xfId="3" applyBorder="1" applyAlignment="1" applyProtection="1">
      <alignment horizontal="left" vertical="center"/>
      <protection locked="0"/>
    </xf>
    <xf numFmtId="0" fontId="5" fillId="9" borderId="22" xfId="0" applyFont="1" applyFill="1" applyBorder="1" applyAlignment="1" applyProtection="1">
      <alignment horizontal="center"/>
      <protection locked="0"/>
    </xf>
    <xf numFmtId="0" fontId="6" fillId="6" borderId="37" xfId="3" applyBorder="1" applyAlignment="1" applyProtection="1">
      <alignment horizontal="center" vertical="center"/>
      <protection locked="0"/>
    </xf>
    <xf numFmtId="0" fontId="6" fillId="6" borderId="31" xfId="3" applyBorder="1" applyAlignment="1" applyProtection="1">
      <alignment horizontal="center" vertical="center"/>
      <protection locked="0"/>
    </xf>
    <xf numFmtId="0" fontId="6" fillId="6" borderId="25" xfId="3" applyBorder="1" applyAlignment="1" applyProtection="1">
      <alignment horizontal="left" vertical="center"/>
      <protection locked="0"/>
    </xf>
    <xf numFmtId="0" fontId="6" fillId="6" borderId="0" xfId="3" applyBorder="1" applyAlignment="1" applyProtection="1">
      <alignment horizontal="left" vertical="center"/>
      <protection locked="0"/>
    </xf>
    <xf numFmtId="0" fontId="6" fillId="6" borderId="24" xfId="3" applyBorder="1" applyAlignment="1" applyProtection="1">
      <alignment horizontal="left" vertical="center"/>
      <protection locked="0"/>
    </xf>
    <xf numFmtId="0" fontId="6" fillId="6" borderId="32" xfId="3" applyBorder="1" applyAlignment="1" applyProtection="1">
      <alignment horizontal="center" vertical="center"/>
      <protection locked="0"/>
    </xf>
    <xf numFmtId="0" fontId="6" fillId="6" borderId="23" xfId="3" applyBorder="1" applyAlignment="1" applyProtection="1">
      <alignment horizontal="left" vertical="center"/>
      <protection locked="0"/>
    </xf>
    <xf numFmtId="0" fontId="7" fillId="7" borderId="5" xfId="0" applyFont="1" applyFill="1" applyBorder="1" applyAlignment="1" applyProtection="1">
      <alignment horizontal="center" shrinkToFit="1"/>
      <protection locked="0"/>
    </xf>
    <xf numFmtId="0" fontId="1" fillId="0" borderId="0" xfId="0" applyFont="1" applyProtection="1">
      <protection locked="0"/>
    </xf>
    <xf numFmtId="0" fontId="7" fillId="5" borderId="5" xfId="0" applyFont="1" applyFill="1" applyBorder="1" applyAlignment="1" applyProtection="1">
      <alignment horizontal="center" shrinkToFit="1"/>
      <protection locked="0"/>
    </xf>
    <xf numFmtId="0" fontId="10" fillId="9" borderId="12" xfId="0" applyFont="1" applyFill="1" applyBorder="1" applyAlignment="1" applyProtection="1">
      <alignment horizontal="center"/>
      <protection locked="0"/>
    </xf>
    <xf numFmtId="0" fontId="10" fillId="9" borderId="10" xfId="0" applyFont="1" applyFill="1" applyBorder="1" applyAlignment="1" applyProtection="1">
      <protection locked="0"/>
    </xf>
    <xf numFmtId="0" fontId="10" fillId="0" borderId="0" xfId="0" applyFont="1" applyBorder="1" applyProtection="1">
      <protection locked="0"/>
    </xf>
    <xf numFmtId="0" fontId="10" fillId="9" borderId="12" xfId="0" applyFont="1" applyFill="1" applyBorder="1" applyAlignment="1" applyProtection="1">
      <protection locked="0"/>
    </xf>
    <xf numFmtId="0" fontId="10" fillId="9" borderId="10" xfId="0" applyFont="1" applyFill="1" applyBorder="1" applyAlignment="1" applyProtection="1">
      <alignment shrinkToFit="1"/>
      <protection locked="0"/>
    </xf>
    <xf numFmtId="0" fontId="6" fillId="6" borderId="54" xfId="3" applyBorder="1" applyProtection="1">
      <protection locked="0"/>
    </xf>
    <xf numFmtId="0" fontId="1" fillId="2" borderId="5" xfId="0" applyFont="1" applyFill="1" applyBorder="1" applyAlignment="1" applyProtection="1">
      <alignment shrinkToFit="1"/>
      <protection locked="0"/>
    </xf>
    <xf numFmtId="0" fontId="1" fillId="2" borderId="5" xfId="0" applyFont="1" applyFill="1" applyBorder="1" applyAlignment="1" applyProtection="1">
      <alignment vertical="center" shrinkToFit="1"/>
      <protection locked="0"/>
    </xf>
    <xf numFmtId="0" fontId="1" fillId="0" borderId="0" xfId="0" applyFont="1" applyAlignment="1" applyProtection="1">
      <alignment vertical="center"/>
      <protection locked="0"/>
    </xf>
    <xf numFmtId="0" fontId="1" fillId="2" borderId="5" xfId="0" applyFont="1" applyFill="1" applyBorder="1" applyAlignment="1" applyProtection="1">
      <alignment horizontal="center" vertical="center" shrinkToFit="1"/>
      <protection locked="0"/>
    </xf>
    <xf numFmtId="0" fontId="10" fillId="9" borderId="12" xfId="0" applyFont="1" applyFill="1" applyBorder="1" applyAlignment="1" applyProtection="1">
      <alignment horizontal="left" vertical="center"/>
      <protection locked="0"/>
    </xf>
    <xf numFmtId="0" fontId="11" fillId="9" borderId="12" xfId="0" applyFont="1" applyFill="1" applyBorder="1" applyAlignment="1" applyProtection="1">
      <alignment horizontal="center" vertical="center"/>
      <protection locked="0"/>
    </xf>
    <xf numFmtId="0" fontId="11" fillId="9" borderId="10" xfId="0" applyFont="1" applyFill="1" applyBorder="1" applyAlignment="1" applyProtection="1">
      <alignment horizontal="center" vertical="center"/>
      <protection locked="0"/>
    </xf>
    <xf numFmtId="0" fontId="10" fillId="0" borderId="0" xfId="0" applyFont="1" applyBorder="1" applyAlignment="1" applyProtection="1">
      <alignment vertical="center"/>
      <protection locked="0"/>
    </xf>
    <xf numFmtId="0" fontId="6" fillId="6" borderId="27" xfId="3" applyBorder="1" applyAlignment="1" applyProtection="1">
      <alignment horizontal="left" vertical="center"/>
      <protection locked="0"/>
    </xf>
    <xf numFmtId="0" fontId="1" fillId="7" borderId="7" xfId="0" applyFont="1" applyFill="1" applyBorder="1" applyAlignment="1" applyProtection="1">
      <alignment horizontal="center" vertical="center" shrinkToFit="1"/>
      <protection locked="0"/>
    </xf>
    <xf numFmtId="0" fontId="1" fillId="7" borderId="8" xfId="0" applyFont="1" applyFill="1" applyBorder="1" applyAlignment="1" applyProtection="1">
      <alignment horizontal="center" vertical="center" shrinkToFit="1"/>
      <protection locked="0"/>
    </xf>
    <xf numFmtId="0" fontId="6" fillId="6" borderId="33" xfId="3" applyBorder="1" applyAlignment="1" applyProtection="1">
      <alignment horizontal="center" vertical="center"/>
      <protection locked="0"/>
    </xf>
    <xf numFmtId="0" fontId="1" fillId="7" borderId="6" xfId="0" applyFont="1" applyFill="1" applyBorder="1" applyAlignment="1" applyProtection="1">
      <alignment horizontal="center" vertical="center" shrinkToFit="1"/>
      <protection locked="0"/>
    </xf>
    <xf numFmtId="0" fontId="6" fillId="6" borderId="20" xfId="3" applyBorder="1" applyAlignment="1" applyProtection="1">
      <alignment horizontal="center" vertical="center"/>
      <protection locked="0"/>
    </xf>
    <xf numFmtId="0" fontId="1" fillId="7" borderId="16" xfId="0" applyFont="1" applyFill="1" applyBorder="1" applyAlignment="1" applyProtection="1">
      <alignment horizontal="center" vertical="center" shrinkToFit="1"/>
      <protection locked="0"/>
    </xf>
    <xf numFmtId="0" fontId="1" fillId="7" borderId="14" xfId="0" applyFont="1" applyFill="1" applyBorder="1" applyAlignment="1" applyProtection="1">
      <alignment horizontal="center" vertical="center" shrinkToFit="1"/>
      <protection locked="0"/>
    </xf>
    <xf numFmtId="0" fontId="1" fillId="7" borderId="10" xfId="0" applyFont="1" applyFill="1" applyBorder="1" applyAlignment="1" applyProtection="1">
      <alignment horizontal="center" vertical="center" shrinkToFit="1"/>
      <protection locked="0"/>
    </xf>
    <xf numFmtId="0" fontId="1" fillId="7" borderId="17" xfId="0" applyFont="1" applyFill="1" applyBorder="1" applyAlignment="1" applyProtection="1">
      <alignment horizontal="center" vertical="center" shrinkToFit="1"/>
      <protection locked="0"/>
    </xf>
    <xf numFmtId="0" fontId="1" fillId="4" borderId="10" xfId="0" applyFont="1" applyFill="1" applyBorder="1" applyAlignment="1" applyProtection="1">
      <alignment horizontal="center" vertical="center" shrinkToFit="1"/>
      <protection locked="0"/>
    </xf>
    <xf numFmtId="0" fontId="1" fillId="7" borderId="5" xfId="0" applyFont="1" applyFill="1" applyBorder="1" applyAlignment="1" applyProtection="1">
      <alignment horizontal="center" vertical="center" shrinkToFit="1"/>
      <protection locked="0"/>
    </xf>
    <xf numFmtId="0" fontId="1" fillId="7" borderId="5" xfId="0" applyFont="1" applyFill="1" applyBorder="1" applyAlignment="1" applyProtection="1">
      <alignment vertical="center" shrinkToFit="1"/>
      <protection locked="0"/>
    </xf>
    <xf numFmtId="0" fontId="35" fillId="2" borderId="5" xfId="3" applyFont="1" applyFill="1" applyBorder="1" applyAlignment="1" applyProtection="1">
      <alignment vertical="center"/>
      <protection locked="0"/>
    </xf>
    <xf numFmtId="0" fontId="1" fillId="7" borderId="6" xfId="0" applyFont="1" applyFill="1" applyBorder="1" applyAlignment="1" applyProtection="1">
      <alignment vertical="center" shrinkToFit="1"/>
      <protection locked="0"/>
    </xf>
    <xf numFmtId="0" fontId="6" fillId="6" borderId="28" xfId="3" applyBorder="1" applyAlignment="1" applyProtection="1">
      <alignment vertical="center"/>
      <protection locked="0"/>
    </xf>
    <xf numFmtId="0" fontId="5" fillId="9" borderId="34" xfId="0" applyFont="1" applyFill="1" applyBorder="1" applyAlignment="1" applyProtection="1">
      <alignment horizontal="center"/>
      <protection locked="0"/>
    </xf>
    <xf numFmtId="0" fontId="6" fillId="6" borderId="29" xfId="3" applyBorder="1" applyAlignment="1" applyProtection="1">
      <alignment vertical="center"/>
      <protection locked="0"/>
    </xf>
    <xf numFmtId="0" fontId="5" fillId="9" borderId="21" xfId="0" applyFont="1" applyFill="1" applyBorder="1" applyAlignment="1" applyProtection="1">
      <alignment horizontal="center"/>
      <protection locked="0"/>
    </xf>
    <xf numFmtId="0" fontId="5" fillId="9" borderId="35" xfId="0" applyFont="1" applyFill="1" applyBorder="1" applyAlignment="1" applyProtection="1">
      <alignment horizontal="center"/>
      <protection locked="0"/>
    </xf>
    <xf numFmtId="0" fontId="6" fillId="0" borderId="0" xfId="3" applyFill="1" applyBorder="1" applyProtection="1">
      <protection locked="0"/>
    </xf>
    <xf numFmtId="0" fontId="6" fillId="0" borderId="0" xfId="3" applyFill="1" applyBorder="1" applyAlignment="1" applyProtection="1">
      <alignment horizontal="center"/>
      <protection locked="0"/>
    </xf>
    <xf numFmtId="0" fontId="1" fillId="0" borderId="0" xfId="0" applyFont="1" applyBorder="1" applyProtection="1">
      <protection locked="0"/>
    </xf>
    <xf numFmtId="0" fontId="1" fillId="0" borderId="0" xfId="0" applyFont="1" applyBorder="1" applyAlignment="1" applyProtection="1">
      <alignment horizontal="center"/>
      <protection locked="0"/>
    </xf>
    <xf numFmtId="0" fontId="1" fillId="0" borderId="0" xfId="0" applyFont="1" applyBorder="1" applyAlignment="1" applyProtection="1">
      <alignment horizontal="center" shrinkToFit="1"/>
      <protection locked="0"/>
    </xf>
    <xf numFmtId="0" fontId="7" fillId="0" borderId="0" xfId="0" applyFont="1" applyAlignment="1" applyProtection="1">
      <alignment horizontal="center"/>
      <protection hidden="1"/>
    </xf>
    <xf numFmtId="0" fontId="7" fillId="0" borderId="0" xfId="0" applyFont="1" applyBorder="1" applyAlignment="1" applyProtection="1">
      <alignment horizontal="center" wrapText="1"/>
      <protection hidden="1"/>
    </xf>
    <xf numFmtId="0" fontId="11" fillId="9" borderId="12" xfId="0" applyFont="1" applyFill="1" applyBorder="1" applyAlignment="1" applyProtection="1">
      <alignment horizontal="center" vertical="center"/>
      <protection hidden="1"/>
    </xf>
    <xf numFmtId="0" fontId="10" fillId="9" borderId="12" xfId="0" applyFont="1" applyFill="1" applyBorder="1" applyAlignment="1" applyProtection="1">
      <alignment horizontal="center"/>
      <protection hidden="1"/>
    </xf>
    <xf numFmtId="0" fontId="5" fillId="9" borderId="19" xfId="0" applyFont="1" applyFill="1" applyBorder="1" applyAlignment="1" applyProtection="1">
      <alignment horizontal="center"/>
      <protection locked="0" hidden="1"/>
    </xf>
    <xf numFmtId="0" fontId="10" fillId="9" borderId="12" xfId="0" applyFont="1" applyFill="1" applyBorder="1" applyAlignment="1" applyProtection="1">
      <alignment horizontal="center"/>
      <protection locked="0" hidden="1"/>
    </xf>
    <xf numFmtId="0" fontId="5" fillId="9" borderId="38" xfId="0" applyFont="1" applyFill="1" applyBorder="1" applyAlignment="1" applyProtection="1">
      <alignment horizontal="center"/>
      <protection locked="0" hidden="1"/>
    </xf>
    <xf numFmtId="0" fontId="5" fillId="9" borderId="30" xfId="0" applyFont="1" applyFill="1" applyBorder="1" applyAlignment="1" applyProtection="1">
      <alignment horizontal="center"/>
      <protection locked="0" hidden="1"/>
    </xf>
    <xf numFmtId="0" fontId="11" fillId="9" borderId="12" xfId="0" applyFont="1" applyFill="1" applyBorder="1" applyAlignment="1" applyProtection="1">
      <alignment horizontal="center"/>
      <protection locked="0" hidden="1"/>
    </xf>
    <xf numFmtId="0" fontId="5" fillId="11" borderId="19" xfId="0" applyFont="1" applyFill="1" applyBorder="1" applyAlignment="1" applyProtection="1">
      <alignment horizontal="center"/>
      <protection locked="0" hidden="1"/>
    </xf>
    <xf numFmtId="0" fontId="5" fillId="12" borderId="19" xfId="0" applyFont="1" applyFill="1" applyBorder="1" applyAlignment="1" applyProtection="1">
      <alignment horizontal="center"/>
      <protection locked="0" hidden="1"/>
    </xf>
    <xf numFmtId="0" fontId="11" fillId="9" borderId="12" xfId="0" applyFont="1" applyFill="1" applyBorder="1" applyAlignment="1" applyProtection="1">
      <alignment horizontal="center" vertical="center"/>
      <protection locked="0" hidden="1"/>
    </xf>
    <xf numFmtId="0" fontId="5" fillId="9" borderId="18" xfId="0" applyFont="1" applyFill="1" applyBorder="1" applyAlignment="1" applyProtection="1">
      <alignment horizontal="center"/>
      <protection locked="0" hidden="1"/>
    </xf>
    <xf numFmtId="0" fontId="5" fillId="9" borderId="21" xfId="0" applyFont="1" applyFill="1" applyBorder="1" applyAlignment="1" applyProtection="1">
      <alignment horizontal="center"/>
      <protection locked="0" hidden="1"/>
    </xf>
    <xf numFmtId="0" fontId="6" fillId="0" borderId="0" xfId="3" applyFill="1" applyBorder="1" applyAlignment="1" applyProtection="1">
      <alignment horizontal="center"/>
      <protection locked="0" hidden="1"/>
    </xf>
    <xf numFmtId="0" fontId="1" fillId="0" borderId="0" xfId="0" applyFont="1" applyBorder="1" applyAlignment="1" applyProtection="1">
      <alignment horizontal="center"/>
      <protection locked="0" hidden="1"/>
    </xf>
    <xf numFmtId="0" fontId="1"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66" fillId="0" borderId="0" xfId="0" applyFont="1" applyAlignment="1">
      <alignment horizontal="center" wrapText="1"/>
    </xf>
    <xf numFmtId="2" fontId="15" fillId="0" borderId="0" xfId="0" applyNumberFormat="1" applyFont="1" applyAlignment="1">
      <alignment horizontal="center" vertical="top"/>
    </xf>
    <xf numFmtId="2" fontId="0" fillId="0" borderId="0" xfId="0" applyNumberFormat="1" applyAlignment="1">
      <alignment horizontal="center" vertical="top"/>
    </xf>
    <xf numFmtId="2" fontId="0" fillId="0" borderId="0" xfId="0" applyNumberFormat="1" applyAlignment="1">
      <alignment horizontal="center"/>
    </xf>
    <xf numFmtId="2" fontId="0" fillId="0" borderId="0" xfId="0" applyNumberFormat="1"/>
    <xf numFmtId="2" fontId="0" fillId="0" borderId="0" xfId="0" applyNumberFormat="1" applyBorder="1"/>
    <xf numFmtId="2" fontId="0" fillId="0" borderId="0" xfId="0" applyNumberFormat="1" applyAlignment="1">
      <alignment horizontal="center" vertical="center"/>
    </xf>
    <xf numFmtId="2" fontId="7" fillId="0" borderId="0" xfId="0" applyNumberFormat="1" applyFont="1"/>
    <xf numFmtId="0" fontId="5" fillId="0" borderId="1" xfId="0" applyFont="1" applyBorder="1"/>
    <xf numFmtId="0" fontId="10" fillId="9" borderId="10" xfId="0" applyFont="1" applyFill="1" applyBorder="1" applyAlignment="1"/>
    <xf numFmtId="0" fontId="10" fillId="0" borderId="1" xfId="0" applyFont="1" applyBorder="1" applyProtection="1">
      <protection locked="0"/>
    </xf>
    <xf numFmtId="0" fontId="10" fillId="0" borderId="1" xfId="0" applyFont="1" applyBorder="1" applyAlignment="1" applyProtection="1">
      <alignment vertical="center"/>
      <protection locked="0"/>
    </xf>
    <xf numFmtId="49" fontId="0" fillId="0" borderId="0" xfId="0" applyNumberFormat="1" applyAlignment="1"/>
    <xf numFmtId="0" fontId="1" fillId="10" borderId="0" xfId="0" applyFont="1" applyFill="1" applyBorder="1" applyAlignment="1" applyProtection="1">
      <alignment horizontal="left"/>
      <protection hidden="1"/>
    </xf>
    <xf numFmtId="0" fontId="1" fillId="0" borderId="0" xfId="0" applyNumberFormat="1" applyFont="1" applyBorder="1" applyAlignment="1" applyProtection="1">
      <alignment horizontal="left"/>
      <protection locked="0" hidden="1"/>
    </xf>
    <xf numFmtId="0" fontId="1" fillId="2" borderId="10" xfId="0" applyFont="1" applyFill="1" applyBorder="1" applyAlignment="1" applyProtection="1">
      <alignment shrinkToFit="1"/>
      <protection locked="0"/>
    </xf>
    <xf numFmtId="0" fontId="11" fillId="9" borderId="16" xfId="0" applyFont="1" applyFill="1" applyBorder="1" applyAlignment="1" applyProtection="1">
      <alignment horizontal="center"/>
      <protection locked="0"/>
    </xf>
    <xf numFmtId="0" fontId="10" fillId="9" borderId="2" xfId="0" applyFont="1" applyFill="1" applyBorder="1" applyAlignment="1" applyProtection="1">
      <alignment horizontal="left"/>
      <protection locked="0"/>
    </xf>
    <xf numFmtId="0" fontId="11" fillId="9" borderId="2" xfId="0" applyFont="1" applyFill="1" applyBorder="1" applyAlignment="1" applyProtection="1">
      <alignment horizontal="center"/>
      <protection locked="0"/>
    </xf>
    <xf numFmtId="0" fontId="11" fillId="9" borderId="2" xfId="0" applyFont="1" applyFill="1" applyBorder="1" applyAlignment="1" applyProtection="1">
      <alignment horizontal="center"/>
      <protection locked="0" hidden="1"/>
    </xf>
    <xf numFmtId="0" fontId="7" fillId="11" borderId="2" xfId="0" quotePrefix="1" applyFont="1" applyFill="1" applyBorder="1" applyAlignment="1" applyProtection="1">
      <alignment horizontal="center"/>
      <protection locked="0"/>
    </xf>
    <xf numFmtId="0" fontId="11" fillId="9" borderId="17" xfId="0" applyFont="1" applyFill="1" applyBorder="1" applyAlignment="1" applyProtection="1">
      <alignment horizontal="center"/>
      <protection locked="0"/>
    </xf>
    <xf numFmtId="0" fontId="10" fillId="9" borderId="68" xfId="0" applyFont="1" applyFill="1" applyBorder="1" applyAlignment="1" applyProtection="1">
      <alignment horizontal="left" wrapText="1"/>
      <protection hidden="1"/>
    </xf>
    <xf numFmtId="0" fontId="10" fillId="9" borderId="68" xfId="0" applyFont="1" applyFill="1" applyBorder="1" applyAlignment="1" applyProtection="1">
      <alignment horizontal="center" shrinkToFit="1"/>
      <protection hidden="1"/>
    </xf>
    <xf numFmtId="49" fontId="10" fillId="9" borderId="68" xfId="0" applyNumberFormat="1" applyFont="1" applyFill="1" applyBorder="1" applyAlignment="1" applyProtection="1">
      <alignment horizontal="left"/>
      <protection hidden="1"/>
    </xf>
    <xf numFmtId="0" fontId="10" fillId="9" borderId="2" xfId="0" applyFont="1" applyFill="1" applyBorder="1" applyAlignment="1" applyProtection="1">
      <alignment horizontal="left" wrapText="1"/>
      <protection hidden="1"/>
    </xf>
    <xf numFmtId="0" fontId="10" fillId="9" borderId="2" xfId="0" applyFont="1" applyFill="1" applyBorder="1" applyAlignment="1" applyProtection="1">
      <alignment horizontal="center" shrinkToFit="1"/>
      <protection hidden="1"/>
    </xf>
    <xf numFmtId="49" fontId="10" fillId="9" borderId="2" xfId="0" applyNumberFormat="1" applyFont="1" applyFill="1" applyBorder="1" applyAlignment="1" applyProtection="1">
      <alignment horizontal="left"/>
      <protection hidden="1"/>
    </xf>
    <xf numFmtId="0" fontId="1" fillId="10" borderId="19" xfId="0" applyFont="1" applyFill="1" applyBorder="1" applyAlignment="1" applyProtection="1">
      <alignment horizontal="left"/>
      <protection hidden="1"/>
    </xf>
    <xf numFmtId="0" fontId="1" fillId="10" borderId="19" xfId="0" applyFont="1" applyFill="1" applyBorder="1" applyAlignment="1" applyProtection="1">
      <alignment horizontal="center" shrinkToFit="1"/>
      <protection hidden="1"/>
    </xf>
    <xf numFmtId="49" fontId="1" fillId="10" borderId="19" xfId="0" applyNumberFormat="1" applyFont="1" applyFill="1" applyBorder="1" applyAlignment="1" applyProtection="1">
      <alignment horizontal="left"/>
      <protection hidden="1"/>
    </xf>
    <xf numFmtId="0" fontId="1" fillId="0" borderId="19" xfId="0" applyFont="1" applyFill="1" applyBorder="1" applyAlignment="1" applyProtection="1">
      <alignment horizontal="left"/>
      <protection hidden="1"/>
    </xf>
    <xf numFmtId="0" fontId="1" fillId="0" borderId="19" xfId="0" applyFont="1" applyFill="1" applyBorder="1" applyAlignment="1" applyProtection="1">
      <alignment horizontal="center" shrinkToFit="1"/>
      <protection hidden="1"/>
    </xf>
    <xf numFmtId="49" fontId="1" fillId="0" borderId="19" xfId="0" applyNumberFormat="1" applyFont="1" applyFill="1" applyBorder="1" applyAlignment="1" applyProtection="1">
      <alignment horizontal="left"/>
      <protection hidden="1"/>
    </xf>
    <xf numFmtId="0" fontId="10" fillId="9" borderId="68" xfId="0" applyFont="1" applyFill="1" applyBorder="1" applyAlignment="1" applyProtection="1">
      <alignment horizontal="left"/>
    </xf>
    <xf numFmtId="0" fontId="11" fillId="9" borderId="68" xfId="0" applyFont="1" applyFill="1" applyBorder="1" applyAlignment="1" applyProtection="1">
      <alignment horizontal="center"/>
    </xf>
    <xf numFmtId="0" fontId="7" fillId="11" borderId="68" xfId="0" quotePrefix="1" applyFont="1" applyFill="1" applyBorder="1" applyAlignment="1" applyProtection="1">
      <alignment horizontal="center"/>
    </xf>
    <xf numFmtId="0" fontId="6" fillId="6" borderId="19" xfId="3" applyBorder="1" applyProtection="1"/>
    <xf numFmtId="0" fontId="5" fillId="11" borderId="19" xfId="0" applyFont="1" applyFill="1" applyBorder="1" applyAlignment="1" applyProtection="1">
      <alignment horizontal="center" vertical="center"/>
    </xf>
    <xf numFmtId="0" fontId="5" fillId="11" borderId="19" xfId="0" applyFont="1" applyFill="1" applyBorder="1" applyAlignment="1" applyProtection="1">
      <alignment horizontal="center"/>
    </xf>
    <xf numFmtId="0" fontId="5" fillId="12" borderId="19" xfId="0" applyFont="1" applyFill="1" applyBorder="1" applyAlignment="1" applyProtection="1">
      <alignment horizontal="center"/>
    </xf>
    <xf numFmtId="0" fontId="1" fillId="0" borderId="16" xfId="0" applyFont="1" applyBorder="1" applyAlignment="1" applyProtection="1">
      <alignment horizontal="left"/>
      <protection hidden="1"/>
    </xf>
    <xf numFmtId="0" fontId="1" fillId="0" borderId="17" xfId="0" applyFont="1" applyBorder="1" applyAlignment="1" applyProtection="1">
      <alignment horizontal="left"/>
      <protection hidden="1"/>
    </xf>
    <xf numFmtId="0" fontId="6" fillId="6" borderId="51" xfId="3" applyBorder="1" applyProtection="1"/>
    <xf numFmtId="0" fontId="5" fillId="9" borderId="19" xfId="0" applyFont="1" applyFill="1" applyBorder="1" applyAlignment="1" applyProtection="1">
      <alignment horizontal="center"/>
    </xf>
    <xf numFmtId="0" fontId="5" fillId="11" borderId="22" xfId="0" applyFont="1" applyFill="1" applyBorder="1" applyAlignment="1" applyProtection="1">
      <alignment horizontal="center"/>
    </xf>
    <xf numFmtId="0" fontId="5" fillId="11" borderId="31" xfId="0" applyFont="1" applyFill="1" applyBorder="1" applyAlignment="1" applyProtection="1">
      <alignment horizontal="center"/>
    </xf>
    <xf numFmtId="0" fontId="6" fillId="11" borderId="51" xfId="3" applyFill="1" applyBorder="1" applyProtection="1"/>
    <xf numFmtId="0" fontId="6" fillId="6" borderId="50" xfId="3" applyBorder="1" applyAlignment="1" applyProtection="1">
      <alignment horizontal="left" vertical="center"/>
    </xf>
    <xf numFmtId="0" fontId="6" fillId="11" borderId="49" xfId="3" applyFill="1" applyBorder="1" applyProtection="1"/>
    <xf numFmtId="0" fontId="6" fillId="6" borderId="49" xfId="3" applyBorder="1" applyProtection="1"/>
    <xf numFmtId="0" fontId="6" fillId="6" borderId="49" xfId="3" applyBorder="1" applyAlignment="1" applyProtection="1">
      <alignment horizontal="left" vertical="center"/>
    </xf>
    <xf numFmtId="0" fontId="6" fillId="6" borderId="48" xfId="3" applyBorder="1" applyAlignment="1" applyProtection="1">
      <alignment horizontal="left" vertical="center"/>
    </xf>
    <xf numFmtId="0" fontId="5" fillId="12" borderId="35" xfId="0" applyFont="1" applyFill="1" applyBorder="1" applyAlignment="1" applyProtection="1">
      <alignment horizontal="center"/>
    </xf>
    <xf numFmtId="0" fontId="4" fillId="0" borderId="0" xfId="0" applyFont="1" applyBorder="1" applyAlignment="1">
      <alignment wrapText="1"/>
    </xf>
    <xf numFmtId="49" fontId="4" fillId="0" borderId="0" xfId="0" applyNumberFormat="1" applyFont="1" applyAlignment="1">
      <alignment vertical="top" wrapText="1"/>
    </xf>
    <xf numFmtId="49" fontId="0" fillId="0" borderId="0" xfId="0" applyNumberFormat="1" applyAlignment="1">
      <alignment vertical="top" wrapText="1"/>
    </xf>
    <xf numFmtId="49" fontId="0" fillId="0" borderId="0" xfId="0" applyNumberFormat="1" applyAlignment="1">
      <alignment vertical="top"/>
    </xf>
    <xf numFmtId="0" fontId="0" fillId="0" borderId="0" xfId="0" applyAlignment="1">
      <alignment vertical="top"/>
    </xf>
    <xf numFmtId="0" fontId="0" fillId="0" borderId="0" xfId="0" applyAlignment="1"/>
    <xf numFmtId="0" fontId="0" fillId="0" borderId="0" xfId="0" applyAlignment="1">
      <alignment horizontal="left" wrapText="1"/>
    </xf>
    <xf numFmtId="0" fontId="2" fillId="0" borderId="0" xfId="0" applyFont="1" applyBorder="1" applyAlignment="1">
      <alignment horizontal="center" wrapText="1"/>
    </xf>
    <xf numFmtId="0" fontId="7" fillId="0" borderId="3" xfId="0" applyFont="1" applyBorder="1" applyAlignment="1">
      <alignment horizontal="center" wrapText="1"/>
    </xf>
    <xf numFmtId="0" fontId="7" fillId="0" borderId="17" xfId="0" applyFont="1" applyBorder="1" applyAlignment="1">
      <alignment horizontal="center" wrapText="1"/>
    </xf>
    <xf numFmtId="0" fontId="7" fillId="0" borderId="68" xfId="0" applyFont="1" applyBorder="1" applyAlignment="1">
      <alignment horizontal="center"/>
    </xf>
    <xf numFmtId="0" fontId="7" fillId="0" borderId="9" xfId="0" applyFont="1" applyBorder="1" applyAlignment="1">
      <alignment horizontal="center"/>
    </xf>
    <xf numFmtId="0" fontId="7" fillId="0" borderId="15" xfId="0" applyFont="1" applyBorder="1" applyAlignment="1">
      <alignment horizontal="center" shrinkToFit="1"/>
    </xf>
    <xf numFmtId="0" fontId="7" fillId="0" borderId="9" xfId="0" applyFont="1" applyBorder="1" applyAlignment="1">
      <alignment horizontal="center" shrinkToFit="1"/>
    </xf>
    <xf numFmtId="0" fontId="7" fillId="0" borderId="16" xfId="0" applyFont="1" applyBorder="1" applyAlignment="1">
      <alignment horizontal="center" shrinkToFit="1"/>
    </xf>
    <xf numFmtId="0" fontId="7" fillId="0" borderId="15" xfId="0" applyFont="1" applyBorder="1" applyAlignment="1">
      <alignment horizontal="center"/>
    </xf>
    <xf numFmtId="0" fontId="7" fillId="0" borderId="16" xfId="0" applyFont="1" applyBorder="1" applyAlignment="1">
      <alignment horizontal="center"/>
    </xf>
    <xf numFmtId="0" fontId="5" fillId="0" borderId="0" xfId="0" applyFont="1" applyBorder="1" applyAlignment="1" applyProtection="1">
      <alignment horizontal="left"/>
    </xf>
    <xf numFmtId="0" fontId="7" fillId="0" borderId="15" xfId="0" applyFont="1" applyBorder="1" applyAlignment="1">
      <alignment horizontal="center" vertical="center"/>
    </xf>
    <xf numFmtId="0" fontId="7" fillId="0" borderId="9" xfId="0" applyFont="1" applyBorder="1" applyAlignment="1">
      <alignment horizontal="center" vertical="center"/>
    </xf>
    <xf numFmtId="0" fontId="7" fillId="0" borderId="7" xfId="0" applyFont="1" applyFill="1" applyBorder="1" applyAlignment="1" applyProtection="1">
      <alignment horizontal="center" vertical="center" wrapText="1" shrinkToFit="1"/>
      <protection locked="0"/>
    </xf>
    <xf numFmtId="0" fontId="7" fillId="0" borderId="8" xfId="0" applyFont="1" applyFill="1" applyBorder="1" applyAlignment="1" applyProtection="1">
      <alignment horizontal="center" vertical="center" wrapText="1" shrinkToFit="1"/>
      <protection locked="0"/>
    </xf>
    <xf numFmtId="0" fontId="7" fillId="0" borderId="15" xfId="0" applyFont="1" applyBorder="1" applyAlignment="1">
      <alignment horizontal="center" vertical="center" wrapText="1"/>
    </xf>
    <xf numFmtId="0" fontId="7" fillId="0" borderId="9" xfId="0" applyFont="1" applyBorder="1" applyAlignment="1">
      <alignment horizontal="center" vertical="center" wrapText="1"/>
    </xf>
    <xf numFmtId="0" fontId="7" fillId="0" borderId="16" xfId="0" applyFont="1" applyBorder="1" applyAlignment="1">
      <alignment horizontal="center" vertical="center" wrapText="1"/>
    </xf>
    <xf numFmtId="0" fontId="7" fillId="0" borderId="15" xfId="0" applyFont="1" applyBorder="1" applyAlignment="1">
      <alignment horizontal="center" wrapText="1"/>
    </xf>
    <xf numFmtId="0" fontId="7" fillId="0" borderId="9" xfId="0" applyFont="1" applyBorder="1" applyAlignment="1">
      <alignment horizontal="center" wrapText="1"/>
    </xf>
    <xf numFmtId="0" fontId="7" fillId="0" borderId="16" xfId="0" applyFont="1" applyBorder="1" applyAlignment="1">
      <alignment horizontal="center" wrapText="1"/>
    </xf>
  </cellXfs>
  <cellStyles count="53441">
    <cellStyle name="20% - Accent1 6 2 3 2" xfId="8801"/>
    <cellStyle name="20% - Accent1 6 2 3 2 2" xfId="16591"/>
    <cellStyle name="20% - Accent1 6 2 3 2 2 2" xfId="34212"/>
    <cellStyle name="20% - Accent1 6 2 3 2 3" xfId="27175"/>
    <cellStyle name="20% - Accent1 6 2 3 3" xfId="13354"/>
    <cellStyle name="20% - Accent1 6 2 3 3 2" xfId="30980"/>
    <cellStyle name="20% - Accent1 6 2 3 4" xfId="24314"/>
    <cellStyle name="20% - Accent1 6 2 4" xfId="6134"/>
    <cellStyle name="20% - Accent1 6 2 4 2" xfId="9341"/>
    <cellStyle name="20% - Accent1 6 2 5 2" xfId="9878"/>
    <cellStyle name="20% - Accent1 6 2 5 4" xfId="25387"/>
    <cellStyle name="20% - Accent1 6 2 9" xfId="23068"/>
    <cellStyle name="20% - Accent1 6 3 2 4 2 2 2" xfId="34753"/>
    <cellStyle name="20% - Accent1 6 3 3" xfId="3453"/>
    <cellStyle name="20% - Accent1 6 3 3 2" xfId="5507"/>
    <cellStyle name="20% - Accent1 6 3 3 2 2" xfId="8803"/>
    <cellStyle name="20% - Accent1 6 3 3 2 2 2" xfId="16593"/>
    <cellStyle name="20% - Accent1 6 3 3 2 2 2 2" xfId="34214"/>
    <cellStyle name="20% - Accent1 6 3 3 2 2 3" xfId="27177"/>
    <cellStyle name="20% - Accent1 6 3 3 2 3" xfId="13356"/>
    <cellStyle name="20% - Accent1 6 3 3 2 3 2" xfId="30982"/>
    <cellStyle name="20% - Accent1 6 3 3 2 4" xfId="24316"/>
    <cellStyle name="20% - Accent1 6 3 3 3" xfId="6136"/>
    <cellStyle name="20% - Accent1 6 3 3 3 2" xfId="9343"/>
    <cellStyle name="20% - Accent1 6 3 3 3 2 2" xfId="17131"/>
    <cellStyle name="20% - Accent1 6 3 3 3 2 2 2" xfId="34754"/>
    <cellStyle name="20% - Accent1 6 3 3 3 2 3" xfId="27713"/>
    <cellStyle name="20% - Accent1 6 3 3 3 3" xfId="13919"/>
    <cellStyle name="20% - Accent1 6 3 3 3 3 2" xfId="31540"/>
    <cellStyle name="20% - Accent1 6 3 3 3 4" xfId="24852"/>
    <cellStyle name="20% - Accent1 6 3 3 4" xfId="6673"/>
    <cellStyle name="20% - Accent1 6 3 3 4 2" xfId="9880"/>
    <cellStyle name="20% - Accent1 6 3 3 4 2 2" xfId="17667"/>
    <cellStyle name="20% - Accent1 6 3 3 4 2 2 2" xfId="35290"/>
    <cellStyle name="20% - Accent1 6 3 3 4 2 3" xfId="28249"/>
    <cellStyle name="20% - Accent1 6 3 3 4 3" xfId="14455"/>
    <cellStyle name="20% - Accent1 6 3 3 4 3 2" xfId="32076"/>
    <cellStyle name="20% - Accent1 6 3 3 4 4" xfId="25389"/>
    <cellStyle name="20% - Accent1 6 3 3 5" xfId="8074"/>
    <cellStyle name="20% - Accent1 6 3 3 5 2" xfId="15864"/>
    <cellStyle name="20% - Accent1 6 3 3 5 2 2" xfId="33485"/>
    <cellStyle name="20% - Accent1 6 3 3 5 3" xfId="26474"/>
    <cellStyle name="20% - Accent1 6 3 3 6" xfId="12180"/>
    <cellStyle name="20% - Accent1 6 3 3 6 2" xfId="29837"/>
    <cellStyle name="20% - Accent1 6 3 3 7" xfId="23613"/>
    <cellStyle name="20% - Accent1 6 3 4" xfId="3452"/>
    <cellStyle name="20% - Accent1 6 3 4 2" xfId="8073"/>
    <cellStyle name="20% - Accent1 6 3 4 2 2" xfId="15863"/>
    <cellStyle name="20% - Accent1 6 3 4 2 2 2" xfId="33484"/>
    <cellStyle name="20% - Accent1 6 3 4 2 3" xfId="26473"/>
    <cellStyle name="20% - Accent1 6 3 4 3" xfId="12179"/>
    <cellStyle name="20% - Accent1 6 3 4 3 2" xfId="29836"/>
    <cellStyle name="20% - Accent1 6 3 4 4" xfId="23612"/>
    <cellStyle name="20% - Accent1 6 3 5" xfId="5506"/>
    <cellStyle name="20% - Accent1 6 3 5 2" xfId="8802"/>
    <cellStyle name="20% - Accent1 6 3 5 2 2" xfId="16592"/>
    <cellStyle name="20% - Accent1 6 3 5 2 2 2" xfId="34213"/>
    <cellStyle name="20% - Accent1 6 3 5 2 3" xfId="27176"/>
    <cellStyle name="20% - Accent1 6 3 5 3" xfId="13355"/>
    <cellStyle name="20% - Accent1 6 3 5 3 2" xfId="30981"/>
    <cellStyle name="20% - Accent1 6 3 5 4" xfId="24315"/>
    <cellStyle name="20% - Accent1 6 3 6" xfId="6135"/>
    <cellStyle name="20% - Accent1 6 3 6 2" xfId="9342"/>
    <cellStyle name="20% - Accent1 6 3 6 2 2" xfId="17130"/>
    <cellStyle name="20% - Accent1 6 3 6 2 2 2" xfId="34752"/>
    <cellStyle name="20% - Accent1 6 3 6 2 3" xfId="27712"/>
    <cellStyle name="20% - Accent1 6 3 6 3" xfId="13918"/>
    <cellStyle name="20% - Accent1 6 3 6 3 2" xfId="31539"/>
    <cellStyle name="20% - Accent1 6 3 6 4" xfId="24851"/>
    <cellStyle name="20% - Accent1 6 3 7" xfId="6672"/>
    <cellStyle name="20% - Accent1 6 3 7 2" xfId="9879"/>
    <cellStyle name="20% - Accent1 6 3 7 2 2" xfId="17666"/>
    <cellStyle name="20% - Accent1 6 3 7 2 2 2" xfId="35289"/>
    <cellStyle name="20% - Accent1 6 3 7 2 3" xfId="28248"/>
    <cellStyle name="20% - Accent1 6 3 7 3" xfId="14454"/>
    <cellStyle name="20% - Accent1 6 3 7 3 2" xfId="32075"/>
    <cellStyle name="20% - Accent1 6 3 7 4" xfId="25388"/>
    <cellStyle name="20% - Accent1 6 3 8" xfId="7510"/>
    <cellStyle name="20% - Accent1 6 3 8 2" xfId="15301"/>
    <cellStyle name="20% - Accent1 6 3 8 2 2" xfId="32922"/>
    <cellStyle name="20% - Accent1 6 3 8 3" xfId="25929"/>
    <cellStyle name="20% - Accent1 6 3 9" xfId="11072"/>
    <cellStyle name="20% - Accent1 6 3 9 2" xfId="28788"/>
    <cellStyle name="20% - Accent1 6 4" xfId="215"/>
    <cellStyle name="20% - Accent1 6 4 10" xfId="52877"/>
    <cellStyle name="20% - Accent1 6 4 2" xfId="3454"/>
    <cellStyle name="20% - Accent1 6 4 2 2" xfId="8075"/>
    <cellStyle name="20% - Accent1 6 4 2 2 2" xfId="15865"/>
    <cellStyle name="20% - Accent1 6 4 2 2 2 2" xfId="33486"/>
    <cellStyle name="20% - Accent1 6 4 2 2 3" xfId="26475"/>
    <cellStyle name="20% - Accent1 6 4 2 3" xfId="12181"/>
    <cellStyle name="20% - Accent1 6 4 2 3 2" xfId="29838"/>
    <cellStyle name="20% - Accent1 6 4 2 4" xfId="23614"/>
    <cellStyle name="20% - Accent1 6 4 3" xfId="5508"/>
    <cellStyle name="20% - Accent1 6 4 3 2" xfId="8804"/>
    <cellStyle name="20% - Accent1 6 4 3 2 2" xfId="16594"/>
    <cellStyle name="20% - Accent1 6 4 3 2 2 2" xfId="34215"/>
    <cellStyle name="20% - Accent1 6 4 3 2 3" xfId="27178"/>
    <cellStyle name="20% - Accent1 6 4 3 3" xfId="13357"/>
    <cellStyle name="20% - Accent1 6 4 3 3 2" xfId="30983"/>
    <cellStyle name="20% - Accent1 6 4 3 4" xfId="24317"/>
    <cellStyle name="20% - Accent1 6 4 4" xfId="6137"/>
    <cellStyle name="20% - Accent1 6 4 4 2" xfId="9344"/>
    <cellStyle name="20% - Accent1 6 4 4 2 2" xfId="17132"/>
    <cellStyle name="20% - Accent1 6 4 4 2 2 2" xfId="34755"/>
    <cellStyle name="20% - Accent1 6 4 4 2 3" xfId="27714"/>
    <cellStyle name="20% - Accent1 6 4 4 3" xfId="13920"/>
    <cellStyle name="20% - Accent1 6 4 4 3 2" xfId="31541"/>
    <cellStyle name="20% - Accent1 6 4 4 4" xfId="24853"/>
    <cellStyle name="20% - Accent1 6 4 5" xfId="6674"/>
    <cellStyle name="20% - Accent1 6 4 5 2" xfId="9881"/>
    <cellStyle name="20% - Accent1 6 4 5 2 2" xfId="17668"/>
    <cellStyle name="20% - Accent1 6 4 5 2 2 2" xfId="35291"/>
    <cellStyle name="20% - Accent1 6 4 5 2 3" xfId="28250"/>
    <cellStyle name="20% - Accent1 6 4 5 3" xfId="14456"/>
    <cellStyle name="20% - Accent1 6 4 5 3 2" xfId="32077"/>
    <cellStyle name="20% - Accent1 6 4 5 4" xfId="25390"/>
    <cellStyle name="20% - Accent1 6 4 6" xfId="7511"/>
    <cellStyle name="20% - Accent1 6 4 6 2" xfId="15302"/>
    <cellStyle name="20% - Accent1 6 4 6 2 2" xfId="32923"/>
    <cellStyle name="20% - Accent1 6 4 6 3" xfId="25930"/>
    <cellStyle name="20% - Accent1 6 4 7" xfId="11073"/>
    <cellStyle name="20% - Accent1 6 4 7 2" xfId="28789"/>
    <cellStyle name="20% - Accent1 6 4 8" xfId="23069"/>
    <cellStyle name="20% - Accent1 6 4 9" xfId="51608"/>
    <cellStyle name="20% - Accent1 6 5" xfId="216"/>
    <cellStyle name="20% - Accent1 6 5 2" xfId="3455"/>
    <cellStyle name="20% - Accent1 6 5 2 2" xfId="8076"/>
    <cellStyle name="20% - Accent1 6 5 2 2 2" xfId="15866"/>
    <cellStyle name="20% - Accent1 6 5 2 2 2 2" xfId="33487"/>
    <cellStyle name="20% - Accent1 6 5 2 2 3" xfId="26476"/>
    <cellStyle name="20% - Accent1 6 5 2 3" xfId="12182"/>
    <cellStyle name="20% - Accent1 6 5 2 3 2" xfId="29839"/>
    <cellStyle name="20% - Accent1 6 5 2 4" xfId="23615"/>
    <cellStyle name="20% - Accent1 6 5 3" xfId="5509"/>
    <cellStyle name="20% - Accent1 6 5 3 2" xfId="8805"/>
    <cellStyle name="20% - Accent1 6 5 3 2 2" xfId="16595"/>
    <cellStyle name="20% - Accent1 6 5 3 2 2 2" xfId="34216"/>
    <cellStyle name="20% - Accent1 6 5 3 2 3" xfId="27179"/>
    <cellStyle name="20% - Accent1 6 5 3 3" xfId="13358"/>
    <cellStyle name="20% - Accent1 6 5 3 3 2" xfId="30984"/>
    <cellStyle name="20% - Accent1 6 5 3 4" xfId="24318"/>
    <cellStyle name="20% - Accent1 6 5 4" xfId="6138"/>
    <cellStyle name="20% - Accent1 6 5 4 2" xfId="9345"/>
    <cellStyle name="20% - Accent1 6 5 4 2 2" xfId="17133"/>
    <cellStyle name="20% - Accent1 6 5 4 2 2 2" xfId="34756"/>
    <cellStyle name="20% - Accent1 6 5 4 2 3" xfId="27715"/>
    <cellStyle name="20% - Accent1 6 5 4 3" xfId="13921"/>
    <cellStyle name="20% - Accent1 6 5 4 3 2" xfId="31542"/>
    <cellStyle name="20% - Accent1 6 5 4 4" xfId="24854"/>
    <cellStyle name="20% - Accent1 6 5 5" xfId="6675"/>
    <cellStyle name="20% - Accent1 6 5 5 2" xfId="9882"/>
    <cellStyle name="20% - Accent1 6 5 5 2 2" xfId="17669"/>
    <cellStyle name="20% - Accent1 6 5 5 2 2 2" xfId="35292"/>
    <cellStyle name="20% - Accent1 6 5 5 2 3" xfId="28251"/>
    <cellStyle name="20% - Accent1 6 5 5 3" xfId="14457"/>
    <cellStyle name="20% - Accent1 6 5 5 3 2" xfId="32078"/>
    <cellStyle name="20% - Accent1 6 5 5 4" xfId="25391"/>
    <cellStyle name="20% - Accent1 6 5 6" xfId="7512"/>
    <cellStyle name="20% - Accent1 6 5 6 2" xfId="15303"/>
    <cellStyle name="20% - Accent1 6 5 6 2 2" xfId="32924"/>
    <cellStyle name="20% - Accent1 6 5 6 3" xfId="25931"/>
    <cellStyle name="20% - Accent1 6 5 7" xfId="11074"/>
    <cellStyle name="20% - Accent1 6 5 7 2" xfId="28790"/>
    <cellStyle name="20% - Accent1 6 5 8" xfId="23070"/>
    <cellStyle name="20% - Accent1 6 5 9" xfId="51609"/>
    <cellStyle name="20% - Accent1 6 6" xfId="217"/>
    <cellStyle name="20% - Accent1 6 6 2" xfId="3456"/>
    <cellStyle name="20% - Accent1 6 6 2 2" xfId="8077"/>
    <cellStyle name="20% - Accent1 6 6 2 2 2" xfId="15867"/>
    <cellStyle name="20% - Accent1 6 6 2 2 2 2" xfId="33488"/>
    <cellStyle name="20% - Accent1 6 6 2 2 3" xfId="26477"/>
    <cellStyle name="20% - Accent1 6 6 2 3" xfId="12183"/>
    <cellStyle name="20% - Accent1 6 6 2 3 2" xfId="29840"/>
    <cellStyle name="20% - Accent1 6 6 2 4" xfId="23616"/>
    <cellStyle name="20% - Accent1 6 6 3" xfId="5510"/>
    <cellStyle name="20% - Accent1 6 6 3 2" xfId="8806"/>
    <cellStyle name="20% - Accent1 6 6 3 2 2" xfId="16596"/>
    <cellStyle name="20% - Accent1 6 6 3 2 2 2" xfId="34217"/>
    <cellStyle name="20% - Accent1 6 6 3 2 3" xfId="27180"/>
    <cellStyle name="20% - Accent1 6 6 3 3" xfId="13359"/>
    <cellStyle name="20% - Accent1 6 6 3 3 2" xfId="30985"/>
    <cellStyle name="20% - Accent1 6 6 3 4" xfId="24319"/>
    <cellStyle name="20% - Accent1 6 6 4" xfId="6139"/>
    <cellStyle name="20% - Accent1 6 6 4 2" xfId="9346"/>
    <cellStyle name="20% - Accent1 6 6 4 2 2" xfId="17134"/>
    <cellStyle name="20% - Accent1 6 6 4 2 2 2" xfId="34757"/>
    <cellStyle name="20% - Accent1 6 6 4 2 3" xfId="27716"/>
    <cellStyle name="20% - Accent1 6 6 4 3" xfId="13922"/>
    <cellStyle name="20% - Accent1 6 6 4 3 2" xfId="31543"/>
    <cellStyle name="20% - Accent1 6 6 4 4" xfId="24855"/>
    <cellStyle name="20% - Accent1 6 6 5" xfId="6676"/>
    <cellStyle name="20% - Accent1 6 6 5 2" xfId="9883"/>
    <cellStyle name="20% - Accent1 6 6 5 2 2" xfId="17670"/>
    <cellStyle name="20% - Accent1 6 6 5 2 2 2" xfId="35293"/>
    <cellStyle name="20% - Accent1 6 6 5 2 3" xfId="28252"/>
    <cellStyle name="20% - Accent1 6 6 5 3" xfId="14458"/>
    <cellStyle name="20% - Accent1 6 6 5 3 2" xfId="32079"/>
    <cellStyle name="20% - Accent1 6 6 5 4" xfId="25392"/>
    <cellStyle name="20% - Accent1 6 6 6" xfId="7513"/>
    <cellStyle name="20% - Accent1 6 6 6 2" xfId="15304"/>
    <cellStyle name="20% - Accent1 6 6 6 2 2" xfId="32925"/>
    <cellStyle name="20% - Accent1 6 6 6 3" xfId="25932"/>
    <cellStyle name="20% - Accent1 6 6 7" xfId="11075"/>
    <cellStyle name="20% - Accent1 6 6 7 2" xfId="28791"/>
    <cellStyle name="20% - Accent1 6 6 8" xfId="23071"/>
    <cellStyle name="20% - Accent1 6 6 9" xfId="51610"/>
    <cellStyle name="20% - Accent1 6 7" xfId="218"/>
    <cellStyle name="20% - Accent1 6 7 10" xfId="51611"/>
    <cellStyle name="20% - Accent1 6 7 2" xfId="219"/>
    <cellStyle name="20% - Accent1 6 7 2 2" xfId="8079"/>
    <cellStyle name="20% - Accent1 6 7 2 2 2" xfId="15869"/>
    <cellStyle name="20% - Accent1 6 7 2 2 2 2" xfId="33490"/>
    <cellStyle name="20% - Accent1 6 7 2 2 3" xfId="26479"/>
    <cellStyle name="20% - Accent1 6 7 2 3" xfId="12185"/>
    <cellStyle name="20% - Accent1 6 7 2 3 2" xfId="29842"/>
    <cellStyle name="20% - Accent1 6 7 2 4" xfId="23618"/>
    <cellStyle name="20% - Accent1 6 7 3" xfId="3457"/>
    <cellStyle name="20% - Accent1 6 7 3 2" xfId="8078"/>
    <cellStyle name="20% - Accent1 6 7 3 2 2" xfId="15868"/>
    <cellStyle name="20% - Accent1 6 7 3 2 2 2" xfId="33489"/>
    <cellStyle name="20% - Accent1 6 7 3 2 3" xfId="26478"/>
    <cellStyle name="20% - Accent1 6 7 3 3" xfId="12184"/>
    <cellStyle name="20% - Accent1 6 7 3 3 2" xfId="29841"/>
    <cellStyle name="20% - Accent1 6 7 3 4" xfId="23617"/>
    <cellStyle name="20% - Accent1 6 7 4" xfId="5511"/>
    <cellStyle name="20% - Accent1 6 7 4 2" xfId="8807"/>
    <cellStyle name="20% - Accent1 6 7 4 2 2" xfId="16597"/>
    <cellStyle name="20% - Accent1 6 7 4 2 2 2" xfId="34218"/>
    <cellStyle name="20% - Accent1 6 7 4 2 3" xfId="27181"/>
    <cellStyle name="20% - Accent1 6 7 4 3" xfId="13360"/>
    <cellStyle name="20% - Accent1 6 7 4 3 2" xfId="30986"/>
    <cellStyle name="20% - Accent1 6 7 4 4" xfId="24320"/>
    <cellStyle name="20% - Accent1 6 7 5" xfId="6140"/>
    <cellStyle name="20% - Accent1 6 7 5 2" xfId="9347"/>
    <cellStyle name="20% - Accent1 6 7 5 2 2" xfId="17135"/>
    <cellStyle name="20% - Accent1 6 7 5 2 2 2" xfId="34758"/>
    <cellStyle name="20% - Accent1 6 7 5 2 3" xfId="27717"/>
    <cellStyle name="20% - Accent1 6 7 5 3" xfId="13923"/>
    <cellStyle name="20% - Accent1 6 7 5 3 2" xfId="31544"/>
    <cellStyle name="20% - Accent1 6 7 5 4" xfId="24856"/>
    <cellStyle name="20% - Accent1 6 7 6" xfId="6677"/>
    <cellStyle name="20% - Accent1 6 7 6 2" xfId="9884"/>
    <cellStyle name="20% - Accent1 6 7 6 2 2" xfId="17671"/>
    <cellStyle name="20% - Accent1 6 7 6 2 2 2" xfId="35294"/>
    <cellStyle name="20% - Accent1 6 7 6 2 3" xfId="28253"/>
    <cellStyle name="20% - Accent1 6 7 6 3" xfId="14459"/>
    <cellStyle name="20% - Accent1 6 7 6 3 2" xfId="32080"/>
    <cellStyle name="20% - Accent1 6 7 6 4" xfId="25393"/>
    <cellStyle name="20% - Accent1 6 7 7" xfId="7514"/>
    <cellStyle name="20% - Accent1 6 7 7 2" xfId="15305"/>
    <cellStyle name="20% - Accent1 6 7 7 2 2" xfId="32926"/>
    <cellStyle name="20% - Accent1 6 7 7 3" xfId="25933"/>
    <cellStyle name="20% - Accent1 6 7 8" xfId="11076"/>
    <cellStyle name="20% - Accent1 6 7 8 2" xfId="28792"/>
    <cellStyle name="20% - Accent1 6 7 9" xfId="23072"/>
    <cellStyle name="20% - Accent1 6 8" xfId="3458"/>
    <cellStyle name="20% - Accent1 6 8 2" xfId="8080"/>
    <cellStyle name="20% - Accent1 6 8 2 2" xfId="15870"/>
    <cellStyle name="20% - Accent1 6 8 2 2 2" xfId="33491"/>
    <cellStyle name="20% - Accent1 6 8 2 3" xfId="26480"/>
    <cellStyle name="20% - Accent1 6 8 3" xfId="12186"/>
    <cellStyle name="20% - Accent1 6 8 3 2" xfId="29843"/>
    <cellStyle name="20% - Accent1 6 8 4" xfId="23619"/>
    <cellStyle name="20% - Accent1 6 9" xfId="3459"/>
    <cellStyle name="20% - Accent1 6 9 2" xfId="8081"/>
    <cellStyle name="20% - Accent1 6 9 2 2" xfId="15871"/>
    <cellStyle name="20% - Accent1 6 9 2 2 2" xfId="33492"/>
    <cellStyle name="20% - Accent1 6 9 2 3" xfId="26481"/>
    <cellStyle name="20% - Accent1 6 9 3" xfId="12187"/>
    <cellStyle name="20% - Accent1 6 9 3 2" xfId="29844"/>
    <cellStyle name="20% - Accent1 6 9 4" xfId="23620"/>
    <cellStyle name="20% - Accent1 7" xfId="220"/>
    <cellStyle name="20% - Accent1 7 10" xfId="3460"/>
    <cellStyle name="20% - Accent1 7 10 2" xfId="8082"/>
    <cellStyle name="20% - Accent1 7 10 2 2" xfId="15872"/>
    <cellStyle name="20% - Accent1 7 10 2 2 2" xfId="33493"/>
    <cellStyle name="20% - Accent1 7 10 2 3" xfId="26482"/>
    <cellStyle name="20% - Accent1 7 10 3" xfId="12188"/>
    <cellStyle name="20% - Accent1 7 10 3 2" xfId="29845"/>
    <cellStyle name="20% - Accent1 7 10 4" xfId="23621"/>
    <cellStyle name="20% - Accent1 7 11" xfId="5512"/>
    <cellStyle name="20% - Accent1 7 11 2" xfId="8808"/>
    <cellStyle name="20% - Accent1 7 11 2 2" xfId="16598"/>
    <cellStyle name="20% - Accent1 7 11 2 2 2" xfId="34219"/>
    <cellStyle name="20% - Accent1 7 11 2 3" xfId="27182"/>
    <cellStyle name="20% - Accent1 7 11 3" xfId="13361"/>
    <cellStyle name="20% - Accent1 7 11 3 2" xfId="30987"/>
    <cellStyle name="20% - Accent1 7 11 4" xfId="24321"/>
    <cellStyle name="20% - Accent1 7 12" xfId="6141"/>
    <cellStyle name="20% - Accent1 7 12 2" xfId="9348"/>
    <cellStyle name="20% - Accent1 7 12 2 2" xfId="17136"/>
    <cellStyle name="20% - Accent1 7 12 2 2 2" xfId="34759"/>
    <cellStyle name="20% - Accent1 7 12 2 3" xfId="27718"/>
    <cellStyle name="20% - Accent1 7 12 3" xfId="13924"/>
    <cellStyle name="20% - Accent1 7 12 3 2" xfId="31545"/>
    <cellStyle name="20% - Accent1 7 12 4" xfId="24857"/>
    <cellStyle name="20% - Accent1 7 13" xfId="6678"/>
    <cellStyle name="20% - Accent1 7 13 2" xfId="9885"/>
    <cellStyle name="20% - Accent1 7 13 2 2" xfId="17672"/>
    <cellStyle name="20% - Accent1 7 13 2 2 2" xfId="35295"/>
    <cellStyle name="20% - Accent1 7 13 2 3" xfId="28254"/>
    <cellStyle name="20% - Accent1 7 13 3" xfId="14460"/>
    <cellStyle name="20% - Accent1 7 13 3 2" xfId="32081"/>
    <cellStyle name="20% - Accent1 7 13 4" xfId="25394"/>
    <cellStyle name="20% - Accent1 7 14" xfId="7515"/>
    <cellStyle name="20% - Accent1 7 14 2" xfId="15306"/>
    <cellStyle name="20% - Accent1 7 14 2 2" xfId="32927"/>
    <cellStyle name="20% - Accent1 7 14 3" xfId="25934"/>
    <cellStyle name="20% - Accent1 7 15" xfId="11077"/>
    <cellStyle name="20% - Accent1 7 15 2" xfId="28793"/>
    <cellStyle name="20% - Accent1 7 16" xfId="22018"/>
    <cellStyle name="20% - Accent1 7 16 2" xfId="38723"/>
    <cellStyle name="20% - Accent1 7 17" xfId="23073"/>
    <cellStyle name="20% - Accent1 7 18" xfId="51612"/>
    <cellStyle name="20% - Accent1 7 2" xfId="221"/>
    <cellStyle name="20% - Accent1 7 2 10" xfId="51613"/>
    <cellStyle name="20% - Accent1 7 2 2" xfId="3461"/>
    <cellStyle name="20% - Accent1 7 2 2 2" xfId="8083"/>
    <cellStyle name="20% - Accent1 7 2 2 2 2" xfId="15873"/>
    <cellStyle name="20% - Accent1 7 2 2 2 2 2" xfId="33494"/>
    <cellStyle name="20% - Accent1 7 2 2 2 3" xfId="26483"/>
    <cellStyle name="20% - Accent1 7 2 2 3" xfId="12189"/>
    <cellStyle name="20% - Accent1 7 2 2 3 2" xfId="29846"/>
    <cellStyle name="20% - Accent1 7 2 2 4" xfId="23622"/>
    <cellStyle name="20% - Accent1 7 2 3" xfId="5513"/>
    <cellStyle name="20% - Accent1 7 2 3 2" xfId="8809"/>
    <cellStyle name="20% - Accent1 7 2 3 2 2" xfId="16599"/>
    <cellStyle name="20% - Accent1 7 2 3 2 2 2" xfId="34220"/>
    <cellStyle name="20% - Accent1 7 2 3 2 3" xfId="27183"/>
    <cellStyle name="20% - Accent1 7 2 3 3" xfId="13362"/>
    <cellStyle name="20% - Accent1 7 2 3 3 2" xfId="30988"/>
    <cellStyle name="20% - Accent1 7 2 3 4" xfId="24322"/>
    <cellStyle name="20% - Accent1 7 2 4" xfId="6142"/>
    <cellStyle name="20% - Accent1 7 2 4 2" xfId="9349"/>
    <cellStyle name="20% - Accent1 7 2 4 2 2" xfId="17137"/>
    <cellStyle name="20% - Accent1 7 2 4 2 2 2" xfId="34760"/>
    <cellStyle name="20% - Accent1 7 2 4 2 3" xfId="27719"/>
    <cellStyle name="20% - Accent1 7 2 4 3" xfId="13925"/>
    <cellStyle name="20% - Accent1 7 2 4 3 2" xfId="31546"/>
    <cellStyle name="20% - Accent1 7 2 4 4" xfId="24858"/>
    <cellStyle name="20% - Accent1 7 2 5" xfId="6679"/>
    <cellStyle name="20% - Accent1 7 2 5 2" xfId="9886"/>
    <cellStyle name="20% - Accent1 7 2 5 2 2" xfId="17673"/>
    <cellStyle name="20% - Accent1 7 2 5 2 2 2" xfId="35296"/>
    <cellStyle name="20% - Accent1 7 2 5 2 3" xfId="28255"/>
    <cellStyle name="20% - Accent1 7 2 5 3" xfId="14461"/>
    <cellStyle name="20% - Accent1 7 2 5 3 2" xfId="32082"/>
    <cellStyle name="20% - Accent1 7 2 5 4" xfId="25395"/>
    <cellStyle name="20% - Accent1 7 2 6" xfId="7516"/>
    <cellStyle name="20% - Accent1 7 2 6 2" xfId="15307"/>
    <cellStyle name="20% - Accent1 7 2 6 2 2" xfId="32928"/>
    <cellStyle name="20% - Accent1 7 2 6 3" xfId="25935"/>
    <cellStyle name="20% - Accent1 7 2 7" xfId="11078"/>
    <cellStyle name="20% - Accent1 7 2 7 2" xfId="28794"/>
    <cellStyle name="20% - Accent1 7 2 8" xfId="22696"/>
    <cellStyle name="20% - Accent1 7 2 8 2" xfId="38892"/>
    <cellStyle name="20% - Accent1 7 2 9" xfId="23074"/>
    <cellStyle name="20% - Accent1 7 3" xfId="222"/>
    <cellStyle name="20% - Accent1 7 3 10" xfId="23075"/>
    <cellStyle name="20% - Accent1 7 3 11" xfId="51614"/>
    <cellStyle name="20% - Accent1 7 3 2" xfId="223"/>
    <cellStyle name="20% - Accent1 7 3 2 2" xfId="3463"/>
    <cellStyle name="20% - Accent1 7 3 2 2 2" xfId="8085"/>
    <cellStyle name="20% - Accent1 7 3 2 2 2 2" xfId="15875"/>
    <cellStyle name="20% - Accent1 7 3 2 2 2 2 2" xfId="33496"/>
    <cellStyle name="20% - Accent1 7 3 2 2 2 3" xfId="26485"/>
    <cellStyle name="20% - Accent1 7 3 2 2 3" xfId="12191"/>
    <cellStyle name="20% - Accent1 7 3 2 2 3 2" xfId="29848"/>
    <cellStyle name="20% - Accent1 7 3 2 2 4" xfId="23624"/>
    <cellStyle name="20% - Accent1 7 3 2 3" xfId="5515"/>
    <cellStyle name="20% - Accent1 7 3 2 3 2" xfId="8811"/>
    <cellStyle name="20% - Accent1 7 3 2 3 2 2" xfId="16601"/>
    <cellStyle name="20% - Accent1 7 3 2 3 2 2 2" xfId="34222"/>
    <cellStyle name="20% - Accent1 7 3 2 3 2 3" xfId="27185"/>
    <cellStyle name="20% - Accent1 7 3 2 3 3" xfId="13364"/>
    <cellStyle name="20% - Accent1 7 3 2 3 3 2" xfId="30990"/>
    <cellStyle name="20% - Accent1 7 3 2 3 4" xfId="24324"/>
    <cellStyle name="20% - Accent1 7 3 2 4" xfId="6144"/>
    <cellStyle name="20% - Accent1 7 3 2 4 2" xfId="9351"/>
    <cellStyle name="20% - Accent1 7 3 2 4 2 2" xfId="17139"/>
    <cellStyle name="20% - Accent1 7 3 2 4 2 2 2" xfId="34762"/>
    <cellStyle name="20% - Accent1 7 3 2 4 2 3" xfId="27721"/>
    <cellStyle name="20% - Accent1 7 3 2 4 3" xfId="13927"/>
    <cellStyle name="20% - Accent1 7 3 2 4 3 2" xfId="31548"/>
    <cellStyle name="20% - Accent1 7 3 2 4 4" xfId="24860"/>
    <cellStyle name="20% - Accent1 7 3 2 5" xfId="6681"/>
    <cellStyle name="20% - Accent1 7 3 2 5 2" xfId="9888"/>
    <cellStyle name="20% - Accent1 7 3 2 5 2 2" xfId="17675"/>
    <cellStyle name="20% - Accent1 7 3 2 5 2 2 2" xfId="35298"/>
    <cellStyle name="20% - Accent1 7 3 2 5 2 3" xfId="28257"/>
    <cellStyle name="20% - Accent1 7 3 2 5 3" xfId="14463"/>
    <cellStyle name="20% - Accent1 7 3 2 5 3 2" xfId="32084"/>
    <cellStyle name="20% - Accent1 7 3 2 5 4" xfId="25397"/>
    <cellStyle name="20% - Accent1 7 3 2 6" xfId="7518"/>
    <cellStyle name="20% - Accent1 7 3 2 6 2" xfId="15309"/>
    <cellStyle name="20% - Accent1 7 3 2 6 2 2" xfId="32930"/>
    <cellStyle name="20% - Accent1 7 3 2 6 3" xfId="25937"/>
    <cellStyle name="20% - Accent1 7 3 2 7" xfId="11080"/>
    <cellStyle name="20% - Accent1 7 3 2 7 2" xfId="28796"/>
    <cellStyle name="20% - Accent1 7 3 2 8" xfId="23076"/>
    <cellStyle name="20% - Accent1 7 3 2 9" xfId="51615"/>
    <cellStyle name="20% - Accent1 7 3 3" xfId="3464"/>
    <cellStyle name="20% - Accent1 7 3 3 2" xfId="5516"/>
    <cellStyle name="20% - Accent1 7 3 3 2 2" xfId="8812"/>
    <cellStyle name="20% - Accent1 7 3 3 2 2 2" xfId="16602"/>
    <cellStyle name="20% - Accent1 7 3 3 2 2 2 2" xfId="34223"/>
    <cellStyle name="20% - Accent1 7 3 3 2 2 3" xfId="27186"/>
    <cellStyle name="20% - Accent1 7 3 3 2 3" xfId="13365"/>
    <cellStyle name="20% - Accent1 7 3 3 2 3 2" xfId="30991"/>
    <cellStyle name="20% - Accent1 7 3 3 2 4" xfId="24325"/>
    <cellStyle name="20% - Accent1 7 3 3 3" xfId="6145"/>
    <cellStyle name="20% - Accent1 7 3 3 3 2" xfId="9352"/>
    <cellStyle name="20% - Accent1 7 3 3 3 2 2" xfId="17140"/>
    <cellStyle name="20% - Accent1 7 3 3 3 2 2 2" xfId="34763"/>
    <cellStyle name="20% - Accent1 7 3 3 3 2 3" xfId="27722"/>
    <cellStyle name="20% - Accent1 7 3 3 3 3" xfId="13928"/>
    <cellStyle name="20% - Accent1 7 3 3 3 3 2" xfId="31549"/>
    <cellStyle name="20% - Accent1 7 3 3 3 4" xfId="24861"/>
    <cellStyle name="20% - Accent1 7 3 3 4" xfId="6682"/>
    <cellStyle name="20% - Accent1 7 3 3 4 2" xfId="9889"/>
    <cellStyle name="20% - Accent1 7 3 3 4 2 2" xfId="17676"/>
    <cellStyle name="20% - Accent1 7 3 3 4 2 2 2" xfId="35299"/>
    <cellStyle name="20% - Accent1 7 3 3 4 2 3" xfId="28258"/>
    <cellStyle name="20% - Accent1 7 3 3 4 3" xfId="14464"/>
    <cellStyle name="20% - Accent1 7 3 3 4 3 2" xfId="32085"/>
    <cellStyle name="20% - Accent1 7 3 3 4 4" xfId="25398"/>
    <cellStyle name="20% - Accent1 7 3 3 5" xfId="8086"/>
    <cellStyle name="20% - Accent1 7 3 3 5 2" xfId="15876"/>
    <cellStyle name="20% - Accent1 7 3 3 5 2 2" xfId="33497"/>
    <cellStyle name="20% - Accent1 7 3 3 5 3" xfId="26486"/>
    <cellStyle name="20% - Accent1 7 3 3 6" xfId="12192"/>
    <cellStyle name="20% - Accent1 7 3 3 6 2" xfId="29849"/>
    <cellStyle name="20% - Accent1 7 3 3 7" xfId="23625"/>
    <cellStyle name="20% - Accent1 7 3 4" xfId="3462"/>
    <cellStyle name="20% - Accent1 7 3 4 2" xfId="8084"/>
    <cellStyle name="20% - Accent1 7 3 4 2 2" xfId="15874"/>
    <cellStyle name="20% - Accent1 7 3 4 2 2 2" xfId="33495"/>
    <cellStyle name="20% - Accent1 7 3 4 2 3" xfId="26484"/>
    <cellStyle name="20% - Accent1 7 3 4 3" xfId="12190"/>
    <cellStyle name="20% - Accent1 7 3 4 3 2" xfId="29847"/>
    <cellStyle name="20% - Accent1 7 3 4 4" xfId="23623"/>
    <cellStyle name="20% - Accent1 7 3 5" xfId="5514"/>
    <cellStyle name="20% - Accent1 7 3 5 2" xfId="8810"/>
    <cellStyle name="20% - Accent1 7 3 5 2 2" xfId="16600"/>
    <cellStyle name="20% - Accent1 7 3 5 2 2 2" xfId="34221"/>
    <cellStyle name="20% - Accent1 7 3 5 2 3" xfId="27184"/>
    <cellStyle name="20% - Accent1 7 3 5 3" xfId="13363"/>
    <cellStyle name="20% - Accent1 7 3 5 3 2" xfId="30989"/>
    <cellStyle name="20% - Accent1 7 3 5 4" xfId="24323"/>
    <cellStyle name="20% - Accent1 7 3 6" xfId="6143"/>
    <cellStyle name="20% - Accent1 7 3 6 2" xfId="9350"/>
    <cellStyle name="20% - Accent1 7 3 6 2 2" xfId="17138"/>
    <cellStyle name="20% - Accent1 7 3 6 2 2 2" xfId="34761"/>
    <cellStyle name="20% - Accent1 7 3 6 2 3" xfId="27720"/>
    <cellStyle name="20% - Accent1 7 3 6 3" xfId="13926"/>
    <cellStyle name="20% - Accent1 7 3 6 3 2" xfId="31547"/>
    <cellStyle name="20% - Accent1 7 3 6 4" xfId="24859"/>
    <cellStyle name="20% - Accent1 7 3 7" xfId="6680"/>
    <cellStyle name="20% - Accent1 7 3 7 2" xfId="9887"/>
    <cellStyle name="20% - Accent1 7 3 7 2 2" xfId="17674"/>
    <cellStyle name="20% - Accent1 7 3 7 2 2 2" xfId="35297"/>
    <cellStyle name="20% - Accent1 7 3 7 2 3" xfId="28256"/>
    <cellStyle name="20% - Accent1 7 3 7 3" xfId="14462"/>
    <cellStyle name="20% - Accent1 7 3 7 3 2" xfId="32083"/>
    <cellStyle name="20% - Accent1 7 3 7 4" xfId="25396"/>
    <cellStyle name="20% - Accent1 7 3 8" xfId="7517"/>
    <cellStyle name="20% - Accent1 7 3 8 2" xfId="15308"/>
    <cellStyle name="20% - Accent1 7 3 8 2 2" xfId="32929"/>
    <cellStyle name="20% - Accent1 7 3 8 3" xfId="25936"/>
    <cellStyle name="20% - Accent1 7 3 9" xfId="11079"/>
    <cellStyle name="20% - Accent1 7 3 9 2" xfId="28795"/>
    <cellStyle name="20% - Accent1 7 4" xfId="224"/>
    <cellStyle name="20% - Accent1 7 4 2" xfId="3465"/>
    <cellStyle name="20% - Accent1 7 4 2 2" xfId="8087"/>
    <cellStyle name="20% - Accent1 7 4 2 2 2" xfId="15877"/>
    <cellStyle name="20% - Accent1 7 4 2 2 2 2" xfId="33498"/>
    <cellStyle name="20% - Accent1 7 4 2 2 3" xfId="26487"/>
    <cellStyle name="20% - Accent1 7 4 2 3" xfId="12193"/>
    <cellStyle name="20% - Accent1 7 4 2 3 2" xfId="29850"/>
    <cellStyle name="20% - Accent1 7 4 2 4" xfId="23626"/>
    <cellStyle name="20% - Accent1 7 4 3" xfId="5517"/>
    <cellStyle name="20% - Accent1 7 4 3 2" xfId="8813"/>
    <cellStyle name="20% - Accent1 7 4 3 2 2" xfId="16603"/>
    <cellStyle name="20% - Accent1 7 4 3 2 2 2" xfId="34224"/>
    <cellStyle name="20% - Accent1 7 4 3 2 3" xfId="27187"/>
    <cellStyle name="20% - Accent1 7 4 3 3" xfId="13366"/>
    <cellStyle name="20% - Accent1 7 4 3 3 2" xfId="30992"/>
    <cellStyle name="20% - Accent1 7 4 3 4" xfId="24326"/>
    <cellStyle name="20% - Accent1 7 4 4" xfId="6146"/>
    <cellStyle name="20% - Accent1 7 4 4 2" xfId="9353"/>
    <cellStyle name="20% - Accent1 7 4 4 2 2" xfId="17141"/>
    <cellStyle name="20% - Accent1 7 4 4 2 2 2" xfId="34764"/>
    <cellStyle name="20% - Accent1 7 4 4 2 3" xfId="27723"/>
    <cellStyle name="20% - Accent1 7 4 4 3" xfId="13929"/>
    <cellStyle name="20% - Accent1 7 4 4 3 2" xfId="31550"/>
    <cellStyle name="20% - Accent1 7 4 4 4" xfId="24862"/>
    <cellStyle name="20% - Accent1 7 4 5" xfId="6683"/>
    <cellStyle name="20% - Accent1 7 4 5 2" xfId="9890"/>
    <cellStyle name="20% - Accent1 7 4 5 2 2" xfId="17677"/>
    <cellStyle name="20% - Accent1 7 4 5 2 2 2" xfId="35300"/>
    <cellStyle name="20% - Accent1 7 4 5 2 3" xfId="28259"/>
    <cellStyle name="20% - Accent1 7 4 5 3" xfId="14465"/>
    <cellStyle name="20% - Accent1 7 4 5 3 2" xfId="32086"/>
    <cellStyle name="20% - Accent1 7 4 5 4" xfId="25399"/>
    <cellStyle name="20% - Accent1 7 4 6" xfId="7519"/>
    <cellStyle name="20% - Accent1 7 4 6 2" xfId="15310"/>
    <cellStyle name="20% - Accent1 7 4 6 2 2" xfId="32931"/>
    <cellStyle name="20% - Accent1 7 4 6 3" xfId="25938"/>
    <cellStyle name="20% - Accent1 7 4 7" xfId="11081"/>
    <cellStyle name="20% - Accent1 7 4 7 2" xfId="28797"/>
    <cellStyle name="20% - Accent1 7 4 8" xfId="23077"/>
    <cellStyle name="20% - Accent1 7 4 9" xfId="51616"/>
    <cellStyle name="20% - Accent1 7 5" xfId="225"/>
    <cellStyle name="20% - Accent1 7 5 2" xfId="3466"/>
    <cellStyle name="20% - Accent1 7 5 2 2" xfId="8088"/>
    <cellStyle name="20% - Accent1 7 5 2 2 2" xfId="15878"/>
    <cellStyle name="20% - Accent1 7 5 2 2 2 2" xfId="33499"/>
    <cellStyle name="20% - Accent1 7 5 2 2 3" xfId="26488"/>
    <cellStyle name="20% - Accent1 7 5 2 3" xfId="12194"/>
    <cellStyle name="20% - Accent1 7 5 2 3 2" xfId="29851"/>
    <cellStyle name="20% - Accent1 7 5 2 4" xfId="23627"/>
    <cellStyle name="20% - Accent1 7 5 3" xfId="5518"/>
    <cellStyle name="20% - Accent1 7 5 3 2" xfId="8814"/>
    <cellStyle name="20% - Accent1 7 5 3 2 2" xfId="16604"/>
    <cellStyle name="20% - Accent1 7 5 3 2 2 2" xfId="34225"/>
    <cellStyle name="20% - Accent1 7 5 3 2 3" xfId="27188"/>
    <cellStyle name="20% - Accent1 7 5 3 3" xfId="13367"/>
    <cellStyle name="20% - Accent1 7 5 3 3 2" xfId="30993"/>
    <cellStyle name="20% - Accent1 7 5 3 4" xfId="24327"/>
    <cellStyle name="20% - Accent1 7 5 4" xfId="6147"/>
    <cellStyle name="20% - Accent1 7 5 4 2" xfId="9354"/>
    <cellStyle name="20% - Accent1 7 5 4 2 2" xfId="17142"/>
    <cellStyle name="20% - Accent1 7 5 4 2 2 2" xfId="34765"/>
    <cellStyle name="20% - Accent1 7 5 4 2 3" xfId="27724"/>
    <cellStyle name="20% - Accent1 7 5 4 3" xfId="13930"/>
    <cellStyle name="20% - Accent1 7 5 4 3 2" xfId="31551"/>
    <cellStyle name="20% - Accent1 7 5 4 4" xfId="24863"/>
    <cellStyle name="20% - Accent1 7 5 5" xfId="6684"/>
    <cellStyle name="20% - Accent1 7 5 5 2" xfId="9891"/>
    <cellStyle name="20% - Accent1 7 5 5 2 2" xfId="17678"/>
    <cellStyle name="20% - Accent1 7 5 5 2 2 2" xfId="35301"/>
    <cellStyle name="20% - Accent1 7 5 5 2 3" xfId="28260"/>
    <cellStyle name="20% - Accent1 7 5 5 3" xfId="14466"/>
    <cellStyle name="20% - Accent1 7 5 5 3 2" xfId="32087"/>
    <cellStyle name="20% - Accent1 7 5 5 4" xfId="25400"/>
    <cellStyle name="20% - Accent1 7 5 6" xfId="7520"/>
    <cellStyle name="20% - Accent1 7 5 6 2" xfId="15311"/>
    <cellStyle name="20% - Accent1 7 5 6 2 2" xfId="32932"/>
    <cellStyle name="20% - Accent1 7 5 6 3" xfId="25939"/>
    <cellStyle name="20% - Accent1 7 5 7" xfId="11082"/>
    <cellStyle name="20% - Accent1 7 5 7 2" xfId="28798"/>
    <cellStyle name="20% - Accent1 7 5 8" xfId="23078"/>
    <cellStyle name="20% - Accent1 7 5 9" xfId="51617"/>
    <cellStyle name="20% - Accent1 7 6" xfId="226"/>
    <cellStyle name="20% - Accent1 7 6 2" xfId="3467"/>
    <cellStyle name="20% - Accent1 7 6 2 2" xfId="8089"/>
    <cellStyle name="20% - Accent1 7 6 2 2 2" xfId="15879"/>
    <cellStyle name="20% - Accent1 7 6 2 2 2 2" xfId="33500"/>
    <cellStyle name="20% - Accent1 7 6 2 2 3" xfId="26489"/>
    <cellStyle name="20% - Accent1 7 6 2 3" xfId="12195"/>
    <cellStyle name="20% - Accent1 7 6 2 3 2" xfId="29852"/>
    <cellStyle name="20% - Accent1 7 6 2 4" xfId="23628"/>
    <cellStyle name="20% - Accent1 7 6 3" xfId="5519"/>
    <cellStyle name="20% - Accent1 7 6 3 2" xfId="8815"/>
    <cellStyle name="20% - Accent1 7 6 3 2 2" xfId="16605"/>
    <cellStyle name="20% - Accent1 7 6 3 2 2 2" xfId="34226"/>
    <cellStyle name="20% - Accent1 7 6 3 2 3" xfId="27189"/>
    <cellStyle name="20% - Accent1 7 6 3 3" xfId="13368"/>
    <cellStyle name="20% - Accent1 7 6 3 3 2" xfId="30994"/>
    <cellStyle name="20% - Accent1 7 6 3 4" xfId="24328"/>
    <cellStyle name="20% - Accent1 7 6 4" xfId="6148"/>
    <cellStyle name="20% - Accent1 7 6 4 2" xfId="9355"/>
    <cellStyle name="20% - Accent1 7 6 4 2 2" xfId="17143"/>
    <cellStyle name="20% - Accent1 7 6 4 2 2 2" xfId="34766"/>
    <cellStyle name="20% - Accent1 7 6 4 2 3" xfId="27725"/>
    <cellStyle name="20% - Accent1 7 6 4 3" xfId="13931"/>
    <cellStyle name="20% - Accent1 7 6 4 3 2" xfId="31552"/>
    <cellStyle name="20% - Accent1 7 6 4 4" xfId="24864"/>
    <cellStyle name="20% - Accent1 7 6 5" xfId="6685"/>
    <cellStyle name="20% - Accent1 7 6 5 2" xfId="9892"/>
    <cellStyle name="20% - Accent1 7 6 5 2 2" xfId="17679"/>
    <cellStyle name="20% - Accent1 7 6 5 2 2 2" xfId="35302"/>
    <cellStyle name="20% - Accent1 7 6 5 2 3" xfId="28261"/>
    <cellStyle name="20% - Accent1 7 6 5 3" xfId="14467"/>
    <cellStyle name="20% - Accent1 7 6 5 3 2" xfId="32088"/>
    <cellStyle name="20% - Accent1 7 6 5 4" xfId="25401"/>
    <cellStyle name="20% - Accent1 7 6 6" xfId="7521"/>
    <cellStyle name="20% - Accent1 7 6 6 2" xfId="15312"/>
    <cellStyle name="20% - Accent1 7 6 6 2 2" xfId="32933"/>
    <cellStyle name="20% - Accent1 7 6 6 3" xfId="25940"/>
    <cellStyle name="20% - Accent1 7 6 7" xfId="11083"/>
    <cellStyle name="20% - Accent1 7 6 7 2" xfId="28799"/>
    <cellStyle name="20% - Accent1 7 6 8" xfId="23079"/>
    <cellStyle name="20% - Accent1 7 6 9" xfId="51618"/>
    <cellStyle name="20% - Accent1 7 7" xfId="227"/>
    <cellStyle name="20% - Accent1 7 7 10" xfId="51619"/>
    <cellStyle name="20% - Accent1 7 7 2" xfId="228"/>
    <cellStyle name="20% - Accent1 7 7 2 2" xfId="8091"/>
    <cellStyle name="20% - Accent1 7 7 2 2 2" xfId="15881"/>
    <cellStyle name="20% - Accent1 7 7 2 2 2 2" xfId="33502"/>
    <cellStyle name="20% - Accent1 7 7 2 2 3" xfId="26491"/>
    <cellStyle name="20% - Accent1 7 7 2 3" xfId="12197"/>
    <cellStyle name="20% - Accent1 7 7 2 3 2" xfId="29854"/>
    <cellStyle name="20% - Accent1 7 7 2 4" xfId="23630"/>
    <cellStyle name="20% - Accent1 7 7 3" xfId="3468"/>
    <cellStyle name="20% - Accent1 7 7 3 2" xfId="8090"/>
    <cellStyle name="20% - Accent1 7 7 3 2 2" xfId="15880"/>
    <cellStyle name="20% - Accent1 7 7 3 2 2 2" xfId="33501"/>
    <cellStyle name="20% - Accent1 7 7 3 2 3" xfId="26490"/>
    <cellStyle name="20% - Accent1 7 7 3 3" xfId="12196"/>
    <cellStyle name="20% - Accent1 7 7 3 3 2" xfId="29853"/>
    <cellStyle name="20% - Accent1 7 7 3 4" xfId="23629"/>
    <cellStyle name="20% - Accent1 7 7 4" xfId="5520"/>
    <cellStyle name="20% - Accent1 7 7 4 2" xfId="8816"/>
    <cellStyle name="20% - Accent1 7 7 4 2 2" xfId="16606"/>
    <cellStyle name="20% - Accent1 7 7 4 2 2 2" xfId="34227"/>
    <cellStyle name="20% - Accent1 7 7 4 2 3" xfId="27190"/>
    <cellStyle name="20% - Accent1 7 7 4 3" xfId="13369"/>
    <cellStyle name="20% - Accent1 7 7 4 3 2" xfId="30995"/>
    <cellStyle name="20% - Accent1 7 7 4 4" xfId="24329"/>
    <cellStyle name="20% - Accent1 7 7 5" xfId="6149"/>
    <cellStyle name="20% - Accent1 7 7 5 2" xfId="9356"/>
    <cellStyle name="20% - Accent1 7 7 5 2 2" xfId="17144"/>
    <cellStyle name="20% - Accent1 7 7 5 2 2 2" xfId="34767"/>
    <cellStyle name="20% - Accent1 7 7 5 2 3" xfId="27726"/>
    <cellStyle name="20% - Accent1 7 7 5 3" xfId="13932"/>
    <cellStyle name="20% - Accent1 7 7 5 3 2" xfId="31553"/>
    <cellStyle name="20% - Accent1 7 7 5 4" xfId="24865"/>
    <cellStyle name="20% - Accent1 7 7 6" xfId="6686"/>
    <cellStyle name="20% - Accent1 7 7 6 2" xfId="9893"/>
    <cellStyle name="20% - Accent1 7 7 6 2 2" xfId="17680"/>
    <cellStyle name="20% - Accent1 7 7 6 2 2 2" xfId="35303"/>
    <cellStyle name="20% - Accent1 7 7 6 2 3" xfId="28262"/>
    <cellStyle name="20% - Accent1 7 7 6 3" xfId="14468"/>
    <cellStyle name="20% - Accent1 7 7 6 3 2" xfId="32089"/>
    <cellStyle name="20% - Accent1 7 7 6 4" xfId="25402"/>
    <cellStyle name="20% - Accent1 7 7 7" xfId="7522"/>
    <cellStyle name="20% - Accent1 7 7 7 2" xfId="15313"/>
    <cellStyle name="20% - Accent1 7 7 7 2 2" xfId="32934"/>
    <cellStyle name="20% - Accent1 7 7 7 3" xfId="25941"/>
    <cellStyle name="20% - Accent1 7 7 8" xfId="11084"/>
    <cellStyle name="20% - Accent1 7 7 8 2" xfId="28800"/>
    <cellStyle name="20% - Accent1 7 7 9" xfId="23080"/>
    <cellStyle name="20% - Accent1 7 8" xfId="3469"/>
    <cellStyle name="20% - Accent1 7 8 2" xfId="8092"/>
    <cellStyle name="20% - Accent1 7 8 2 2" xfId="15882"/>
    <cellStyle name="20% - Accent1 7 8 2 2 2" xfId="33503"/>
    <cellStyle name="20% - Accent1 7 8 2 3" xfId="26492"/>
    <cellStyle name="20% - Accent1 7 8 3" xfId="12198"/>
    <cellStyle name="20% - Accent1 7 8 3 2" xfId="29855"/>
    <cellStyle name="20% - Accent1 7 8 4" xfId="23631"/>
    <cellStyle name="20% - Accent1 7 9" xfId="3470"/>
    <cellStyle name="20% - Accent1 7 9 2" xfId="8093"/>
    <cellStyle name="20% - Accent1 7 9 2 2" xfId="15883"/>
    <cellStyle name="20% - Accent1 7 9 2 2 2" xfId="33504"/>
    <cellStyle name="20% - Accent1 7 9 2 3" xfId="26493"/>
    <cellStyle name="20% - Accent1 7 9 3" xfId="12199"/>
    <cellStyle name="20% - Accent1 7 9 3 2" xfId="29856"/>
    <cellStyle name="20% - Accent1 7 9 4" xfId="23632"/>
    <cellStyle name="20% - Accent1 8" xfId="229"/>
    <cellStyle name="20% - Accent1 8 10" xfId="3471"/>
    <cellStyle name="20% - Accent1 8 10 2" xfId="8094"/>
    <cellStyle name="20% - Accent1 8 10 2 2" xfId="15884"/>
    <cellStyle name="20% - Accent1 8 10 2 2 2" xfId="33505"/>
    <cellStyle name="20% - Accent1 8 10 2 3" xfId="26494"/>
    <cellStyle name="20% - Accent1 8 10 3" xfId="12200"/>
    <cellStyle name="20% - Accent1 8 10 3 2" xfId="29857"/>
    <cellStyle name="20% - Accent1 8 10 4" xfId="23633"/>
    <cellStyle name="20% - Accent1 8 11" xfId="5521"/>
    <cellStyle name="20% - Accent1 8 11 2" xfId="8817"/>
    <cellStyle name="20% - Accent1 8 11 2 2" xfId="16607"/>
    <cellStyle name="20% - Accent1 8 11 2 2 2" xfId="34228"/>
    <cellStyle name="20% - Accent1 8 11 2 3" xfId="27191"/>
    <cellStyle name="20% - Accent1 8 11 3" xfId="13370"/>
    <cellStyle name="20% - Accent1 8 11 3 2" xfId="30996"/>
    <cellStyle name="20% - Accent1 8 11 4" xfId="24330"/>
    <cellStyle name="20% - Accent1 8 12" xfId="6150"/>
    <cellStyle name="20% - Accent1 8 12 2" xfId="9357"/>
    <cellStyle name="20% - Accent1 8 12 2 2" xfId="17145"/>
    <cellStyle name="20% - Accent1 8 12 2 2 2" xfId="34768"/>
    <cellStyle name="20% - Accent1 8 12 2 3" xfId="27727"/>
    <cellStyle name="20% - Accent1 8 12 3" xfId="13933"/>
    <cellStyle name="20% - Accent1 8 12 3 2" xfId="31554"/>
    <cellStyle name="20% - Accent1 8 12 4" xfId="24866"/>
    <cellStyle name="20% - Accent1 8 13" xfId="6687"/>
    <cellStyle name="20% - Accent1 8 13 2" xfId="9894"/>
    <cellStyle name="20% - Accent1 8 13 2 2" xfId="17681"/>
    <cellStyle name="20% - Accent1 8 13 2 2 2" xfId="35304"/>
    <cellStyle name="20% - Accent1 8 13 2 3" xfId="28263"/>
    <cellStyle name="20% - Accent1 8 13 3" xfId="14469"/>
    <cellStyle name="20% - Accent1 8 13 3 2" xfId="32090"/>
    <cellStyle name="20% - Accent1 8 13 4" xfId="25403"/>
    <cellStyle name="20% - Accent1 8 14" xfId="7523"/>
    <cellStyle name="20% - Accent1 8 14 2" xfId="15314"/>
    <cellStyle name="20% - Accent1 8 14 2 2" xfId="32935"/>
    <cellStyle name="20% - Accent1 8 14 3" xfId="25942"/>
    <cellStyle name="20% - Accent1 8 15" xfId="11085"/>
    <cellStyle name="20% - Accent1 8 15 2" xfId="28801"/>
    <cellStyle name="20% - Accent1 8 16" xfId="22019"/>
    <cellStyle name="20% - Accent1 8 16 2" xfId="38724"/>
    <cellStyle name="20% - Accent1 8 17" xfId="23081"/>
    <cellStyle name="20% - Accent1 8 18" xfId="51620"/>
    <cellStyle name="20% - Accent1 8 2" xfId="230"/>
    <cellStyle name="20% - Accent1 8 2 10" xfId="51621"/>
    <cellStyle name="20% - Accent1 8 2 2" xfId="3472"/>
    <cellStyle name="20% - Accent1 8 2 2 2" xfId="8095"/>
    <cellStyle name="20% - Accent1 8 2 2 2 2" xfId="15885"/>
    <cellStyle name="20% - Accent1 8 2 2 2 2 2" xfId="33506"/>
    <cellStyle name="20% - Accent1 8 2 2 2 3" xfId="26495"/>
    <cellStyle name="20% - Accent1 8 2 2 3" xfId="12201"/>
    <cellStyle name="20% - Accent1 8 2 2 3 2" xfId="29858"/>
    <cellStyle name="20% - Accent1 8 2 2 4" xfId="22698"/>
    <cellStyle name="20% - Accent1 8 2 2 4 2" xfId="38894"/>
    <cellStyle name="20% - Accent1 8 2 2 5" xfId="23634"/>
    <cellStyle name="20% - Accent1 8 2 3" xfId="5522"/>
    <cellStyle name="20% - Accent1 8 2 3 2" xfId="8818"/>
    <cellStyle name="20% - Accent1 8 2 3 2 2" xfId="16608"/>
    <cellStyle name="20% - Accent1 8 2 3 2 2 2" xfId="34229"/>
    <cellStyle name="20% - Accent1 8 2 3 2 3" xfId="27192"/>
    <cellStyle name="20% - Accent1 8 2 3 3" xfId="13371"/>
    <cellStyle name="20% - Accent1 8 2 3 3 2" xfId="30997"/>
    <cellStyle name="20% - Accent1 8 2 3 4" xfId="24331"/>
    <cellStyle name="20% - Accent1 8 2 4" xfId="6151"/>
    <cellStyle name="20% - Accent1 8 2 4 2" xfId="9358"/>
    <cellStyle name="20% - Accent1 8 2 4 2 2" xfId="17146"/>
    <cellStyle name="20% - Accent1 8 2 4 2 2 2" xfId="34769"/>
    <cellStyle name="20% - Accent1 8 2 4 2 3" xfId="27728"/>
    <cellStyle name="20% - Accent1 8 2 4 3" xfId="13934"/>
    <cellStyle name="20% - Accent1 8 2 4 3 2" xfId="31555"/>
    <cellStyle name="20% - Accent1 8 2 4 4" xfId="24867"/>
    <cellStyle name="20% - Accent1 8 2 5" xfId="6688"/>
    <cellStyle name="20% - Accent1 8 2 5 2" xfId="9895"/>
    <cellStyle name="20% - Accent1 8 2 5 2 2" xfId="17682"/>
    <cellStyle name="20% - Accent1 8 2 5 2 2 2" xfId="35305"/>
    <cellStyle name="20% - Accent1 8 2 5 2 3" xfId="28264"/>
    <cellStyle name="20% - Accent1 8 2 5 3" xfId="14470"/>
    <cellStyle name="20% - Accent1 8 2 5 3 2" xfId="32091"/>
    <cellStyle name="20% - Accent1 8 2 5 4" xfId="25404"/>
    <cellStyle name="20% - Accent1 8 2 6" xfId="7524"/>
    <cellStyle name="20% - Accent1 8 2 6 2" xfId="15315"/>
    <cellStyle name="20% - Accent1 8 2 6 2 2" xfId="32936"/>
    <cellStyle name="20% - Accent1 8 2 6 3" xfId="25943"/>
    <cellStyle name="20% - Accent1 8 2 7" xfId="11086"/>
    <cellStyle name="20% - Accent1 8 2 7 2" xfId="28802"/>
    <cellStyle name="20% - Accent1 8 2 8" xfId="22020"/>
    <cellStyle name="20% - Accent1 8 2 8 2" xfId="38725"/>
    <cellStyle name="20% - Accent1 8 2 9" xfId="23082"/>
    <cellStyle name="20% - Accent1 8 3" xfId="231"/>
    <cellStyle name="20% - Accent1 8 3 10" xfId="22697"/>
    <cellStyle name="20% - Accent1 8 3 10 2" xfId="38893"/>
    <cellStyle name="20% - Accent1 8 3 11" xfId="23083"/>
    <cellStyle name="20% - Accent1 8 3 12" xfId="51622"/>
    <cellStyle name="20% - Accent1 8 3 2" xfId="232"/>
    <cellStyle name="20% - Accent1 8 3 2 2" xfId="3474"/>
    <cellStyle name="20% - Accent1 8 3 2 2 2" xfId="8097"/>
    <cellStyle name="20% - Accent1 8 3 2 2 2 2" xfId="15887"/>
    <cellStyle name="20% - Accent1 8 3 2 2 2 2 2" xfId="33508"/>
    <cellStyle name="20% - Accent1 8 3 2 2 2 3" xfId="26497"/>
    <cellStyle name="20% - Accent1 8 3 2 2 3" xfId="12203"/>
    <cellStyle name="20% - Accent1 8 3 2 2 3 2" xfId="29860"/>
    <cellStyle name="20% - Accent1 8 3 2 2 4" xfId="23636"/>
    <cellStyle name="20% - Accent1 8 3 2 3" xfId="5523"/>
    <cellStyle name="20% - Accent1 8 3 2 3 2" xfId="8820"/>
    <cellStyle name="20% - Accent1 8 3 2 3 2 2" xfId="16610"/>
    <cellStyle name="20% - Accent1 8 3 2 3 2 2 2" xfId="34231"/>
    <cellStyle name="20% - Accent1 8 3 2 3 2 3" xfId="27194"/>
    <cellStyle name="20% - Accent1 8 3 2 3 3" xfId="13373"/>
    <cellStyle name="20% - Accent1 8 3 2 3 3 2" xfId="30999"/>
    <cellStyle name="20% - Accent1 8 3 2 3 4" xfId="24333"/>
    <cellStyle name="20% - Accent1 8 3 2 4" xfId="6153"/>
    <cellStyle name="20% - Accent1 8 3 2 4 2" xfId="9360"/>
    <cellStyle name="20% - Accent1 8 3 2 4 2 2" xfId="17148"/>
    <cellStyle name="20% - Accent1 8 3 2 4 2 2 2" xfId="34771"/>
    <cellStyle name="20% - Accent1 8 3 2 4 2 3" xfId="27730"/>
    <cellStyle name="20% - Accent1 8 3 2 4 3" xfId="13936"/>
    <cellStyle name="20% - Accent1 8 3 2 4 3 2" xfId="31557"/>
    <cellStyle name="20% - Accent1 8 3 2 4 4" xfId="24869"/>
    <cellStyle name="20% - Accent1 8 3 2 5" xfId="6690"/>
    <cellStyle name="20% - Accent1 8 3 2 5 2" xfId="9897"/>
    <cellStyle name="20% - Accent1 8 3 2 5 2 2" xfId="17684"/>
    <cellStyle name="20% - Accent1 8 3 2 5 2 2 2" xfId="35307"/>
    <cellStyle name="20% - Accent1 8 3 2 5 2 3" xfId="28266"/>
    <cellStyle name="20% - Accent1 8 3 2 5 3" xfId="14472"/>
    <cellStyle name="20% - Accent1 8 3 2 5 3 2" xfId="32093"/>
    <cellStyle name="20% - Accent1 8 3 2 5 4" xfId="25406"/>
    <cellStyle name="20% - Accent1 8 3 2 6" xfId="7526"/>
    <cellStyle name="20% - Accent1 8 3 2 6 2" xfId="15317"/>
    <cellStyle name="20% - Accent1 8 3 2 6 2 2" xfId="32938"/>
    <cellStyle name="20% - Accent1 8 3 2 6 3" xfId="25945"/>
    <cellStyle name="20% - Accent1 8 3 2 7" xfId="11088"/>
    <cellStyle name="20% - Accent1 8 3 2 7 2" xfId="28804"/>
    <cellStyle name="20% - Accent1 8 3 2 8" xfId="23084"/>
    <cellStyle name="20% - Accent1 8 3 2 9" xfId="51623"/>
    <cellStyle name="20% - Accent1 8 3 3" xfId="3475"/>
    <cellStyle name="20% - Accent1 8 3 3 2" xfId="5524"/>
    <cellStyle name="20% - Accent1 8 3 3 2 2" xfId="8821"/>
    <cellStyle name="20% - Accent1 8 3 3 2 2 2 2" xfId="34232"/>
    <cellStyle name="20% - Accent1 8 3 3 2 2 3" xfId="27195"/>
    <cellStyle name="20% - Accent1 8 3 3 2 3" xfId="13374"/>
    <cellStyle name="20% - Accent1 8 3 3 2 3 2" xfId="31000"/>
    <cellStyle name="20% - Accent1 8 3 3 2 4" xfId="24334"/>
    <cellStyle name="20% - Accent1 8 3 3 3" xfId="6154"/>
    <cellStyle name="20% - Accent1 8 3 3 3 2" xfId="9361"/>
    <cellStyle name="20% - Accent1 8 3 3 3 2 2" xfId="17149"/>
    <cellStyle name="20% - Accent1 8 3 3 3 2 2 2" xfId="34772"/>
    <cellStyle name="20% - Accent1 8 3 3 3 2 3" xfId="27731"/>
    <cellStyle name="20% - Accent1 8 3 3 3 3" xfId="13937"/>
    <cellStyle name="20% - Accent1 8 3 3 3 3 2" xfId="31558"/>
    <cellStyle name="20% - Accent1 8 3 3 3 4" xfId="24870"/>
    <cellStyle name="20% - Accent1 8 3 3 4" xfId="6691"/>
    <cellStyle name="20% - Accent1 8 3 3 4 2" xfId="9898"/>
    <cellStyle name="20% - Accent1 8 3 3 4 2 2" xfId="17685"/>
    <cellStyle name="20% - Accent1 8 3 3 4 2 2 2" xfId="35308"/>
    <cellStyle name="20% - Accent1 8 3 3 4 2 3" xfId="28267"/>
    <cellStyle name="20% - Accent1 8 3 3 4 3" xfId="14473"/>
    <cellStyle name="20% - Accent1 8 3 3 4 3 2" xfId="32094"/>
    <cellStyle name="20% - Accent1 8 3 3 4 4" xfId="25407"/>
    <cellStyle name="20% - Accent1 8 3 3 5" xfId="8098"/>
    <cellStyle name="20% - Accent1 8 3 3 5 2" xfId="15888"/>
    <cellStyle name="20% - Accent1 8 3 3 5 2 2" xfId="33509"/>
    <cellStyle name="20% - Accent1 8 3 3 5 3" xfId="26498"/>
    <cellStyle name="20% - Accent1 8 3 3 6" xfId="12204"/>
    <cellStyle name="20% - Accent1 8 3 3 6 2" xfId="29861"/>
    <cellStyle name="20% - Accent1 8 3 3 7" xfId="23637"/>
    <cellStyle name="20% - Accent1 8 3 4" xfId="3473"/>
    <cellStyle name="20% - Accent1 8 3 4 2" xfId="8096"/>
    <cellStyle name="20% - Accent1 8 3 4 2 2" xfId="15886"/>
    <cellStyle name="20% - Accent1 8 3 4 2 2 2" xfId="33507"/>
    <cellStyle name="20% - Accent1 8 3 4 2 3" xfId="26496"/>
    <cellStyle name="20% - Accent1 8 3 4 3" xfId="12202"/>
    <cellStyle name="20% - Accent1 8 3 4 3 2" xfId="29859"/>
    <cellStyle name="20% - Accent1 8 3 4 4" xfId="23635"/>
    <cellStyle name="20% - Accent1 8 3 5 2" xfId="8819"/>
    <cellStyle name="20% - Accent1 8 3 5 2 2" xfId="16609"/>
    <cellStyle name="20% - Accent1 8 3 5 2 2 2" xfId="34230"/>
    <cellStyle name="20% - Accent1 8 3 5 2 3" xfId="27193"/>
    <cellStyle name="20% - Accent1 8 3 5 3" xfId="13372"/>
    <cellStyle name="20% - Accent1 8 3 5 3 2" xfId="30998"/>
    <cellStyle name="20% - Accent1 8 3 5 4" xfId="24332"/>
    <cellStyle name="20% - Accent1 8 3 6" xfId="6152"/>
    <cellStyle name="20% - Accent1 8 3 6 2" xfId="9359"/>
    <cellStyle name="20% - Accent1 8 3 6 2 2" xfId="17147"/>
    <cellStyle name="20% - Accent1 8 3 6 2 2 2" xfId="34770"/>
    <cellStyle name="20% - Accent1 8 3 6 2 3" xfId="27729"/>
    <cellStyle name="20% - Accent1 8 3 6 3" xfId="13935"/>
    <cellStyle name="20% - Accent1 8 3 6 3 2" xfId="31556"/>
    <cellStyle name="20% - Accent1 8 3 6 4" xfId="24868"/>
    <cellStyle name="20% - Accent1 8 3 7" xfId="6689"/>
    <cellStyle name="20% - Accent1 8 3 7 2" xfId="9896"/>
    <cellStyle name="20% - Accent1 8 3 7 2 2" xfId="17683"/>
    <cellStyle name="20% - Accent1 8 3 7 2 2 2" xfId="35306"/>
    <cellStyle name="20% - Accent1 8 3 7 2 3" xfId="28265"/>
    <cellStyle name="20% - Accent1 8 3 7 3" xfId="14471"/>
    <cellStyle name="20% - Accent1 8 3 7 3 2" xfId="32092"/>
    <cellStyle name="20% - Accent1 8 3 7 4" xfId="25405"/>
    <cellStyle name="20% - Accent1 8 3 8" xfId="7525"/>
    <cellStyle name="20% - Accent1 8 3 8 2" xfId="15316"/>
    <cellStyle name="20% - Accent1 8 3 8 2 2" xfId="32937"/>
    <cellStyle name="20% - Accent1 8 3 8 3" xfId="25944"/>
    <cellStyle name="20% - Accent1 8 3 9" xfId="11087"/>
    <cellStyle name="20% - Accent1 8 3 9 2" xfId="28803"/>
    <cellStyle name="20% - Accent1 8 4" xfId="233"/>
    <cellStyle name="20% - Accent1 8 4 2" xfId="3476"/>
    <cellStyle name="20% - Accent1 8 4 2 2" xfId="8099"/>
    <cellStyle name="20% - Accent1 8 4 2 2 2" xfId="15889"/>
    <cellStyle name="20% - Accent1 8 4 2 2 2 2" xfId="33510"/>
    <cellStyle name="20% - Accent1 8 4 2 2 3" xfId="26499"/>
    <cellStyle name="20% - Accent1 8 4 2 3" xfId="12205"/>
    <cellStyle name="20% - Accent1 8 4 2 3 2" xfId="29862"/>
    <cellStyle name="20% - Accent1 8 4 2 4" xfId="23638"/>
    <cellStyle name="20% - Accent1 8 4 3" xfId="5525"/>
    <cellStyle name="20% - Accent1 8 4 3 2" xfId="8822"/>
    <cellStyle name="20% - Accent1 8 4 3 2 2" xfId="16611"/>
    <cellStyle name="20% - Accent1 8 4 3 2 2 2" xfId="34233"/>
    <cellStyle name="20% - Accent1 8 4 3 2 3" xfId="27196"/>
    <cellStyle name="20% - Accent1 8 4 3 3" xfId="13375"/>
    <cellStyle name="20% - Accent1 8 4 3 3 2" xfId="31001"/>
    <cellStyle name="20% - Accent1 8 4 3 4" xfId="24335"/>
    <cellStyle name="20% - Accent1 8 4 4" xfId="6155"/>
    <cellStyle name="20% - Accent1 8 4 4 2" xfId="9362"/>
    <cellStyle name="20% - Accent1 8 4 4 2 2" xfId="17150"/>
    <cellStyle name="20% - Accent1 8 4 4 2 2 2" xfId="34773"/>
    <cellStyle name="20% - Accent1 8 4 4 2 3" xfId="27732"/>
    <cellStyle name="20% - Accent1 8 4 4 3" xfId="13938"/>
    <cellStyle name="20% - Accent1 8 4 4 3 2" xfId="31559"/>
    <cellStyle name="20% - Accent1 8 4 4 4" xfId="24871"/>
    <cellStyle name="20% - Accent1 8 4 5" xfId="6692"/>
    <cellStyle name="20% - Accent1 8 4 5 2" xfId="9899"/>
    <cellStyle name="20% - Accent1 8 4 5 2 2" xfId="17686"/>
    <cellStyle name="20% - Accent1 8 4 5 2 2 2" xfId="35309"/>
    <cellStyle name="20% - Accent1 8 4 5 2 3" xfId="28268"/>
    <cellStyle name="20% - Accent1 8 4 5 3" xfId="14474"/>
    <cellStyle name="20% - Accent1 8 4 5 3 2" xfId="32095"/>
    <cellStyle name="20% - Accent1 8 4 5 4" xfId="25408"/>
    <cellStyle name="20% - Accent1 8 4 6" xfId="7527"/>
    <cellStyle name="20% - Accent1 8 4 6 2" xfId="15318"/>
    <cellStyle name="20% - Accent1 8 4 6 2 2" xfId="32939"/>
    <cellStyle name="20% - Accent1 8 4 6 3" xfId="25946"/>
    <cellStyle name="20% - Accent1 8 4 7" xfId="11089"/>
    <cellStyle name="20% - Accent1 8 4 7 2" xfId="28805"/>
    <cellStyle name="20% - Accent1 8 4 8" xfId="23085"/>
    <cellStyle name="20% - Accent1 8 4 9" xfId="51624"/>
    <cellStyle name="20% - Accent1 8 5" xfId="234"/>
    <cellStyle name="20% - Accent1 8 5 2" xfId="3477"/>
    <cellStyle name="20% - Accent1 8 5 2 2" xfId="8100"/>
    <cellStyle name="20% - Accent1 8 5 2 2 2" xfId="15890"/>
    <cellStyle name="20% - Accent1 8 5 2 2 2 2" xfId="33511"/>
    <cellStyle name="20% - Accent1 8 5 2 2 3" xfId="26500"/>
    <cellStyle name="20% - Accent1 8 5 2 3" xfId="12206"/>
    <cellStyle name="20% - Accent1 8 5 2 3 2" xfId="29863"/>
    <cellStyle name="20% - Accent1 8 5 2 4" xfId="23639"/>
    <cellStyle name="20% - Accent1 8 5 3" xfId="5526"/>
    <cellStyle name="20% - Accent1 8 5 3 2" xfId="8823"/>
    <cellStyle name="20% - Accent1 8 5 3 2 2" xfId="16612"/>
    <cellStyle name="20% - Accent1 8 5 3 2 2 2" xfId="34234"/>
    <cellStyle name="20% - Accent1 8 5 3 2 3" xfId="27197"/>
    <cellStyle name="20% - Accent1 8 5 3 3" xfId="13376"/>
    <cellStyle name="20% - Accent1 8 5 3 3 2" xfId="31002"/>
    <cellStyle name="20% - Accent1 8 5 3 4" xfId="24336"/>
    <cellStyle name="20% - Accent1 8 5 4" xfId="6156"/>
    <cellStyle name="20% - Accent1 8 5 4 2" xfId="9363"/>
    <cellStyle name="20% - Accent1 8 5 4 2 2" xfId="17151"/>
    <cellStyle name="20% - Accent1 8 5 4 2 2 2" xfId="34774"/>
    <cellStyle name="20% - Accent1 8 5 4 2 3" xfId="27733"/>
    <cellStyle name="20% - Accent1 8 5 4 3" xfId="13939"/>
    <cellStyle name="20% - Accent1 8 5 4 3 2" xfId="31560"/>
    <cellStyle name="20% - Accent1 8 5 4 4" xfId="24872"/>
    <cellStyle name="20% - Accent1 8 5 5" xfId="6693"/>
    <cellStyle name="20% - Accent1 8 5 5 2" xfId="9900"/>
    <cellStyle name="20% - Accent1 8 5 5 2 2" xfId="17687"/>
    <cellStyle name="20% - Accent1 8 5 5 2 2 2" xfId="35310"/>
    <cellStyle name="20% - Accent1 8 5 5 2 3" xfId="28269"/>
    <cellStyle name="20% - Accent1 8 5 5 3" xfId="14475"/>
    <cellStyle name="20% - Accent1 8 5 5 3 2" xfId="32096"/>
    <cellStyle name="20% - Accent1 8 5 5 4" xfId="25409"/>
    <cellStyle name="20% - Accent1 8 5 6" xfId="7528"/>
    <cellStyle name="20% - Accent1 8 5 6 2" xfId="15319"/>
    <cellStyle name="20% - Accent1 8 5 6 2 2" xfId="32940"/>
    <cellStyle name="20% - Accent1 8 5 6 3" xfId="25947"/>
    <cellStyle name="20% - Accent1 8 5 7" xfId="11090"/>
    <cellStyle name="20% - Accent1 8 5 7 2" xfId="28806"/>
    <cellStyle name="20% - Accent1 8 5 8" xfId="23086"/>
    <cellStyle name="20% - Accent1 8 5 9" xfId="51625"/>
    <cellStyle name="20% - Accent1 8 6" xfId="235"/>
    <cellStyle name="20% - Accent1 8 6 2" xfId="3478"/>
    <cellStyle name="20% - Accent1 8 6 2 2" xfId="8101"/>
    <cellStyle name="20% - Accent1 8 6 2 2 2" xfId="15891"/>
    <cellStyle name="20% - Accent1 8 6 2 2 2 2" xfId="33512"/>
    <cellStyle name="20% - Accent1 8 6 2 2 3" xfId="26501"/>
    <cellStyle name="20% - Accent1 8 6 2 3" xfId="12207"/>
    <cellStyle name="20% - Accent1 8 6 2 3 2" xfId="29864"/>
    <cellStyle name="20% - Accent1 8 6 2 4" xfId="23640"/>
    <cellStyle name="20% - Accent1 8 6 3" xfId="5527"/>
    <cellStyle name="20% - Accent1 8 6 3 2" xfId="8824"/>
    <cellStyle name="20% - Accent1 8 6 3 2 2" xfId="16613"/>
    <cellStyle name="20% - Accent1 8 6 3 2 2 2" xfId="34235"/>
    <cellStyle name="20% - Accent1 8 6 3 2 3" xfId="27198"/>
    <cellStyle name="20% - Accent1 8 6 3 3" xfId="13377"/>
    <cellStyle name="20% - Accent1 8 6 3 3 2" xfId="31003"/>
    <cellStyle name="20% - Accent1 8 6 3 4" xfId="24337"/>
    <cellStyle name="20% - Accent1 8 6 4" xfId="6157"/>
    <cellStyle name="20% - Accent1 8 6 4 2" xfId="9364"/>
    <cellStyle name="20% - Accent1 8 6 4 2 2" xfId="17152"/>
    <cellStyle name="20% - Accent1 8 6 4 2 2 2" xfId="34775"/>
    <cellStyle name="20% - Accent1 8 6 4 2 3" xfId="27734"/>
    <cellStyle name="20% - Accent1 8 6 4 3" xfId="13940"/>
    <cellStyle name="20% - Accent1 8 6 4 3 2" xfId="31561"/>
    <cellStyle name="20% - Accent1 8 6 4 4" xfId="24873"/>
    <cellStyle name="20% - Accent1 8 6 5" xfId="6694"/>
    <cellStyle name="20% - Accent1 8 6 5 2" xfId="9901"/>
    <cellStyle name="20% - Accent1 8 6 5 2 2" xfId="17688"/>
    <cellStyle name="20% - Accent1 8 6 5 2 2 2" xfId="35311"/>
    <cellStyle name="20% - Accent1 8 6 5 2 3" xfId="28270"/>
    <cellStyle name="20% - Accent1 8 6 5 3" xfId="14476"/>
    <cellStyle name="20% - Accent1 8 6 5 3 2" xfId="32097"/>
    <cellStyle name="20% - Accent1 8 6 5 4" xfId="25410"/>
    <cellStyle name="20% - Accent1 8 6 6" xfId="7529"/>
    <cellStyle name="20% - Accent1 8 6 6 2" xfId="15320"/>
    <cellStyle name="20% - Accent1 8 6 6 2 2" xfId="32941"/>
    <cellStyle name="20% - Accent1 8 6 6 3" xfId="25948"/>
    <cellStyle name="20% - Accent1 8 6 7" xfId="11091"/>
    <cellStyle name="20% - Accent1 8 6 7 2" xfId="28807"/>
    <cellStyle name="20% - Accent1 8 6 8" xfId="23087"/>
    <cellStyle name="20% - Accent1 8 6 9" xfId="51626"/>
    <cellStyle name="20% - Accent1 8 7" xfId="236"/>
    <cellStyle name="20% - Accent1 8 7 10" xfId="51627"/>
    <cellStyle name="20% - Accent1 8 7 2" xfId="237"/>
    <cellStyle name="20% - Accent1 8 7 2 2" xfId="8103"/>
    <cellStyle name="20% - Accent1 8 7 2 2 2" xfId="15893"/>
    <cellStyle name="20% - Accent1 8 7 2 2 2 2" xfId="33514"/>
    <cellStyle name="20% - Accent1 8 7 2 2 3" xfId="26503"/>
    <cellStyle name="20% - Accent1 8 7 2 3" xfId="12209"/>
    <cellStyle name="20% - Accent1 8 7 2 3 2" xfId="29866"/>
    <cellStyle name="20% - Accent1 8 7 2 4" xfId="23642"/>
    <cellStyle name="20% - Accent1 8 7 3" xfId="3479"/>
    <cellStyle name="20% - Accent1 8 7 3 2" xfId="8102"/>
    <cellStyle name="20% - Accent1 8 7 3 2 2" xfId="15892"/>
    <cellStyle name="20% - Accent1 8 7 3 2 2 2" xfId="33513"/>
    <cellStyle name="20% - Accent1 8 7 3 2 3" xfId="26502"/>
    <cellStyle name="20% - Accent1 8 7 3 3" xfId="12208"/>
    <cellStyle name="20% - Accent1 8 7 3 3 2" xfId="29865"/>
    <cellStyle name="20% - Accent1 8 7 3 4" xfId="23641"/>
    <cellStyle name="20% - Accent1 8 7 4" xfId="5528"/>
    <cellStyle name="20% - Accent1 8 7 4 2" xfId="8825"/>
    <cellStyle name="20% - Accent1 8 7 4 2 2" xfId="16614"/>
    <cellStyle name="20% - Accent1 8 7 4 2 2 2" xfId="34236"/>
    <cellStyle name="20% - Accent1 8 7 4 2 3" xfId="27199"/>
    <cellStyle name="20% - Accent1 8 7 4 3" xfId="13378"/>
    <cellStyle name="20% - Accent1 8 7 4 3 2" xfId="31004"/>
    <cellStyle name="20% - Accent1 8 7 4 4" xfId="24338"/>
    <cellStyle name="20% - Accent1 8 7 5" xfId="6158"/>
    <cellStyle name="20% - Accent1 8 7 5 2" xfId="9365"/>
    <cellStyle name="20% - Accent1 8 7 5 2 2" xfId="17153"/>
    <cellStyle name="20% - Accent1 8 7 5 2 2 2" xfId="34776"/>
    <cellStyle name="20% - Accent1 8 7 5 2 3" xfId="27735"/>
    <cellStyle name="20% - Accent1 8 7 5 3" xfId="13941"/>
    <cellStyle name="20% - Accent1 8 7 5 3 2" xfId="31562"/>
    <cellStyle name="20% - Accent1 8 7 5 4" xfId="24874"/>
    <cellStyle name="20% - Accent1 8 7 6" xfId="6695"/>
    <cellStyle name="20% - Accent1 8 7 6 2" xfId="9902"/>
    <cellStyle name="20% - Accent1 8 7 6 2 2" xfId="17689"/>
    <cellStyle name="20% - Accent1 8 7 6 2 2 2" xfId="35312"/>
    <cellStyle name="20% - Accent1 8 7 6 2 3" xfId="28271"/>
    <cellStyle name="20% - Accent1 8 7 6 3" xfId="14477"/>
    <cellStyle name="20% - Accent1 8 7 6 3 2" xfId="32098"/>
    <cellStyle name="20% - Accent1 8 7 6 4" xfId="25411"/>
    <cellStyle name="20% - Accent1 8 7 7" xfId="7530"/>
    <cellStyle name="20% - Accent1 8 7 7 2" xfId="15321"/>
    <cellStyle name="20% - Accent1 8 7 7 2 2" xfId="32942"/>
    <cellStyle name="20% - Accent1 8 7 7 3" xfId="25949"/>
    <cellStyle name="20% - Accent1 8 7 8" xfId="11092"/>
    <cellStyle name="20% - Accent1 8 7 8 2" xfId="28808"/>
    <cellStyle name="20% - Accent1 8 7 9" xfId="23088"/>
    <cellStyle name="20% - Accent1 8 8" xfId="3480"/>
    <cellStyle name="20% - Accent1 8 8 2" xfId="8104"/>
    <cellStyle name="20% - Accent1 8 8 2 2" xfId="15894"/>
    <cellStyle name="20% - Accent1 8 8 2 2 2" xfId="33515"/>
    <cellStyle name="20% - Accent1 8 8 2 3" xfId="26504"/>
    <cellStyle name="20% - Accent1 8 8 3" xfId="12210"/>
    <cellStyle name="20% - Accent1 8 8 3 2" xfId="29867"/>
    <cellStyle name="20% - Accent1 8 8 4" xfId="23643"/>
    <cellStyle name="20% - Accent1 8 9" xfId="3481"/>
    <cellStyle name="20% - Accent1 8 9 2" xfId="8105"/>
    <cellStyle name="20% - Accent1 8 9 2 2" xfId="15895"/>
    <cellStyle name="20% - Accent1 8 9 2 2 2" xfId="33516"/>
    <cellStyle name="20% - Accent1 8 9 2 3" xfId="26505"/>
    <cellStyle name="20% - Accent1 8 9 3" xfId="12211"/>
    <cellStyle name="20% - Accent1 8 9 3 2" xfId="29868"/>
    <cellStyle name="20% - Accent1 8 9 4" xfId="23644"/>
    <cellStyle name="20% - Accent1 9" xfId="238"/>
    <cellStyle name="20% - Accent1 9 10" xfId="3482"/>
    <cellStyle name="20% - Accent1 9 10 2" xfId="8106"/>
    <cellStyle name="20% - Accent1 9 10 2 2" xfId="15896"/>
    <cellStyle name="20% - Accent1 9 10 2 2 2" xfId="33517"/>
    <cellStyle name="20% - Accent1 9 10 2 3" xfId="26506"/>
    <cellStyle name="20% - Accent1 9 10 3" xfId="12212"/>
    <cellStyle name="20% - Accent1 9 10 3 2" xfId="29869"/>
    <cellStyle name="20% - Accent1 9 10 4" xfId="23645"/>
    <cellStyle name="20% - Accent1 9 11" xfId="5529"/>
    <cellStyle name="20% - Accent1 9 11 2" xfId="8826"/>
    <cellStyle name="20% - Accent1 9 11 2 2" xfId="16615"/>
    <cellStyle name="20% - Accent1 9 11 2 2 2" xfId="34237"/>
    <cellStyle name="20% - Accent1 9 11 2 3" xfId="27200"/>
    <cellStyle name="20% - Accent1 9 11 3" xfId="13379"/>
    <cellStyle name="20% - Accent1 9 11 3 2" xfId="31005"/>
    <cellStyle name="20% - Accent1 9 11 4" xfId="24339"/>
    <cellStyle name="20% - Accent1 9 12" xfId="6159"/>
    <cellStyle name="20% - Accent1 9 12 2" xfId="9366"/>
    <cellStyle name="20% - Accent1 9 12 2 2" xfId="17154"/>
    <cellStyle name="20% - Accent1 9 12 2 2 2" xfId="34777"/>
    <cellStyle name="20% - Accent1 9 12 2 3" xfId="27736"/>
    <cellStyle name="20% - Accent1 9 12 3" xfId="13942"/>
    <cellStyle name="20% - Accent1 9 12 3 2" xfId="31563"/>
    <cellStyle name="20% - Accent1 9 12 4" xfId="24875"/>
    <cellStyle name="20% - Accent1 9 13" xfId="6696"/>
    <cellStyle name="20% - Accent1 9 13 2" xfId="9903"/>
    <cellStyle name="20% - Accent1 9 13 2 2" xfId="17690"/>
    <cellStyle name="20% - Accent1 9 13 2 2 2" xfId="35313"/>
    <cellStyle name="20% - Accent1 9 13 2 3" xfId="28272"/>
    <cellStyle name="20% - Accent1 9 13 3" xfId="14478"/>
    <cellStyle name="20% - Accent1 9 13 3 2" xfId="32099"/>
    <cellStyle name="20% - Accent1 9 13 4" xfId="25412"/>
    <cellStyle name="20% - Accent1 9 14" xfId="7531"/>
    <cellStyle name="20% - Accent1 9 14 2" xfId="15322"/>
    <cellStyle name="20% - Accent1 9 14 2 2" xfId="32943"/>
    <cellStyle name="20% - Accent1 9 14 3" xfId="25950"/>
    <cellStyle name="20% - Accent1 9 15" xfId="11093"/>
    <cellStyle name="20% - Accent1 9 15 2" xfId="28809"/>
    <cellStyle name="20% - Accent1 9 16" xfId="22021"/>
    <cellStyle name="20% - Accent1 9 16 2" xfId="38726"/>
    <cellStyle name="20% - Accent1 9 17" xfId="23089"/>
    <cellStyle name="20% - Accent1 9 18" xfId="51628"/>
    <cellStyle name="20% - Accent1 9 2" xfId="239"/>
    <cellStyle name="20% - Accent1 9 2 10" xfId="51629"/>
    <cellStyle name="20% - Accent1 9 2 2" xfId="3483"/>
    <cellStyle name="20% - Accent1 9 2 2 2" xfId="8107"/>
    <cellStyle name="20% - Accent1 9 2 2 2 2" xfId="15897"/>
    <cellStyle name="20% - Accent1 9 2 2 2 2 2" xfId="33518"/>
    <cellStyle name="20% - Accent1 9 2 2 2 3" xfId="26507"/>
    <cellStyle name="20% - Accent1 9 2 2 3" xfId="12213"/>
    <cellStyle name="20% - Accent1 9 2 2 3 2" xfId="29870"/>
    <cellStyle name="20% - Accent1 9 2 2 4" xfId="23646"/>
    <cellStyle name="20% - Accent1 9 2 3" xfId="5530"/>
    <cellStyle name="20% - Accent1 9 2 3 2" xfId="8827"/>
    <cellStyle name="20% - Accent1 9 2 3 2 2" xfId="16616"/>
    <cellStyle name="20% - Accent1 9 2 3 2 2 2" xfId="34238"/>
    <cellStyle name="20% - Accent1 9 2 3 2 3" xfId="27201"/>
    <cellStyle name="20% - Accent1 9 2 3 3" xfId="13380"/>
    <cellStyle name="20% - Accent1 9 2 3 3 2" xfId="31006"/>
    <cellStyle name="20% - Accent1 9 2 3 4" xfId="24340"/>
    <cellStyle name="20% - Accent1 9 2 4" xfId="6160"/>
    <cellStyle name="20% - Accent1 9 2 4 2" xfId="9367"/>
    <cellStyle name="20% - Accent1 9 2 4 2 2" xfId="17155"/>
    <cellStyle name="20% - Accent1 9 2 4 2 2 2" xfId="34778"/>
    <cellStyle name="20% - Accent1 9 2 4 2 3" xfId="27737"/>
    <cellStyle name="20% - Accent1 9 2 4 3" xfId="13943"/>
    <cellStyle name="20% - Accent1 9 2 4 3 2" xfId="31564"/>
    <cellStyle name="20% - Accent1 9 2 4 4" xfId="24876"/>
    <cellStyle name="20% - Accent1 9 2 5" xfId="6697"/>
    <cellStyle name="20% - Accent1 9 2 5 2" xfId="9904"/>
    <cellStyle name="20% - Accent1 9 2 5 2 2" xfId="17691"/>
    <cellStyle name="20% - Accent1 9 2 5 2 2 2" xfId="35314"/>
    <cellStyle name="20% - Accent1 9 2 5 2 3" xfId="28273"/>
    <cellStyle name="20% - Accent1 9 2 5 3" xfId="14479"/>
    <cellStyle name="20% - Accent1 9 2 5 3 2" xfId="32100"/>
    <cellStyle name="20% - Accent1 9 2 5 4" xfId="25413"/>
    <cellStyle name="20% - Accent1 9 2 6" xfId="7532"/>
    <cellStyle name="20% - Accent1 9 2 6 2" xfId="15323"/>
    <cellStyle name="20% - Accent1 9 2 6 2 2" xfId="32944"/>
    <cellStyle name="20% - Accent1 9 2 6 3" xfId="25951"/>
    <cellStyle name="20% - Accent1 9 2 7" xfId="11094"/>
    <cellStyle name="20% - Accent1 9 2 7 2" xfId="28810"/>
    <cellStyle name="20% - Accent1 9 2 8" xfId="22699"/>
    <cellStyle name="20% - Accent1 9 2 8 2" xfId="38895"/>
    <cellStyle name="20% - Accent1 9 2 9" xfId="23090"/>
    <cellStyle name="20% - Accent1 9 3" xfId="240"/>
    <cellStyle name="20% - Accent1 9 3 10" xfId="23091"/>
    <cellStyle name="20% - Accent1 9 3 11" xfId="51630"/>
    <cellStyle name="20% - Accent1 9 3 2" xfId="241"/>
    <cellStyle name="20% - Accent1 9 3 2 2" xfId="3485"/>
    <cellStyle name="20% - Accent1 9 3 2 2 2" xfId="8109"/>
    <cellStyle name="20% - Accent1 9 3 2 2 2 2" xfId="15899"/>
    <cellStyle name="20% - Accent1 9 3 2 2 2 2 2" xfId="33520"/>
    <cellStyle name="20% - Accent1 9 3 2 2 2 3" xfId="26509"/>
    <cellStyle name="20% - Accent1 9 3 2 2 3" xfId="12215"/>
    <cellStyle name="20% - Accent1 9 3 2 2 3 2" xfId="29872"/>
    <cellStyle name="20% - Accent1 9 3 2 2 4" xfId="23648"/>
    <cellStyle name="20% - Accent1 9 3 2 3" xfId="5532"/>
    <cellStyle name="20% - Accent1 9 3 2 3 2" xfId="8829"/>
    <cellStyle name="20% - Accent1 9 3 2 3 2 2" xfId="16618"/>
    <cellStyle name="20% - Accent1 9 3 2 3 2 2 2" xfId="34240"/>
    <cellStyle name="20% - Accent1 9 3 2 3 2 3" xfId="27203"/>
    <cellStyle name="20% - Accent1 9 3 2 3 3" xfId="13382"/>
    <cellStyle name="20% - Accent1 9 3 2 3 3 2" xfId="31008"/>
    <cellStyle name="20% - Accent1 9 3 2 3 4" xfId="24342"/>
    <cellStyle name="20% - Accent1 9 3 2 4" xfId="6162"/>
    <cellStyle name="20% - Accent1 9 3 2 4 2" xfId="9369"/>
    <cellStyle name="20% - Accent1 9 3 2 4 2 2" xfId="17157"/>
    <cellStyle name="20% - Accent1 9 3 2 4 2 2 2" xfId="34780"/>
    <cellStyle name="20% - Accent1 9 3 2 4 2 3" xfId="27739"/>
    <cellStyle name="20% - Accent1 9 3 2 4 3" xfId="13945"/>
    <cellStyle name="20% - Accent1 9 3 2 4 3 2" xfId="31566"/>
    <cellStyle name="20% - Accent1 9 3 2 4 4" xfId="24878"/>
    <cellStyle name="20% - Accent1 9 3 2 5" xfId="6699"/>
    <cellStyle name="20% - Accent1 9 3 2 5 2" xfId="9906"/>
    <cellStyle name="20% - Accent1 9 3 2 5 2 2" xfId="17693"/>
    <cellStyle name="20% - Accent1 9 3 2 5 2 2 2" xfId="35316"/>
    <cellStyle name="20% - Accent1 9 3 2 5 2 3" xfId="28275"/>
    <cellStyle name="20% - Accent1 9 3 2 5 3" xfId="14481"/>
    <cellStyle name="20% - Accent1 9 3 2 5 3 2" xfId="32102"/>
    <cellStyle name="20% - Accent1 9 3 2 5 4" xfId="25415"/>
    <cellStyle name="20% - Accent1 9 3 2 6" xfId="7534"/>
    <cellStyle name="20% - Accent1 9 3 2 6 2" xfId="15325"/>
    <cellStyle name="20% - Accent1 9 3 2 6 2 2" xfId="32946"/>
    <cellStyle name="20% - Accent1 9 3 2 6 3" xfId="25953"/>
    <cellStyle name="20% - Accent1 9 3 2 7" xfId="11096"/>
    <cellStyle name="20% - Accent1 9 3 2 7 2" xfId="28812"/>
    <cellStyle name="20% - Accent1 9 3 2 8" xfId="23092"/>
    <cellStyle name="20% - Accent1 9 3 2 9" xfId="51631"/>
    <cellStyle name="20% - Accent1 9 3 3" xfId="3486"/>
    <cellStyle name="20% - Accent1 9 3 3 2" xfId="5533"/>
    <cellStyle name="20% - Accent1 9 3 3 2 2" xfId="8830"/>
    <cellStyle name="20% - Accent1 9 3 3 2 2 2" xfId="16619"/>
    <cellStyle name="20% - Accent1 9 3 3 2 2 2 2" xfId="34241"/>
    <cellStyle name="20% - Accent1 9 3 3 2 2 3" xfId="27204"/>
    <cellStyle name="20% - Accent1 9 3 3 2 3" xfId="13383"/>
    <cellStyle name="20% - Accent1 9 3 3 2 3 2" xfId="31009"/>
    <cellStyle name="20% - Accent1 9 3 3 2 4" xfId="24343"/>
    <cellStyle name="20% - Accent1 9 3 3 3" xfId="6163"/>
    <cellStyle name="20% - Accent1 9 3 3 3 2" xfId="9370"/>
    <cellStyle name="20% - Accent1 9 3 3 3 2 2" xfId="17158"/>
    <cellStyle name="20% - Accent1 9 3 3 3 2 2 2" xfId="34781"/>
    <cellStyle name="20% - Accent1 9 3 3 3 2 3" xfId="27740"/>
    <cellStyle name="20% - Accent1 9 3 3 3 3" xfId="13946"/>
    <cellStyle name="20% - Accent1 9 3 3 3 3 2" xfId="31567"/>
    <cellStyle name="20% - Accent1 9 3 3 3 4" xfId="24879"/>
    <cellStyle name="20% - Accent1 9 3 3 4" xfId="6700"/>
    <cellStyle name="20% - Accent1 9 3 3 4 2" xfId="9907"/>
    <cellStyle name="20% - Accent1 9 3 3 4 2 2" xfId="17694"/>
    <cellStyle name="20% - Accent1 9 3 3 4 2 2 2" xfId="35317"/>
    <cellStyle name="20% - Accent1 9 3 3 4 2 3" xfId="28276"/>
    <cellStyle name="20% - Accent1 9 3 3 4 3" xfId="14482"/>
    <cellStyle name="20% - Accent1 9 3 3 4 3 2" xfId="32103"/>
    <cellStyle name="20% - Accent1 9 3 3 4 4" xfId="25416"/>
    <cellStyle name="20% - Accent1 9 3 3 5" xfId="8110"/>
    <cellStyle name="20% - Accent1 9 3 3 5 2" xfId="15900"/>
    <cellStyle name="20% - Accent1 9 3 3 5 2 2" xfId="33521"/>
    <cellStyle name="20% - Accent1 9 3 3 5 3" xfId="26510"/>
    <cellStyle name="20% - Accent1 9 3 3 6" xfId="12216"/>
    <cellStyle name="20% - Accent1 9 3 3 6 2" xfId="29873"/>
    <cellStyle name="20% - Accent1 9 3 3 7" xfId="23649"/>
    <cellStyle name="20% - Accent1 9 3 4" xfId="3484"/>
    <cellStyle name="20% - Accent1 9 3 4 2" xfId="8108"/>
    <cellStyle name="20% - Accent1 9 3 4 2 2" xfId="15898"/>
    <cellStyle name="20% - Accent1 9 3 4 2 2 2" xfId="33519"/>
    <cellStyle name="20% - Accent1 9 3 4 2 3" xfId="26508"/>
    <cellStyle name="20% - Accent1 9 3 4 3" xfId="12214"/>
    <cellStyle name="20% - Accent1 9 3 4 3 2" xfId="29871"/>
    <cellStyle name="20% - Accent1 9 3 4 4" xfId="23647"/>
    <cellStyle name="20% - Accent1 9 3 5" xfId="5531"/>
    <cellStyle name="20% - Accent1 9 3 5 2" xfId="8828"/>
    <cellStyle name="20% - Accent1 9 3 5 2 2" xfId="16617"/>
    <cellStyle name="20% - Accent1 9 3 5 2 2 2" xfId="34239"/>
    <cellStyle name="20% - Accent1 9 3 5 2 3" xfId="27202"/>
    <cellStyle name="20% - Accent1 9 3 5 3" xfId="13381"/>
    <cellStyle name="20% - Accent1 9 3 5 3 2" xfId="31007"/>
    <cellStyle name="20% - Accent1 9 3 5 4" xfId="24341"/>
    <cellStyle name="20% - Accent1 9 3 6" xfId="6161"/>
    <cellStyle name="20% - Accent1 9 3 6 2" xfId="9368"/>
    <cellStyle name="20% - Accent1 9 3 6 2 2" xfId="17156"/>
    <cellStyle name="20% - Accent1 9 3 6 2 2 2" xfId="34779"/>
    <cellStyle name="20% - Accent1 9 3 6 2 3" xfId="27738"/>
    <cellStyle name="20% - Accent1 9 3 6 3" xfId="13944"/>
    <cellStyle name="20% - Accent1 9 3 6 3 2" xfId="31565"/>
    <cellStyle name="20% - Accent1 9 3 6 4" xfId="24877"/>
    <cellStyle name="20% - Accent1 9 3 7" xfId="6698"/>
    <cellStyle name="20% - Accent1 9 3 7 2" xfId="9905"/>
    <cellStyle name="20% - Accent1 9 3 7 2 2" xfId="17692"/>
    <cellStyle name="20% - Accent1 9 3 7 2 2 2" xfId="35315"/>
    <cellStyle name="20% - Accent1 9 3 7 2 3" xfId="28274"/>
    <cellStyle name="20% - Accent1 9 3 7 3" xfId="14480"/>
    <cellStyle name="20% - Accent1 9 3 7 3 2" xfId="32101"/>
    <cellStyle name="20% - Accent1 9 3 7 4" xfId="25414"/>
    <cellStyle name="20% - Accent1 9 3 8" xfId="7533"/>
    <cellStyle name="20% - Accent1 9 3 8 2" xfId="15324"/>
    <cellStyle name="20% - Accent1 9 3 8 2 2" xfId="32945"/>
    <cellStyle name="20% - Accent1 9 3 8 3" xfId="25952"/>
    <cellStyle name="20% - Accent1 9 3 9" xfId="11095"/>
    <cellStyle name="20% - Accent1 9 3 9 2" xfId="28811"/>
    <cellStyle name="20% - Accent1 9 4" xfId="242"/>
    <cellStyle name="20% - Accent1 9 4 2" xfId="3487"/>
    <cellStyle name="20% - Accent1 9 4 2 2" xfId="8111"/>
    <cellStyle name="20% - Accent1 9 4 2 2 2" xfId="15901"/>
    <cellStyle name="20% - Accent1 9 4 2 2 2 2" xfId="33522"/>
    <cellStyle name="20% - Accent1 9 4 2 2 3" xfId="26511"/>
    <cellStyle name="20% - Accent1 9 4 2 3" xfId="12217"/>
    <cellStyle name="20% - Accent1 9 4 2 3 2" xfId="29874"/>
    <cellStyle name="20% - Accent1 9 4 2 4" xfId="23650"/>
    <cellStyle name="20% - Accent1 9 4 3" xfId="5534"/>
    <cellStyle name="20% - Accent1 9 4 3 2" xfId="8831"/>
    <cellStyle name="20% - Accent1 9 4 3 2 2" xfId="16620"/>
    <cellStyle name="20% - Accent1 9 4 3 2 2 2" xfId="34242"/>
    <cellStyle name="20% - Accent1 9 4 3 2 3" xfId="27205"/>
    <cellStyle name="20% - Accent1 9 4 3 3" xfId="13384"/>
    <cellStyle name="20% - Accent1 9 4 3 3 2" xfId="31010"/>
    <cellStyle name="20% - Accent1 9 4 3 4" xfId="24344"/>
    <cellStyle name="20% - Accent1 9 4 4" xfId="6164"/>
    <cellStyle name="20% - Accent1 9 4 4 2" xfId="9371"/>
    <cellStyle name="20% - Accent1 9 4 4 2 2" xfId="17159"/>
    <cellStyle name="20% - Accent1 9 4 4 2 2 2" xfId="34782"/>
    <cellStyle name="20% - Accent1 9 4 4 2 3" xfId="27741"/>
    <cellStyle name="20% - Accent1 9 4 4 3" xfId="13947"/>
    <cellStyle name="20% - Accent1 9 4 4 3 2" xfId="31568"/>
    <cellStyle name="20% - Accent1 9 4 4 4" xfId="24880"/>
    <cellStyle name="20% - Accent1 9 4 5" xfId="6701"/>
    <cellStyle name="20% - Accent1 9 4 5 2" xfId="9908"/>
    <cellStyle name="20% - Accent1 9 4 5 2 2" xfId="17695"/>
    <cellStyle name="20% - Accent1 9 4 5 2 2 2" xfId="35318"/>
    <cellStyle name="20% - Accent1 9 4 5 2 3" xfId="28277"/>
    <cellStyle name="20% - Accent1 9 4 5 3" xfId="14483"/>
    <cellStyle name="20% - Accent1 9 4 5 3 2" xfId="32104"/>
    <cellStyle name="20% - Accent1 9 4 5 4" xfId="25417"/>
    <cellStyle name="20% - Accent1 9 4 6" xfId="7535"/>
    <cellStyle name="20% - Accent1 9 4 6 2" xfId="15326"/>
    <cellStyle name="20% - Accent1 9 4 6 2 2" xfId="32947"/>
    <cellStyle name="20% - Accent1 9 4 6 3" xfId="25954"/>
    <cellStyle name="20% - Accent1 9 4 7" xfId="11097"/>
    <cellStyle name="20% - Accent1 9 4 7 2" xfId="28813"/>
    <cellStyle name="20% - Accent1 9 4 8" xfId="23093"/>
    <cellStyle name="20% - Accent1 9 4 9" xfId="51632"/>
    <cellStyle name="20% - Accent1 9 5" xfId="243"/>
    <cellStyle name="20% - Accent1 9 5 2" xfId="3488"/>
    <cellStyle name="20% - Accent1 9 5 2 2" xfId="8112"/>
    <cellStyle name="20% - Accent1 9 5 2 2 2" xfId="15902"/>
    <cellStyle name="20% - Accent1 9 5 2 2 2 2" xfId="33523"/>
    <cellStyle name="20% - Accent1 9 5 2 2 3" xfId="26512"/>
    <cellStyle name="20% - Accent1 9 5 2 3" xfId="12218"/>
    <cellStyle name="20% - Accent1 9 5 2 3 2" xfId="29875"/>
    <cellStyle name="20% - Accent1 9 5 2 4" xfId="23651"/>
    <cellStyle name="20% - Accent1 9 5 3" xfId="5535"/>
    <cellStyle name="20% - Accent1 9 5 3 2" xfId="8832"/>
    <cellStyle name="20% - Accent1 9 5 3 2 2" xfId="16621"/>
    <cellStyle name="20% - Accent1 9 5 3 2 2 2" xfId="34243"/>
    <cellStyle name="20% - Accent1 9 5 3 2 3" xfId="27206"/>
    <cellStyle name="20% - Accent1 9 5 3 3" xfId="13385"/>
    <cellStyle name="20% - Accent1 9 5 3 3 2" xfId="31011"/>
    <cellStyle name="20% - Accent1 9 5 3 4" xfId="24345"/>
    <cellStyle name="20% - Accent1 9 5 4" xfId="6165"/>
    <cellStyle name="20% - Accent1 9 5 4 2" xfId="9372"/>
    <cellStyle name="20% - Accent1 9 5 4 2 2" xfId="17160"/>
    <cellStyle name="20% - Accent1 9 5 4 2 2 2" xfId="34783"/>
    <cellStyle name="20% - Accent1 9 5 4 2 3" xfId="27742"/>
    <cellStyle name="20% - Accent1 9 5 4 3" xfId="13948"/>
    <cellStyle name="20% - Accent1 9 5 4 3 2" xfId="31569"/>
    <cellStyle name="20% - Accent1 9 5 4 4" xfId="24881"/>
    <cellStyle name="20% - Accent1 9 5 5" xfId="6702"/>
    <cellStyle name="20% - Accent1 9 5 5 2" xfId="9909"/>
    <cellStyle name="20% - Accent1 9 5 5 2 2" xfId="17696"/>
    <cellStyle name="20% - Accent1 9 5 5 2 2 2" xfId="35319"/>
    <cellStyle name="20% - Accent1 9 5 5 2 3" xfId="28278"/>
    <cellStyle name="20% - Accent1 9 5 5 3" xfId="14484"/>
    <cellStyle name="20% - Accent1 9 5 5 3 2" xfId="32105"/>
    <cellStyle name="20% - Accent1 9 5 5 4" xfId="25418"/>
    <cellStyle name="20% - Accent1 9 5 6" xfId="7536"/>
    <cellStyle name="20% - Accent1 9 5 6 2" xfId="15327"/>
    <cellStyle name="20% - Accent1 9 5 6 2 2" xfId="32948"/>
    <cellStyle name="20% - Accent1 9 5 6 3" xfId="25955"/>
    <cellStyle name="20% - Accent1 9 5 7" xfId="11098"/>
    <cellStyle name="20% - Accent1 9 5 7 2" xfId="28814"/>
    <cellStyle name="20% - Accent1 9 5 8" xfId="23094"/>
    <cellStyle name="20% - Accent1 9 5 9" xfId="51633"/>
    <cellStyle name="20% - Accent1 9 6" xfId="244"/>
    <cellStyle name="20% - Accent1 9 6 2" xfId="3489"/>
    <cellStyle name="20% - Accent1 9 6 2 2" xfId="8113"/>
    <cellStyle name="20% - Accent1 9 6 2 2 2" xfId="15903"/>
    <cellStyle name="20% - Accent1 9 6 2 2 2 2" xfId="33524"/>
    <cellStyle name="20% - Accent1 9 6 2 2 3" xfId="26513"/>
    <cellStyle name="20% - Accent1 9 6 2 3" xfId="12219"/>
    <cellStyle name="20% - Accent1 9 6 2 3 2" xfId="29876"/>
    <cellStyle name="20% - Accent1 9 6 2 4" xfId="23652"/>
    <cellStyle name="20% - Accent1 9 6 3" xfId="5536"/>
    <cellStyle name="20% - Accent1 9 6 3 2" xfId="8833"/>
    <cellStyle name="20% - Accent1 9 6 3 2 2" xfId="16622"/>
    <cellStyle name="20% - Accent1 9 6 3 2 2 2" xfId="34244"/>
    <cellStyle name="20% - Accent1 9 6 3 2 3" xfId="27207"/>
    <cellStyle name="20% - Accent1 9 6 3 3" xfId="13386"/>
    <cellStyle name="20% - Accent1 9 6 3 3 2" xfId="31012"/>
    <cellStyle name="20% - Accent1 9 6 3 4" xfId="24346"/>
    <cellStyle name="20% - Accent1 9 6 4" xfId="6166"/>
    <cellStyle name="20% - Accent1 9 6 4 2" xfId="9373"/>
    <cellStyle name="20% - Accent1 9 6 4 2 2" xfId="17161"/>
    <cellStyle name="20% - Accent1 9 6 4 2 2 2" xfId="34784"/>
    <cellStyle name="20% - Accent1 9 6 4 2 3" xfId="27743"/>
    <cellStyle name="20% - Accent1 9 6 4 3" xfId="13949"/>
    <cellStyle name="20% - Accent1 9 6 4 3 2" xfId="31570"/>
    <cellStyle name="20% - Accent1 9 6 4 4" xfId="24882"/>
    <cellStyle name="20% - Accent1 9 6 5" xfId="6703"/>
    <cellStyle name="20% - Accent1 9 6 5 2" xfId="9910"/>
    <cellStyle name="20% - Accent1 9 6 5 2 2" xfId="17697"/>
    <cellStyle name="20% - Accent1 9 6 5 2 2 2" xfId="35320"/>
    <cellStyle name="20% - Accent1 9 6 5 2 3" xfId="28279"/>
    <cellStyle name="20% - Accent1 9 6 5 3" xfId="14485"/>
    <cellStyle name="20% - Accent1 9 6 5 3 2" xfId="32106"/>
    <cellStyle name="20% - Accent1 9 6 5 4" xfId="25419"/>
    <cellStyle name="20% - Accent1 9 6 6" xfId="7537"/>
    <cellStyle name="20% - Accent1 9 6 6 2" xfId="15328"/>
    <cellStyle name="20% - Accent1 9 6 6 2 2" xfId="32949"/>
    <cellStyle name="20% - Accent1 9 6 6 3" xfId="25956"/>
    <cellStyle name="20% - Accent1 9 6 7" xfId="11099"/>
    <cellStyle name="20% - Accent1 9 6 7 2" xfId="28815"/>
    <cellStyle name="20% - Accent1 9 6 8" xfId="23095"/>
    <cellStyle name="20% - Accent1 9 6 9" xfId="51634"/>
    <cellStyle name="20% - Accent1 9 7" xfId="245"/>
    <cellStyle name="20% - Accent1 9 7 10" xfId="51635"/>
    <cellStyle name="20% - Accent1 9 7 2" xfId="246"/>
    <cellStyle name="20% - Accent1 9 7 2 2" xfId="8115"/>
    <cellStyle name="20% - Accent1 9 7 2 2 2" xfId="15905"/>
    <cellStyle name="20% - Accent1 9 7 2 2 2 2" xfId="33526"/>
    <cellStyle name="20% - Accent1 9 7 2 2 3" xfId="26515"/>
    <cellStyle name="20% - Accent1 9 7 2 3" xfId="12221"/>
    <cellStyle name="20% - Accent1 9 7 2 3 2" xfId="29878"/>
    <cellStyle name="20% - Accent1 9 7 2 4" xfId="23654"/>
    <cellStyle name="20% - Accent1 9 7 3" xfId="3490"/>
    <cellStyle name="20% - Accent1 9 7 3 2" xfId="8114"/>
    <cellStyle name="20% - Accent1 9 7 3 2 2" xfId="15904"/>
    <cellStyle name="20% - Accent1 9 7 3 2 2 2" xfId="33525"/>
    <cellStyle name="20% - Accent1 9 7 3 2 3" xfId="26514"/>
    <cellStyle name="20% - Accent1 9 7 3 3" xfId="12220"/>
    <cellStyle name="20% - Accent1 9 7 3 3 2" xfId="29877"/>
    <cellStyle name="20% - Accent1 9 7 3 4" xfId="23653"/>
    <cellStyle name="20% - Accent1 9 7 4" xfId="5537"/>
    <cellStyle name="20% - Accent1 9 7 4 2" xfId="8834"/>
    <cellStyle name="20% - Accent1 9 7 4 2 2" xfId="16623"/>
    <cellStyle name="20% - Accent1 9 7 4 2 2 2" xfId="34245"/>
    <cellStyle name="20% - Accent1 9 7 4 2 3" xfId="27208"/>
    <cellStyle name="20% - Accent1 9 7 4 3" xfId="13387"/>
    <cellStyle name="20% - Accent1 9 7 4 3 2" xfId="31013"/>
    <cellStyle name="20% - Accent1 9 7 4 4" xfId="24347"/>
    <cellStyle name="20% - Accent1 9 7 5" xfId="6167"/>
    <cellStyle name="20% - Accent1 9 7 5 2" xfId="9374"/>
    <cellStyle name="20% - Accent1 9 7 5 2 2" xfId="17162"/>
    <cellStyle name="20% - Accent1 9 7 5 2 2 2" xfId="34785"/>
    <cellStyle name="20% - Accent1 9 7 5 2 3" xfId="27744"/>
    <cellStyle name="20% - Accent1 9 7 5 3" xfId="13950"/>
    <cellStyle name="20% - Accent1 9 7 5 3 2" xfId="31571"/>
    <cellStyle name="20% - Accent1 9 7 5 4" xfId="24883"/>
    <cellStyle name="20% - Accent1 9 7 6" xfId="6704"/>
    <cellStyle name="20% - Accent1 9 7 6 2" xfId="9911"/>
    <cellStyle name="20% - Accent1 9 7 6 2 2" xfId="17698"/>
    <cellStyle name="20% - Accent1 9 7 6 2 2 2" xfId="35321"/>
    <cellStyle name="20% - Accent1 9 7 6 2 3" xfId="28280"/>
    <cellStyle name="20% - Accent1 9 7 6 3" xfId="14486"/>
    <cellStyle name="20% - Accent1 9 7 6 3 2" xfId="32107"/>
    <cellStyle name="20% - Accent1 9 7 6 4" xfId="25420"/>
    <cellStyle name="20% - Accent1 9 7 7" xfId="7538"/>
    <cellStyle name="20% - Accent1 9 7 7 2" xfId="15329"/>
    <cellStyle name="20% - Accent1 9 7 7 2 2" xfId="32950"/>
    <cellStyle name="20% - Accent1 9 7 7 3" xfId="25957"/>
    <cellStyle name="20% - Accent1 9 7 8" xfId="11100"/>
    <cellStyle name="20% - Accent1 9 7 8 2" xfId="28816"/>
    <cellStyle name="20% - Accent1 9 7 9" xfId="23096"/>
    <cellStyle name="20% - Accent1 9 8" xfId="3491"/>
    <cellStyle name="20% - Accent1 9 8 2" xfId="8116"/>
    <cellStyle name="20% - Accent1 9 8 2 2" xfId="15906"/>
    <cellStyle name="20% - Accent1 9 8 2 2 2" xfId="33527"/>
    <cellStyle name="20% - Accent1 9 8 2 3" xfId="26516"/>
    <cellStyle name="20% - Accent1 9 8 3" xfId="12222"/>
    <cellStyle name="20% - Accent1 9 8 3 2" xfId="29879"/>
    <cellStyle name="20% - Accent1 9 8 4" xfId="23655"/>
    <cellStyle name="20% - Accent1 9 9" xfId="3492"/>
    <cellStyle name="20% - Accent1 9 9 2" xfId="8117"/>
    <cellStyle name="20% - Accent1 9 9 2 2" xfId="15907"/>
    <cellStyle name="20% - Accent1 9 9 2 2 2" xfId="33528"/>
    <cellStyle name="20% - Accent1 9 9 2 3" xfId="26517"/>
    <cellStyle name="20% - Accent1 9 9 3" xfId="12223"/>
    <cellStyle name="20% - Accent1 9 9 3 2" xfId="29880"/>
    <cellStyle name="20% - Accent1 9 9 4" xfId="23656"/>
    <cellStyle name="20% - Accent2 10" xfId="247"/>
    <cellStyle name="20% - Accent2 10 2" xfId="248"/>
    <cellStyle name="20% - Accent2 10 3" xfId="249"/>
    <cellStyle name="20% - Accent2 10 3 2" xfId="8118"/>
    <cellStyle name="20% - Accent2 10 3 2 2" xfId="15908"/>
    <cellStyle name="20% - Accent2 10 3 2 2 2" xfId="33529"/>
    <cellStyle name="20% - Accent2 10 3 2 3" xfId="26518"/>
    <cellStyle name="20% - Accent2 10 3 3" xfId="12224"/>
    <cellStyle name="20% - Accent2 10 3 3 2" xfId="29881"/>
    <cellStyle name="20% - Accent2 10 3 4" xfId="23657"/>
    <cellStyle name="20% - Accent2 10 3 5" xfId="51636"/>
    <cellStyle name="20% - Accent2 10 4" xfId="7539"/>
    <cellStyle name="20% - Accent2 10 4 2" xfId="15330"/>
    <cellStyle name="20% - Accent2 10 4 2 2" xfId="32951"/>
    <cellStyle name="20% - Accent2 10 4 3" xfId="25958"/>
    <cellStyle name="20% - Accent2 10 5" xfId="11101"/>
    <cellStyle name="20% - Accent2 10 5 2" xfId="28817"/>
    <cellStyle name="20% - Accent2 10 6" xfId="22023"/>
    <cellStyle name="20% - Accent2 10 6 2" xfId="38727"/>
    <cellStyle name="20% - Accent2 10 7" xfId="23097"/>
    <cellStyle name="20% - Accent2 11" xfId="250"/>
    <cellStyle name="20% - Accent2 11 10" xfId="3493"/>
    <cellStyle name="20% - Accent2 11 10 2" xfId="8119"/>
    <cellStyle name="20% - Accent2 11 10 2 2" xfId="15909"/>
    <cellStyle name="20% - Accent2 11 10 2 2 2" xfId="33530"/>
    <cellStyle name="20% - Accent2 11 10 2 3" xfId="26519"/>
    <cellStyle name="20% - Accent2 11 10 3" xfId="12225"/>
    <cellStyle name="20% - Accent2 11 10 3 2" xfId="29882"/>
    <cellStyle name="20% - Accent2 11 10 4" xfId="23658"/>
    <cellStyle name="20% - Accent2 11 11" xfId="5538"/>
    <cellStyle name="20% - Accent2 11 11 2" xfId="8835"/>
    <cellStyle name="20% - Accent2 11 11 2 2" xfId="16624"/>
    <cellStyle name="20% - Accent2 11 11 2 2 2" xfId="34246"/>
    <cellStyle name="20% - Accent2 11 11 2 3" xfId="27209"/>
    <cellStyle name="20% - Accent2 11 11 3" xfId="13388"/>
    <cellStyle name="20% - Accent2 11 11 3 2" xfId="31014"/>
    <cellStyle name="20% - Accent2 11 11 4" xfId="24348"/>
    <cellStyle name="20% - Accent2 11 12" xfId="6168"/>
    <cellStyle name="20% - Accent2 11 12 2" xfId="9375"/>
    <cellStyle name="20% - Accent2 11 12 2 2" xfId="17163"/>
    <cellStyle name="20% - Accent2 11 12 2 2 2" xfId="34786"/>
    <cellStyle name="20% - Accent2 11 12 2 3" xfId="27745"/>
    <cellStyle name="20% - Accent2 11 12 3" xfId="13951"/>
    <cellStyle name="20% - Accent2 11 12 3 2" xfId="31572"/>
    <cellStyle name="20% - Accent2 11 12 4" xfId="24884"/>
    <cellStyle name="20% - Accent2 11 13" xfId="6705"/>
    <cellStyle name="20% - Accent2 11 13 2" xfId="9912"/>
    <cellStyle name="20% - Accent2 11 13 2 2" xfId="17699"/>
    <cellStyle name="20% - Accent2 11 13 2 2 2" xfId="35322"/>
    <cellStyle name="20% - Accent2 11 13 2 3" xfId="28281"/>
    <cellStyle name="20% - Accent2 11 13 3" xfId="14487"/>
    <cellStyle name="20% - Accent2 11 13 3 2" xfId="32108"/>
    <cellStyle name="20% - Accent2 11 13 4" xfId="25421"/>
    <cellStyle name="20% - Accent2 11 14" xfId="7540"/>
    <cellStyle name="20% - Accent2 11 14 2" xfId="15331"/>
    <cellStyle name="20% - Accent2 11 14 2 2" xfId="32952"/>
    <cellStyle name="20% - Accent2 11 14 3" xfId="25959"/>
    <cellStyle name="20% - Accent2 11 15" xfId="11102"/>
    <cellStyle name="20% - Accent2 11 15 2" xfId="28818"/>
    <cellStyle name="20% - Accent2 11 16" xfId="22024"/>
    <cellStyle name="20% - Accent2 11 16 2" xfId="38728"/>
    <cellStyle name="20% - Accent2 11 17" xfId="23098"/>
    <cellStyle name="20% - Accent2 11 18" xfId="51637"/>
    <cellStyle name="20% - Accent2 11 2" xfId="251"/>
    <cellStyle name="20% - Accent2 11 2 2" xfId="3494"/>
    <cellStyle name="20% - Accent2 11 2 2 2" xfId="8120"/>
    <cellStyle name="20% - Accent2 11 2 2 2 2" xfId="15910"/>
    <cellStyle name="20% - Accent2 11 2 2 2 2 2" xfId="33531"/>
    <cellStyle name="20% - Accent2 11 2 2 2 3" xfId="26520"/>
    <cellStyle name="20% - Accent2 11 2 2 3" xfId="12226"/>
    <cellStyle name="20% - Accent2 11 2 2 3 2" xfId="29883"/>
    <cellStyle name="20% - Accent2 11 2 2 4" xfId="23659"/>
    <cellStyle name="20% - Accent2 11 2 3" xfId="5539"/>
    <cellStyle name="20% - Accent2 11 2 3 2" xfId="8836"/>
    <cellStyle name="20% - Accent2 11 2 3 2 2" xfId="16625"/>
    <cellStyle name="20% - Accent2 11 2 3 2 2 2" xfId="34247"/>
    <cellStyle name="20% - Accent2 11 2 3 2 3" xfId="27210"/>
    <cellStyle name="20% - Accent2 11 2 3 3" xfId="13389"/>
    <cellStyle name="20% - Accent2 11 2 3 3 2" xfId="31015"/>
    <cellStyle name="20% - Accent2 11 2 3 4" xfId="24349"/>
    <cellStyle name="20% - Accent2 11 2 4" xfId="6169"/>
    <cellStyle name="20% - Accent2 11 2 4 2" xfId="9376"/>
    <cellStyle name="20% - Accent2 11 2 4 2 2" xfId="17164"/>
    <cellStyle name="20% - Accent2 11 2 4 2 2 2" xfId="34787"/>
    <cellStyle name="20% - Accent2 11 2 4 2 3" xfId="27746"/>
    <cellStyle name="20% - Accent2 11 2 4 3" xfId="13952"/>
    <cellStyle name="20% - Accent2 11 2 4 3 2" xfId="31573"/>
    <cellStyle name="20% - Accent2 11 2 4 4" xfId="24885"/>
    <cellStyle name="20% - Accent2 11 2 5" xfId="6706"/>
    <cellStyle name="20% - Accent2 11 2 5 2" xfId="9913"/>
    <cellStyle name="20% - Accent2 11 2 5 2 2" xfId="17700"/>
    <cellStyle name="20% - Accent2 11 2 5 2 2 2" xfId="35323"/>
    <cellStyle name="20% - Accent2 11 2 5 2 3" xfId="28282"/>
    <cellStyle name="20% - Accent2 11 2 5 3" xfId="14488"/>
    <cellStyle name="20% - Accent2 11 2 5 3 2" xfId="32109"/>
    <cellStyle name="20% - Accent2 11 2 5 4" xfId="25422"/>
    <cellStyle name="20% - Accent2 11 2 6" xfId="7541"/>
    <cellStyle name="20% - Accent2 11 2 6 2" xfId="15332"/>
    <cellStyle name="20% - Accent2 11 2 6 2 2" xfId="32953"/>
    <cellStyle name="20% - Accent2 11 2 6 3" xfId="25960"/>
    <cellStyle name="20% - Accent2 11 2 7" xfId="11103"/>
    <cellStyle name="20% - Accent2 11 2 7 2" xfId="28819"/>
    <cellStyle name="20% - Accent2 11 2 8" xfId="23099"/>
    <cellStyle name="20% - Accent2 11 2 9" xfId="51638"/>
    <cellStyle name="20% - Accent2 11 3" xfId="252"/>
    <cellStyle name="20% - Accent2 11 3 10" xfId="23100"/>
    <cellStyle name="20% - Accent2 11 3 11" xfId="51639"/>
    <cellStyle name="20% - Accent2 11 3 2" xfId="253"/>
    <cellStyle name="20% - Accent2 11 3 2 2" xfId="3496"/>
    <cellStyle name="20% - Accent2 11 3 2 2 2" xfId="8122"/>
    <cellStyle name="20% - Accent2 11 3 2 2 2 2" xfId="15912"/>
    <cellStyle name="20% - Accent2 11 3 2 2 2 2 2" xfId="33533"/>
    <cellStyle name="20% - Accent2 11 3 2 2 2 3" xfId="26522"/>
    <cellStyle name="20% - Accent2 11 3 2 2 3" xfId="12228"/>
    <cellStyle name="20% - Accent2 11 3 2 2 3 2" xfId="29885"/>
    <cellStyle name="20% - Accent2 11 3 2 2 4" xfId="23661"/>
    <cellStyle name="20% - Accent2 11 3 2 3" xfId="5541"/>
    <cellStyle name="20% - Accent2 11 3 2 3 2" xfId="8838"/>
    <cellStyle name="20% - Accent2 11 3 2 3 2 2" xfId="16627"/>
    <cellStyle name="20% - Accent2 11 3 2 3 2 2 2" xfId="34249"/>
    <cellStyle name="20% - Accent2 11 3 2 3 2 3" xfId="27212"/>
    <cellStyle name="20% - Accent2 11 3 2 3 3" xfId="13391"/>
    <cellStyle name="20% - Accent2 11 3 2 3 3 2" xfId="31017"/>
    <cellStyle name="20% - Accent2 11 3 2 3 4" xfId="24351"/>
    <cellStyle name="20% - Accent2 11 3 2 4" xfId="6171"/>
    <cellStyle name="20% - Accent2 11 3 2 4 2" xfId="9378"/>
    <cellStyle name="20% - Accent2 11 3 2 4 2 2" xfId="17166"/>
    <cellStyle name="20% - Accent2 11 3 2 4 2 2 2" xfId="34789"/>
    <cellStyle name="20% - Accent2 11 3 2 4 2 3" xfId="27748"/>
    <cellStyle name="20% - Accent2 11 3 2 4 3" xfId="13954"/>
    <cellStyle name="20% - Accent2 11 3 2 4 3 2" xfId="31575"/>
    <cellStyle name="20% - Accent2 11 3 2 4 4" xfId="24887"/>
    <cellStyle name="20% - Accent2 11 3 2 5" xfId="6708"/>
    <cellStyle name="20% - Accent2 11 3 2 5 2" xfId="9915"/>
    <cellStyle name="20% - Accent2 11 3 2 5 2 2" xfId="17702"/>
    <cellStyle name="20% - Accent2 11 3 2 5 2 2 2" xfId="35325"/>
    <cellStyle name="20% - Accent2 11 3 2 5 2 3" xfId="28284"/>
    <cellStyle name="20% - Accent2 11 3 2 5 3" xfId="14490"/>
    <cellStyle name="20% - Accent2 11 3 2 5 3 2" xfId="32111"/>
    <cellStyle name="20% - Accent2 11 3 2 5 4" xfId="25424"/>
    <cellStyle name="20% - Accent2 11 3 2 6" xfId="7543"/>
    <cellStyle name="20% - Accent2 11 3 2 6 2" xfId="15334"/>
    <cellStyle name="20% - Accent2 11 3 2 6 2 2" xfId="32955"/>
    <cellStyle name="20% - Accent2 11 3 2 6 3" xfId="25962"/>
    <cellStyle name="20% - Accent2 11 3 2 7" xfId="11105"/>
    <cellStyle name="20% - Accent2 11 3 2 7 2" xfId="28821"/>
    <cellStyle name="20% - Accent2 11 3 2 8" xfId="23101"/>
    <cellStyle name="20% - Accent2 11 3 2 9" xfId="51640"/>
    <cellStyle name="20% - Accent2 11 3 3" xfId="3497"/>
    <cellStyle name="20% - Accent2 11 3 3 2" xfId="5542"/>
    <cellStyle name="20% - Accent2 11 3 3 2 2" xfId="8839"/>
    <cellStyle name="20% - Accent2 11 3 3 2 2 2" xfId="16628"/>
    <cellStyle name="20% - Accent2 11 3 3 2 2 2 2" xfId="34250"/>
    <cellStyle name="20% - Accent2 11 3 3 2 2 3" xfId="27213"/>
    <cellStyle name="20% - Accent2 11 3 3 2 3" xfId="13392"/>
    <cellStyle name="20% - Accent2 11 3 3 2 3 2" xfId="31018"/>
    <cellStyle name="20% - Accent2 11 3 3 2 4" xfId="24352"/>
    <cellStyle name="20% - Accent2 11 3 3 3" xfId="6172"/>
    <cellStyle name="20% - Accent2 11 3 3 3 2" xfId="9379"/>
    <cellStyle name="20% - Accent2 11 3 3 3 2 2" xfId="17167"/>
    <cellStyle name="20% - Accent2 11 3 3 3 2 2 2" xfId="34790"/>
    <cellStyle name="20% - Accent2 11 3 3 3 2 3" xfId="27749"/>
    <cellStyle name="20% - Accent2 11 3 3 3 3" xfId="13955"/>
    <cellStyle name="20% - Accent2 11 3 3 3 3 2" xfId="31576"/>
    <cellStyle name="20% - Accent2 11 3 3 3 4" xfId="24888"/>
    <cellStyle name="20% - Accent2 11 3 3 4" xfId="6709"/>
    <cellStyle name="20% - Accent2 11 3 3 4 2" xfId="9916"/>
    <cellStyle name="20% - Accent2 11 3 3 4 2 2" xfId="17703"/>
    <cellStyle name="20% - Accent2 11 3 3 4 2 2 2" xfId="35326"/>
    <cellStyle name="20% - Accent2 11 3 3 4 2 3" xfId="28285"/>
    <cellStyle name="20% - Accent2 11 3 3 4 3" xfId="14491"/>
    <cellStyle name="20% - Accent2 11 3 3 4 3 2" xfId="32112"/>
    <cellStyle name="20% - Accent2 11 3 3 4 4" xfId="25425"/>
    <cellStyle name="20% - Accent2 11 3 3 5" xfId="8123"/>
    <cellStyle name="20% - Accent2 11 3 3 5 2" xfId="15913"/>
    <cellStyle name="20% - Accent2 11 3 3 5 2 2" xfId="33534"/>
    <cellStyle name="20% - Accent2 11 3 3 5 3" xfId="26523"/>
    <cellStyle name="20% - Accent2 11 3 3 6" xfId="12229"/>
    <cellStyle name="20% - Accent2 11 3 3 6 2" xfId="29886"/>
    <cellStyle name="20% - Accent2 11 3 3 7" xfId="23662"/>
    <cellStyle name="20% - Accent2 11 3 4" xfId="3495"/>
    <cellStyle name="20% - Accent2 11 3 4 2" xfId="8121"/>
    <cellStyle name="20% - Accent2 11 3 4 2 2" xfId="15911"/>
    <cellStyle name="20% - Accent2 11 3 4 2 2 2" xfId="33532"/>
    <cellStyle name="20% - Accent2 11 3 4 2 3" xfId="26521"/>
    <cellStyle name="20% - Accent2 11 3 4 3" xfId="12227"/>
    <cellStyle name="20% - Accent2 11 3 4 3 2" xfId="29884"/>
    <cellStyle name="20% - Accent2 11 3 4 4" xfId="23660"/>
    <cellStyle name="20% - Accent2 11 3 5" xfId="5540"/>
    <cellStyle name="20% - Accent2 11 3 5 2" xfId="8837"/>
    <cellStyle name="20% - Accent2 11 3 5 2 2" xfId="16626"/>
    <cellStyle name="20% - Accent2 11 3 5 2 2 2" xfId="34248"/>
    <cellStyle name="20% - Accent2 11 3 5 2 3" xfId="27211"/>
    <cellStyle name="20% - Accent2 11 3 5 3" xfId="13390"/>
    <cellStyle name="20% - Accent2 11 3 5 3 2" xfId="31016"/>
    <cellStyle name="20% - Accent2 11 3 5 4" xfId="24350"/>
    <cellStyle name="20% - Accent2 11 3 6" xfId="6170"/>
    <cellStyle name="20% - Accent2 11 3 6 2" xfId="9377"/>
    <cellStyle name="20% - Accent2 11 3 6 2 2" xfId="17165"/>
    <cellStyle name="20% - Accent2 11 3 6 2 2 2" xfId="34788"/>
    <cellStyle name="20% - Accent2 11 3 6 2 3" xfId="27747"/>
    <cellStyle name="20% - Accent2 11 3 6 3" xfId="13953"/>
    <cellStyle name="20% - Accent2 11 3 6 3 2" xfId="31574"/>
    <cellStyle name="20% - Accent2 11 3 6 4" xfId="24886"/>
    <cellStyle name="20% - Accent2 11 3 7" xfId="6707"/>
    <cellStyle name="20% - Accent2 11 3 7 2" xfId="9914"/>
    <cellStyle name="20% - Accent2 11 3 7 2 2" xfId="17701"/>
    <cellStyle name="20% - Accent2 11 3 7 2 2 2" xfId="35324"/>
    <cellStyle name="20% - Accent2 11 3 7 2 3" xfId="28283"/>
    <cellStyle name="20% - Accent2 11 3 7 3" xfId="14489"/>
    <cellStyle name="20% - Accent2 11 3 7 3 2" xfId="32110"/>
    <cellStyle name="20% - Accent2 11 3 7 4" xfId="25423"/>
    <cellStyle name="20% - Accent2 11 3 8" xfId="7542"/>
    <cellStyle name="20% - Accent2 11 3 8 2" xfId="15333"/>
    <cellStyle name="20% - Accent2 11 3 8 2 2" xfId="32954"/>
    <cellStyle name="20% - Accent2 11 3 8 3" xfId="25961"/>
    <cellStyle name="20% - Accent2 11 3 9" xfId="11104"/>
    <cellStyle name="20% - Accent2 11 3 9 2" xfId="28820"/>
    <cellStyle name="20% - Accent2 11 4" xfId="254"/>
    <cellStyle name="20% - Accent2 11 4 2" xfId="3498"/>
    <cellStyle name="20% - Accent2 11 4 2 2" xfId="8124"/>
    <cellStyle name="20% - Accent2 11 4 2 2 2" xfId="15914"/>
    <cellStyle name="20% - Accent2 11 4 2 2 2 2" xfId="33535"/>
    <cellStyle name="20% - Accent2 11 4 2 2 3" xfId="26524"/>
    <cellStyle name="20% - Accent2 11 4 2 3" xfId="12230"/>
    <cellStyle name="20% - Accent2 11 4 2 3 2" xfId="29887"/>
    <cellStyle name="20% - Accent2 11 4 2 4" xfId="23663"/>
    <cellStyle name="20% - Accent2 11 4 3" xfId="5543"/>
    <cellStyle name="20% - Accent2 11 4 3 2" xfId="8840"/>
    <cellStyle name="20% - Accent2 11 4 3 2 2" xfId="16629"/>
    <cellStyle name="20% - Accent2 11 4 3 2 2 2" xfId="34251"/>
    <cellStyle name="20% - Accent2 11 4 3 2 3" xfId="27214"/>
    <cellStyle name="20% - Accent2 11 4 3 3" xfId="13393"/>
    <cellStyle name="20% - Accent2 11 4 3 3 2" xfId="31019"/>
    <cellStyle name="20% - Accent2 11 4 3 4" xfId="24353"/>
    <cellStyle name="20% - Accent2 11 4 4" xfId="6173"/>
    <cellStyle name="20% - Accent2 11 4 4 2" xfId="9380"/>
    <cellStyle name="20% - Accent2 11 4 4 2 2" xfId="17168"/>
    <cellStyle name="20% - Accent2 11 4 4 2 2 2" xfId="34791"/>
    <cellStyle name="20% - Accent2 11 4 4 2 3" xfId="27750"/>
    <cellStyle name="20% - Accent2 11 4 4 3" xfId="13956"/>
    <cellStyle name="20% - Accent2 11 4 4 3 2" xfId="31577"/>
    <cellStyle name="20% - Accent2 11 4 4 4" xfId="24889"/>
    <cellStyle name="20% - Accent2 11 4 5" xfId="6710"/>
    <cellStyle name="20% - Accent2 11 4 5 2" xfId="9917"/>
    <cellStyle name="20% - Accent2 11 4 5 2 2" xfId="17704"/>
    <cellStyle name="20% - Accent2 11 4 5 2 2 2" xfId="35327"/>
    <cellStyle name="20% - Accent2 11 4 5 2 3" xfId="28286"/>
    <cellStyle name="20% - Accent2 11 4 5 3" xfId="14492"/>
    <cellStyle name="20% - Accent2 11 4 5 3 2" xfId="32113"/>
    <cellStyle name="20% - Accent2 11 4 5 4" xfId="25426"/>
    <cellStyle name="20% - Accent2 11 4 6" xfId="7544"/>
    <cellStyle name="20% - Accent2 11 4 6 2" xfId="15335"/>
    <cellStyle name="20% - Accent2 11 4 6 2 2" xfId="32956"/>
    <cellStyle name="20% - Accent2 11 4 6 3" xfId="25963"/>
    <cellStyle name="20% - Accent2 11 4 7" xfId="11106"/>
    <cellStyle name="20% - Accent2 11 4 7 2" xfId="28822"/>
    <cellStyle name="20% - Accent2 11 4 8" xfId="23102"/>
    <cellStyle name="20% - Accent2 11 4 9" xfId="51641"/>
    <cellStyle name="20% - Accent2 11 5" xfId="255"/>
    <cellStyle name="20% - Accent2 11 5 2" xfId="3499"/>
    <cellStyle name="20% - Accent2 11 5 2 2" xfId="8125"/>
    <cellStyle name="20% - Accent2 11 5 2 2 2" xfId="15915"/>
    <cellStyle name="20% - Accent2 11 5 2 2 2 2" xfId="33536"/>
    <cellStyle name="20% - Accent2 11 5 2 2 3" xfId="26525"/>
    <cellStyle name="20% - Accent2 11 5 2 3" xfId="12231"/>
    <cellStyle name="20% - Accent2 11 5 2 3 2" xfId="29888"/>
    <cellStyle name="20% - Accent2 11 5 2 4" xfId="23664"/>
    <cellStyle name="20% - Accent2 11 5 3" xfId="5544"/>
    <cellStyle name="20% - Accent2 11 5 3 2" xfId="8841"/>
    <cellStyle name="20% - Accent2 11 5 3 2 2" xfId="16630"/>
    <cellStyle name="20% - Accent2 11 5 3 2 2 2" xfId="34252"/>
    <cellStyle name="20% - Accent2 11 5 3 2 3" xfId="27215"/>
    <cellStyle name="20% - Accent2 11 5 3 3" xfId="13394"/>
    <cellStyle name="20% - Accent2 11 5 3 3 2" xfId="31020"/>
    <cellStyle name="20% - Accent2 11 5 3 4" xfId="24354"/>
    <cellStyle name="20% - Accent2 11 5 4" xfId="6174"/>
    <cellStyle name="20% - Accent2 11 5 4 2" xfId="9381"/>
    <cellStyle name="20% - Accent2 11 5 4 2 2" xfId="17169"/>
    <cellStyle name="20% - Accent2 11 5 4 2 2 2" xfId="34792"/>
    <cellStyle name="20% - Accent2 11 5 4 2 3" xfId="27751"/>
    <cellStyle name="20% - Accent2 11 5 4 3" xfId="13957"/>
    <cellStyle name="20% - Accent2 11 5 4 3 2" xfId="31578"/>
    <cellStyle name="20% - Accent2 11 5 4 4" xfId="24890"/>
    <cellStyle name="20% - Accent2 11 5 5" xfId="6711"/>
    <cellStyle name="20% - Accent2 11 5 5 2" xfId="9918"/>
    <cellStyle name="20% - Accent2 11 5 5 2 2" xfId="17705"/>
    <cellStyle name="20% - Accent2 11 5 5 2 2 2" xfId="35328"/>
    <cellStyle name="20% - Accent2 11 5 5 2 3" xfId="28287"/>
    <cellStyle name="20% - Accent2 11 5 5 3" xfId="14493"/>
    <cellStyle name="20% - Accent2 11 5 5 3 2" xfId="32114"/>
    <cellStyle name="20% - Accent2 11 5 5 4" xfId="25427"/>
    <cellStyle name="20% - Accent2 11 5 6" xfId="7545"/>
    <cellStyle name="20% - Accent2 11 5 6 2" xfId="15336"/>
    <cellStyle name="20% - Accent2 11 5 6 2 2" xfId="32957"/>
    <cellStyle name="20% - Accent2 11 5 6 3" xfId="25964"/>
    <cellStyle name="20% - Accent2 11 5 7" xfId="11107"/>
    <cellStyle name="20% - Accent2 11 5 7 2" xfId="28823"/>
    <cellStyle name="20% - Accent2 11 5 8" xfId="23103"/>
    <cellStyle name="20% - Accent2 11 5 9" xfId="51642"/>
    <cellStyle name="20% - Accent2 11 6" xfId="256"/>
    <cellStyle name="20% - Accent2 11 6 2" xfId="3500"/>
    <cellStyle name="20% - Accent2 11 6 2 2" xfId="8126"/>
    <cellStyle name="20% - Accent2 11 6 2 2 2" xfId="15916"/>
    <cellStyle name="20% - Accent2 11 6 2 2 2 2" xfId="33537"/>
    <cellStyle name="20% - Accent2 11 6 2 2 3" xfId="26526"/>
    <cellStyle name="20% - Accent2 11 6 2 3" xfId="12232"/>
    <cellStyle name="20% - Accent2 11 6 2 3 2" xfId="29889"/>
    <cellStyle name="20% - Accent2 11 6 2 4" xfId="23665"/>
    <cellStyle name="20% - Accent2 11 6 3" xfId="5545"/>
    <cellStyle name="20% - Accent2 11 6 3 2" xfId="8842"/>
    <cellStyle name="20% - Accent2 11 6 3 2 2" xfId="16631"/>
    <cellStyle name="20% - Accent2 11 6 3 2 2 2" xfId="34253"/>
    <cellStyle name="20% - Accent2 11 6 3 2 3" xfId="27216"/>
    <cellStyle name="20% - Accent2 11 6 3 3" xfId="13395"/>
    <cellStyle name="20% - Accent2 11 6 3 3 2" xfId="31021"/>
    <cellStyle name="20% - Accent2 11 6 3 4" xfId="24355"/>
    <cellStyle name="20% - Accent2 11 6 4" xfId="6175"/>
    <cellStyle name="20% - Accent2 11 6 4 2" xfId="9382"/>
    <cellStyle name="20% - Accent2 11 6 4 2 2" xfId="17170"/>
    <cellStyle name="20% - Accent2 11 6 4 2 2 2" xfId="34793"/>
    <cellStyle name="20% - Accent2 11 6 4 2 3" xfId="27752"/>
    <cellStyle name="20% - Accent2 11 6 4 3" xfId="13958"/>
    <cellStyle name="20% - Accent2 11 6 4 3 2" xfId="31579"/>
    <cellStyle name="20% - Accent2 11 6 4 4" xfId="24891"/>
    <cellStyle name="20% - Accent2 11 6 5" xfId="6712"/>
    <cellStyle name="20% - Accent2 11 6 5 2" xfId="9919"/>
    <cellStyle name="20% - Accent2 11 6 5 2 2" xfId="17706"/>
    <cellStyle name="20% - Accent2 11 6 5 2 2 2" xfId="35329"/>
    <cellStyle name="20% - Accent2 11 6 5 2 3" xfId="28288"/>
    <cellStyle name="20% - Accent2 11 6 5 3" xfId="14494"/>
    <cellStyle name="20% - Accent2 11 6 5 3 2" xfId="32115"/>
    <cellStyle name="20% - Accent2 11 6 5 4" xfId="25428"/>
    <cellStyle name="20% - Accent2 11 6 6" xfId="7546"/>
    <cellStyle name="20% - Accent2 11 6 6 2" xfId="15337"/>
    <cellStyle name="20% - Accent2 11 6 6 2 2" xfId="32958"/>
    <cellStyle name="20% - Accent2 11 6 6 3" xfId="25965"/>
    <cellStyle name="20% - Accent2 11 6 7" xfId="11108"/>
    <cellStyle name="20% - Accent2 11 6 7 2" xfId="28824"/>
    <cellStyle name="20% - Accent2 11 6 8" xfId="23104"/>
    <cellStyle name="20% - Accent2 11 6 9" xfId="51643"/>
    <cellStyle name="20% - Accent2 11 7" xfId="257"/>
    <cellStyle name="20% - Accent2 11 7 10" xfId="51644"/>
    <cellStyle name="20% - Accent2 11 7 2" xfId="258"/>
    <cellStyle name="20% - Accent2 11 7 2 2" xfId="8128"/>
    <cellStyle name="20% - Accent2 11 7 2 2 2" xfId="15918"/>
    <cellStyle name="20% - Accent2 11 7 2 2 2 2" xfId="33539"/>
    <cellStyle name="20% - Accent2 11 7 2 2 3" xfId="26528"/>
    <cellStyle name="20% - Accent2 11 7 2 3" xfId="12234"/>
    <cellStyle name="20% - Accent2 11 7 2 3 2" xfId="29891"/>
    <cellStyle name="20% - Accent2 11 7 2 4" xfId="23667"/>
    <cellStyle name="20% - Accent2 11 7 3" xfId="3501"/>
    <cellStyle name="20% - Accent2 11 7 3 2" xfId="8127"/>
    <cellStyle name="20% - Accent2 11 7 3 2 2" xfId="15917"/>
    <cellStyle name="20% - Accent2 11 7 3 2 2 2" xfId="33538"/>
    <cellStyle name="20% - Accent2 11 7 3 2 3" xfId="26527"/>
    <cellStyle name="20% - Accent2 11 7 3 3" xfId="12233"/>
    <cellStyle name="20% - Accent2 11 7 3 3 2" xfId="29890"/>
    <cellStyle name="20% - Accent2 11 7 3 4" xfId="23666"/>
    <cellStyle name="20% - Accent2 11 7 4" xfId="5546"/>
    <cellStyle name="20% - Accent2 11 7 4 2" xfId="8843"/>
    <cellStyle name="20% - Accent2 11 7 4 2 2" xfId="16632"/>
    <cellStyle name="20% - Accent2 11 7 4 2 2 2" xfId="34254"/>
    <cellStyle name="20% - Accent2 11 7 4 2 3" xfId="27217"/>
    <cellStyle name="20% - Accent2 11 7 4 3" xfId="13396"/>
    <cellStyle name="20% - Accent2 11 7 4 3 2" xfId="31022"/>
    <cellStyle name="20% - Accent2 11 7 4 4" xfId="24356"/>
    <cellStyle name="20% - Accent2 11 7 5" xfId="6176"/>
    <cellStyle name="20% - Accent2 11 7 5 2" xfId="9383"/>
    <cellStyle name="20% - Accent2 11 7 5 2 2" xfId="17171"/>
    <cellStyle name="20% - Accent2 11 7 5 2 2 2" xfId="34794"/>
    <cellStyle name="20% - Accent2 11 7 5 2 3" xfId="27753"/>
    <cellStyle name="20% - Accent2 11 7 5 3" xfId="13959"/>
    <cellStyle name="20% - Accent2 11 7 5 3 2" xfId="31580"/>
    <cellStyle name="20% - Accent2 11 7 5 4" xfId="24892"/>
    <cellStyle name="20% - Accent2 11 7 6" xfId="6713"/>
    <cellStyle name="20% - Accent2 11 7 6 2" xfId="9920"/>
    <cellStyle name="20% - Accent2 11 7 6 2 2" xfId="17707"/>
    <cellStyle name="20% - Accent2 11 7 6 2 2 2" xfId="35330"/>
    <cellStyle name="20% - Accent2 11 7 6 2 3" xfId="28289"/>
    <cellStyle name="20% - Accent2 11 7 6 3" xfId="14495"/>
    <cellStyle name="20% - Accent2 11 7 6 3 2" xfId="32116"/>
    <cellStyle name="20% - Accent2 11 7 6 4" xfId="25429"/>
    <cellStyle name="20% - Accent2 11 7 7" xfId="7547"/>
    <cellStyle name="20% - Accent2 11 7 7 2" xfId="15338"/>
    <cellStyle name="20% - Accent2 11 7 7 2 2" xfId="32959"/>
    <cellStyle name="20% - Accent2 11 7 7 3" xfId="25966"/>
    <cellStyle name="20% - Accent2 11 7 8" xfId="11109"/>
    <cellStyle name="20% - Accent2 11 7 8 2" xfId="28825"/>
    <cellStyle name="20% - Accent2 11 7 9" xfId="23105"/>
    <cellStyle name="20% - Accent2 11 8" xfId="3502"/>
    <cellStyle name="20% - Accent2 11 8 2" xfId="8129"/>
    <cellStyle name="20% - Accent2 11 8 2 2" xfId="15919"/>
    <cellStyle name="20% - Accent2 11 8 2 2 2" xfId="33540"/>
    <cellStyle name="20% - Accent2 11 8 2 3" xfId="26529"/>
    <cellStyle name="20% - Accent2 11 8 3" xfId="12235"/>
    <cellStyle name="20% - Accent2 11 8 3 2" xfId="29892"/>
    <cellStyle name="20% - Accent2 11 8 4" xfId="23668"/>
    <cellStyle name="20% - Accent2 11 9" xfId="3503"/>
    <cellStyle name="20% - Accent2 11 9 2" xfId="8130"/>
    <cellStyle name="20% - Accent2 11 9 2 2" xfId="15920"/>
    <cellStyle name="20% - Accent2 11 9 2 2 2" xfId="33541"/>
    <cellStyle name="20% - Accent2 11 9 2 3" xfId="26530"/>
    <cellStyle name="20% - Accent2 11 9 3" xfId="12236"/>
    <cellStyle name="20% - Accent2 11 9 3 2" xfId="29893"/>
    <cellStyle name="20% - Accent2 11 9 4" xfId="23669"/>
    <cellStyle name="20% - Accent2 12" xfId="259"/>
    <cellStyle name="20% - Accent2 12 2" xfId="3504"/>
    <cellStyle name="20% - Accent2 12 2 2" xfId="8131"/>
    <cellStyle name="20% - Accent2 12 2 2 2" xfId="15921"/>
    <cellStyle name="20% - Accent2 12 2 2 2 2" xfId="33542"/>
    <cellStyle name="20% - Accent2 12 2 2 3" xfId="26531"/>
    <cellStyle name="20% - Accent2 12 2 3" xfId="12237"/>
    <cellStyle name="20% - Accent2 12 2 3 2" xfId="29894"/>
    <cellStyle name="20% - Accent2 12 2 4" xfId="22026"/>
    <cellStyle name="20% - Accent2 12 2 4 2" xfId="38730"/>
    <cellStyle name="20% - Accent2 12 2 5" xfId="23670"/>
    <cellStyle name="20% - Accent2 12 3" xfId="7548"/>
    <cellStyle name="20% - Accent2 12 3 2" xfId="15339"/>
    <cellStyle name="20% - Accent2 12 3 2 2" xfId="32960"/>
    <cellStyle name="20% - Accent2 12 3 3" xfId="25967"/>
    <cellStyle name="20% - Accent2 12 4" xfId="11110"/>
    <cellStyle name="20% - Accent2 12 4 2" xfId="28826"/>
    <cellStyle name="20% - Accent2 12 5" xfId="22025"/>
    <cellStyle name="20% - Accent2 12 5 2" xfId="38729"/>
    <cellStyle name="20% - Accent2 12 6" xfId="23106"/>
    <cellStyle name="20% - Accent2 12 7" xfId="51645"/>
    <cellStyle name="20% - Accent2 13" xfId="18858"/>
    <cellStyle name="20% - Accent2 13 2" xfId="22027"/>
    <cellStyle name="20% - Accent2 13 2 2" xfId="38731"/>
    <cellStyle name="20% - Accent2 13 3" xfId="36481"/>
    <cellStyle name="20% - Accent2 14" xfId="15286"/>
    <cellStyle name="20% - Accent2 14 2" xfId="22028"/>
    <cellStyle name="20% - Accent2 14 3" xfId="32907"/>
    <cellStyle name="20% - Accent2 15" xfId="22667"/>
    <cellStyle name="20% - Accent2 15 2" xfId="38875"/>
    <cellStyle name="20% - Accent2 16" xfId="22022"/>
    <cellStyle name="20% - Accent2 17" xfId="23056"/>
    <cellStyle name="20% - Accent2 18" xfId="51454"/>
    <cellStyle name="20% - Accent2 19" xfId="51467"/>
    <cellStyle name="20% - Accent2 2" xfId="4"/>
    <cellStyle name="20% - Accent2 2 10" xfId="261"/>
    <cellStyle name="20% - Accent2 2 11" xfId="262"/>
    <cellStyle name="20% - Accent2 2 12" xfId="263"/>
    <cellStyle name="20% - Accent2 2 13" xfId="264"/>
    <cellStyle name="20% - Accent2 2 14" xfId="265"/>
    <cellStyle name="20% - Accent2 2 15" xfId="3505"/>
    <cellStyle name="20% - Accent2 2 16" xfId="3506"/>
    <cellStyle name="20% - Accent2 2 17" xfId="3507"/>
    <cellStyle name="20% - Accent2 2 18" xfId="260"/>
    <cellStyle name="20% - Accent2 2 2" xfId="266"/>
    <cellStyle name="20% - Accent2 2 2 2" xfId="267"/>
    <cellStyle name="20% - Accent2 2 2 3" xfId="268"/>
    <cellStyle name="20% - Accent2 2 2 4" xfId="3508"/>
    <cellStyle name="20% - Accent2 2 2 5" xfId="3509"/>
    <cellStyle name="20% - Accent2 2 2_Sheet1" xfId="269"/>
    <cellStyle name="20% - Accent2 2 3" xfId="270"/>
    <cellStyle name="20% - Accent2 2 4" xfId="271"/>
    <cellStyle name="20% - Accent2 2 5" xfId="272"/>
    <cellStyle name="20% - Accent2 2 6" xfId="273"/>
    <cellStyle name="20% - Accent2 2 7" xfId="274"/>
    <cellStyle name="20% - Accent2 2 8" xfId="275"/>
    <cellStyle name="20% - Accent2 2 9" xfId="276"/>
    <cellStyle name="20% - Accent2 2_BallGrid" xfId="277"/>
    <cellStyle name="20% - Accent2 20" xfId="51480"/>
    <cellStyle name="20% - Accent2 3" xfId="5"/>
    <cellStyle name="20% - Accent2 3 10" xfId="278"/>
    <cellStyle name="20% - Accent2 3 2" xfId="279"/>
    <cellStyle name="20% - Accent2 3 3" xfId="280"/>
    <cellStyle name="20% - Accent2 3 4" xfId="281"/>
    <cellStyle name="20% - Accent2 3 5" xfId="282"/>
    <cellStyle name="20% - Accent2 3 6" xfId="283"/>
    <cellStyle name="20% - Accent2 3 7" xfId="3510"/>
    <cellStyle name="20% - Accent2 3 8" xfId="3511"/>
    <cellStyle name="20% - Accent2 3 9" xfId="3512"/>
    <cellStyle name="20% - Accent2 3_BallGrid" xfId="284"/>
    <cellStyle name="20% - Accent2 4" xfId="6"/>
    <cellStyle name="20% - Accent2 4 2" xfId="286"/>
    <cellStyle name="20% - Accent2 4 2 2" xfId="22819"/>
    <cellStyle name="20% - Accent2 4 3" xfId="287"/>
    <cellStyle name="20% - Accent2 4 3 2" xfId="22029"/>
    <cellStyle name="20% - Accent2 4 4" xfId="288"/>
    <cellStyle name="20% - Accent2 4 5" xfId="289"/>
    <cellStyle name="20% - Accent2 4 6" xfId="3513"/>
    <cellStyle name="20% - Accent2 4 7" xfId="3514"/>
    <cellStyle name="20% - Accent2 4 8" xfId="3515"/>
    <cellStyle name="20% - Accent2 4 9" xfId="285"/>
    <cellStyle name="20% - Accent2 5" xfId="290"/>
    <cellStyle name="20% - Accent2 5 10" xfId="3517"/>
    <cellStyle name="20% - Accent2 5 10 2" xfId="8133"/>
    <cellStyle name="20% - Accent2 5 10 2 2" xfId="15923"/>
    <cellStyle name="20% - Accent2 5 10 2 2 2" xfId="33544"/>
    <cellStyle name="20% - Accent2 5 10 2 3" xfId="26533"/>
    <cellStyle name="20% - Accent2 5 10 3" xfId="12241"/>
    <cellStyle name="20% - Accent2 5 10 3 2" xfId="29898"/>
    <cellStyle name="20% - Accent2 5 10 4" xfId="23672"/>
    <cellStyle name="20% - Accent2 5 11" xfId="3516"/>
    <cellStyle name="20% - Accent2 5 11 2" xfId="8132"/>
    <cellStyle name="20% - Accent2 5 11 2 2" xfId="15922"/>
    <cellStyle name="20% - Accent2 5 11 2 2 2" xfId="33543"/>
    <cellStyle name="20% - Accent2 5 11 2 3" xfId="26532"/>
    <cellStyle name="20% - Accent2 5 11 3" xfId="12240"/>
    <cellStyle name="20% - Accent2 5 11 3 2" xfId="29897"/>
    <cellStyle name="20% - Accent2 5 11 4" xfId="23671"/>
    <cellStyle name="20% - Accent2 5 12" xfId="5547"/>
    <cellStyle name="20% - Accent2 5 12 2" xfId="8844"/>
    <cellStyle name="20% - Accent2 5 12 2 2" xfId="16633"/>
    <cellStyle name="20% - Accent2 5 12 2 2 2" xfId="34255"/>
    <cellStyle name="20% - Accent2 5 12 2 3" xfId="27218"/>
    <cellStyle name="20% - Accent2 5 12 3" xfId="13397"/>
    <cellStyle name="20% - Accent2 5 12 3 2" xfId="31023"/>
    <cellStyle name="20% - Accent2 5 12 4" xfId="24357"/>
    <cellStyle name="20% - Accent2 5 13" xfId="6177"/>
    <cellStyle name="20% - Accent2 5 13 2" xfId="9384"/>
    <cellStyle name="20% - Accent2 5 13 2 2" xfId="17172"/>
    <cellStyle name="20% - Accent2 5 13 2 2 2" xfId="34795"/>
    <cellStyle name="20% - Accent2 5 13 2 3" xfId="27754"/>
    <cellStyle name="20% - Accent2 5 13 3" xfId="13960"/>
    <cellStyle name="20% - Accent2 5 13 3 2" xfId="31581"/>
    <cellStyle name="20% - Accent2 5 13 4" xfId="24893"/>
    <cellStyle name="20% - Accent2 5 14" xfId="6714"/>
    <cellStyle name="20% - Accent2 5 14 2" xfId="9921"/>
    <cellStyle name="20% - Accent2 5 14 2 2" xfId="17708"/>
    <cellStyle name="20% - Accent2 5 14 2 2 2" xfId="35331"/>
    <cellStyle name="20% - Accent2 5 14 2 3" xfId="28290"/>
    <cellStyle name="20% - Accent2 5 14 3" xfId="14496"/>
    <cellStyle name="20% - Accent2 5 14 3 2" xfId="32117"/>
    <cellStyle name="20% - Accent2 5 14 4" xfId="25430"/>
    <cellStyle name="20% - Accent2 5 15" xfId="7549"/>
    <cellStyle name="20% - Accent2 5 15 2" xfId="15340"/>
    <cellStyle name="20% - Accent2 5 15 2 2" xfId="32961"/>
    <cellStyle name="20% - Accent2 5 15 3" xfId="25968"/>
    <cellStyle name="20% - Accent2 5 16" xfId="11114"/>
    <cellStyle name="20% - Accent2 5 16 2" xfId="28828"/>
    <cellStyle name="20% - Accent2 5 17" xfId="21925"/>
    <cellStyle name="20% - Accent2 5 17 2" xfId="38664"/>
    <cellStyle name="20% - Accent2 5 18" xfId="23107"/>
    <cellStyle name="20% - Accent2 5 19" xfId="51646"/>
    <cellStyle name="20% - Accent2 5 2" xfId="291"/>
    <cellStyle name="20% - Accent2 5 2 10" xfId="51647"/>
    <cellStyle name="20% - Accent2 5 2 2" xfId="3518"/>
    <cellStyle name="20% - Accent2 5 2 2 2" xfId="8134"/>
    <cellStyle name="20% - Accent2 5 2 2 2 2" xfId="15924"/>
    <cellStyle name="20% - Accent2 5 2 2 2 2 2" xfId="33545"/>
    <cellStyle name="20% - Accent2 5 2 2 2 3" xfId="26534"/>
    <cellStyle name="20% - Accent2 5 2 2 3" xfId="12242"/>
    <cellStyle name="20% - Accent2 5 2 2 3 2" xfId="29899"/>
    <cellStyle name="20% - Accent2 5 2 2 4" xfId="23673"/>
    <cellStyle name="20% - Accent2 5 2 3" xfId="5548"/>
    <cellStyle name="20% - Accent2 5 2 3 2" xfId="8845"/>
    <cellStyle name="20% - Accent2 5 2 3 2 2" xfId="16634"/>
    <cellStyle name="20% - Accent2 5 2 3 2 2 2" xfId="34256"/>
    <cellStyle name="20% - Accent2 5 2 3 2 3" xfId="27219"/>
    <cellStyle name="20% - Accent2 5 2 3 3" xfId="13398"/>
    <cellStyle name="20% - Accent2 5 2 3 3 2" xfId="31024"/>
    <cellStyle name="20% - Accent2 5 2 3 4" xfId="24358"/>
    <cellStyle name="20% - Accent2 5 2 4" xfId="6178"/>
    <cellStyle name="20% - Accent2 5 2 4 2" xfId="9385"/>
    <cellStyle name="20% - Accent2 5 2 4 2 2" xfId="17173"/>
    <cellStyle name="20% - Accent2 5 2 4 2 2 2" xfId="34796"/>
    <cellStyle name="20% - Accent2 5 2 4 2 3" xfId="27755"/>
    <cellStyle name="20% - Accent2 5 2 4 3" xfId="13961"/>
    <cellStyle name="20% - Accent2 5 2 4 3 2" xfId="31582"/>
    <cellStyle name="20% - Accent2 5 2 4 4" xfId="24894"/>
    <cellStyle name="20% - Accent2 5 2 5" xfId="6715"/>
    <cellStyle name="20% - Accent2 5 2 5 2" xfId="9922"/>
    <cellStyle name="20% - Accent2 5 2 5 2 2" xfId="17709"/>
    <cellStyle name="20% - Accent2 5 2 5 2 2 2" xfId="35332"/>
    <cellStyle name="20% - Accent2 5 2 5 2 3" xfId="28291"/>
    <cellStyle name="20% - Accent2 5 2 5 3" xfId="14497"/>
    <cellStyle name="20% - Accent2 5 2 5 3 2" xfId="32118"/>
    <cellStyle name="20% - Accent2 5 2 5 4" xfId="25431"/>
    <cellStyle name="20% - Accent2 5 2 6" xfId="7550"/>
    <cellStyle name="20% - Accent2 5 2 6 2" xfId="15341"/>
    <cellStyle name="20% - Accent2 5 2 6 2 2" xfId="32962"/>
    <cellStyle name="20% - Accent2 5 2 6 3" xfId="25969"/>
    <cellStyle name="20% - Accent2 5 2 7" xfId="11115"/>
    <cellStyle name="20% - Accent2 5 2 7 2" xfId="28829"/>
    <cellStyle name="20% - Accent2 5 2 8" xfId="22820"/>
    <cellStyle name="20% - Accent2 5 2 8 2" xfId="38985"/>
    <cellStyle name="20% - Accent2 5 2 9" xfId="23108"/>
    <cellStyle name="20% - Accent2 5 3" xfId="292"/>
    <cellStyle name="20% - Accent2 5 3 10" xfId="22030"/>
    <cellStyle name="20% - Accent2 5 3 11" xfId="23109"/>
    <cellStyle name="20% - Accent2 5 3 12" xfId="51648"/>
    <cellStyle name="20% - Accent2 5 3 2" xfId="293"/>
    <cellStyle name="20% - Accent2 5 3 2 2" xfId="3520"/>
    <cellStyle name="20% - Accent2 5 3 2 2 2" xfId="8136"/>
    <cellStyle name="20% - Accent2 5 3 2 2 2 2" xfId="15926"/>
    <cellStyle name="20% - Accent2 5 3 2 2 2 2 2" xfId="33547"/>
    <cellStyle name="20% - Accent2 5 3 2 2 2 3" xfId="26536"/>
    <cellStyle name="20% - Accent2 5 3 2 2 3" xfId="12244"/>
    <cellStyle name="20% - Accent2 5 3 2 2 3 2" xfId="29901"/>
    <cellStyle name="20% - Accent2 5 3 2 2 4" xfId="23675"/>
    <cellStyle name="20% - Accent2 5 3 2 3" xfId="5550"/>
    <cellStyle name="20% - Accent2 5 3 2 3 2" xfId="8847"/>
    <cellStyle name="20% - Accent2 5 3 2 3 2 2" xfId="16636"/>
    <cellStyle name="20% - Accent2 5 3 2 3 2 2 2" xfId="34258"/>
    <cellStyle name="20% - Accent2 5 3 2 3 2 3" xfId="27221"/>
    <cellStyle name="20% - Accent2 5 3 2 3 3" xfId="13400"/>
    <cellStyle name="20% - Accent2 5 3 2 3 3 2" xfId="31026"/>
    <cellStyle name="20% - Accent2 5 3 2 3 4" xfId="24360"/>
    <cellStyle name="20% - Accent2 5 3 2 4" xfId="6180"/>
    <cellStyle name="20% - Accent2 5 3 2 4 2" xfId="9387"/>
    <cellStyle name="20% - Accent2 5 3 2 4 2 2" xfId="17175"/>
    <cellStyle name="20% - Accent2 5 3 2 4 2 2 2" xfId="34798"/>
    <cellStyle name="20% - Accent2 5 3 2 4 2 3" xfId="27757"/>
    <cellStyle name="20% - Accent2 5 3 2 4 3" xfId="13963"/>
    <cellStyle name="20% - Accent2 5 3 2 4 3 2" xfId="31584"/>
    <cellStyle name="20% - Accent2 5 3 2 4 4" xfId="24896"/>
    <cellStyle name="20% - Accent2 5 3 2 5" xfId="6717"/>
    <cellStyle name="20% - Accent2 5 3 2 5 2" xfId="9924"/>
    <cellStyle name="20% - Accent2 5 3 2 5 2 2" xfId="17711"/>
    <cellStyle name="20% - Accent2 5 3 2 5 2 2 2" xfId="35334"/>
    <cellStyle name="20% - Accent2 5 3 2 5 2 3" xfId="28293"/>
    <cellStyle name="20% - Accent2 5 3 2 5 3" xfId="14499"/>
    <cellStyle name="20% - Accent2 5 3 2 5 3 2" xfId="32120"/>
    <cellStyle name="20% - Accent2 5 3 2 5 4" xfId="25433"/>
    <cellStyle name="20% - Accent2 5 3 2 6" xfId="7552"/>
    <cellStyle name="20% - Accent2 5 3 2 6 2" xfId="15343"/>
    <cellStyle name="20% - Accent2 5 3 2 6 2 2" xfId="32964"/>
    <cellStyle name="20% - Accent2 5 3 2 6 3" xfId="25971"/>
    <cellStyle name="20% - Accent2 5 3 2 7" xfId="11117"/>
    <cellStyle name="20% - Accent2 5 3 2 7 2" xfId="28831"/>
    <cellStyle name="20% - Accent2 5 3 2 8" xfId="23110"/>
    <cellStyle name="20% - Accent2 5 3 2 9" xfId="51649"/>
    <cellStyle name="20% - Accent2 5 3 3" xfId="3521"/>
    <cellStyle name="20% - Accent2 5 3 3 2" xfId="5551"/>
    <cellStyle name="20% - Accent2 5 3 3 2 2" xfId="8848"/>
    <cellStyle name="20% - Accent2 5 3 3 2 2 2" xfId="16637"/>
    <cellStyle name="20% - Accent2 5 3 3 2 2 2 2" xfId="34259"/>
    <cellStyle name="20% - Accent2 5 3 3 2 2 3" xfId="27222"/>
    <cellStyle name="20% - Accent2 5 3 3 2 3" xfId="13401"/>
    <cellStyle name="20% - Accent2 5 3 3 2 3 2" xfId="31027"/>
    <cellStyle name="20% - Accent2 5 3 3 2 4" xfId="24361"/>
    <cellStyle name="20% - Accent2 5 3 3 3" xfId="6181"/>
    <cellStyle name="20% - Accent2 5 3 3 3 2" xfId="9388"/>
    <cellStyle name="20% - Accent2 5 3 3 3 2 2" xfId="17176"/>
    <cellStyle name="20% - Accent2 5 3 3 3 2 2 2" xfId="34799"/>
    <cellStyle name="20% - Accent2 5 3 3 3 2 3" xfId="27758"/>
    <cellStyle name="20% - Accent2 5 3 3 3 3" xfId="13964"/>
    <cellStyle name="20% - Accent2 5 3 3 3 3 2" xfId="31585"/>
    <cellStyle name="20% - Accent2 5 3 3 3 4" xfId="24897"/>
    <cellStyle name="20% - Accent2 5 3 3 4" xfId="6718"/>
    <cellStyle name="20% - Accent2 5 3 3 4 2" xfId="9925"/>
    <cellStyle name="20% - Accent2 5 3 3 4 2 2" xfId="17712"/>
    <cellStyle name="20% - Accent2 5 3 3 4 2 2 2" xfId="35335"/>
    <cellStyle name="20% - Accent2 5 3 3 4 2 3" xfId="28294"/>
    <cellStyle name="20% - Accent2 5 3 3 4 3" xfId="14500"/>
    <cellStyle name="20% - Accent2 5 3 3 4 3 2" xfId="32121"/>
    <cellStyle name="20% - Accent2 5 3 3 4 4" xfId="25434"/>
    <cellStyle name="20% - Accent2 5 3 3 5" xfId="8137"/>
    <cellStyle name="20% - Accent2 5 3 3 5 2" xfId="15927"/>
    <cellStyle name="20% - Accent2 5 3 3 5 2 2" xfId="33548"/>
    <cellStyle name="20% - Accent2 5 3 3 5 3" xfId="26537"/>
    <cellStyle name="20% - Accent2 5 3 3 6" xfId="12245"/>
    <cellStyle name="20% - Accent2 5 3 3 6 2" xfId="29902"/>
    <cellStyle name="20% - Accent2 5 3 3 7" xfId="23676"/>
    <cellStyle name="20% - Accent2 5 3 4" xfId="3519"/>
    <cellStyle name="20% - Accent2 5 3 4 2" xfId="8135"/>
    <cellStyle name="20% - Accent2 5 3 4 2 2" xfId="15925"/>
    <cellStyle name="20% - Accent2 5 3 4 2 2 2" xfId="33546"/>
    <cellStyle name="20% - Accent2 5 3 4 2 3" xfId="26535"/>
    <cellStyle name="20% - Accent2 5 3 4 3" xfId="12243"/>
    <cellStyle name="20% - Accent2 5 3 4 3 2" xfId="29900"/>
    <cellStyle name="20% - Accent2 5 3 4 4" xfId="23674"/>
    <cellStyle name="20% - Accent2 5 3 5" xfId="5549"/>
    <cellStyle name="20% - Accent2 5 3 5 2" xfId="8846"/>
    <cellStyle name="20% - Accent2 5 3 5 2 2" xfId="16635"/>
    <cellStyle name="20% - Accent2 5 3 5 2 2 2" xfId="34257"/>
    <cellStyle name="20% - Accent2 5 3 5 2 3" xfId="27220"/>
    <cellStyle name="20% - Accent2 5 3 5 3" xfId="13399"/>
    <cellStyle name="20% - Accent2 5 3 5 3 2" xfId="31025"/>
    <cellStyle name="20% - Accent2 5 3 5 4" xfId="24359"/>
    <cellStyle name="20% - Accent2 5 3 6" xfId="6179"/>
    <cellStyle name="20% - Accent2 5 3 6 2" xfId="9386"/>
    <cellStyle name="20% - Accent2 5 3 6 2 2" xfId="17174"/>
    <cellStyle name="20% - Accent2 5 3 6 2 2 2" xfId="34797"/>
    <cellStyle name="20% - Accent2 5 3 6 2 3" xfId="27756"/>
    <cellStyle name="20% - Accent2 5 3 6 3" xfId="13962"/>
    <cellStyle name="20% - Accent2 5 3 6 3 2" xfId="31583"/>
    <cellStyle name="20% - Accent2 5 3 6 4" xfId="24895"/>
    <cellStyle name="20% - Accent2 5 3 7" xfId="6716"/>
    <cellStyle name="20% - Accent2 5 3 7 2" xfId="9923"/>
    <cellStyle name="20% - Accent2 5 3 7 2 2" xfId="17710"/>
    <cellStyle name="20% - Accent2 5 3 7 2 2 2" xfId="35333"/>
    <cellStyle name="20% - Accent2 5 3 7 2 3" xfId="28292"/>
    <cellStyle name="20% - Accent2 5 3 7 3" xfId="14498"/>
    <cellStyle name="20% - Accent2 5 3 7 3 2" xfId="32119"/>
    <cellStyle name="20% - Accent2 5 3 7 4" xfId="25432"/>
    <cellStyle name="20% - Accent2 5 3 8" xfId="7551"/>
    <cellStyle name="20% - Accent2 5 3 8 2" xfId="15342"/>
    <cellStyle name="20% - Accent2 5 3 8 2 2" xfId="32963"/>
    <cellStyle name="20% - Accent2 5 3 8 3" xfId="25970"/>
    <cellStyle name="20% - Accent2 5 3 9" xfId="11116"/>
    <cellStyle name="20% - Accent2 5 3 9 2" xfId="28830"/>
    <cellStyle name="20% - Accent2 5 4" xfId="294"/>
    <cellStyle name="20% - Accent2 5 4 10" xfId="52878"/>
    <cellStyle name="20% - Accent2 5 4 2" xfId="3522"/>
    <cellStyle name="20% - Accent2 5 4 2 2" xfId="8138"/>
    <cellStyle name="20% - Accent2 5 4 2 2 2" xfId="15928"/>
    <cellStyle name="20% - Accent2 5 4 2 2 2 2" xfId="33549"/>
    <cellStyle name="20% - Accent2 5 4 2 2 3" xfId="26538"/>
    <cellStyle name="20% - Accent2 5 4 2 3" xfId="12246"/>
    <cellStyle name="20% - Accent2 5 4 2 3 2" xfId="29903"/>
    <cellStyle name="20% - Accent2 5 4 2 4" xfId="23677"/>
    <cellStyle name="20% - Accent2 5 4 3" xfId="5552"/>
    <cellStyle name="20% - Accent2 5 4 3 2" xfId="8849"/>
    <cellStyle name="20% - Accent2 5 4 3 2 2" xfId="16638"/>
    <cellStyle name="20% - Accent2 5 4 3 2 2 2" xfId="34260"/>
    <cellStyle name="20% - Accent2 5 4 3 2 3" xfId="27223"/>
    <cellStyle name="20% - Accent2 5 4 3 3" xfId="13402"/>
    <cellStyle name="20% - Accent2 5 4 3 3 2" xfId="31028"/>
    <cellStyle name="20% - Accent2 5 4 3 4" xfId="24362"/>
    <cellStyle name="20% - Accent2 5 4 4" xfId="6182"/>
    <cellStyle name="20% - Accent2 5 4 4 2" xfId="9389"/>
    <cellStyle name="20% - Accent2 5 4 4 2 2" xfId="17177"/>
    <cellStyle name="20% - Accent2 5 4 4 2 2 2" xfId="34800"/>
    <cellStyle name="20% - Accent2 5 4 4 2 3" xfId="27759"/>
    <cellStyle name="20% - Accent2 5 4 4 3" xfId="13965"/>
    <cellStyle name="20% - Accent2 5 4 4 3 2" xfId="31586"/>
    <cellStyle name="20% - Accent2 5 4 4 4" xfId="24898"/>
    <cellStyle name="20% - Accent2 5 4 5" xfId="6719"/>
    <cellStyle name="20% - Accent2 5 4 5 2" xfId="9926"/>
    <cellStyle name="20% - Accent2 5 4 5 2 2" xfId="17713"/>
    <cellStyle name="20% - Accent2 5 4 5 2 2 2" xfId="35336"/>
    <cellStyle name="20% - Accent2 5 4 5 2 3" xfId="28295"/>
    <cellStyle name="20% - Accent2 5 4 5 3" xfId="14501"/>
    <cellStyle name="20% - Accent2 5 4 5 3 2" xfId="32122"/>
    <cellStyle name="20% - Accent2 5 4 5 4" xfId="25435"/>
    <cellStyle name="20% - Accent2 5 4 6" xfId="7553"/>
    <cellStyle name="20% - Accent2 5 4 6 2" xfId="15344"/>
    <cellStyle name="20% - Accent2 5 4 6 2 2" xfId="32965"/>
    <cellStyle name="20% - Accent2 5 4 6 3" xfId="25972"/>
    <cellStyle name="20% - Accent2 5 4 7" xfId="11118"/>
    <cellStyle name="20% - Accent2 5 4 7 2" xfId="28832"/>
    <cellStyle name="20% - Accent2 5 4 8" xfId="23111"/>
    <cellStyle name="20% - Accent2 5 4 9" xfId="51650"/>
    <cellStyle name="20% - Accent2 5 5" xfId="295"/>
    <cellStyle name="20% - Accent2 5 5 2" xfId="3523"/>
    <cellStyle name="20% - Accent2 5 5 2 2" xfId="8139"/>
    <cellStyle name="20% - Accent2 5 5 2 2 2" xfId="15929"/>
    <cellStyle name="20% - Accent2 5 5 2 2 2 2" xfId="33550"/>
    <cellStyle name="20% - Accent2 5 5 2 2 3" xfId="26539"/>
    <cellStyle name="20% - Accent2 5 5 2 3" xfId="12247"/>
    <cellStyle name="20% - Accent2 5 5 2 3 2" xfId="29904"/>
    <cellStyle name="20% - Accent2 5 5 2 4" xfId="23678"/>
    <cellStyle name="20% - Accent2 5 5 3" xfId="5553"/>
    <cellStyle name="20% - Accent2 5 5 3 2" xfId="8850"/>
    <cellStyle name="20% - Accent2 5 5 3 2 2" xfId="16639"/>
    <cellStyle name="20% - Accent2 5 5 3 2 2 2" xfId="34261"/>
    <cellStyle name="20% - Accent2 5 5 3 2 3" xfId="27224"/>
    <cellStyle name="20% - Accent2 5 5 3 3" xfId="13403"/>
    <cellStyle name="20% - Accent2 5 5 3 3 2" xfId="31029"/>
    <cellStyle name="20% - Accent2 5 5 3 4" xfId="24363"/>
    <cellStyle name="20% - Accent2 5 5 4" xfId="6183"/>
    <cellStyle name="20% - Accent2 5 5 4 2" xfId="9390"/>
    <cellStyle name="20% - Accent2 5 5 4 2 2" xfId="17178"/>
    <cellStyle name="20% - Accent2 5 5 4 2 2 2" xfId="34801"/>
    <cellStyle name="20% - Accent2 5 5 4 2 3" xfId="27760"/>
    <cellStyle name="20% - Accent2 5 5 4 3" xfId="13966"/>
    <cellStyle name="20% - Accent2 5 5 4 3 2" xfId="31587"/>
    <cellStyle name="20% - Accent2 5 5 4 4" xfId="24899"/>
    <cellStyle name="20% - Accent2 5 5 5" xfId="6720"/>
    <cellStyle name="20% - Accent2 5 5 5 2" xfId="9927"/>
    <cellStyle name="20% - Accent2 5 5 5 2 2" xfId="17714"/>
    <cellStyle name="20% - Accent2 5 5 5 2 2 2" xfId="35337"/>
    <cellStyle name="20% - Accent2 5 5 5 2 3" xfId="28296"/>
    <cellStyle name="20% - Accent2 5 5 5 3" xfId="14502"/>
    <cellStyle name="20% - Accent2 5 5 5 3 2" xfId="32123"/>
    <cellStyle name="20% - Accent2 5 5 5 4" xfId="25436"/>
    <cellStyle name="20% - Accent2 5 5 6" xfId="7554"/>
    <cellStyle name="20% - Accent2 5 5 6 2" xfId="15345"/>
    <cellStyle name="20% - Accent2 5 5 6 2 2" xfId="32966"/>
    <cellStyle name="20% - Accent2 5 5 6 3" xfId="25973"/>
    <cellStyle name="20% - Accent2 5 5 7" xfId="11119"/>
    <cellStyle name="20% - Accent2 5 5 7 2" xfId="28833"/>
    <cellStyle name="20% - Accent2 5 5 8" xfId="23112"/>
    <cellStyle name="20% - Accent2 5 5 9" xfId="51651"/>
    <cellStyle name="20% - Accent2 5 6" xfId="296"/>
    <cellStyle name="20% - Accent2 5 6 2" xfId="3524"/>
    <cellStyle name="20% - Accent2 5 6 2 2" xfId="8140"/>
    <cellStyle name="20% - Accent2 5 6 2 2 2" xfId="15930"/>
    <cellStyle name="20% - Accent2 5 6 2 2 2 2" xfId="33551"/>
    <cellStyle name="20% - Accent2 5 6 2 2 3" xfId="26540"/>
    <cellStyle name="20% - Accent2 5 6 2 3" xfId="12248"/>
    <cellStyle name="20% - Accent2 5 6 2 3 2" xfId="29905"/>
    <cellStyle name="20% - Accent2 5 6 2 4" xfId="23679"/>
    <cellStyle name="20% - Accent2 5 6 3" xfId="5554"/>
    <cellStyle name="20% - Accent2 5 6 3 2" xfId="8851"/>
    <cellStyle name="20% - Accent2 5 6 3 2 2" xfId="16640"/>
    <cellStyle name="20% - Accent2 5 6 3 2 2 2" xfId="34262"/>
    <cellStyle name="20% - Accent2 5 6 3 2 3" xfId="27225"/>
    <cellStyle name="20% - Accent2 5 6 3 3" xfId="13404"/>
    <cellStyle name="20% - Accent2 5 6 3 3 2" xfId="31030"/>
    <cellStyle name="20% - Accent2 5 6 3 4" xfId="24364"/>
    <cellStyle name="20% - Accent2 5 6 4" xfId="6184"/>
    <cellStyle name="20% - Accent2 5 6 4 2" xfId="9391"/>
    <cellStyle name="20% - Accent2 5 6 4 2 2" xfId="17179"/>
    <cellStyle name="20% - Accent2 5 6 4 2 2 2" xfId="34802"/>
    <cellStyle name="20% - Accent2 5 6 4 2 3" xfId="27761"/>
    <cellStyle name="20% - Accent2 5 6 4 3" xfId="13967"/>
    <cellStyle name="20% - Accent2 5 6 4 3 2" xfId="31588"/>
    <cellStyle name="20% - Accent2 5 6 4 4" xfId="24900"/>
    <cellStyle name="20% - Accent2 5 6 5" xfId="6721"/>
    <cellStyle name="20% - Accent2 5 6 5 2" xfId="9928"/>
    <cellStyle name="20% - Accent2 5 6 5 2 2" xfId="17715"/>
    <cellStyle name="20% - Accent2 5 6 5 2 2 2" xfId="35338"/>
    <cellStyle name="20% - Accent2 5 6 5 2 3" xfId="28297"/>
    <cellStyle name="20% - Accent2 5 6 5 3" xfId="14503"/>
    <cellStyle name="20% - Accent2 5 6 5 3 2" xfId="32124"/>
    <cellStyle name="20% - Accent2 5 6 5 4" xfId="25437"/>
    <cellStyle name="20% - Accent2 5 6 6" xfId="7555"/>
    <cellStyle name="20% - Accent2 5 6 6 2" xfId="15346"/>
    <cellStyle name="20% - Accent2 5 6 6 2 2" xfId="32967"/>
    <cellStyle name="20% - Accent2 5 6 6 3" xfId="25974"/>
    <cellStyle name="20% - Accent2 5 6 7" xfId="11120"/>
    <cellStyle name="20% - Accent2 5 6 7 2" xfId="28834"/>
    <cellStyle name="20% - Accent2 5 6 8" xfId="23113"/>
    <cellStyle name="20% - Accent2 5 6 9" xfId="51652"/>
    <cellStyle name="20% - Accent2 5 7" xfId="297"/>
    <cellStyle name="20% - Accent2 5 7 10" xfId="51653"/>
    <cellStyle name="20% - Accent2 5 7 2" xfId="298"/>
    <cellStyle name="20% - Accent2 5 7 2 2" xfId="8142"/>
    <cellStyle name="20% - Accent2 5 7 2 2 2" xfId="15932"/>
    <cellStyle name="20% - Accent2 5 7 2 2 2 2" xfId="33553"/>
    <cellStyle name="20% - Accent2 5 7 2 2 3" xfId="26542"/>
    <cellStyle name="20% - Accent2 5 7 2 3" xfId="12250"/>
    <cellStyle name="20% - Accent2 5 7 2 3 2" xfId="29907"/>
    <cellStyle name="20% - Accent2 5 7 2 4" xfId="23681"/>
    <cellStyle name="20% - Accent2 5 7 3" xfId="3525"/>
    <cellStyle name="20% - Accent2 5 7 3 2" xfId="8141"/>
    <cellStyle name="20% - Accent2 5 7 3 2 2" xfId="15931"/>
    <cellStyle name="20% - Accent2 5 7 3 2 2 2" xfId="33552"/>
    <cellStyle name="20% - Accent2 5 7 3 2 3" xfId="26541"/>
    <cellStyle name="20% - Accent2 5 7 3 3" xfId="12249"/>
    <cellStyle name="20% - Accent2 5 7 3 3 2" xfId="29906"/>
    <cellStyle name="20% - Accent2 5 7 3 4" xfId="23680"/>
    <cellStyle name="20% - Accent2 5 7 4" xfId="5555"/>
    <cellStyle name="20% - Accent2 5 7 4 2" xfId="8852"/>
    <cellStyle name="20% - Accent2 5 7 4 2 2" xfId="16641"/>
    <cellStyle name="20% - Accent2 5 7 4 2 2 2" xfId="34263"/>
    <cellStyle name="20% - Accent2 5 7 4 2 3" xfId="27226"/>
    <cellStyle name="20% - Accent2 5 7 4 3" xfId="13405"/>
    <cellStyle name="20% - Accent2 5 7 4 3 2" xfId="31031"/>
    <cellStyle name="20% - Accent2 5 7 4 4" xfId="24365"/>
    <cellStyle name="20% - Accent2 5 7 5" xfId="6185"/>
    <cellStyle name="20% - Accent2 5 7 5 2" xfId="9392"/>
    <cellStyle name="20% - Accent2 5 7 5 2 2" xfId="17180"/>
    <cellStyle name="20% - Accent2 5 7 5 2 2 2" xfId="34803"/>
    <cellStyle name="20% - Accent2 5 7 5 2 3" xfId="27762"/>
    <cellStyle name="20% - Accent2 5 7 5 3" xfId="13968"/>
    <cellStyle name="20% - Accent2 5 7 5 3 2" xfId="31589"/>
    <cellStyle name="20% - Accent2 5 7 5 4" xfId="24901"/>
    <cellStyle name="20% - Accent2 5 7 6" xfId="6722"/>
    <cellStyle name="20% - Accent2 5 7 6 2" xfId="9929"/>
    <cellStyle name="20% - Accent2 5 7 6 2 2" xfId="17716"/>
    <cellStyle name="20% - Accent2 5 7 6 2 2 2" xfId="35339"/>
    <cellStyle name="20% - Accent2 5 7 6 2 3" xfId="28298"/>
    <cellStyle name="20% - Accent2 5 7 6 3" xfId="14504"/>
    <cellStyle name="20% - Accent2 5 7 6 3 2" xfId="32125"/>
    <cellStyle name="20% - Accent2 5 7 6 4" xfId="25438"/>
    <cellStyle name="20% - Accent2 5 7 7" xfId="7556"/>
    <cellStyle name="20% - Accent2 5 7 7 2" xfId="15347"/>
    <cellStyle name="20% - Accent2 5 7 7 2 2" xfId="32968"/>
    <cellStyle name="20% - Accent2 5 7 7 3" xfId="25975"/>
    <cellStyle name="20% - Accent2 5 7 8" xfId="11121"/>
    <cellStyle name="20% - Accent2 5 7 8 2" xfId="28835"/>
    <cellStyle name="20% - Accent2 5 7 9" xfId="23114"/>
    <cellStyle name="20% - Accent2 5 8" xfId="3526"/>
    <cellStyle name="20% - Accent2 5 8 2" xfId="8143"/>
    <cellStyle name="20% - Accent2 5 8 2 2" xfId="15933"/>
    <cellStyle name="20% - Accent2 5 8 2 2 2" xfId="33554"/>
    <cellStyle name="20% - Accent2 5 8 2 3" xfId="26543"/>
    <cellStyle name="20% - Accent2 5 8 3" xfId="12251"/>
    <cellStyle name="20% - Accent2 5 8 3 2" xfId="29908"/>
    <cellStyle name="20% - Accent2 5 8 4" xfId="23682"/>
    <cellStyle name="20% - Accent2 5 9" xfId="3527"/>
    <cellStyle name="20% - Accent2 6" xfId="299"/>
    <cellStyle name="20% - Accent2 6 10" xfId="3528"/>
    <cellStyle name="20% - Accent2 6 10 2" xfId="8144"/>
    <cellStyle name="20% - Accent2 6 10 2 2" xfId="15934"/>
    <cellStyle name="20% - Accent2 6 10 2 2 2" xfId="33555"/>
    <cellStyle name="20% - Accent2 6 10 2 3" xfId="26544"/>
    <cellStyle name="20% - Accent2 6 10 3" xfId="12252"/>
    <cellStyle name="20% - Accent2 6 10 3 2" xfId="29909"/>
    <cellStyle name="20% - Accent2 6 10 4" xfId="23683"/>
    <cellStyle name="20% - Accent2 6 11" xfId="5556"/>
    <cellStyle name="20% - Accent2 6 11 2" xfId="8853"/>
    <cellStyle name="20% - Accent2 6 11 2 2" xfId="16642"/>
    <cellStyle name="20% - Accent2 6 11 2 2 2" xfId="34264"/>
    <cellStyle name="20% - Accent2 6 11 2 3" xfId="27227"/>
    <cellStyle name="20% - Accent2 6 11 3" xfId="13406"/>
    <cellStyle name="20% - Accent2 6 11 3 2" xfId="31032"/>
    <cellStyle name="20% - Accent2 6 11 4" xfId="24366"/>
    <cellStyle name="20% - Accent2 6 12" xfId="6186"/>
    <cellStyle name="20% - Accent2 6 12 2" xfId="9393"/>
    <cellStyle name="20% - Accent2 6 12 2 2" xfId="17181"/>
    <cellStyle name="20% - Accent2 6 12 2 2 2" xfId="34804"/>
    <cellStyle name="20% - Accent2 6 12 2 3" xfId="27763"/>
    <cellStyle name="20% - Accent2 6 12 3" xfId="13969"/>
    <cellStyle name="20% - Accent2 6 12 3 2" xfId="31590"/>
    <cellStyle name="20% - Accent2 6 12 4" xfId="24902"/>
    <cellStyle name="20% - Accent2 6 13" xfId="6723"/>
    <cellStyle name="20% - Accent2 6 13 2" xfId="9930"/>
    <cellStyle name="20% - Accent2 6 13 2 2" xfId="17717"/>
    <cellStyle name="20% - Accent2 6 13 2 2 2" xfId="35340"/>
    <cellStyle name="20% - Accent2 6 13 2 3" xfId="28299"/>
    <cellStyle name="20% - Accent2 6 13 3" xfId="14505"/>
    <cellStyle name="20% - Accent2 6 13 3 2" xfId="32126"/>
    <cellStyle name="20% - Accent2 6 13 4" xfId="25439"/>
    <cellStyle name="20% - Accent2 6 14" xfId="7557"/>
    <cellStyle name="20% - Accent2 6 14 2" xfId="15348"/>
    <cellStyle name="20% - Accent2 6 14 2 2" xfId="32969"/>
    <cellStyle name="20% - Accent2 6 14 3" xfId="25976"/>
    <cellStyle name="20% - Accent2 6 15" xfId="11122"/>
    <cellStyle name="20% - Accent2 6 15 2" xfId="28836"/>
    <cellStyle name="20% - Accent2 6 16" xfId="21926"/>
    <cellStyle name="20% - Accent2 6 16 2" xfId="38665"/>
    <cellStyle name="20% - Accent2 6 17" xfId="23115"/>
    <cellStyle name="20% - Accent2 6 18" xfId="51654"/>
    <cellStyle name="20% - Accent2 6 2" xfId="300"/>
    <cellStyle name="20% - Accent2 6 2 10" xfId="51655"/>
    <cellStyle name="20% - Accent2 6 2 2" xfId="3529"/>
    <cellStyle name="20% - Accent2 6 2 2 2" xfId="8145"/>
    <cellStyle name="20% - Accent2 6 2 2 2 2" xfId="15935"/>
    <cellStyle name="20% - Accent2 6 2 2 2 2 2" xfId="33556"/>
    <cellStyle name="20% - Accent2 6 2 2 2 3" xfId="26545"/>
    <cellStyle name="20% - Accent2 6 2 2 3" xfId="12253"/>
    <cellStyle name="20% - Accent2 6 2 2 3 2" xfId="29910"/>
    <cellStyle name="20% - Accent2 6 2 2 4" xfId="23684"/>
    <cellStyle name="20% - Accent2 6 2 3" xfId="5557"/>
    <cellStyle name="20% - Accent2 6 2 3 2" xfId="8854"/>
    <cellStyle name="20% - Accent2 6 2 3 2 2" xfId="16643"/>
    <cellStyle name="20% - Accent2 6 2 3 2 2 2" xfId="34265"/>
    <cellStyle name="20% - Accent2 6 2 3 2 3" xfId="27228"/>
    <cellStyle name="20% - Accent2 6 2 3 3" xfId="13407"/>
    <cellStyle name="20% - Accent2 6 2 3 3 2" xfId="31033"/>
    <cellStyle name="20% - Accent2 6 2 3 4" xfId="24367"/>
    <cellStyle name="20% - Accent2 6 2 4" xfId="6187"/>
    <cellStyle name="20% - Accent2 6 2 4 2" xfId="9394"/>
    <cellStyle name="20% - Accent2 6 2 4 2 2" xfId="17182"/>
    <cellStyle name="20% - Accent2 6 2 4 2 2 2" xfId="34805"/>
    <cellStyle name="20% - Accent2 6 2 4 2 3" xfId="27764"/>
    <cellStyle name="20% - Accent2 6 2 4 3" xfId="13970"/>
    <cellStyle name="20% - Accent2 6 2 4 3 2" xfId="31591"/>
    <cellStyle name="20% - Accent2 6 2 4 4" xfId="24903"/>
    <cellStyle name="20% - Accent2 6 2 5" xfId="6724"/>
    <cellStyle name="20% - Accent2 6 2 5 2" xfId="9931"/>
    <cellStyle name="20% - Accent2 6 2 5 2 2" xfId="17718"/>
    <cellStyle name="20% - Accent2 6 2 5 2 2 2" xfId="35341"/>
    <cellStyle name="20% - Accent2 6 2 5 2 3" xfId="28300"/>
    <cellStyle name="20% - Accent2 6 2 5 3" xfId="14506"/>
    <cellStyle name="20% - Accent2 6 2 5 3 2" xfId="32127"/>
    <cellStyle name="20% - Accent2 6 2 5 4" xfId="25440"/>
    <cellStyle name="20% - Accent2 6 2 6" xfId="7558"/>
    <cellStyle name="20% - Accent2 6 2 6 2" xfId="15349"/>
    <cellStyle name="20% - Accent2 6 2 6 2 2" xfId="32970"/>
    <cellStyle name="20% - Accent2 6 2 6 3" xfId="25977"/>
    <cellStyle name="20% - Accent2 6 2 7" xfId="11123"/>
    <cellStyle name="20% - Accent2 6 2 7 2" xfId="28837"/>
    <cellStyle name="20% - Accent2 6 2 8" xfId="22821"/>
    <cellStyle name="20% - Accent2 6 2 8 2" xfId="38986"/>
    <cellStyle name="20% - Accent2 6 2 9" xfId="23116"/>
    <cellStyle name="20% - Accent2 6 3" xfId="301"/>
    <cellStyle name="20% - Accent2 6 3 10" xfId="22031"/>
    <cellStyle name="20% - Accent2 6 3 11" xfId="23117"/>
    <cellStyle name="20% - Accent2 6 3 12" xfId="51656"/>
    <cellStyle name="20% - Accent2 6 3 2" xfId="302"/>
    <cellStyle name="20% - Accent2 6 3 2 2" xfId="3531"/>
    <cellStyle name="20% - Accent2 6 3 2 2 2" xfId="8147"/>
    <cellStyle name="20% - Accent2 6 3 2 2 2 2" xfId="15937"/>
    <cellStyle name="20% - Accent2 6 3 2 2 2 2 2" xfId="33558"/>
    <cellStyle name="20% - Accent2 6 3 2 2 2 3" xfId="26547"/>
    <cellStyle name="20% - Accent2 6 3 2 2 3" xfId="12255"/>
    <cellStyle name="20% - Accent2 6 3 2 2 3 2" xfId="29912"/>
    <cellStyle name="20% - Accent2 6 3 2 2 4" xfId="23686"/>
    <cellStyle name="20% - Accent2 6 3 2 3" xfId="5559"/>
    <cellStyle name="20% - Accent2 6 3 2 3 2" xfId="8856"/>
    <cellStyle name="20% - Accent2 6 3 2 3 2 2" xfId="16645"/>
    <cellStyle name="20% - Accent2 6 3 2 3 2 2 2" xfId="34267"/>
    <cellStyle name="20% - Accent2 6 3 2 3 2 3" xfId="27230"/>
    <cellStyle name="20% - Accent2 6 3 2 3 3" xfId="13409"/>
    <cellStyle name="20% - Accent2 6 3 2 3 3 2" xfId="31035"/>
    <cellStyle name="20% - Accent2 6 3 2 3 4" xfId="24369"/>
    <cellStyle name="20% - Accent2 6 3 2 4" xfId="6189"/>
    <cellStyle name="20% - Accent2 6 3 2 4 2" xfId="9396"/>
    <cellStyle name="20% - Accent2 6 3 2 4 2 2" xfId="17184"/>
    <cellStyle name="20% - Accent2 6 3 2 4 2 2 2" xfId="34807"/>
    <cellStyle name="20% - Accent2 6 3 2 4 2 3" xfId="27766"/>
    <cellStyle name="20% - Accent2 6 3 2 4 3" xfId="13972"/>
    <cellStyle name="20% - Accent2 6 3 2 4 3 2" xfId="31593"/>
    <cellStyle name="20% - Accent2 6 3 2 4 4" xfId="24905"/>
    <cellStyle name="20% - Accent2 6 3 2 5" xfId="6726"/>
    <cellStyle name="20% - Accent2 6 3 2 5 2" xfId="9933"/>
    <cellStyle name="20% - Accent2 6 3 2 5 2 2" xfId="17720"/>
    <cellStyle name="20% - Accent2 6 3 2 5 2 2 2" xfId="35343"/>
    <cellStyle name="20% - Accent2 6 3 2 5 2 3" xfId="28302"/>
    <cellStyle name="20% - Accent2 6 3 2 5 3" xfId="14508"/>
    <cellStyle name="20% - Accent2 6 3 2 5 3 2" xfId="32129"/>
    <cellStyle name="20% - Accent2 6 3 2 5 4" xfId="25442"/>
    <cellStyle name="20% - Accent2 6 3 2 6" xfId="7560"/>
    <cellStyle name="20% - Accent2 6 3 2 6 2" xfId="15351"/>
    <cellStyle name="20% - Accent2 6 3 2 6 2 2" xfId="32972"/>
    <cellStyle name="20% - Accent2 6 3 2 6 3" xfId="25979"/>
    <cellStyle name="20% - Accent2 6 3 2 7" xfId="11125"/>
    <cellStyle name="20% - Accent2 6 3 2 7 2" xfId="28839"/>
    <cellStyle name="20% - Accent2 6 3 2 8" xfId="23118"/>
    <cellStyle name="20% - Accent2 6 3 2 9" xfId="51657"/>
    <cellStyle name="20% - Accent2 6 3 3" xfId="3532"/>
    <cellStyle name="20% - Accent2 6 3 3 2" xfId="5560"/>
    <cellStyle name="20% - Accent2 6 3 3 2 2" xfId="8857"/>
    <cellStyle name="20% - Accent2 6 3 3 2 2 2" xfId="16646"/>
    <cellStyle name="20% - Accent2 6 3 3 2 2 2 2" xfId="34268"/>
    <cellStyle name="20% - Accent2 6 3 3 2 2 3" xfId="27231"/>
    <cellStyle name="20% - Accent2 6 3 3 2 3" xfId="13410"/>
    <cellStyle name="20% - Accent2 6 3 3 2 3 2" xfId="31036"/>
    <cellStyle name="20% - Accent2 6 3 3 2 4" xfId="24370"/>
    <cellStyle name="20% - Accent2 6 3 3 3" xfId="6190"/>
    <cellStyle name="20% - Accent2 6 3 3 3 2" xfId="9397"/>
    <cellStyle name="20% - Accent2 6 3 3 3 2 2" xfId="17185"/>
    <cellStyle name="20% - Accent2 6 3 3 3 2 2 2" xfId="34808"/>
    <cellStyle name="20% - Accent2 6 3 3 3 2 3" xfId="27767"/>
    <cellStyle name="20% - Accent2 6 3 3 3 3" xfId="13973"/>
    <cellStyle name="20% - Accent2 6 3 3 3 3 2" xfId="31594"/>
    <cellStyle name="20% - Accent2 6 3 3 3 4" xfId="24906"/>
    <cellStyle name="20% - Accent2 6 3 3 4" xfId="6727"/>
    <cellStyle name="20% - Accent2 6 3 3 4 2" xfId="9934"/>
    <cellStyle name="20% - Accent2 6 3 3 4 2 2" xfId="17721"/>
    <cellStyle name="20% - Accent2 6 3 3 4 2 2 2" xfId="35344"/>
    <cellStyle name="20% - Accent2 6 3 3 4 2 3" xfId="28303"/>
    <cellStyle name="20% - Accent2 6 3 3 4 3" xfId="14509"/>
    <cellStyle name="20% - Accent2 6 3 3 4 3 2" xfId="32130"/>
    <cellStyle name="20% - Accent2 6 3 3 4 4" xfId="25443"/>
    <cellStyle name="20% - Accent2 6 3 3 5" xfId="8148"/>
    <cellStyle name="20% - Accent2 6 3 3 5 2" xfId="15938"/>
    <cellStyle name="20% - Accent2 6 3 3 5 2 2" xfId="33559"/>
    <cellStyle name="20% - Accent2 6 3 3 5 3" xfId="26548"/>
    <cellStyle name="20% - Accent2 6 3 3 6" xfId="12256"/>
    <cellStyle name="20% - Accent2 6 3 3 6 2" xfId="29913"/>
    <cellStyle name="20% - Accent2 6 3 3 7" xfId="23687"/>
    <cellStyle name="20% - Accent2 6 3 4" xfId="3530"/>
    <cellStyle name="20% - Accent2 6 3 4 2" xfId="8146"/>
    <cellStyle name="20% - Accent2 6 3 4 2 2" xfId="15936"/>
    <cellStyle name="20% - Accent2 6 3 4 2 2 2" xfId="33557"/>
    <cellStyle name="20% - Accent2 6 3 4 2 3" xfId="26546"/>
    <cellStyle name="20% - Accent2 6 3 4 3" xfId="12254"/>
    <cellStyle name="20% - Accent2 6 3 4 3 2" xfId="29911"/>
    <cellStyle name="20% - Accent2 6 3 4 4" xfId="23685"/>
    <cellStyle name="20% - Accent2 6 3 5" xfId="5558"/>
    <cellStyle name="20% - Accent2 6 3 5 2" xfId="8855"/>
    <cellStyle name="20% - Accent2 6 3 5 2 2" xfId="16644"/>
    <cellStyle name="20% - Accent2 6 3 5 2 2 2" xfId="34266"/>
    <cellStyle name="20% - Accent2 6 3 5 2 3" xfId="27229"/>
    <cellStyle name="20% - Accent2 6 3 5 3" xfId="13408"/>
    <cellStyle name="20% - Accent2 6 3 5 3 2" xfId="31034"/>
    <cellStyle name="20% - Accent2 6 3 5 4" xfId="24368"/>
    <cellStyle name="20% - Accent2 6 3 6" xfId="6188"/>
    <cellStyle name="20% - Accent2 6 3 6 2" xfId="9395"/>
    <cellStyle name="20% - Accent2 6 3 6 2 2" xfId="17183"/>
    <cellStyle name="20% - Accent2 6 3 6 2 2 2" xfId="34806"/>
    <cellStyle name="20% - Accent2 6 3 6 2 3" xfId="27765"/>
    <cellStyle name="20% - Accent2 6 3 6 3" xfId="13971"/>
    <cellStyle name="20% - Accent2 6 3 6 3 2" xfId="31592"/>
    <cellStyle name="20% - Accent2 6 3 6 4" xfId="24904"/>
    <cellStyle name="20% - Accent2 6 3 7" xfId="6725"/>
    <cellStyle name="20% - Accent2 6 3 7 2" xfId="9932"/>
    <cellStyle name="20% - Accent2 6 3 7 2 2" xfId="17719"/>
    <cellStyle name="20% - Accent2 6 3 7 2 2 2" xfId="35342"/>
    <cellStyle name="20% - Accent2 6 3 7 2 3" xfId="28301"/>
    <cellStyle name="20% - Accent2 6 3 7 3" xfId="14507"/>
    <cellStyle name="20% - Accent2 6 3 7 3 2" xfId="32128"/>
    <cellStyle name="20% - Accent2 6 3 7 4" xfId="25441"/>
    <cellStyle name="20% - Accent2 6 3 8" xfId="7559"/>
    <cellStyle name="20% - Accent2 6 3 8 2" xfId="15350"/>
    <cellStyle name="20% - Accent2 6 3 8 2 2" xfId="32971"/>
    <cellStyle name="20% - Accent2 6 3 8 3" xfId="25978"/>
    <cellStyle name="20% - Accent2 6 3 9" xfId="11124"/>
    <cellStyle name="20% - Accent2 6 3 9 2" xfId="28838"/>
    <cellStyle name="20% - Accent2 6 4" xfId="303"/>
    <cellStyle name="20% - Accent2 6 4 10" xfId="52879"/>
    <cellStyle name="20% - Accent2 6 4 2" xfId="3533"/>
    <cellStyle name="20% - Accent2 6 4 2 2" xfId="8149"/>
    <cellStyle name="20% - Accent2 6 4 2 2 2" xfId="15939"/>
    <cellStyle name="20% - Accent2 6 4 2 2 2 2" xfId="33560"/>
    <cellStyle name="20% - Accent2 6 4 2 2 3" xfId="26549"/>
    <cellStyle name="20% - Accent2 6 4 2 3" xfId="12257"/>
    <cellStyle name="20% - Accent2 6 4 2 3 2" xfId="29914"/>
    <cellStyle name="20% - Accent2 6 4 2 4" xfId="23688"/>
    <cellStyle name="20% - Accent2 6 4 3" xfId="5561"/>
    <cellStyle name="20% - Accent2 6 4 3 2" xfId="8858"/>
    <cellStyle name="20% - Accent2 6 4 3 2 2" xfId="16647"/>
    <cellStyle name="20% - Accent2 6 4 3 2 2 2" xfId="34269"/>
    <cellStyle name="20% - Accent2 6 4 3 2 3" xfId="27232"/>
    <cellStyle name="20% - Accent2 6 4 3 3" xfId="13411"/>
    <cellStyle name="20% - Accent2 6 4 3 3 2" xfId="31037"/>
    <cellStyle name="20% - Accent2 6 4 3 4" xfId="24371"/>
    <cellStyle name="20% - Accent2 6 4 4" xfId="6191"/>
    <cellStyle name="20% - Accent2 6 4 4 2" xfId="9398"/>
    <cellStyle name="20% - Accent2 6 4 4 2 2" xfId="17186"/>
    <cellStyle name="20% - Accent2 6 4 4 2 2 2" xfId="34809"/>
    <cellStyle name="20% - Accent2 6 4 4 2 3" xfId="27768"/>
    <cellStyle name="20% - Accent2 6 4 4 3" xfId="13974"/>
    <cellStyle name="20% - Accent2 6 4 4 3 2" xfId="31595"/>
    <cellStyle name="20% - Accent2 6 4 4 4" xfId="24907"/>
    <cellStyle name="20% - Accent2 6 4 5" xfId="6728"/>
    <cellStyle name="20% - Accent2 6 4 5 2" xfId="9935"/>
    <cellStyle name="20% - Accent2 6 4 5 2 2" xfId="17722"/>
    <cellStyle name="20% - Accent2 6 4 5 2 2 2" xfId="35345"/>
    <cellStyle name="20% - Accent2 6 4 5 2 3" xfId="28304"/>
    <cellStyle name="20% - Accent2 6 4 5 3" xfId="14510"/>
    <cellStyle name="20% - Accent2 6 4 5 3 2" xfId="32131"/>
    <cellStyle name="20% - Accent2 6 4 5 4" xfId="25444"/>
    <cellStyle name="20% - Accent2 6 4 6" xfId="7561"/>
    <cellStyle name="20% - Accent2 6 4 6 2" xfId="15352"/>
    <cellStyle name="20% - Accent2 6 4 6 2 2" xfId="32973"/>
    <cellStyle name="20% - Accent2 6 4 6 3" xfId="25980"/>
    <cellStyle name="20% - Accent2 6 4 7" xfId="11126"/>
    <cellStyle name="20% - Accent2 6 4 7 2" xfId="28840"/>
    <cellStyle name="20% - Accent2 6 4 8" xfId="23119"/>
    <cellStyle name="20% - Accent2 6 4 9" xfId="51658"/>
    <cellStyle name="20% - Accent2 6 5" xfId="304"/>
    <cellStyle name="20% - Accent2 6 5 2" xfId="3534"/>
    <cellStyle name="20% - Accent2 6 5 2 2" xfId="8150"/>
    <cellStyle name="20% - Accent2 6 5 2 2 2" xfId="15940"/>
    <cellStyle name="20% - Accent2 6 5 2 2 2 2" xfId="33561"/>
    <cellStyle name="20% - Accent2 6 5 2 2 3" xfId="26550"/>
    <cellStyle name="20% - Accent2 6 5 2 3" xfId="12258"/>
    <cellStyle name="20% - Accent2 6 5 2 3 2" xfId="29915"/>
    <cellStyle name="20% - Accent2 6 5 2 4" xfId="23689"/>
    <cellStyle name="20% - Accent2 6 5 3" xfId="5562"/>
    <cellStyle name="20% - Accent2 6 5 3 2" xfId="8859"/>
    <cellStyle name="20% - Accent2 6 5 3 2 2" xfId="16648"/>
    <cellStyle name="20% - Accent2 6 5 3 2 2 2" xfId="34270"/>
    <cellStyle name="20% - Accent2 6 5 3 2 3" xfId="27233"/>
    <cellStyle name="20% - Accent2 6 5 3 3" xfId="13412"/>
    <cellStyle name="20% - Accent2 6 5 3 3 2" xfId="31038"/>
    <cellStyle name="20% - Accent2 6 5 3 4" xfId="24372"/>
    <cellStyle name="20% - Accent2 6 5 4" xfId="6192"/>
    <cellStyle name="20% - Accent2 6 5 4 2" xfId="9399"/>
    <cellStyle name="20% - Accent2 6 5 4 2 2" xfId="17187"/>
    <cellStyle name="20% - Accent2 6 5 4 2 2 2" xfId="34810"/>
    <cellStyle name="20% - Accent2 6 5 4 2 3" xfId="27769"/>
    <cellStyle name="20% - Accent2 6 5 4 3" xfId="13975"/>
    <cellStyle name="20% - Accent2 6 5 4 3 2" xfId="31596"/>
    <cellStyle name="20% - Accent2 6 5 4 4" xfId="24908"/>
    <cellStyle name="20% - Accent2 6 5 5" xfId="6729"/>
    <cellStyle name="20% - Accent2 6 5 5 2" xfId="9936"/>
    <cellStyle name="20% - Accent2 6 5 5 2 2" xfId="17723"/>
    <cellStyle name="20% - Accent2 6 5 5 2 2 2" xfId="35346"/>
    <cellStyle name="20% - Accent2 6 5 5 2 3" xfId="28305"/>
    <cellStyle name="20% - Accent2 6 5 5 3" xfId="14511"/>
    <cellStyle name="20% - Accent2 6 5 5 3 2" xfId="32132"/>
    <cellStyle name="20% - Accent2 6 5 5 4" xfId="25445"/>
    <cellStyle name="20% - Accent2 6 5 6" xfId="7562"/>
    <cellStyle name="20% - Accent2 6 5 6 2" xfId="15353"/>
    <cellStyle name="20% - Accent2 6 5 6 2 2" xfId="32974"/>
    <cellStyle name="20% - Accent2 6 5 6 3" xfId="25981"/>
    <cellStyle name="20% - Accent2 6 5 7" xfId="11127"/>
    <cellStyle name="20% - Accent2 6 5 7 2" xfId="28841"/>
    <cellStyle name="20% - Accent2 6 5 8" xfId="23120"/>
    <cellStyle name="20% - Accent2 6 5 9" xfId="51659"/>
    <cellStyle name="20% - Accent2 6 6" xfId="305"/>
    <cellStyle name="20% - Accent2 6 6 2" xfId="3535"/>
    <cellStyle name="20% - Accent2 6 6 2 2" xfId="8151"/>
    <cellStyle name="20% - Accent2 6 6 2 2 2" xfId="15941"/>
    <cellStyle name="20% - Accent2 6 6 2 2 2 2" xfId="33562"/>
    <cellStyle name="20% - Accent2 6 6 2 2 3" xfId="26551"/>
    <cellStyle name="20% - Accent2 6 6 2 3" xfId="12259"/>
    <cellStyle name="20% - Accent2 6 6 2 3 2" xfId="29916"/>
    <cellStyle name="20% - Accent2 6 6 2 4" xfId="23690"/>
    <cellStyle name="20% - Accent2 6 6 3" xfId="5563"/>
    <cellStyle name="20% - Accent2 6 6 3 2" xfId="8860"/>
    <cellStyle name="20% - Accent2 6 6 3 2 2" xfId="16649"/>
    <cellStyle name="20% - Accent2 6 6 3 2 2 2" xfId="34271"/>
    <cellStyle name="20% - Accent2 6 6 3 2 3" xfId="27234"/>
    <cellStyle name="20% - Accent2 6 6 3 3" xfId="13413"/>
    <cellStyle name="20% - Accent2 6 6 3 3 2" xfId="31039"/>
    <cellStyle name="20% - Accent2 6 6 3 4" xfId="24373"/>
    <cellStyle name="20% - Accent2 6 6 4" xfId="6193"/>
    <cellStyle name="20% - Accent2 6 6 4 2" xfId="9400"/>
    <cellStyle name="20% - Accent2 6 6 4 2 2" xfId="17188"/>
    <cellStyle name="20% - Accent2 6 6 4 2 2 2" xfId="34811"/>
    <cellStyle name="20% - Accent2 6 6 4 2 3" xfId="27770"/>
    <cellStyle name="20% - Accent2 6 6 4 3" xfId="13976"/>
    <cellStyle name="20% - Accent2 6 6 4 3 2" xfId="31597"/>
    <cellStyle name="20% - Accent2 6 6 4 4" xfId="24909"/>
    <cellStyle name="20% - Accent2 6 6 5" xfId="6730"/>
    <cellStyle name="20% - Accent2 6 6 5 2" xfId="9937"/>
    <cellStyle name="20% - Accent2 6 6 5 2 2" xfId="17724"/>
    <cellStyle name="20% - Accent2 6 6 5 2 2 2" xfId="35347"/>
    <cellStyle name="20% - Accent2 6 6 5 2 3" xfId="28306"/>
    <cellStyle name="20% - Accent2 6 6 5 3" xfId="14512"/>
    <cellStyle name="20% - Accent2 6 6 5 3 2" xfId="32133"/>
    <cellStyle name="20% - Accent2 6 6 5 4" xfId="25446"/>
    <cellStyle name="20% - Accent2 6 6 6" xfId="7563"/>
    <cellStyle name="20% - Accent2 6 6 6 2" xfId="15354"/>
    <cellStyle name="20% - Accent2 6 6 6 2 2" xfId="32975"/>
    <cellStyle name="20% - Accent2 6 6 6 3" xfId="25982"/>
    <cellStyle name="20% - Accent2 6 6 7" xfId="11128"/>
    <cellStyle name="20% - Accent2 6 6 7 2" xfId="28842"/>
    <cellStyle name="20% - Accent2 6 6 8" xfId="23121"/>
    <cellStyle name="20% - Accent2 6 6 9" xfId="51660"/>
    <cellStyle name="20% - Accent2 6 7" xfId="306"/>
    <cellStyle name="20% - Accent2 6 7 10" xfId="51661"/>
    <cellStyle name="20% - Accent2 6 7 2" xfId="307"/>
    <cellStyle name="20% - Accent2 6 7 2 2" xfId="8153"/>
    <cellStyle name="20% - Accent2 6 7 2 2 2" xfId="15943"/>
    <cellStyle name="20% - Accent2 6 7 2 2 2 2" xfId="33564"/>
    <cellStyle name="20% - Accent2 6 7 2 2 3" xfId="26553"/>
    <cellStyle name="20% - Accent2 6 7 2 3" xfId="12261"/>
    <cellStyle name="20% - Accent2 6 7 2 3 2" xfId="29918"/>
    <cellStyle name="20% - Accent2 6 7 2 4" xfId="23692"/>
    <cellStyle name="20% - Accent2 6 7 3" xfId="3536"/>
    <cellStyle name="20% - Accent2 6 7 3 2" xfId="8152"/>
    <cellStyle name="20% - Accent2 6 7 3 2 2" xfId="15942"/>
    <cellStyle name="20% - Accent2 6 7 3 2 2 2" xfId="33563"/>
    <cellStyle name="20% - Accent2 6 7 3 2 3" xfId="26552"/>
    <cellStyle name="20% - Accent2 6 7 3 3" xfId="12260"/>
    <cellStyle name="20% - Accent2 6 7 3 3 2" xfId="29917"/>
    <cellStyle name="20% - Accent2 6 7 3 4" xfId="23691"/>
    <cellStyle name="20% - Accent2 6 7 4" xfId="5564"/>
    <cellStyle name="20% - Accent2 6 7 4 2" xfId="8861"/>
    <cellStyle name="20% - Accent2 6 7 4 2 2" xfId="16650"/>
    <cellStyle name="20% - Accent2 6 7 4 2 2 2" xfId="34272"/>
    <cellStyle name="20% - Accent2 6 7 4 2 3" xfId="27235"/>
    <cellStyle name="20% - Accent2 6 7 4 3" xfId="13414"/>
    <cellStyle name="20% - Accent2 6 7 4 3 2" xfId="31040"/>
    <cellStyle name="20% - Accent2 6 7 4 4" xfId="24374"/>
    <cellStyle name="20% - Accent2 6 7 5" xfId="6194"/>
    <cellStyle name="20% - Accent2 6 7 5 2" xfId="9401"/>
    <cellStyle name="20% - Accent2 6 7 5 2 2" xfId="17189"/>
    <cellStyle name="20% - Accent2 6 7 5 2 2 2" xfId="34812"/>
    <cellStyle name="20% - Accent2 6 7 5 2 3" xfId="27771"/>
    <cellStyle name="20% - Accent2 6 7 5 3" xfId="13977"/>
    <cellStyle name="20% - Accent2 6 7 5 3 2" xfId="31598"/>
    <cellStyle name="20% - Accent2 6 7 5 4" xfId="24910"/>
    <cellStyle name="20% - Accent2 6 7 6" xfId="6731"/>
    <cellStyle name="20% - Accent2 6 7 6 2" xfId="9938"/>
    <cellStyle name="20% - Accent2 6 7 6 2 2" xfId="17725"/>
    <cellStyle name="20% - Accent2 6 7 6 2 2 2" xfId="35348"/>
    <cellStyle name="20% - Accent2 6 7 6 2 3" xfId="28307"/>
    <cellStyle name="20% - Accent2 6 7 6 3" xfId="14513"/>
    <cellStyle name="20% - Accent2 6 7 6 3 2" xfId="32134"/>
    <cellStyle name="20% - Accent2 6 7 6 4" xfId="25447"/>
    <cellStyle name="20% - Accent2 6 7 7" xfId="7564"/>
    <cellStyle name="20% - Accent2 6 7 7 2" xfId="15355"/>
    <cellStyle name="20% - Accent2 6 7 7 2 2" xfId="32976"/>
    <cellStyle name="20% - Accent2 6 7 7 3" xfId="25983"/>
    <cellStyle name="20% - Accent2 6 7 8" xfId="11129"/>
    <cellStyle name="20% - Accent2 6 7 8 2" xfId="28843"/>
    <cellStyle name="20% - Accent2 6 7 9" xfId="23122"/>
    <cellStyle name="20% - Accent2 6 8" xfId="3537"/>
    <cellStyle name="20% - Accent2 6 8 2" xfId="8154"/>
    <cellStyle name="20% - Accent2 6 8 2 2" xfId="15944"/>
    <cellStyle name="20% - Accent2 6 8 2 2 2" xfId="33565"/>
    <cellStyle name="20% - Accent2 6 8 2 3" xfId="26554"/>
    <cellStyle name="20% - Accent2 6 8 3" xfId="12262"/>
    <cellStyle name="20% - Accent2 6 8 3 2" xfId="29919"/>
    <cellStyle name="20% - Accent2 6 8 4" xfId="23693"/>
    <cellStyle name="20% - Accent2 6 9" xfId="3538"/>
    <cellStyle name="20% - Accent2 6 9 2" xfId="8155"/>
    <cellStyle name="20% - Accent2 6 9 2 2" xfId="15945"/>
    <cellStyle name="20% - Accent2 6 9 2 2 2" xfId="33566"/>
    <cellStyle name="20% - Accent2 6 9 2 3" xfId="26555"/>
    <cellStyle name="20% - Accent2 6 9 3" xfId="12263"/>
    <cellStyle name="20% - Accent2 6 9 3 2" xfId="29920"/>
    <cellStyle name="20% - Accent2 6 9 4" xfId="23694"/>
    <cellStyle name="20% - Accent2 7" xfId="308"/>
    <cellStyle name="20% - Accent2 7 10" xfId="3539"/>
    <cellStyle name="20% - Accent2 7 10 2" xfId="8156"/>
    <cellStyle name="20% - Accent2 7 10 2 2" xfId="15946"/>
    <cellStyle name="20% - Accent2 7 10 2 2 2" xfId="33567"/>
    <cellStyle name="20% - Accent2 7 10 2 3" xfId="26556"/>
    <cellStyle name="20% - Accent2 7 10 3" xfId="12264"/>
    <cellStyle name="20% - Accent2 7 10 3 2" xfId="29921"/>
    <cellStyle name="20% - Accent2 7 10 4" xfId="23695"/>
    <cellStyle name="20% - Accent2 7 11" xfId="5565"/>
    <cellStyle name="20% - Accent2 7 11 2" xfId="8862"/>
    <cellStyle name="20% - Accent2 7 11 2 2" xfId="16651"/>
    <cellStyle name="20% - Accent2 7 11 2 2 2" xfId="34273"/>
    <cellStyle name="20% - Accent2 7 11 2 3" xfId="27236"/>
    <cellStyle name="20% - Accent2 7 11 3" xfId="13415"/>
    <cellStyle name="20% - Accent2 7 11 3 2" xfId="31041"/>
    <cellStyle name="20% - Accent2 7 11 4" xfId="24375"/>
    <cellStyle name="20% - Accent2 7 12" xfId="6195"/>
    <cellStyle name="20% - Accent2 7 12 2" xfId="9402"/>
    <cellStyle name="20% - Accent2 7 12 2 2" xfId="17190"/>
    <cellStyle name="20% - Accent2 7 12 2 2 2" xfId="34813"/>
    <cellStyle name="20% - Accent2 7 12 2 3" xfId="27772"/>
    <cellStyle name="20% - Accent2 7 12 3" xfId="13978"/>
    <cellStyle name="20% - Accent2 7 12 3 2" xfId="31599"/>
    <cellStyle name="20% - Accent2 7 12 4" xfId="24911"/>
    <cellStyle name="20% - Accent2 7 13" xfId="6732"/>
    <cellStyle name="20% - Accent2 7 13 2" xfId="9939"/>
    <cellStyle name="20% - Accent2 7 13 2 2" xfId="17726"/>
    <cellStyle name="20% - Accent2 7 13 2 2 2" xfId="35349"/>
    <cellStyle name="20% - Accent2 7 13 2 3" xfId="28308"/>
    <cellStyle name="20% - Accent2 7 13 3" xfId="14514"/>
    <cellStyle name="20% - Accent2 7 13 3 2" xfId="32135"/>
    <cellStyle name="20% - Accent2 7 13 4" xfId="25448"/>
    <cellStyle name="20% - Accent2 7 14" xfId="7565"/>
    <cellStyle name="20% - Accent2 7 14 2" xfId="15356"/>
    <cellStyle name="20% - Accent2 7 14 2 2" xfId="32977"/>
    <cellStyle name="20% - Accent2 7 14 3" xfId="25984"/>
    <cellStyle name="20% - Accent2 7 15" xfId="11130"/>
    <cellStyle name="20% - Accent2 7 15 2" xfId="28844"/>
    <cellStyle name="20% - Accent2 7 16" xfId="22032"/>
    <cellStyle name="20% - Accent2 7 16 2" xfId="38732"/>
    <cellStyle name="20% - Accent2 7 17" xfId="23123"/>
    <cellStyle name="20% - Accent2 7 18" xfId="51662"/>
    <cellStyle name="20% - Accent2 7 2" xfId="309"/>
    <cellStyle name="20% - Accent2 7 2 10" xfId="51663"/>
    <cellStyle name="20% - Accent2 7 2 2" xfId="3540"/>
    <cellStyle name="20% - Accent2 7 2 2 2" xfId="8157"/>
    <cellStyle name="20% - Accent2 7 2 2 2 2" xfId="15947"/>
    <cellStyle name="20% - Accent2 7 2 2 2 2 2" xfId="33568"/>
    <cellStyle name="20% - Accent2 7 2 2 2 3" xfId="26557"/>
    <cellStyle name="20% - Accent2 7 2 2 3" xfId="12265"/>
    <cellStyle name="20% - Accent2 7 2 2 3 2" xfId="29922"/>
    <cellStyle name="20% - Accent2 7 2 2 4" xfId="23696"/>
    <cellStyle name="20% - Accent2 7 2 3" xfId="5566"/>
    <cellStyle name="20% - Accent2 7 2 3 2" xfId="8863"/>
    <cellStyle name="20% - Accent2 7 2 3 2 2" xfId="16652"/>
    <cellStyle name="20% - Accent2 7 2 3 2 2 2" xfId="34274"/>
    <cellStyle name="20% - Accent2 7 2 3 2 3" xfId="27237"/>
    <cellStyle name="20% - Accent2 7 2 3 3" xfId="13416"/>
    <cellStyle name="20% - Accent2 7 2 3 3 2" xfId="31042"/>
    <cellStyle name="20% - Accent2 7 2 3 4" xfId="24376"/>
    <cellStyle name="20% - Accent2 7 2 4" xfId="6196"/>
    <cellStyle name="20% - Accent2 7 2 4 2" xfId="9403"/>
    <cellStyle name="20% - Accent2 7 2 4 2 2" xfId="17191"/>
    <cellStyle name="20% - Accent2 7 2 4 2 2 2" xfId="34814"/>
    <cellStyle name="20% - Accent2 7 2 4 2 3" xfId="27773"/>
    <cellStyle name="20% - Accent2 7 2 4 3" xfId="13979"/>
    <cellStyle name="20% - Accent2 7 2 4 3 2" xfId="31600"/>
    <cellStyle name="20% - Accent2 7 2 4 4" xfId="24912"/>
    <cellStyle name="20% - Accent2 7 2 5" xfId="6733"/>
    <cellStyle name="20% - Accent2 7 2 5 2" xfId="9940"/>
    <cellStyle name="20% - Accent2 7 2 5 2 2" xfId="17727"/>
    <cellStyle name="20% - Accent2 7 2 5 2 2 2" xfId="35350"/>
    <cellStyle name="20% - Accent2 7 2 5 2 3" xfId="28309"/>
    <cellStyle name="20% - Accent2 7 2 5 3" xfId="14515"/>
    <cellStyle name="20% - Accent2 7 2 5 3 2" xfId="32136"/>
    <cellStyle name="20% - Accent2 7 2 5 4" xfId="25449"/>
    <cellStyle name="20% - Accent2 7 2 6" xfId="7566"/>
    <cellStyle name="20% - Accent2 7 2 6 2" xfId="15357"/>
    <cellStyle name="20% - Accent2 7 2 6 2 2" xfId="32978"/>
    <cellStyle name="20% - Accent2 7 2 6 3" xfId="25985"/>
    <cellStyle name="20% - Accent2 7 2 7" xfId="11131"/>
    <cellStyle name="20% - Accent2 7 2 7 2" xfId="28845"/>
    <cellStyle name="20% - Accent2 7 2 8" xfId="22700"/>
    <cellStyle name="20% - Accent2 7 2 8 2" xfId="38896"/>
    <cellStyle name="20% - Accent2 7 2 9" xfId="23124"/>
    <cellStyle name="20% - Accent2 7 3" xfId="310"/>
    <cellStyle name="20% - Accent2 7 3 10" xfId="23125"/>
    <cellStyle name="20% - Accent2 7 3 11" xfId="51664"/>
    <cellStyle name="20% - Accent2 7 3 2" xfId="311"/>
    <cellStyle name="20% - Accent2 7 3 2 2" xfId="3542"/>
    <cellStyle name="20% - Accent2 7 3 2 2 2" xfId="8159"/>
    <cellStyle name="20% - Accent2 7 3 2 2 2 2" xfId="15949"/>
    <cellStyle name="20% - Accent2 7 3 2 2 2 2 2" xfId="33570"/>
    <cellStyle name="20% - Accent2 7 3 2 2 2 3" xfId="26559"/>
    <cellStyle name="20% - Accent2 7 3 2 2 3" xfId="12267"/>
    <cellStyle name="20% - Accent2 7 3 2 2 3 2" xfId="29924"/>
    <cellStyle name="20% - Accent2 7 3 2 2 4" xfId="23698"/>
    <cellStyle name="20% - Accent2 7 3 2 3" xfId="5568"/>
    <cellStyle name="20% - Accent2 7 3 2 3 2" xfId="8865"/>
    <cellStyle name="20% - Accent2 7 3 2 3 2 2" xfId="16654"/>
    <cellStyle name="20% - Accent2 7 3 2 3 2 2 2" xfId="34276"/>
    <cellStyle name="20% - Accent2 7 3 2 3 2 3" xfId="27239"/>
    <cellStyle name="20% - Accent2 7 3 2 3 3" xfId="13418"/>
    <cellStyle name="20% - Accent2 7 3 2 3 3 2" xfId="31044"/>
    <cellStyle name="20% - Accent2 7 3 2 3 4" xfId="24378"/>
    <cellStyle name="20% - Accent2 7 3 2 4" xfId="6198"/>
    <cellStyle name="20% - Accent2 7 3 2 4 2" xfId="9405"/>
    <cellStyle name="20% - Accent2 7 3 2 4 2 2" xfId="17193"/>
    <cellStyle name="20% - Accent2 7 3 2 4 2 2 2" xfId="34816"/>
    <cellStyle name="20% - Accent2 7 3 2 4 2 3" xfId="27775"/>
    <cellStyle name="20% - Accent2 7 3 2 4 3" xfId="13981"/>
    <cellStyle name="20% - Accent2 7 3 2 4 3 2" xfId="31602"/>
    <cellStyle name="20% - Accent2 7 3 2 4 4" xfId="24914"/>
    <cellStyle name="20% - Accent2 7 3 2 5" xfId="6735"/>
    <cellStyle name="20% - Accent2 7 3 2 5 2" xfId="9942"/>
    <cellStyle name="20% - Accent2 7 3 2 5 2 2" xfId="17729"/>
    <cellStyle name="20% - Accent2 7 3 2 5 2 2 2" xfId="35352"/>
    <cellStyle name="20% - Accent2 7 3 2 5 2 3" xfId="28311"/>
    <cellStyle name="20% - Accent2 7 3 2 5 3" xfId="14517"/>
    <cellStyle name="20% - Accent2 7 3 2 5 3 2" xfId="32138"/>
    <cellStyle name="20% - Accent2 7 3 2 5 4" xfId="25451"/>
    <cellStyle name="20% - Accent2 7 3 2 6" xfId="7568"/>
    <cellStyle name="20% - Accent2 7 3 2 6 2" xfId="15359"/>
    <cellStyle name="20% - Accent2 7 3 2 6 2 2" xfId="32980"/>
    <cellStyle name="20% - Accent2 7 3 2 6 3" xfId="25987"/>
    <cellStyle name="20% - Accent2 7 3 2 7" xfId="11133"/>
    <cellStyle name="20% - Accent2 7 3 2 7 2" xfId="28847"/>
    <cellStyle name="20% - Accent2 7 3 2 8" xfId="23126"/>
    <cellStyle name="20% - Accent2 7 3 2 9" xfId="51665"/>
    <cellStyle name="20% - Accent2 7 3 3" xfId="3543"/>
    <cellStyle name="20% - Accent2 7 3 3 2" xfId="5569"/>
    <cellStyle name="20% - Accent2 7 3 3 2 2" xfId="8866"/>
    <cellStyle name="20% - Accent2 7 3 3 2 2 2" xfId="16655"/>
    <cellStyle name="20% - Accent2 7 3 3 2 2 2 2" xfId="34277"/>
    <cellStyle name="20% - Accent2 7 3 3 2 2 3" xfId="27240"/>
    <cellStyle name="20% - Accent2 7 3 3 2 3" xfId="13419"/>
    <cellStyle name="20% - Accent2 7 3 3 2 3 2" xfId="31045"/>
    <cellStyle name="20% - Accent2 7 3 3 2 4" xfId="24379"/>
    <cellStyle name="20% - Accent2 7 3 3 3" xfId="6199"/>
    <cellStyle name="20% - Accent2 7 3 3 3 2" xfId="9406"/>
    <cellStyle name="20% - Accent2 7 3 3 3 2 2" xfId="17194"/>
    <cellStyle name="20% - Accent2 7 3 3 3 2 2 2" xfId="34817"/>
    <cellStyle name="20% - Accent2 7 3 3 3 2 3" xfId="27776"/>
    <cellStyle name="20% - Accent2 7 3 3 3 3" xfId="13982"/>
    <cellStyle name="20% - Accent2 7 3 3 3 3 2" xfId="31603"/>
    <cellStyle name="20% - Accent2 7 3 3 3 4" xfId="24915"/>
    <cellStyle name="20% - Accent2 7 3 3 4" xfId="6736"/>
    <cellStyle name="20% - Accent2 7 3 3 4 2" xfId="9943"/>
    <cellStyle name="20% - Accent2 7 3 3 4 2 2" xfId="17730"/>
    <cellStyle name="20% - Accent2 7 3 3 4 2 2 2" xfId="35353"/>
    <cellStyle name="20% - Accent2 7 3 3 4 2 3" xfId="28312"/>
    <cellStyle name="20% - Accent2 7 3 3 4 3" xfId="14518"/>
    <cellStyle name="20% - Accent2 7 3 3 4 3 2" xfId="32139"/>
    <cellStyle name="20% - Accent2 7 3 3 4 4" xfId="25452"/>
    <cellStyle name="20% - Accent2 7 3 3 5" xfId="8160"/>
    <cellStyle name="20% - Accent2 7 3 3 5 2" xfId="15950"/>
    <cellStyle name="20% - Accent2 7 3 3 5 2 2" xfId="33571"/>
    <cellStyle name="20% - Accent2 7 3 3 5 3" xfId="26560"/>
    <cellStyle name="20% - Accent2 7 3 3 6" xfId="12268"/>
    <cellStyle name="20% - Accent2 7 3 3 6 2" xfId="29925"/>
    <cellStyle name="20% - Accent2 7 3 3 7" xfId="23699"/>
    <cellStyle name="20% - Accent2 7 3 4" xfId="3541"/>
    <cellStyle name="20% - Accent2 7 3 4 2" xfId="8158"/>
    <cellStyle name="20% - Accent2 7 3 4 2 2" xfId="15948"/>
    <cellStyle name="20% - Accent2 7 3 4 2 2 2" xfId="33569"/>
    <cellStyle name="20% - Accent2 7 3 4 2 3" xfId="26558"/>
    <cellStyle name="20% - Accent2 7 3 4 3" xfId="12266"/>
    <cellStyle name="20% - Accent2 7 3 4 3 2" xfId="29923"/>
    <cellStyle name="20% - Accent2 7 3 4 4" xfId="23697"/>
    <cellStyle name="20% - Accent2 7 3 5" xfId="5567"/>
    <cellStyle name="20% - Accent2 7 3 5 2" xfId="8864"/>
    <cellStyle name="20% - Accent2 7 3 5 2 2" xfId="16653"/>
    <cellStyle name="20% - Accent2 7 3 5 2 2 2" xfId="34275"/>
    <cellStyle name="20% - Accent2 7 3 5 2 3" xfId="27238"/>
    <cellStyle name="20% - Accent2 7 3 5 3" xfId="13417"/>
    <cellStyle name="20% - Accent2 7 3 5 3 2" xfId="31043"/>
    <cellStyle name="20% - Accent2 7 3 5 4" xfId="24377"/>
    <cellStyle name="20% - Accent2 7 3 6" xfId="6197"/>
    <cellStyle name="20% - Accent2 7 3 6 2" xfId="9404"/>
    <cellStyle name="20% - Accent2 7 3 6 2 2" xfId="17192"/>
    <cellStyle name="20% - Accent2 7 3 6 2 2 2" xfId="34815"/>
    <cellStyle name="20% - Accent2 7 3 6 2 3" xfId="27774"/>
    <cellStyle name="20% - Accent2 7 3 6 3" xfId="13980"/>
    <cellStyle name="20% - Accent2 7 3 6 3 2" xfId="31601"/>
    <cellStyle name="20% - Accent2 7 3 6 4" xfId="24913"/>
    <cellStyle name="20% - Accent2 7 3 7" xfId="6734"/>
    <cellStyle name="20% - Accent2 7 3 7 2" xfId="9941"/>
    <cellStyle name="20% - Accent2 7 3 7 2 2" xfId="17728"/>
    <cellStyle name="20% - Accent2 7 3 7 2 2 2" xfId="35351"/>
    <cellStyle name="20% - Accent2 7 3 7 2 3" xfId="28310"/>
    <cellStyle name="20% - Accent2 7 3 7 3" xfId="14516"/>
    <cellStyle name="20% - Accent2 7 3 7 3 2" xfId="32137"/>
    <cellStyle name="20% - Accent2 7 3 7 4" xfId="25450"/>
    <cellStyle name="20% - Accent2 7 3 8" xfId="7567"/>
    <cellStyle name="20% - Accent2 7 3 8 2" xfId="15358"/>
    <cellStyle name="20% - Accent2 7 3 8 2 2" xfId="32979"/>
    <cellStyle name="20% - Accent2 7 3 8 3" xfId="25986"/>
    <cellStyle name="20% - Accent2 7 3 9" xfId="11132"/>
    <cellStyle name="20% - Accent2 7 3 9 2" xfId="28846"/>
    <cellStyle name="20% - Accent2 7 4" xfId="312"/>
    <cellStyle name="20% - Accent2 7 4 2" xfId="3544"/>
    <cellStyle name="20% - Accent2 7 4 2 2" xfId="8161"/>
    <cellStyle name="20% - Accent2 7 4 2 2 2" xfId="15951"/>
    <cellStyle name="20% - Accent2 7 4 2 2 2 2" xfId="33572"/>
    <cellStyle name="20% - Accent2 7 4 2 2 3" xfId="26561"/>
    <cellStyle name="20% - Accent2 7 4 2 3" xfId="12269"/>
    <cellStyle name="20% - Accent2 7 4 2 3 2" xfId="29926"/>
    <cellStyle name="20% - Accent2 7 4 2 4" xfId="23700"/>
    <cellStyle name="20% - Accent2 7 4 3" xfId="5570"/>
    <cellStyle name="20% - Accent2 7 4 3 2" xfId="8867"/>
    <cellStyle name="20% - Accent2 7 4 3 2 2" xfId="16656"/>
    <cellStyle name="20% - Accent2 7 4 3 2 2 2" xfId="34278"/>
    <cellStyle name="20% - Accent2 7 4 3 2 3" xfId="27241"/>
    <cellStyle name="20% - Accent2 7 4 3 3" xfId="13420"/>
    <cellStyle name="20% - Accent2 7 4 3 3 2" xfId="31046"/>
    <cellStyle name="20% - Accent2 7 4 3 4" xfId="24380"/>
    <cellStyle name="20% - Accent2 7 4 4" xfId="6200"/>
    <cellStyle name="20% - Accent2 7 4 4 2" xfId="9407"/>
    <cellStyle name="20% - Accent2 7 4 4 2 2" xfId="17195"/>
    <cellStyle name="20% - Accent2 7 4 4 2 2 2" xfId="34818"/>
    <cellStyle name="20% - Accent2 7 4 4 2 3" xfId="27777"/>
    <cellStyle name="20% - Accent2 7 4 4 3" xfId="13983"/>
    <cellStyle name="20% - Accent2 7 4 4 3 2" xfId="31604"/>
    <cellStyle name="20% - Accent2 7 4 4 4" xfId="24916"/>
    <cellStyle name="20% - Accent2 7 4 5" xfId="6737"/>
    <cellStyle name="20% - Accent2 7 4 5 2" xfId="9944"/>
    <cellStyle name="20% - Accent2 7 4 5 2 2" xfId="17731"/>
    <cellStyle name="20% - Accent2 7 4 5 2 2 2" xfId="35354"/>
    <cellStyle name="20% - Accent2 7 4 5 2 3" xfId="28313"/>
    <cellStyle name="20% - Accent2 7 4 5 3" xfId="14519"/>
    <cellStyle name="20% - Accent2 7 4 5 3 2" xfId="32140"/>
    <cellStyle name="20% - Accent2 7 4 5 4" xfId="25453"/>
    <cellStyle name="20% - Accent2 7 4 6" xfId="7569"/>
    <cellStyle name="20% - Accent2 7 4 6 2" xfId="15360"/>
    <cellStyle name="20% - Accent2 7 4 6 2 2" xfId="32981"/>
    <cellStyle name="20% - Accent2 7 4 6 3" xfId="25988"/>
    <cellStyle name="20% - Accent2 7 4 7" xfId="11134"/>
    <cellStyle name="20% - Accent2 7 4 7 2" xfId="28848"/>
    <cellStyle name="20% - Accent2 7 4 8" xfId="23127"/>
    <cellStyle name="20% - Accent2 7 4 9" xfId="51666"/>
    <cellStyle name="20% - Accent2 7 5" xfId="313"/>
    <cellStyle name="20% - Accent2 7 5 2" xfId="3545"/>
    <cellStyle name="20% - Accent2 7 5 2 2" xfId="8162"/>
    <cellStyle name="20% - Accent2 7 5 2 2 2" xfId="15952"/>
    <cellStyle name="20% - Accent2 7 5 2 2 2 2" xfId="33573"/>
    <cellStyle name="20% - Accent2 7 5 2 2 3" xfId="26562"/>
    <cellStyle name="20% - Accent2 7 5 2 3" xfId="12270"/>
    <cellStyle name="20% - Accent2 7 5 2 3 2" xfId="29927"/>
    <cellStyle name="20% - Accent2 7 5 2 4" xfId="23701"/>
    <cellStyle name="20% - Accent2 7 5 3" xfId="5571"/>
    <cellStyle name="20% - Accent2 7 5 3 2" xfId="8868"/>
    <cellStyle name="20% - Accent2 7 5 3 2 2" xfId="16657"/>
    <cellStyle name="20% - Accent2 7 5 3 2 2 2" xfId="34279"/>
    <cellStyle name="20% - Accent2 7 5 3 2 3" xfId="27242"/>
    <cellStyle name="20% - Accent2 7 5 3 3" xfId="13421"/>
    <cellStyle name="20% - Accent2 7 5 3 3 2" xfId="31047"/>
    <cellStyle name="20% - Accent2 7 5 3 4" xfId="24381"/>
    <cellStyle name="20% - Accent2 7 5 4" xfId="6201"/>
    <cellStyle name="20% - Accent2 7 5 4 2" xfId="9408"/>
    <cellStyle name="20% - Accent2 7 5 4 2 2" xfId="17196"/>
    <cellStyle name="20% - Accent2 7 5 4 2 2 2" xfId="34819"/>
    <cellStyle name="20% - Accent2 7 5 4 2 3" xfId="27778"/>
    <cellStyle name="20% - Accent2 7 5 4 3" xfId="13984"/>
    <cellStyle name="20% - Accent2 7 5 4 3 2" xfId="31605"/>
    <cellStyle name="20% - Accent2 7 5 4 4" xfId="24917"/>
    <cellStyle name="20% - Accent2 7 5 5" xfId="6738"/>
    <cellStyle name="20% - Accent2 7 5 5 2" xfId="9945"/>
    <cellStyle name="20% - Accent2 7 5 5 2 2" xfId="17732"/>
    <cellStyle name="20% - Accent2 7 5 5 2 2 2" xfId="35355"/>
    <cellStyle name="20% - Accent2 7 5 5 2 3" xfId="28314"/>
    <cellStyle name="20% - Accent2 7 5 5 3" xfId="14520"/>
    <cellStyle name="20% - Accent2 7 5 5 3 2" xfId="32141"/>
    <cellStyle name="20% - Accent2 7 5 5 4" xfId="25454"/>
    <cellStyle name="20% - Accent2 7 5 6" xfId="7570"/>
    <cellStyle name="20% - Accent2 7 5 6 2" xfId="15361"/>
    <cellStyle name="20% - Accent2 7 5 6 2 2" xfId="32982"/>
    <cellStyle name="20% - Accent2 7 5 6 3" xfId="25989"/>
    <cellStyle name="20% - Accent2 7 5 7" xfId="11135"/>
    <cellStyle name="20% - Accent2 7 5 7 2" xfId="28849"/>
    <cellStyle name="20% - Accent2 7 5 8" xfId="23128"/>
    <cellStyle name="20% - Accent2 7 5 9" xfId="51667"/>
    <cellStyle name="20% - Accent2 7 6" xfId="314"/>
    <cellStyle name="20% - Accent2 7 6 2" xfId="3546"/>
    <cellStyle name="20% - Accent2 7 6 2 2" xfId="8163"/>
    <cellStyle name="20% - Accent2 7 6 2 2 2" xfId="15953"/>
    <cellStyle name="20% - Accent2 7 6 2 2 2 2" xfId="33574"/>
    <cellStyle name="20% - Accent2 7 6 2 2 3" xfId="26563"/>
    <cellStyle name="20% - Accent2 7 6 2 3" xfId="12271"/>
    <cellStyle name="20% - Accent2 7 6 2 3 2" xfId="29928"/>
    <cellStyle name="20% - Accent2 7 6 2 4" xfId="23702"/>
    <cellStyle name="20% - Accent2 7 6 3" xfId="5572"/>
    <cellStyle name="20% - Accent2 7 6 3 2" xfId="8869"/>
    <cellStyle name="20% - Accent2 7 6 3 2 2" xfId="16658"/>
    <cellStyle name="20% - Accent2 7 6 3 2 2 2" xfId="34280"/>
    <cellStyle name="20% - Accent2 7 6 3 2 3" xfId="27243"/>
    <cellStyle name="20% - Accent2 7 6 3 3" xfId="13422"/>
    <cellStyle name="20% - Accent2 7 6 3 3 2" xfId="31048"/>
    <cellStyle name="20% - Accent2 7 6 3 4" xfId="24382"/>
    <cellStyle name="20% - Accent2 7 6 4" xfId="6202"/>
    <cellStyle name="20% - Accent2 7 6 4 2" xfId="9409"/>
    <cellStyle name="20% - Accent2 7 6 4 2 2" xfId="17197"/>
    <cellStyle name="20% - Accent2 7 6 4 2 2 2" xfId="34820"/>
    <cellStyle name="20% - Accent2 7 6 4 2 3" xfId="27779"/>
    <cellStyle name="20% - Accent2 7 6 4 3" xfId="13985"/>
    <cellStyle name="20% - Accent2 7 6 4 3 2" xfId="31606"/>
    <cellStyle name="20% - Accent2 7 6 4 4" xfId="24918"/>
    <cellStyle name="20% - Accent2 7 6 5" xfId="6739"/>
    <cellStyle name="20% - Accent2 7 6 5 2" xfId="9946"/>
    <cellStyle name="20% - Accent2 7 6 5 2 2" xfId="17733"/>
    <cellStyle name="20% - Accent2 7 6 5 2 2 2" xfId="35356"/>
    <cellStyle name="20% - Accent2 7 6 5 2 3" xfId="28315"/>
    <cellStyle name="20% - Accent2 7 6 5 3" xfId="14521"/>
    <cellStyle name="20% - Accent2 7 6 5 3 2" xfId="32142"/>
    <cellStyle name="20% - Accent2 7 6 5 4" xfId="25455"/>
    <cellStyle name="20% - Accent2 7 6 6" xfId="7571"/>
    <cellStyle name="20% - Accent2 7 6 6 2" xfId="15362"/>
    <cellStyle name="20% - Accent2 7 6 6 2 2" xfId="32983"/>
    <cellStyle name="20% - Accent2 7 6 6 3" xfId="25990"/>
    <cellStyle name="20% - Accent2 7 6 7" xfId="11136"/>
    <cellStyle name="20% - Accent2 7 6 7 2" xfId="28850"/>
    <cellStyle name="20% - Accent2 7 6 8" xfId="23129"/>
    <cellStyle name="20% - Accent2 7 6 9" xfId="51668"/>
    <cellStyle name="20% - Accent2 7 7" xfId="315"/>
    <cellStyle name="20% - Accent2 7 7 10" xfId="51669"/>
    <cellStyle name="20% - Accent2 7 7 2" xfId="316"/>
    <cellStyle name="20% - Accent2 7 7 2 2" xfId="8165"/>
    <cellStyle name="20% - Accent2 7 7 2 2 2" xfId="15955"/>
    <cellStyle name="20% - Accent2 7 7 2 2 2 2" xfId="33576"/>
    <cellStyle name="20% - Accent2 7 7 2 2 3" xfId="26565"/>
    <cellStyle name="20% - Accent2 7 7 2 3" xfId="12273"/>
    <cellStyle name="20% - Accent2 7 7 2 3 2" xfId="29930"/>
    <cellStyle name="20% - Accent2 7 7 2 4" xfId="23704"/>
    <cellStyle name="20% - Accent2 7 7 3" xfId="3547"/>
    <cellStyle name="20% - Accent2 7 7 3 2" xfId="8164"/>
    <cellStyle name="20% - Accent2 7 7 3 2 2" xfId="15954"/>
    <cellStyle name="20% - Accent2 7 7 3 2 2 2" xfId="33575"/>
    <cellStyle name="20% - Accent2 7 7 3 2 3" xfId="26564"/>
    <cellStyle name="20% - Accent2 7 7 3 3" xfId="12272"/>
    <cellStyle name="20% - Accent2 7 7 3 3 2" xfId="29929"/>
    <cellStyle name="20% - Accent2 7 7 3 4" xfId="23703"/>
    <cellStyle name="20% - Accent2 7 7 4" xfId="5573"/>
    <cellStyle name="20% - Accent2 7 7 4 2" xfId="8870"/>
    <cellStyle name="20% - Accent2 7 7 4 2 2" xfId="16659"/>
    <cellStyle name="20% - Accent2 7 7 4 2 2 2" xfId="34281"/>
    <cellStyle name="20% - Accent2 7 7 4 2 3" xfId="27244"/>
    <cellStyle name="20% - Accent2 7 7 4 3" xfId="13423"/>
    <cellStyle name="20% - Accent2 7 7 4 3 2" xfId="31049"/>
    <cellStyle name="20% - Accent2 7 7 4 4" xfId="24383"/>
    <cellStyle name="20% - Accent2 7 7 5" xfId="6203"/>
    <cellStyle name="20% - Accent2 7 7 5 2" xfId="9410"/>
    <cellStyle name="20% - Accent2 7 7 5 2 2" xfId="17198"/>
    <cellStyle name="20% - Accent2 7 7 5 2 2 2" xfId="34821"/>
    <cellStyle name="20% - Accent2 7 7 5 2 3" xfId="27780"/>
    <cellStyle name="20% - Accent2 7 7 5 3" xfId="13986"/>
    <cellStyle name="20% - Accent2 7 7 5 3 2" xfId="31607"/>
    <cellStyle name="20% - Accent2 7 7 5 4" xfId="24919"/>
    <cellStyle name="20% - Accent2 7 7 6" xfId="6740"/>
    <cellStyle name="20% - Accent2 7 7 6 2" xfId="9947"/>
    <cellStyle name="20% - Accent2 7 7 6 2 2" xfId="17734"/>
    <cellStyle name="20% - Accent2 7 7 6 2 2 2" xfId="35357"/>
    <cellStyle name="20% - Accent2 7 7 6 2 3" xfId="28316"/>
    <cellStyle name="20% - Accent2 7 7 6 3" xfId="14522"/>
    <cellStyle name="20% - Accent2 7 7 6 3 2" xfId="32143"/>
    <cellStyle name="20% - Accent2 7 7 6 4" xfId="25456"/>
    <cellStyle name="20% - Accent2 7 7 7" xfId="7572"/>
    <cellStyle name="20% - Accent2 7 7 7 2" xfId="15363"/>
    <cellStyle name="20% - Accent2 7 7 7 2 2" xfId="32984"/>
    <cellStyle name="20% - Accent2 7 7 7 3" xfId="25991"/>
    <cellStyle name="20% - Accent2 7 7 8" xfId="11137"/>
    <cellStyle name="20% - Accent2 7 7 8 2" xfId="28851"/>
    <cellStyle name="20% - Accent2 7 7 9" xfId="23130"/>
    <cellStyle name="20% - Accent2 7 8" xfId="3548"/>
    <cellStyle name="20% - Accent2 7 8 2" xfId="8166"/>
    <cellStyle name="20% - Accent2 7 8 2 2" xfId="15956"/>
    <cellStyle name="20% - Accent2 7 8 2 2 2" xfId="33577"/>
    <cellStyle name="20% - Accent2 7 8 2 3" xfId="26566"/>
    <cellStyle name="20% - Accent2 7 8 3" xfId="12274"/>
    <cellStyle name="20% - Accent2 7 8 3 2" xfId="29931"/>
    <cellStyle name="20% - Accent2 7 8 4" xfId="23705"/>
    <cellStyle name="20% - Accent2 7 9" xfId="3549"/>
    <cellStyle name="20% - Accent2 7 9 2" xfId="8167"/>
    <cellStyle name="20% - Accent2 7 9 2 2" xfId="15957"/>
    <cellStyle name="20% - Accent2 7 9 2 2 2" xfId="33578"/>
    <cellStyle name="20% - Accent2 7 9 2 3" xfId="26567"/>
    <cellStyle name="20% - Accent2 7 9 3" xfId="12275"/>
    <cellStyle name="20% - Accent2 7 9 3 2" xfId="29932"/>
    <cellStyle name="20% - Accent2 7 9 4" xfId="23706"/>
    <cellStyle name="20% - Accent2 8" xfId="317"/>
    <cellStyle name="20% - Accent2 8 10" xfId="3550"/>
    <cellStyle name="20% - Accent2 8 10 2" xfId="8168"/>
    <cellStyle name="20% - Accent2 8 10 2 2" xfId="15958"/>
    <cellStyle name="20% - Accent2 8 10 2 2 2" xfId="33579"/>
    <cellStyle name="20% - Accent2 8 10 2 3" xfId="26568"/>
    <cellStyle name="20% - Accent2 8 10 3" xfId="12276"/>
    <cellStyle name="20% - Accent2 8 10 3 2" xfId="29933"/>
    <cellStyle name="20% - Accent2 8 10 4" xfId="23707"/>
    <cellStyle name="20% - Accent2 8 11" xfId="5574"/>
    <cellStyle name="20% - Accent2 8 11 2" xfId="8871"/>
    <cellStyle name="20% - Accent2 8 11 2 2" xfId="16660"/>
    <cellStyle name="20% - Accent2 8 11 2 2 2" xfId="34282"/>
    <cellStyle name="20% - Accent2 8 11 2 3" xfId="27245"/>
    <cellStyle name="20% - Accent2 8 11 3" xfId="13424"/>
    <cellStyle name="20% - Accent2 8 11 3 2" xfId="31050"/>
    <cellStyle name="20% - Accent2 8 11 4" xfId="24384"/>
    <cellStyle name="20% - Accent2 8 12" xfId="6204"/>
    <cellStyle name="20% - Accent2 8 12 2" xfId="9411"/>
    <cellStyle name="20% - Accent2 8 12 2 2" xfId="17199"/>
    <cellStyle name="20% - Accent2 8 12 2 2 2" xfId="34822"/>
    <cellStyle name="20% - Accent2 8 12 2 3" xfId="27781"/>
    <cellStyle name="20% - Accent2 8 12 3" xfId="13987"/>
    <cellStyle name="20% - Accent2 8 12 3 2" xfId="31608"/>
    <cellStyle name="20% - Accent2 8 12 4" xfId="24920"/>
    <cellStyle name="20% - Accent2 8 13" xfId="6741"/>
    <cellStyle name="20% - Accent2 8 13 2" xfId="9948"/>
    <cellStyle name="20% - Accent2 8 13 2 2" xfId="17735"/>
    <cellStyle name="20% - Accent2 8 13 2 2 2" xfId="35358"/>
    <cellStyle name="20% - Accent2 8 13 2 3" xfId="28317"/>
    <cellStyle name="20% - Accent2 8 13 3" xfId="14523"/>
    <cellStyle name="20% - Accent2 8 13 3 2" xfId="32144"/>
    <cellStyle name="20% - Accent2 8 13 4" xfId="25457"/>
    <cellStyle name="20% - Accent2 8 14" xfId="7573"/>
    <cellStyle name="20% - Accent2 8 14 2" xfId="15364"/>
    <cellStyle name="20% - Accent2 8 14 2 2" xfId="32985"/>
    <cellStyle name="20% - Accent2 8 14 3" xfId="25992"/>
    <cellStyle name="20% - Accent2 8 15" xfId="11138"/>
    <cellStyle name="20% - Accent2 8 15 2" xfId="28852"/>
    <cellStyle name="20% - Accent2 8 16" xfId="22033"/>
    <cellStyle name="20% - Accent2 8 16 2" xfId="38733"/>
    <cellStyle name="20% - Accent2 8 17" xfId="23131"/>
    <cellStyle name="20% - Accent2 8 18" xfId="51670"/>
    <cellStyle name="20% - Accent2 8 2" xfId="318"/>
    <cellStyle name="20% - Accent2 8 2 10" xfId="51671"/>
    <cellStyle name="20% - Accent2 8 2 2" xfId="3551"/>
    <cellStyle name="20% - Accent2 8 2 2 2" xfId="8169"/>
    <cellStyle name="20% - Accent2 8 2 2 2 2" xfId="15959"/>
    <cellStyle name="20% - Accent2 8 2 2 2 2 2" xfId="33580"/>
    <cellStyle name="20% - Accent2 8 2 2 2 3" xfId="26569"/>
    <cellStyle name="20% - Accent2 8 2 2 3" xfId="12277"/>
    <cellStyle name="20% - Accent2 8 2 2 3 2" xfId="29934"/>
    <cellStyle name="20% - Accent2 8 2 2 4" xfId="22702"/>
    <cellStyle name="20% - Accent2 8 2 2 4 2" xfId="38898"/>
    <cellStyle name="20% - Accent2 8 2 2 5" xfId="23708"/>
    <cellStyle name="20% - Accent2 8 2 3" xfId="5575"/>
    <cellStyle name="20% - Accent2 8 2 3 2" xfId="8872"/>
    <cellStyle name="20% - Accent2 8 2 3 2 2" xfId="16661"/>
    <cellStyle name="20% - Accent2 8 2 3 2 2 2" xfId="34283"/>
    <cellStyle name="20% - Accent2 8 2 3 2 3" xfId="27246"/>
    <cellStyle name="20% - Accent2 8 2 3 3" xfId="13425"/>
    <cellStyle name="20% - Accent2 8 2 3 3 2" xfId="31051"/>
    <cellStyle name="20% - Accent2 8 2 3 4" xfId="24385"/>
    <cellStyle name="20% - Accent2 8 2 4" xfId="6205"/>
    <cellStyle name="20% - Accent2 8 2 4 2" xfId="9412"/>
    <cellStyle name="20% - Accent2 8 2 4 2 2" xfId="17200"/>
    <cellStyle name="20% - Accent2 8 2 4 2 2 2" xfId="34823"/>
    <cellStyle name="20% - Accent2 8 2 4 2 3" xfId="27782"/>
    <cellStyle name="20% - Accent2 8 2 4 3" xfId="13988"/>
    <cellStyle name="20% - Accent2 8 2 4 3 2" xfId="31609"/>
    <cellStyle name="20% - Accent2 8 2 4 4" xfId="24921"/>
    <cellStyle name="20% - Accent2 8 2 5" xfId="6742"/>
    <cellStyle name="20% - Accent2 8 2 5 2" xfId="9949"/>
    <cellStyle name="20% - Accent2 8 2 5 2 2" xfId="17736"/>
    <cellStyle name="20% - Accent2 8 2 5 2 2 2" xfId="35359"/>
    <cellStyle name="20% - Accent2 8 2 5 2 3" xfId="28318"/>
    <cellStyle name="20% - Accent2 8 2 5 3" xfId="14524"/>
    <cellStyle name="20% - Accent2 8 2 5 3 2" xfId="32145"/>
    <cellStyle name="20% - Accent2 8 2 5 4" xfId="25458"/>
    <cellStyle name="20% - Accent2 8 2 6" xfId="7574"/>
    <cellStyle name="20% - Accent2 8 2 6 2" xfId="15365"/>
    <cellStyle name="20% - Accent2 8 2 6 2 2" xfId="32986"/>
    <cellStyle name="20% - Accent2 8 2 6 3" xfId="25993"/>
    <cellStyle name="20% - Accent2 8 2 7" xfId="11139"/>
    <cellStyle name="20% - Accent2 8 2 7 2" xfId="28853"/>
    <cellStyle name="20% - Accent2 8 2 8" xfId="22034"/>
    <cellStyle name="20% - Accent2 8 2 8 2" xfId="38734"/>
    <cellStyle name="20% - Accent2 8 2 9" xfId="23132"/>
    <cellStyle name="20% - Accent2 8 3" xfId="319"/>
    <cellStyle name="20% - Accent2 8 3 10" xfId="22701"/>
    <cellStyle name="20% - Accent2 8 3 10 2" xfId="38897"/>
    <cellStyle name="20% - Accent2 8 3 11" xfId="23133"/>
    <cellStyle name="20% - Accent2 8 3 12" xfId="51672"/>
    <cellStyle name="20% - Accent2 8 3 2" xfId="320"/>
    <cellStyle name="20% - Accent2 8 3 2 2" xfId="3553"/>
    <cellStyle name="20% - Accent2 8 3 2 2 2" xfId="8171"/>
    <cellStyle name="20% - Accent2 8 3 2 2 2 2" xfId="15961"/>
    <cellStyle name="20% - Accent2 8 3 2 2 2 2 2" xfId="33582"/>
    <cellStyle name="20% - Accent2 8 3 2 2 2 3" xfId="26571"/>
    <cellStyle name="20% - Accent2 8 3 2 2 3" xfId="12279"/>
    <cellStyle name="20% - Accent2 8 3 2 2 3 2" xfId="29936"/>
    <cellStyle name="20% - Accent2 8 3 2 2 4" xfId="23710"/>
    <cellStyle name="20% - Accent2 8 3 2 3" xfId="5577"/>
    <cellStyle name="20% - Accent2 8 3 2 3 2" xfId="8874"/>
    <cellStyle name="20% - Accent2 8 3 2 3 2 2" xfId="16663"/>
    <cellStyle name="20% - Accent2 8 3 2 3 2 2 2" xfId="34285"/>
    <cellStyle name="20% - Accent2 8 3 2 3 2 3" xfId="27248"/>
    <cellStyle name="20% - Accent2 8 3 2 3 3" xfId="13427"/>
    <cellStyle name="20% - Accent2 8 3 2 3 3 2" xfId="31053"/>
    <cellStyle name="20% - Accent2 8 3 2 3 4" xfId="24387"/>
    <cellStyle name="20% - Accent2 8 3 2 4" xfId="6207"/>
    <cellStyle name="20% - Accent2 8 3 2 4 2" xfId="9414"/>
    <cellStyle name="20% - Accent2 8 3 2 4 2 2" xfId="17202"/>
    <cellStyle name="20% - Accent2 8 3 2 4 2 2 2" xfId="34825"/>
    <cellStyle name="20% - Accent2 8 3 2 4 2 3" xfId="27784"/>
    <cellStyle name="20% - Accent2 8 3 2 4 3" xfId="13990"/>
    <cellStyle name="20% - Accent2 8 3 2 4 3 2" xfId="31611"/>
    <cellStyle name="20% - Accent2 8 3 2 4 4" xfId="24923"/>
    <cellStyle name="20% - Accent2 8 3 2 5" xfId="6744"/>
    <cellStyle name="20% - Accent2 8 3 2 5 2" xfId="9951"/>
    <cellStyle name="20% - Accent2 8 3 2 5 2 2" xfId="17738"/>
    <cellStyle name="20% - Accent2 8 3 2 5 2 2 2" xfId="35361"/>
    <cellStyle name="20% - Accent2 8 3 2 5 2 3" xfId="28320"/>
    <cellStyle name="20% - Accent2 8 3 2 5 3" xfId="14526"/>
    <cellStyle name="20% - Accent2 8 3 2 5 3 2" xfId="32147"/>
    <cellStyle name="20% - Accent2 8 3 2 5 4" xfId="25460"/>
    <cellStyle name="20% - Accent2 8 3 2 6" xfId="7576"/>
    <cellStyle name="20% - Accent2 8 3 2 6 2" xfId="15367"/>
    <cellStyle name="20% - Accent2 8 3 2 6 2 2" xfId="32988"/>
    <cellStyle name="20% - Accent2 8 3 2 6 3" xfId="25995"/>
    <cellStyle name="20% - Accent2 8 3 2 7" xfId="11141"/>
    <cellStyle name="20% - Accent2 8 3 2 7 2" xfId="28855"/>
    <cellStyle name="20% - Accent2 8 3 2 8" xfId="23134"/>
    <cellStyle name="20% - Accent2 8 3 2 9" xfId="51673"/>
    <cellStyle name="20% - Accent2 8 3 3" xfId="3554"/>
    <cellStyle name="20% - Accent2 8 3 3 2" xfId="5578"/>
    <cellStyle name="20% - Accent2 8 3 3 2 2" xfId="8875"/>
    <cellStyle name="20% - Accent2 8 3 3 2 2 2" xfId="16664"/>
    <cellStyle name="20% - Accent2 8 3 3 2 2 2 2" xfId="34286"/>
    <cellStyle name="20% - Accent2 8 3 3 2 2 3" xfId="27249"/>
    <cellStyle name="20% - Accent2 8 3 3 2 3" xfId="13428"/>
    <cellStyle name="20% - Accent2 8 3 3 2 3 2" xfId="31054"/>
    <cellStyle name="20% - Accent2 8 3 3 2 4" xfId="24388"/>
    <cellStyle name="20% - Accent2 8 3 3 3" xfId="6208"/>
    <cellStyle name="20% - Accent2 8 3 3 3 2" xfId="9415"/>
    <cellStyle name="20% - Accent2 8 3 3 3 2 2" xfId="17203"/>
    <cellStyle name="20% - Accent2 8 3 3 3 2 2 2" xfId="34826"/>
    <cellStyle name="20% - Accent2 8 3 3 3 2 3" xfId="27785"/>
    <cellStyle name="20% - Accent2 8 3 3 3 3" xfId="13991"/>
    <cellStyle name="20% - Accent2 8 3 3 3 3 2" xfId="31612"/>
    <cellStyle name="20% - Accent2 8 3 3 3 4" xfId="24924"/>
    <cellStyle name="20% - Accent2 8 3 3 4" xfId="6745"/>
    <cellStyle name="20% - Accent2 8 3 3 4 2" xfId="9952"/>
    <cellStyle name="20% - Accent2 8 3 3 4 2 2" xfId="17739"/>
    <cellStyle name="20% - Accent2 8 3 3 4 2 2 2" xfId="35362"/>
    <cellStyle name="20% - Accent2 8 3 3 4 2 3" xfId="28321"/>
    <cellStyle name="20% - Accent2 8 3 3 4 3" xfId="14527"/>
    <cellStyle name="20% - Accent2 8 3 3 4 3 2" xfId="32148"/>
    <cellStyle name="20% - Accent2 8 3 3 4 4" xfId="25461"/>
    <cellStyle name="20% - Accent2 8 3 3 5" xfId="8172"/>
    <cellStyle name="20% - Accent2 8 3 3 5 2" xfId="15962"/>
    <cellStyle name="20% - Accent2 8 3 3 5 2 2" xfId="33583"/>
    <cellStyle name="20% - Accent2 8 3 3 5 3" xfId="26572"/>
    <cellStyle name="20% - Accent2 8 3 3 6" xfId="12280"/>
    <cellStyle name="20% - Accent2 8 3 3 6 2" xfId="29937"/>
    <cellStyle name="20% - Accent2 8 3 3 7" xfId="23711"/>
    <cellStyle name="20% - Accent2 8 3 4" xfId="3552"/>
    <cellStyle name="20% - Accent2 8 3 4 2" xfId="8170"/>
    <cellStyle name="20% - Accent2 8 3 4 2 2" xfId="15960"/>
    <cellStyle name="20% - Accent2 8 3 4 2 2 2" xfId="33581"/>
    <cellStyle name="20% - Accent2 8 3 4 2 3" xfId="26570"/>
    <cellStyle name="20% - Accent2 8 3 4 3" xfId="12278"/>
    <cellStyle name="20% - Accent2 8 3 4 3 2" xfId="29935"/>
    <cellStyle name="20% - Accent2 8 3 4 4" xfId="23709"/>
    <cellStyle name="20% - Accent2 8 3 5" xfId="5576"/>
    <cellStyle name="20% - Accent2 8 3 5 2" xfId="8873"/>
    <cellStyle name="20% - Accent2 8 3 5 2 2" xfId="16662"/>
    <cellStyle name="20% - Accent2 8 3 5 2 2 2" xfId="34284"/>
    <cellStyle name="20% - Accent2 8 3 5 2 3" xfId="27247"/>
    <cellStyle name="20% - Accent2 8 3 5 3" xfId="13426"/>
    <cellStyle name="20% - Accent2 8 3 5 3 2" xfId="31052"/>
    <cellStyle name="20% - Accent2 8 3 5 4" xfId="24386"/>
    <cellStyle name="20% - Accent2 8 3 6" xfId="6206"/>
    <cellStyle name="20% - Accent2 8 3 6 2" xfId="9413"/>
    <cellStyle name="20% - Accent2 8 3 6 2 2" xfId="17201"/>
    <cellStyle name="20% - Accent2 8 3 6 2 2 2" xfId="34824"/>
    <cellStyle name="20% - Accent2 8 3 6 2 3" xfId="27783"/>
    <cellStyle name="20% - Accent2 8 3 6 3" xfId="13989"/>
    <cellStyle name="20% - Accent2 8 3 6 3 2" xfId="31610"/>
    <cellStyle name="20% - Accent2 8 3 6 4" xfId="24922"/>
    <cellStyle name="20% - Accent2 8 3 7" xfId="6743"/>
    <cellStyle name="20% - Accent2 8 3 7 2" xfId="9950"/>
    <cellStyle name="20% - Accent2 8 3 7 2 2" xfId="17737"/>
    <cellStyle name="20% - Accent2 8 3 7 2 2 2" xfId="35360"/>
    <cellStyle name="20% - Accent2 8 3 7 2 3" xfId="28319"/>
    <cellStyle name="20% - Accent2 8 3 7 3" xfId="14525"/>
    <cellStyle name="20% - Accent2 8 3 7 3 2" xfId="32146"/>
    <cellStyle name="20% - Accent2 8 3 7 4" xfId="25459"/>
    <cellStyle name="20% - Accent2 8 3 8" xfId="7575"/>
    <cellStyle name="20% - Accent2 8 3 8 2" xfId="15366"/>
    <cellStyle name="20% - Accent2 8 3 8 2 2" xfId="32987"/>
    <cellStyle name="20% - Accent2 8 3 8 3" xfId="25994"/>
    <cellStyle name="20% - Accent2 8 3 9" xfId="11140"/>
    <cellStyle name="20% - Accent2 8 3 9 2" xfId="28854"/>
    <cellStyle name="20% - Accent2 8 4" xfId="321"/>
    <cellStyle name="20% - Accent2 8 4 2" xfId="3555"/>
    <cellStyle name="20% - Accent2 8 4 2 2" xfId="8173"/>
    <cellStyle name="20% - Accent2 8 4 2 2 2" xfId="15963"/>
    <cellStyle name="20% - Accent2 8 4 2 2 2 2" xfId="33584"/>
    <cellStyle name="20% - Accent2 8 4 2 2 3" xfId="26573"/>
    <cellStyle name="20% - Accent2 8 4 2 3" xfId="12281"/>
    <cellStyle name="20% - Accent2 8 4 2 3 2" xfId="29938"/>
    <cellStyle name="20% - Accent2 8 4 2 4" xfId="23712"/>
    <cellStyle name="20% - Accent2 8 4 3" xfId="5579"/>
    <cellStyle name="20% - Accent2 8 4 3 2" xfId="8876"/>
    <cellStyle name="20% - Accent2 8 4 3 2 2" xfId="16665"/>
    <cellStyle name="20% - Accent2 8 4 3 2 2 2" xfId="34287"/>
    <cellStyle name="20% - Accent2 8 4 3 2 3" xfId="27250"/>
    <cellStyle name="20% - Accent2 8 4 3 3" xfId="13429"/>
    <cellStyle name="20% - Accent2 8 4 3 3 2" xfId="31055"/>
    <cellStyle name="20% - Accent2 8 4 3 4" xfId="24389"/>
    <cellStyle name="20% - Accent2 8 4 4" xfId="6209"/>
    <cellStyle name="20% - Accent2 8 4 4 2" xfId="9416"/>
    <cellStyle name="20% - Accent2 8 4 4 2 2" xfId="17204"/>
    <cellStyle name="20% - Accent2 8 4 4 2 2 2" xfId="34827"/>
    <cellStyle name="20% - Accent2 8 4 4 2 3" xfId="27786"/>
    <cellStyle name="20% - Accent2 8 4 4 3" xfId="13992"/>
    <cellStyle name="20% - Accent2 8 4 4 3 2" xfId="31613"/>
    <cellStyle name="20% - Accent2 8 4 4 4" xfId="24925"/>
    <cellStyle name="20% - Accent2 8 4 5" xfId="6746"/>
    <cellStyle name="20% - Accent2 8 4 5 2" xfId="9953"/>
    <cellStyle name="20% - Accent2 8 4 5 2 2" xfId="17740"/>
    <cellStyle name="20% - Accent2 8 4 5 2 2 2" xfId="35363"/>
    <cellStyle name="20% - Accent2 8 4 5 2 3" xfId="28322"/>
    <cellStyle name="20% - Accent2 8 4 5 3" xfId="14528"/>
    <cellStyle name="20% - Accent2 8 4 5 3 2" xfId="32149"/>
    <cellStyle name="20% - Accent2 8 4 5 4" xfId="25462"/>
    <cellStyle name="20% - Accent2 8 4 6" xfId="7577"/>
    <cellStyle name="20% - Accent2 8 4 6 2" xfId="15368"/>
    <cellStyle name="20% - Accent2 8 4 6 2 2" xfId="32989"/>
    <cellStyle name="20% - Accent2 8 4 6 3" xfId="25996"/>
    <cellStyle name="20% - Accent2 8 4 7" xfId="11142"/>
    <cellStyle name="20% - Accent2 8 4 7 2" xfId="28856"/>
    <cellStyle name="20% - Accent2 8 4 8" xfId="23135"/>
    <cellStyle name="20% - Accent2 8 4 9" xfId="51674"/>
    <cellStyle name="20% - Accent2 8 5" xfId="322"/>
    <cellStyle name="20% - Accent2 8 5 2" xfId="3556"/>
    <cellStyle name="20% - Accent2 8 5 2 2" xfId="8174"/>
    <cellStyle name="20% - Accent2 8 5 2 2 2" xfId="15964"/>
    <cellStyle name="20% - Accent2 8 5 2 2 2 2" xfId="33585"/>
    <cellStyle name="20% - Accent2 8 5 2 2 3" xfId="26574"/>
    <cellStyle name="20% - Accent2 8 5 2 3" xfId="12282"/>
    <cellStyle name="20% - Accent2 8 5 2 3 2" xfId="29939"/>
    <cellStyle name="20% - Accent2 8 5 2 4" xfId="23713"/>
    <cellStyle name="20% - Accent2 8 5 3" xfId="5580"/>
    <cellStyle name="20% - Accent2 8 5 3 2" xfId="8877"/>
    <cellStyle name="20% - Accent2 8 5 3 2 2" xfId="16666"/>
    <cellStyle name="20% - Accent2 8 5 3 2 2 2" xfId="34288"/>
    <cellStyle name="20% - Accent2 8 5 3 2 3" xfId="27251"/>
    <cellStyle name="20% - Accent2 8 5 3 3" xfId="13430"/>
    <cellStyle name="20% - Accent2 8 5 3 3 2" xfId="31056"/>
    <cellStyle name="20% - Accent2 8 5 3 4" xfId="24390"/>
    <cellStyle name="20% - Accent2 8 5 4" xfId="6210"/>
    <cellStyle name="20% - Accent2 8 5 4 2" xfId="9417"/>
    <cellStyle name="20% - Accent2 8 5 4 2 2" xfId="17205"/>
    <cellStyle name="20% - Accent2 8 5 4 2 2 2" xfId="34828"/>
    <cellStyle name="20% - Accent2 8 5 4 2 3" xfId="27787"/>
    <cellStyle name="20% - Accent2 8 5 4 3" xfId="13993"/>
    <cellStyle name="20% - Accent2 8 5 4 3 2" xfId="31614"/>
    <cellStyle name="20% - Accent2 8 5 4 4" xfId="24926"/>
    <cellStyle name="20% - Accent2 8 5 5" xfId="6747"/>
    <cellStyle name="20% - Accent2 8 5 5 2" xfId="9954"/>
    <cellStyle name="20% - Accent2 8 5 5 2 2" xfId="17741"/>
    <cellStyle name="20% - Accent2 8 5 5 2 2 2" xfId="35364"/>
    <cellStyle name="20% - Accent2 8 5 5 2 3" xfId="28323"/>
    <cellStyle name="20% - Accent2 8 5 5 3" xfId="14529"/>
    <cellStyle name="20% - Accent2 8 5 5 3 2" xfId="32150"/>
    <cellStyle name="20% - Accent2 8 5 5 4" xfId="25463"/>
    <cellStyle name="20% - Accent2 8 5 6" xfId="7578"/>
    <cellStyle name="20% - Accent2 8 5 6 2" xfId="15369"/>
    <cellStyle name="20% - Accent2 8 5 6 2 2" xfId="32990"/>
    <cellStyle name="20% - Accent2 8 5 6 3" xfId="25997"/>
    <cellStyle name="20% - Accent2 8 5 7" xfId="11143"/>
    <cellStyle name="20% - Accent2 8 5 7 2" xfId="28857"/>
    <cellStyle name="20% - Accent2 8 5 8" xfId="23136"/>
    <cellStyle name="20% - Accent2 8 5 9" xfId="51675"/>
    <cellStyle name="20% - Accent2 8 6" xfId="323"/>
    <cellStyle name="20% - Accent2 8 6 2" xfId="3557"/>
    <cellStyle name="20% - Accent2 8 6 2 2" xfId="8175"/>
    <cellStyle name="20% - Accent2 8 6 2 2 2" xfId="15965"/>
    <cellStyle name="20% - Accent2 8 6 2 2 2 2" xfId="33586"/>
    <cellStyle name="20% - Accent2 8 6 2 2 3" xfId="26575"/>
    <cellStyle name="20% - Accent2 8 6 2 3" xfId="12283"/>
    <cellStyle name="20% - Accent2 8 6 2 3 2" xfId="29940"/>
    <cellStyle name="20% - Accent2 8 6 2 4" xfId="23714"/>
    <cellStyle name="20% - Accent2 8 6 3" xfId="5581"/>
    <cellStyle name="20% - Accent2 8 6 3 2" xfId="8878"/>
    <cellStyle name="20% - Accent2 8 6 3 2 2" xfId="16667"/>
    <cellStyle name="20% - Accent2 8 6 3 2 2 2" xfId="34289"/>
    <cellStyle name="20% - Accent2 8 6 3 2 3" xfId="27252"/>
    <cellStyle name="20% - Accent2 8 6 3 3" xfId="13431"/>
    <cellStyle name="20% - Accent2 8 6 3 3 2" xfId="31057"/>
    <cellStyle name="20% - Accent2 8 6 3 4" xfId="24391"/>
    <cellStyle name="20% - Accent2 8 6 4" xfId="6211"/>
    <cellStyle name="20% - Accent2 8 6 4 2" xfId="9418"/>
    <cellStyle name="20% - Accent2 8 6 4 2 2" xfId="17206"/>
    <cellStyle name="20% - Accent2 8 6 4 2 2 2" xfId="34829"/>
    <cellStyle name="20% - Accent2 8 6 4 2 3" xfId="27788"/>
    <cellStyle name="20% - Accent2 8 6 4 3" xfId="13994"/>
    <cellStyle name="20% - Accent2 8 6 4 3 2" xfId="31615"/>
    <cellStyle name="20% - Accent2 8 6 4 4" xfId="24927"/>
    <cellStyle name="20% - Accent2 8 6 5" xfId="6748"/>
    <cellStyle name="20% - Accent2 8 6 5 2" xfId="9955"/>
    <cellStyle name="20% - Accent2 8 6 5 2 2" xfId="17742"/>
    <cellStyle name="20% - Accent2 8 6 5 2 2 2" xfId="35365"/>
    <cellStyle name="20% - Accent2 8 6 5 2 3" xfId="28324"/>
    <cellStyle name="20% - Accent2 8 6 5 3" xfId="14530"/>
    <cellStyle name="20% - Accent2 8 6 5 3 2" xfId="32151"/>
    <cellStyle name="20% - Accent2 8 6 5 4" xfId="25464"/>
    <cellStyle name="20% - Accent2 8 6 6" xfId="7579"/>
    <cellStyle name="20% - Accent2 8 6 6 2" xfId="15370"/>
    <cellStyle name="20% - Accent2 8 6 6 2 2" xfId="32991"/>
    <cellStyle name="20% - Accent2 8 6 6 3" xfId="25998"/>
    <cellStyle name="20% - Accent2 8 6 7" xfId="11144"/>
    <cellStyle name="20% - Accent2 8 6 7 2" xfId="28858"/>
    <cellStyle name="20% - Accent2 8 6 8" xfId="23137"/>
    <cellStyle name="20% - Accent2 8 6 9" xfId="51676"/>
    <cellStyle name="20% - Accent2 8 7" xfId="324"/>
    <cellStyle name="20% - Accent2 8 7 10" xfId="51677"/>
    <cellStyle name="20% - Accent2 8 7 2" xfId="325"/>
    <cellStyle name="20% - Accent2 8 7 2 2" xfId="8177"/>
    <cellStyle name="20% - Accent2 8 7 2 2 2" xfId="15967"/>
    <cellStyle name="20% - Accent2 8 7 2 2 2 2" xfId="33588"/>
    <cellStyle name="20% - Accent2 8 7 2 2 3" xfId="26577"/>
    <cellStyle name="20% - Accent2 8 7 2 3" xfId="12285"/>
    <cellStyle name="20% - Accent2 8 7 2 3 2" xfId="29942"/>
    <cellStyle name="20% - Accent2 8 7 2 4" xfId="23716"/>
    <cellStyle name="20% - Accent2 8 7 3" xfId="3558"/>
    <cellStyle name="20% - Accent2 8 7 3 2" xfId="8176"/>
    <cellStyle name="20% - Accent2 8 7 3 2 2" xfId="15966"/>
    <cellStyle name="20% - Accent2 8 7 3 2 2 2" xfId="33587"/>
    <cellStyle name="20% - Accent2 8 7 3 2 3" xfId="26576"/>
    <cellStyle name="20% - Accent2 8 7 3 3" xfId="12284"/>
    <cellStyle name="20% - Accent2 8 7 3 3 2" xfId="29941"/>
    <cellStyle name="20% - Accent2 8 7 3 4" xfId="23715"/>
    <cellStyle name="20% - Accent2 8 7 4" xfId="5582"/>
    <cellStyle name="20% - Accent2 8 7 4 2" xfId="8879"/>
    <cellStyle name="20% - Accent2 8 7 4 2 2" xfId="16668"/>
    <cellStyle name="20% - Accent2 8 7 4 2 2 2" xfId="34290"/>
    <cellStyle name="20% - Accent2 8 7 4 2 3" xfId="27253"/>
    <cellStyle name="20% - Accent2 8 7 4 3" xfId="13432"/>
    <cellStyle name="20% - Accent2 8 7 4 3 2" xfId="31058"/>
    <cellStyle name="20% - Accent2 8 7 4 4" xfId="24392"/>
    <cellStyle name="20% - Accent2 8 7 5" xfId="6212"/>
    <cellStyle name="20% - Accent2 8 7 5 2" xfId="9419"/>
    <cellStyle name="20% - Accent2 8 7 5 2 2" xfId="17207"/>
    <cellStyle name="20% - Accent2 8 7 5 2 2 2" xfId="34830"/>
    <cellStyle name="20% - Accent2 8 7 5 2 3" xfId="27789"/>
    <cellStyle name="20% - Accent2 8 7 5 3" xfId="13995"/>
    <cellStyle name="20% - Accent2 8 7 5 3 2" xfId="31616"/>
    <cellStyle name="20% - Accent2 8 7 5 4" xfId="24928"/>
    <cellStyle name="20% - Accent2 8 7 6" xfId="6749"/>
    <cellStyle name="20% - Accent2 8 7 6 2" xfId="9956"/>
    <cellStyle name="20% - Accent2 8 7 6 2 2" xfId="17743"/>
    <cellStyle name="20% - Accent2 8 7 6 2 2 2" xfId="35366"/>
    <cellStyle name="20% - Accent2 8 7 6 2 3" xfId="28325"/>
    <cellStyle name="20% - Accent2 8 7 6 3" xfId="14531"/>
    <cellStyle name="20% - Accent2 8 7 6 3 2" xfId="32152"/>
    <cellStyle name="20% - Accent2 8 7 6 4" xfId="25465"/>
    <cellStyle name="20% - Accent2 8 7 7" xfId="7580"/>
    <cellStyle name="20% - Accent2 8 7 7 2" xfId="15371"/>
    <cellStyle name="20% - Accent2 8 7 7 2 2" xfId="32992"/>
    <cellStyle name="20% - Accent2 8 7 7 3" xfId="25999"/>
    <cellStyle name="20% - Accent2 8 7 8" xfId="11145"/>
    <cellStyle name="20% - Accent2 8 7 8 2" xfId="28859"/>
    <cellStyle name="20% - Accent2 8 7 9" xfId="23138"/>
    <cellStyle name="20% - Accent2 8 8" xfId="3559"/>
    <cellStyle name="20% - Accent2 8 8 2" xfId="8178"/>
    <cellStyle name="20% - Accent2 8 8 2 2" xfId="15968"/>
    <cellStyle name="20% - Accent2 8 8 2 2 2" xfId="33589"/>
    <cellStyle name="20% - Accent2 8 8 2 3" xfId="26578"/>
    <cellStyle name="20% - Accent2 8 8 3" xfId="12286"/>
    <cellStyle name="20% - Accent2 8 8 3 2" xfId="29943"/>
    <cellStyle name="20% - Accent2 8 8 4" xfId="23717"/>
    <cellStyle name="20% - Accent2 8 9" xfId="3560"/>
    <cellStyle name="20% - Accent2 8 9 2" xfId="8179"/>
    <cellStyle name="20% - Accent2 8 9 2 2" xfId="15969"/>
    <cellStyle name="20% - Accent2 8 9 2 2 2" xfId="33590"/>
    <cellStyle name="20% - Accent2 8 9 2 3" xfId="26579"/>
    <cellStyle name="20% - Accent2 8 9 3" xfId="12287"/>
    <cellStyle name="20% - Accent2 8 9 3 2" xfId="29944"/>
    <cellStyle name="20% - Accent2 8 9 4" xfId="23718"/>
    <cellStyle name="20% - Accent2 9" xfId="326"/>
    <cellStyle name="20% - Accent2 9 10" xfId="3561"/>
    <cellStyle name="20% - Accent2 9 10 2" xfId="8180"/>
    <cellStyle name="20% - Accent2 9 10 2 2" xfId="15970"/>
    <cellStyle name="20% - Accent2 9 10 2 2 2" xfId="33591"/>
    <cellStyle name="20% - Accent2 9 10 2 3" xfId="26580"/>
    <cellStyle name="20% - Accent2 9 10 3" xfId="12288"/>
    <cellStyle name="20% - Accent2 9 10 3 2" xfId="29945"/>
    <cellStyle name="20% - Accent2 9 10 4" xfId="23719"/>
    <cellStyle name="20% - Accent2 9 11" xfId="5583"/>
    <cellStyle name="20% - Accent2 9 11 2" xfId="8880"/>
    <cellStyle name="20% - Accent2 9 11 2 2" xfId="16669"/>
    <cellStyle name="20% - Accent2 9 11 2 2 2" xfId="34291"/>
    <cellStyle name="20% - Accent2 9 11 2 3" xfId="27254"/>
    <cellStyle name="20% - Accent2 9 11 3" xfId="13433"/>
    <cellStyle name="20% - Accent2 9 11 3 2" xfId="31059"/>
    <cellStyle name="20% - Accent2 9 11 4" xfId="24393"/>
    <cellStyle name="20% - Accent2 9 12" xfId="6213"/>
    <cellStyle name="20% - Accent2 9 12 2" xfId="9420"/>
    <cellStyle name="20% - Accent2 9 12 2 2" xfId="17208"/>
    <cellStyle name="20% - Accent2 9 12 2 2 2" xfId="34831"/>
    <cellStyle name="20% - Accent2 9 12 2 3" xfId="27790"/>
    <cellStyle name="20% - Accent2 9 12 3" xfId="13996"/>
    <cellStyle name="20% - Accent2 9 12 3 2" xfId="31617"/>
    <cellStyle name="20% - Accent2 9 12 4" xfId="24929"/>
    <cellStyle name="20% - Accent2 9 13" xfId="6750"/>
    <cellStyle name="20% - Accent2 9 13 2" xfId="9957"/>
    <cellStyle name="20% - Accent2 9 13 2 2" xfId="17744"/>
    <cellStyle name="20% - Accent2 9 13 2 2 2" xfId="35367"/>
    <cellStyle name="20% - Accent2 9 13 2 3" xfId="28326"/>
    <cellStyle name="20% - Accent2 9 13 3" xfId="14532"/>
    <cellStyle name="20% - Accent2 9 13 3 2" xfId="32153"/>
    <cellStyle name="20% - Accent2 9 13 4" xfId="25466"/>
    <cellStyle name="20% - Accent2 9 14" xfId="7581"/>
    <cellStyle name="20% - Accent2 9 14 2" xfId="15372"/>
    <cellStyle name="20% - Accent2 9 14 2 2" xfId="32993"/>
    <cellStyle name="20% - Accent2 9 14 3" xfId="26000"/>
    <cellStyle name="20% - Accent2 9 15" xfId="11146"/>
    <cellStyle name="20% - Accent2 9 15 2" xfId="28860"/>
    <cellStyle name="20% - Accent2 9 16" xfId="22035"/>
    <cellStyle name="20% - Accent2 9 16 2" xfId="38735"/>
    <cellStyle name="20% - Accent2 9 17" xfId="23139"/>
    <cellStyle name="20% - Accent2 9 18" xfId="51678"/>
    <cellStyle name="20% - Accent2 9 2" xfId="327"/>
    <cellStyle name="20% - Accent2 9 2 10" xfId="51679"/>
    <cellStyle name="20% - Accent2 9 2 2" xfId="3562"/>
    <cellStyle name="20% - Accent2 9 2 2 2" xfId="8181"/>
    <cellStyle name="20% - Accent2 9 2 2 2 2" xfId="15971"/>
    <cellStyle name="20% - Accent2 9 2 2 2 2 2" xfId="33592"/>
    <cellStyle name="20% - Accent2 9 2 2 2 3" xfId="26581"/>
    <cellStyle name="20% - Accent2 9 2 2 3" xfId="12289"/>
    <cellStyle name="20% - Accent2 9 2 2 3 2" xfId="29946"/>
    <cellStyle name="20% - Accent2 9 2 2 4" xfId="23720"/>
    <cellStyle name="20% - Accent2 9 2 3" xfId="5584"/>
    <cellStyle name="20% - Accent2 9 2 3 2" xfId="8881"/>
    <cellStyle name="20% - Accent2 9 2 3 2 2" xfId="16670"/>
    <cellStyle name="20% - Accent2 9 2 3 2 2 2" xfId="34292"/>
    <cellStyle name="20% - Accent2 9 2 3 2 3" xfId="27255"/>
    <cellStyle name="20% - Accent2 9 2 3 3" xfId="13434"/>
    <cellStyle name="20% - Accent2 9 2 3 3 2" xfId="31060"/>
    <cellStyle name="20% - Accent2 9 2 3 4" xfId="24394"/>
    <cellStyle name="20% - Accent2 9 2 4" xfId="6214"/>
    <cellStyle name="20% - Accent2 9 2 4 2" xfId="9421"/>
    <cellStyle name="20% - Accent2 9 2 4 2 2" xfId="17209"/>
    <cellStyle name="20% - Accent2 9 2 4 2 2 2" xfId="34832"/>
    <cellStyle name="20% - Accent2 9 2 4 2 3" xfId="27791"/>
    <cellStyle name="20% - Accent2 9 2 4 3" xfId="13997"/>
    <cellStyle name="20% - Accent2 9 2 4 3 2" xfId="31618"/>
    <cellStyle name="20% - Accent2 9 2 4 4" xfId="24930"/>
    <cellStyle name="20% - Accent2 9 2 5" xfId="6751"/>
    <cellStyle name="20% - Accent2 9 2 5 2" xfId="9958"/>
    <cellStyle name="20% - Accent2 9 2 5 2 2" xfId="17745"/>
    <cellStyle name="20% - Accent2 9 2 5 2 2 2" xfId="35368"/>
    <cellStyle name="20% - Accent2 9 2 5 2 3" xfId="28327"/>
    <cellStyle name="20% - Accent2 9 2 5 3" xfId="14533"/>
    <cellStyle name="20% - Accent2 9 2 5 3 2" xfId="32154"/>
    <cellStyle name="20% - Accent2 9 2 5 4" xfId="25467"/>
    <cellStyle name="20% - Accent2 9 2 6" xfId="7582"/>
    <cellStyle name="20% - Accent2 9 2 6 2" xfId="15373"/>
    <cellStyle name="20% - Accent2 9 2 6 2 2" xfId="32994"/>
    <cellStyle name="20% - Accent2 9 2 6 3" xfId="26001"/>
    <cellStyle name="20% - Accent2 9 2 7" xfId="11147"/>
    <cellStyle name="20% - Accent2 9 2 7 2" xfId="28861"/>
    <cellStyle name="20% - Accent2 9 2 8" xfId="22703"/>
    <cellStyle name="20% - Accent2 9 2 8 2" xfId="38899"/>
    <cellStyle name="20% - Accent2 9 2 9" xfId="23140"/>
    <cellStyle name="20% - Accent2 9 3" xfId="328"/>
    <cellStyle name="20% - Accent2 9 3 10" xfId="23141"/>
    <cellStyle name="20% - Accent2 9 3 11" xfId="51680"/>
    <cellStyle name="20% - Accent2 9 3 2" xfId="329"/>
    <cellStyle name="20% - Accent2 9 3 2 2" xfId="3564"/>
    <cellStyle name="20% - Accent2 9 3 2 2 2" xfId="8183"/>
    <cellStyle name="20% - Accent2 9 3 2 2 2 2" xfId="15973"/>
    <cellStyle name="20% - Accent2 9 3 2 2 2 2 2" xfId="33594"/>
    <cellStyle name="20% - Accent2 9 3 2 2 2 3" xfId="26583"/>
    <cellStyle name="20% - Accent2 9 3 2 2 3" xfId="12291"/>
    <cellStyle name="20% - Accent2 9 3 2 2 3 2" xfId="29948"/>
    <cellStyle name="20% - Accent2 9 3 2 2 4" xfId="23722"/>
    <cellStyle name="20% - Accent2 9 3 2 3" xfId="5586"/>
    <cellStyle name="20% - Accent2 9 3 2 3 2" xfId="8883"/>
    <cellStyle name="20% - Accent2 9 3 2 3 2 2" xfId="16672"/>
    <cellStyle name="20% - Accent2 9 3 2 3 2 2 2" xfId="34294"/>
    <cellStyle name="20% - Accent2 9 3 2 3 2 3" xfId="27257"/>
    <cellStyle name="20% - Accent2 9 3 2 3 3" xfId="13436"/>
    <cellStyle name="20% - Accent2 9 3 2 3 3 2" xfId="31062"/>
    <cellStyle name="20% - Accent2 9 3 2 3 4" xfId="24396"/>
    <cellStyle name="20% - Accent2 9 3 2 4" xfId="6216"/>
    <cellStyle name="20% - Accent2 9 3 2 4 2" xfId="9423"/>
    <cellStyle name="20% - Accent2 9 3 2 4 2 2" xfId="17211"/>
    <cellStyle name="20% - Accent2 9 3 2 4 2 2 2" xfId="34834"/>
    <cellStyle name="20% - Accent2 9 3 2 4 2 3" xfId="27793"/>
    <cellStyle name="20% - Accent2 9 3 2 4 3" xfId="13999"/>
    <cellStyle name="20% - Accent2 9 3 2 4 3 2" xfId="31620"/>
    <cellStyle name="20% - Accent2 9 3 2 4 4" xfId="24932"/>
    <cellStyle name="20% - Accent2 9 3 2 5" xfId="6753"/>
    <cellStyle name="20% - Accent2 9 3 2 5 2" xfId="9960"/>
    <cellStyle name="20% - Accent2 9 3 2 5 2 2" xfId="17747"/>
    <cellStyle name="20% - Accent2 9 3 2 5 2 2 2" xfId="35370"/>
    <cellStyle name="20% - Accent2 9 3 2 5 2 3" xfId="28329"/>
    <cellStyle name="20% - Accent2 9 3 2 5 3" xfId="14535"/>
    <cellStyle name="20% - Accent2 9 3 2 5 3 2" xfId="32156"/>
    <cellStyle name="20% - Accent2 9 3 2 5 4" xfId="25469"/>
    <cellStyle name="20% - Accent2 9 3 2 6" xfId="7584"/>
    <cellStyle name="20% - Accent2 9 3 2 6 2" xfId="15375"/>
    <cellStyle name="20% - Accent2 9 3 2 6 2 2" xfId="32996"/>
    <cellStyle name="20% - Accent2 9 3 2 6 3" xfId="26003"/>
    <cellStyle name="20% - Accent2 9 3 2 7" xfId="11149"/>
    <cellStyle name="20% - Accent2 9 3 2 7 2" xfId="28863"/>
    <cellStyle name="20% - Accent2 9 3 2 8" xfId="23142"/>
    <cellStyle name="20% - Accent2 9 3 2 9" xfId="51681"/>
    <cellStyle name="20% - Accent2 9 3 3" xfId="3565"/>
    <cellStyle name="20% - Accent2 9 3 3 2" xfId="5587"/>
    <cellStyle name="20% - Accent2 9 3 3 2 2" xfId="8884"/>
    <cellStyle name="20% - Accent2 9 3 3 2 2 2" xfId="16673"/>
    <cellStyle name="20% - Accent2 9 3 3 2 2 2 2" xfId="34295"/>
    <cellStyle name="20% - Accent2 9 3 3 2 2 3" xfId="27258"/>
    <cellStyle name="20% - Accent2 9 3 3 2 3" xfId="13437"/>
    <cellStyle name="20% - Accent2 9 3 3 2 3 2" xfId="31063"/>
    <cellStyle name="20% - Accent2 9 3 3 2 4" xfId="24397"/>
    <cellStyle name="20% - Accent2 9 3 3 3" xfId="6217"/>
    <cellStyle name="20% - Accent2 9 3 3 3 2" xfId="9424"/>
    <cellStyle name="20% - Accent2 9 3 3 3 2 2" xfId="17212"/>
    <cellStyle name="20% - Accent2 9 3 3 3 2 2 2" xfId="34835"/>
    <cellStyle name="20% - Accent2 9 3 3 3 2 3" xfId="27794"/>
    <cellStyle name="20% - Accent2 9 3 3 3 3" xfId="14000"/>
    <cellStyle name="20% - Accent2 9 3 3 3 3 2" xfId="31621"/>
    <cellStyle name="20% - Accent2 9 3 3 3 4" xfId="24933"/>
    <cellStyle name="20% - Accent2 9 3 3 4" xfId="6754"/>
    <cellStyle name="20% - Accent2 9 3 3 4 2" xfId="9961"/>
    <cellStyle name="20% - Accent2 9 3 3 4 2 2" xfId="17748"/>
    <cellStyle name="20% - Accent2 9 3 3 4 2 2 2" xfId="35371"/>
    <cellStyle name="20% - Accent2 9 3 3 4 2 3" xfId="28330"/>
    <cellStyle name="20% - Accent2 9 3 3 4 3" xfId="14536"/>
    <cellStyle name="20% - Accent2 9 3 3 4 3 2" xfId="32157"/>
    <cellStyle name="20% - Accent2 9 3 3 4 4" xfId="25470"/>
    <cellStyle name="20% - Accent2 9 3 3 5" xfId="8184"/>
    <cellStyle name="20% - Accent2 9 3 3 5 2" xfId="15974"/>
    <cellStyle name="20% - Accent2 9 3 3 5 2 2" xfId="33595"/>
    <cellStyle name="20% - Accent2 9 3 3 5 3" xfId="26584"/>
    <cellStyle name="20% - Accent2 9 3 3 6" xfId="12292"/>
    <cellStyle name="20% - Accent2 9 3 3 6 2" xfId="29949"/>
    <cellStyle name="20% - Accent2 9 3 3 7" xfId="23723"/>
    <cellStyle name="20% - Accent2 9 3 4" xfId="3563"/>
    <cellStyle name="20% - Accent2 9 3 4 2" xfId="8182"/>
    <cellStyle name="20% - Accent2 9 3 4 2 2" xfId="15972"/>
    <cellStyle name="20% - Accent2 9 3 4 2 2 2" xfId="33593"/>
    <cellStyle name="20% - Accent2 9 3 4 2 3" xfId="26582"/>
    <cellStyle name="20% - Accent2 9 3 4 3" xfId="12290"/>
    <cellStyle name="20% - Accent2 9 3 4 3 2" xfId="29947"/>
    <cellStyle name="20% - Accent2 9 3 4 4" xfId="23721"/>
    <cellStyle name="20% - Accent2 9 3 5" xfId="5585"/>
    <cellStyle name="20% - Accent2 9 3 5 2" xfId="8882"/>
    <cellStyle name="20% - Accent2 9 3 5 2 2" xfId="16671"/>
    <cellStyle name="20% - Accent2 9 3 5 2 2 2" xfId="34293"/>
    <cellStyle name="20% - Accent2 9 3 5 2 3" xfId="27256"/>
    <cellStyle name="20% - Accent2 9 3 5 3" xfId="13435"/>
    <cellStyle name="20% - Accent2 9 3 5 3 2" xfId="31061"/>
    <cellStyle name="20% - Accent2 9 3 5 4" xfId="24395"/>
    <cellStyle name="20% - Accent2 9 3 6" xfId="6215"/>
    <cellStyle name="20% - Accent2 9 3 6 2" xfId="9422"/>
    <cellStyle name="20% - Accent2 9 3 6 2 2" xfId="17210"/>
    <cellStyle name="20% - Accent2 9 3 6 2 2 2" xfId="34833"/>
    <cellStyle name="20% - Accent2 9 3 6 2 3" xfId="27792"/>
    <cellStyle name="20% - Accent2 9 3 6 3" xfId="13998"/>
    <cellStyle name="20% - Accent2 9 3 6 3 2" xfId="31619"/>
    <cellStyle name="20% - Accent2 9 3 6 4" xfId="24931"/>
    <cellStyle name="20% - Accent2 9 3 7" xfId="6752"/>
    <cellStyle name="20% - Accent2 9 3 7 2" xfId="9959"/>
    <cellStyle name="20% - Accent2 9 3 7 2 2" xfId="17746"/>
    <cellStyle name="20% - Accent2 9 3 7 2 2 2" xfId="35369"/>
    <cellStyle name="20% - Accent2 9 3 7 2 3" xfId="28328"/>
    <cellStyle name="20% - Accent2 9 3 7 3" xfId="14534"/>
    <cellStyle name="20% - Accent2 9 3 7 3 2" xfId="32155"/>
    <cellStyle name="20% - Accent2 9 3 7 4" xfId="25468"/>
    <cellStyle name="20% - Accent2 9 3 8" xfId="7583"/>
    <cellStyle name="20% - Accent2 9 3 8 2" xfId="15374"/>
    <cellStyle name="20% - Accent2 9 3 8 2 2" xfId="32995"/>
    <cellStyle name="20% - Accent2 9 3 8 3" xfId="26002"/>
    <cellStyle name="20% - Accent2 9 3 9" xfId="11148"/>
    <cellStyle name="20% - Accent2 9 3 9 2" xfId="28862"/>
    <cellStyle name="20% - Accent2 9 4" xfId="330"/>
    <cellStyle name="20% - Accent2 9 4 2" xfId="3566"/>
    <cellStyle name="20% - Accent2 9 4 2 2" xfId="8185"/>
    <cellStyle name="20% - Accent2 9 4 2 2 2" xfId="15975"/>
    <cellStyle name="20% - Accent2 9 4 2 2 2 2" xfId="33596"/>
    <cellStyle name="20% - Accent2 9 4 2 2 3" xfId="26585"/>
    <cellStyle name="20% - Accent2 9 4 2 3" xfId="12293"/>
    <cellStyle name="20% - Accent2 9 4 2 3 2" xfId="29950"/>
    <cellStyle name="20% - Accent2 9 4 2 4" xfId="23724"/>
    <cellStyle name="20% - Accent2 9 4 3" xfId="5588"/>
    <cellStyle name="20% - Accent2 9 4 3 2" xfId="8885"/>
    <cellStyle name="20% - Accent2 9 4 3 2 2" xfId="16674"/>
    <cellStyle name="20% - Accent2 9 4 3 2 2 2" xfId="34296"/>
    <cellStyle name="20% - Accent2 9 4 3 2 3" xfId="27259"/>
    <cellStyle name="20% - Accent2 9 4 3 3" xfId="13438"/>
    <cellStyle name="20% - Accent2 9 4 3 3 2" xfId="31064"/>
    <cellStyle name="20% - Accent2 9 4 3 4" xfId="24398"/>
    <cellStyle name="20% - Accent2 9 4 4" xfId="6218"/>
    <cellStyle name="20% - Accent2 9 4 4 2" xfId="9425"/>
    <cellStyle name="20% - Accent2 9 4 4 2 2" xfId="17213"/>
    <cellStyle name="20% - Accent2 9 4 4 2 2 2" xfId="34836"/>
    <cellStyle name="20% - Accent2 9 4 4 2 3" xfId="27795"/>
    <cellStyle name="20% - Accent2 9 4 4 3" xfId="14001"/>
    <cellStyle name="20% - Accent2 9 4 4 3 2" xfId="31622"/>
    <cellStyle name="20% - Accent2 9 4 4 4" xfId="24934"/>
    <cellStyle name="20% - Accent2 9 4 5" xfId="6755"/>
    <cellStyle name="20% - Accent2 9 4 5 2" xfId="9962"/>
    <cellStyle name="20% - Accent2 9 4 5 2 2" xfId="17749"/>
    <cellStyle name="20% - Accent2 9 4 5 2 2 2" xfId="35372"/>
    <cellStyle name="20% - Accent2 9 4 5 2 3" xfId="28331"/>
    <cellStyle name="20% - Accent2 9 4 5 3" xfId="14537"/>
    <cellStyle name="20% - Accent2 9 4 5 3 2" xfId="32158"/>
    <cellStyle name="20% - Accent2 9 4 5 4" xfId="25471"/>
    <cellStyle name="20% - Accent2 9 4 6" xfId="7585"/>
    <cellStyle name="20% - Accent2 9 4 6 2" xfId="15376"/>
    <cellStyle name="20% - Accent2 9 4 6 2 2" xfId="32997"/>
    <cellStyle name="20% - Accent2 9 4 6 3" xfId="26004"/>
    <cellStyle name="20% - Accent2 9 4 7" xfId="11150"/>
    <cellStyle name="20% - Accent2 9 4 7 2" xfId="28864"/>
    <cellStyle name="20% - Accent2 9 4 8" xfId="23143"/>
    <cellStyle name="20% - Accent2 9 4 9" xfId="51682"/>
    <cellStyle name="20% - Accent2 9 5" xfId="331"/>
    <cellStyle name="20% - Accent2 9 5 2" xfId="3567"/>
    <cellStyle name="20% - Accent2 9 5 2 2" xfId="8186"/>
    <cellStyle name="20% - Accent2 9 5 2 2 2" xfId="15976"/>
    <cellStyle name="20% - Accent2 9 5 2 2 2 2" xfId="33597"/>
    <cellStyle name="20% - Accent2 9 5 2 2 3" xfId="26586"/>
    <cellStyle name="20% - Accent2 9 5 2 3" xfId="12294"/>
    <cellStyle name="20% - Accent2 9 5 2 3 2" xfId="29951"/>
    <cellStyle name="20% - Accent2 9 5 2 4" xfId="23725"/>
    <cellStyle name="20% - Accent2 9 5 3" xfId="5589"/>
    <cellStyle name="20% - Accent2 9 5 3 2" xfId="8886"/>
    <cellStyle name="20% - Accent2 9 5 3 2 2" xfId="16675"/>
    <cellStyle name="20% - Accent2 9 5 3 2 2 2" xfId="34297"/>
    <cellStyle name="20% - Accent2 9 5 3 2 3" xfId="27260"/>
    <cellStyle name="20% - Accent2 9 5 3 3" xfId="13439"/>
    <cellStyle name="20% - Accent2 9 5 3 3 2" xfId="31065"/>
    <cellStyle name="20% - Accent2 9 5 3 4" xfId="24399"/>
    <cellStyle name="20% - Accent2 9 5 4" xfId="6219"/>
    <cellStyle name="20% - Accent2 9 5 4 2" xfId="9426"/>
    <cellStyle name="20% - Accent2 9 5 4 2 2" xfId="17214"/>
    <cellStyle name="20% - Accent2 9 5 4 2 2 2" xfId="34837"/>
    <cellStyle name="20% - Accent2 9 5 4 2 3" xfId="27796"/>
    <cellStyle name="20% - Accent2 9 5 4 3" xfId="14002"/>
    <cellStyle name="20% - Accent2 9 5 4 3 2" xfId="31623"/>
    <cellStyle name="20% - Accent2 9 5 4 4" xfId="24935"/>
    <cellStyle name="20% - Accent2 9 5 5" xfId="6756"/>
    <cellStyle name="20% - Accent2 9 5 5 2" xfId="9963"/>
    <cellStyle name="20% - Accent2 9 5 5 2 2" xfId="17750"/>
    <cellStyle name="20% - Accent2 9 5 5 2 2 2" xfId="35373"/>
    <cellStyle name="20% - Accent2 9 5 5 2 3" xfId="28332"/>
    <cellStyle name="20% - Accent2 9 5 5 3" xfId="14538"/>
    <cellStyle name="20% - Accent2 9 5 5 3 2" xfId="32159"/>
    <cellStyle name="20% - Accent2 9 5 5 4" xfId="25472"/>
    <cellStyle name="20% - Accent2 9 5 6" xfId="7586"/>
    <cellStyle name="20% - Accent2 9 5 6 2" xfId="15377"/>
    <cellStyle name="20% - Accent2 9 5 6 2 2" xfId="32998"/>
    <cellStyle name="20% - Accent2 9 5 6 3" xfId="26005"/>
    <cellStyle name="20% - Accent2 9 5 7" xfId="11151"/>
    <cellStyle name="20% - Accent2 9 5 7 2" xfId="28865"/>
    <cellStyle name="20% - Accent2 9 5 8" xfId="23144"/>
    <cellStyle name="20% - Accent2 9 5 9" xfId="51683"/>
    <cellStyle name="20% - Accent2 9 6" xfId="332"/>
    <cellStyle name="20% - Accent2 9 6 2" xfId="3568"/>
    <cellStyle name="20% - Accent2 9 6 2 2" xfId="8187"/>
    <cellStyle name="20% - Accent2 9 6 2 2 2" xfId="15977"/>
    <cellStyle name="20% - Accent2 9 6 2 2 2 2" xfId="33598"/>
    <cellStyle name="20% - Accent2 9 6 2 2 3" xfId="26587"/>
    <cellStyle name="20% - Accent2 9 6 2 3" xfId="12295"/>
    <cellStyle name="20% - Accent2 9 6 2 3 2" xfId="29952"/>
    <cellStyle name="20% - Accent2 9 6 2 4" xfId="23726"/>
    <cellStyle name="20% - Accent2 9 6 3" xfId="5590"/>
    <cellStyle name="20% - Accent2 9 6 3 2" xfId="8887"/>
    <cellStyle name="20% - Accent2 9 6 3 2 2" xfId="16676"/>
    <cellStyle name="20% - Accent2 9 6 3 2 2 2" xfId="34298"/>
    <cellStyle name="20% - Accent2 9 6 3 2 3" xfId="27261"/>
    <cellStyle name="20% - Accent2 9 6 3 3" xfId="13440"/>
    <cellStyle name="20% - Accent2 9 6 3 3 2" xfId="31066"/>
    <cellStyle name="20% - Accent2 9 6 3 4" xfId="24400"/>
    <cellStyle name="20% - Accent2 9 6 4" xfId="6220"/>
    <cellStyle name="20% - Accent2 9 6 4 2" xfId="9427"/>
    <cellStyle name="20% - Accent2 9 6 4 2 2" xfId="17215"/>
    <cellStyle name="20% - Accent2 9 6 4 2 2 2" xfId="34838"/>
    <cellStyle name="20% - Accent2 9 6 4 2 3" xfId="27797"/>
    <cellStyle name="20% - Accent2 9 6 4 3" xfId="14003"/>
    <cellStyle name="20% - Accent2 9 6 4 3 2" xfId="31624"/>
    <cellStyle name="20% - Accent2 9 6 4 4" xfId="24936"/>
    <cellStyle name="20% - Accent2 9 6 5" xfId="6757"/>
    <cellStyle name="20% - Accent2 9 6 5 2" xfId="9964"/>
    <cellStyle name="20% - Accent2 9 6 5 2 2" xfId="17751"/>
    <cellStyle name="20% - Accent2 9 6 5 2 2 2" xfId="35374"/>
    <cellStyle name="20% - Accent2 9 6 5 2 3" xfId="28333"/>
    <cellStyle name="20% - Accent2 9 6 5 3" xfId="14539"/>
    <cellStyle name="20% - Accent2 9 6 5 3 2" xfId="32160"/>
    <cellStyle name="20% - Accent2 9 6 5 4" xfId="25473"/>
    <cellStyle name="20% - Accent2 9 6 6" xfId="7587"/>
    <cellStyle name="20% - Accent2 9 6 6 2" xfId="15378"/>
    <cellStyle name="20% - Accent2 9 6 6 2 2" xfId="32999"/>
    <cellStyle name="20% - Accent2 9 6 6 3" xfId="26006"/>
    <cellStyle name="20% - Accent2 9 6 7" xfId="11152"/>
    <cellStyle name="20% - Accent2 9 6 7 2" xfId="28866"/>
    <cellStyle name="20% - Accent2 9 6 8" xfId="23145"/>
    <cellStyle name="20% - Accent2 9 6 9" xfId="51684"/>
    <cellStyle name="20% - Accent2 9 7" xfId="333"/>
    <cellStyle name="20% - Accent2 9 7 10" xfId="51685"/>
    <cellStyle name="20% - Accent2 9 7 2" xfId="334"/>
    <cellStyle name="20% - Accent2 9 7 2 2" xfId="8189"/>
    <cellStyle name="20% - Accent2 9 7 2 2 2" xfId="15979"/>
    <cellStyle name="20% - Accent2 9 7 2 2 2 2" xfId="33600"/>
    <cellStyle name="20% - Accent2 9 7 2 2 3" xfId="26589"/>
    <cellStyle name="20% - Accent2 9 7 2 3" xfId="12297"/>
    <cellStyle name="20% - Accent2 9 7 2 3 2" xfId="29954"/>
    <cellStyle name="20% - Accent2 9 7 2 4" xfId="23728"/>
    <cellStyle name="20% - Accent2 9 7 3" xfId="3569"/>
    <cellStyle name="20% - Accent2 9 7 3 2" xfId="8188"/>
    <cellStyle name="20% - Accent2 9 7 3 2 2" xfId="15978"/>
    <cellStyle name="20% - Accent2 9 7 3 2 2 2" xfId="33599"/>
    <cellStyle name="20% - Accent2 9 7 3 2 3" xfId="26588"/>
    <cellStyle name="20% - Accent2 9 7 3 3" xfId="12296"/>
    <cellStyle name="20% - Accent2 9 7 3 3 2" xfId="29953"/>
    <cellStyle name="20% - Accent2 9 7 3 4" xfId="23727"/>
    <cellStyle name="20% - Accent2 9 7 4" xfId="5591"/>
    <cellStyle name="20% - Accent2 9 7 4 2" xfId="8888"/>
    <cellStyle name="20% - Accent2 9 7 4 2 2" xfId="16677"/>
    <cellStyle name="20% - Accent2 9 7 4 2 2 2" xfId="34299"/>
    <cellStyle name="20% - Accent2 9 7 4 2 3" xfId="27262"/>
    <cellStyle name="20% - Accent2 9 7 4 3" xfId="13441"/>
    <cellStyle name="20% - Accent2 9 7 4 3 2" xfId="31067"/>
    <cellStyle name="20% - Accent2 9 7 4 4" xfId="24401"/>
    <cellStyle name="20% - Accent2 9 7 5" xfId="6221"/>
    <cellStyle name="20% - Accent2 9 7 5 2" xfId="9428"/>
    <cellStyle name="20% - Accent2 9 7 5 2 2" xfId="17216"/>
    <cellStyle name="20% - Accent2 9 7 5 2 2 2" xfId="34839"/>
    <cellStyle name="20% - Accent2 9 7 5 2 3" xfId="27798"/>
    <cellStyle name="20% - Accent2 9 7 5 3" xfId="14004"/>
    <cellStyle name="20% - Accent2 9 7 5 3 2" xfId="31625"/>
    <cellStyle name="20% - Accent2 9 7 5 4" xfId="24937"/>
    <cellStyle name="20% - Accent2 9 7 6" xfId="6758"/>
    <cellStyle name="20% - Accent2 9 7 6 2" xfId="9965"/>
    <cellStyle name="20% - Accent2 9 7 6 2 2" xfId="17752"/>
    <cellStyle name="20% - Accent2 9 7 6 2 2 2" xfId="35375"/>
    <cellStyle name="20% - Accent2 9 7 6 2 3" xfId="28334"/>
    <cellStyle name="20% - Accent2 9 7 6 3" xfId="14540"/>
    <cellStyle name="20% - Accent2 9 7 6 3 2" xfId="32161"/>
    <cellStyle name="20% - Accent2 9 7 6 4" xfId="25474"/>
    <cellStyle name="20% - Accent2 9 7 7" xfId="7588"/>
    <cellStyle name="20% - Accent2 9 7 7 2" xfId="15379"/>
    <cellStyle name="20% - Accent2 9 7 7 2 2" xfId="33000"/>
    <cellStyle name="20% - Accent2 9 7 7 3" xfId="26007"/>
    <cellStyle name="20% - Accent2 9 7 8" xfId="11153"/>
    <cellStyle name="20% - Accent2 9 7 8 2" xfId="28867"/>
    <cellStyle name="20% - Accent2 9 7 9" xfId="23146"/>
    <cellStyle name="20% - Accent2 9 8" xfId="3570"/>
    <cellStyle name="20% - Accent2 9 8 2" xfId="8190"/>
    <cellStyle name="20% - Accent2 9 8 2 2" xfId="15980"/>
    <cellStyle name="20% - Accent2 9 8 2 2 2" xfId="33601"/>
    <cellStyle name="20% - Accent2 9 8 2 3" xfId="26590"/>
    <cellStyle name="20% - Accent2 9 8 3" xfId="12298"/>
    <cellStyle name="20% - Accent2 9 8 3 2" xfId="29955"/>
    <cellStyle name="20% - Accent2 9 8 4" xfId="23729"/>
    <cellStyle name="20% - Accent2 9 9" xfId="3571"/>
    <cellStyle name="20% - Accent2 9 9 2" xfId="8191"/>
    <cellStyle name="20% - Accent2 9 9 2 2" xfId="15981"/>
    <cellStyle name="20% - Accent2 9 9 2 2 2" xfId="33602"/>
    <cellStyle name="20% - Accent2 9 9 2 3" xfId="26591"/>
    <cellStyle name="20% - Accent2 9 9 3" xfId="12299"/>
    <cellStyle name="20% - Accent2 9 9 3 2" xfId="29956"/>
    <cellStyle name="20% - Accent2 9 9 4" xfId="23730"/>
    <cellStyle name="20% - Accent3 10" xfId="335"/>
    <cellStyle name="20% - Accent3 10 2" xfId="336"/>
    <cellStyle name="20% - Accent3 10 3" xfId="337"/>
    <cellStyle name="20% - Accent3 10 3 2" xfId="8192"/>
    <cellStyle name="20% - Accent3 10 3 2 2" xfId="15982"/>
    <cellStyle name="20% - Accent3 10 3 2 2 2" xfId="33603"/>
    <cellStyle name="20% - Accent3 10 3 2 3" xfId="26592"/>
    <cellStyle name="20% - Accent3 10 3 3" xfId="12300"/>
    <cellStyle name="20% - Accent3 10 3 3 2" xfId="29957"/>
    <cellStyle name="20% - Accent3 10 3 4" xfId="23731"/>
    <cellStyle name="20% - Accent3 10 3 5" xfId="51686"/>
    <cellStyle name="20% - Accent3 10 4" xfId="7589"/>
    <cellStyle name="20% - Accent3 10 4 2" xfId="15380"/>
    <cellStyle name="20% - Accent3 10 4 2 2" xfId="33001"/>
    <cellStyle name="20% - Accent3 10 4 3" xfId="26008"/>
    <cellStyle name="20% - Accent3 10 5" xfId="11154"/>
    <cellStyle name="20% - Accent3 10 5 2" xfId="28868"/>
    <cellStyle name="20% - Accent3 10 6" xfId="22037"/>
    <cellStyle name="20% - Accent3 10 6 2" xfId="38736"/>
    <cellStyle name="20% - Accent3 10 7" xfId="23147"/>
    <cellStyle name="20% - Accent3 11" xfId="338"/>
    <cellStyle name="20% - Accent3 11 10" xfId="3572"/>
    <cellStyle name="20% - Accent3 11 10 2" xfId="8193"/>
    <cellStyle name="20% - Accent3 11 10 2 2" xfId="15983"/>
    <cellStyle name="20% - Accent3 11 10 2 2 2" xfId="33604"/>
    <cellStyle name="20% - Accent3 11 10 2 3" xfId="26593"/>
    <cellStyle name="20% - Accent3 11 10 3" xfId="12301"/>
    <cellStyle name="20% - Accent3 11 10 3 2" xfId="29958"/>
    <cellStyle name="20% - Accent3 11 10 4" xfId="23732"/>
    <cellStyle name="20% - Accent3 11 11" xfId="5592"/>
    <cellStyle name="20% - Accent3 11 11 2" xfId="8889"/>
    <cellStyle name="20% - Accent3 11 11 2 2" xfId="16678"/>
    <cellStyle name="20% - Accent3 11 11 2 2 2" xfId="34300"/>
    <cellStyle name="20% - Accent3 11 11 2 3" xfId="27263"/>
    <cellStyle name="20% - Accent3 11 11 3" xfId="13442"/>
    <cellStyle name="20% - Accent3 11 11 3 2" xfId="31068"/>
    <cellStyle name="20% - Accent3 11 11 4" xfId="24402"/>
    <cellStyle name="20% - Accent3 11 12" xfId="6222"/>
    <cellStyle name="20% - Accent3 11 12 2" xfId="9429"/>
    <cellStyle name="20% - Accent3 11 12 2 2" xfId="17217"/>
    <cellStyle name="20% - Accent3 11 12 2 2 2" xfId="34840"/>
    <cellStyle name="20% - Accent3 11 12 2 3" xfId="27799"/>
    <cellStyle name="20% - Accent3 11 12 3" xfId="14005"/>
    <cellStyle name="20% - Accent3 11 12 3 2" xfId="31626"/>
    <cellStyle name="20% - Accent3 11 12 4" xfId="24938"/>
    <cellStyle name="20% - Accent3 11 13" xfId="6759"/>
    <cellStyle name="20% - Accent3 11 13 2" xfId="9966"/>
    <cellStyle name="20% - Accent3 11 13 2 2" xfId="17753"/>
    <cellStyle name="20% - Accent3 11 13 2 2 2" xfId="35376"/>
    <cellStyle name="20% - Accent3 11 13 2 3" xfId="28335"/>
    <cellStyle name="20% - Accent3 11 13 3" xfId="14541"/>
    <cellStyle name="20% - Accent3 11 13 3 2" xfId="32162"/>
    <cellStyle name="20% - Accent3 11 13 4" xfId="25475"/>
    <cellStyle name="20% - Accent3 11 14" xfId="7590"/>
    <cellStyle name="20% - Accent3 11 14 2" xfId="15381"/>
    <cellStyle name="20% - Accent3 11 14 2 2" xfId="33002"/>
    <cellStyle name="20% - Accent3 11 14 3" xfId="26009"/>
    <cellStyle name="20% - Accent3 11 15" xfId="11155"/>
    <cellStyle name="20% - Accent3 11 15 2" xfId="28869"/>
    <cellStyle name="20% - Accent3 11 16" xfId="22038"/>
    <cellStyle name="20% - Accent3 11 16 2" xfId="38737"/>
    <cellStyle name="20% - Accent3 11 17" xfId="23148"/>
    <cellStyle name="20% - Accent3 11 18" xfId="51687"/>
    <cellStyle name="20% - Accent3 11 2" xfId="339"/>
    <cellStyle name="20% - Accent3 11 2 2" xfId="3573"/>
    <cellStyle name="20% - Accent3 11 2 2 2" xfId="8194"/>
    <cellStyle name="20% - Accent3 11 2 2 2 2" xfId="15984"/>
    <cellStyle name="20% - Accent3 11 2 2 2 2 2" xfId="33605"/>
    <cellStyle name="20% - Accent3 11 2 2 2 3" xfId="26594"/>
    <cellStyle name="20% - Accent3 11 2 2 3" xfId="12302"/>
    <cellStyle name="20% - Accent3 11 2 2 3 2" xfId="29959"/>
    <cellStyle name="20% - Accent3 11 2 2 4" xfId="23733"/>
    <cellStyle name="20% - Accent3 11 2 3" xfId="5593"/>
    <cellStyle name="20% - Accent3 11 2 3 2" xfId="8890"/>
    <cellStyle name="20% - Accent3 11 2 3 2 2" xfId="16679"/>
    <cellStyle name="20% - Accent3 11 2 3 2 2 2" xfId="34301"/>
    <cellStyle name="20% - Accent3 11 2 3 2 3" xfId="27264"/>
    <cellStyle name="20% - Accent3 11 2 3 3" xfId="13443"/>
    <cellStyle name="20% - Accent3 11 2 3 3 2" xfId="31069"/>
    <cellStyle name="20% - Accent3 11 2 3 4" xfId="24403"/>
    <cellStyle name="20% - Accent3 11 2 4" xfId="6223"/>
    <cellStyle name="20% - Accent3 11 2 4 2" xfId="9430"/>
    <cellStyle name="20% - Accent3 11 2 4 2 2" xfId="17218"/>
    <cellStyle name="20% - Accent3 11 2 4 2 2 2" xfId="34841"/>
    <cellStyle name="20% - Accent3 11 2 4 2 3" xfId="27800"/>
    <cellStyle name="20% - Accent3 11 2 4 3" xfId="14006"/>
    <cellStyle name="20% - Accent3 11 2 4 3 2" xfId="31627"/>
    <cellStyle name="20% - Accent3 11 2 4 4" xfId="24939"/>
    <cellStyle name="20% - Accent3 11 2 5" xfId="6760"/>
    <cellStyle name="20% - Accent3 11 2 5 2" xfId="9967"/>
    <cellStyle name="20% - Accent3 11 2 5 2 2" xfId="17754"/>
    <cellStyle name="20% - Accent3 11 2 5 2 2 2" xfId="35377"/>
    <cellStyle name="20% - Accent3 11 2 5 2 3" xfId="28336"/>
    <cellStyle name="20% - Accent3 11 2 5 3" xfId="14542"/>
    <cellStyle name="20% - Accent3 11 2 5 3 2" xfId="32163"/>
    <cellStyle name="20% - Accent3 11 2 5 4" xfId="25476"/>
    <cellStyle name="20% - Accent3 11 2 6" xfId="7591"/>
    <cellStyle name="20% - Accent3 11 2 6 2" xfId="15382"/>
    <cellStyle name="20% - Accent3 11 2 6 2 2" xfId="33003"/>
    <cellStyle name="20% - Accent3 11 2 6 3" xfId="26010"/>
    <cellStyle name="20% - Accent3 11 2 7" xfId="11156"/>
    <cellStyle name="20% - Accent3 11 2 7 2" xfId="28870"/>
    <cellStyle name="20% - Accent3 11 2 8" xfId="23149"/>
    <cellStyle name="20% - Accent3 11 2 9" xfId="51688"/>
    <cellStyle name="20% - Accent3 11 3" xfId="340"/>
    <cellStyle name="20% - Accent3 11 3 10" xfId="23150"/>
    <cellStyle name="20% - Accent3 11 3 11" xfId="51689"/>
    <cellStyle name="20% - Accent3 11 3 2" xfId="341"/>
    <cellStyle name="20% - Accent3 11 3 2 2" xfId="3575"/>
    <cellStyle name="20% - Accent3 11 3 2 2 2" xfId="8196"/>
    <cellStyle name="20% - Accent3 11 3 2 2 2 2" xfId="15986"/>
    <cellStyle name="20% - Accent3 11 3 2 2 2 2 2" xfId="33607"/>
    <cellStyle name="20% - Accent3 11 3 2 2 2 3" xfId="26596"/>
    <cellStyle name="20% - Accent3 11 3 2 2 3" xfId="12304"/>
    <cellStyle name="20% - Accent3 11 3 2 2 3 2" xfId="29961"/>
    <cellStyle name="20% - Accent3 11 3 2 2 4" xfId="23735"/>
    <cellStyle name="20% - Accent3 11 3 2 3" xfId="5595"/>
    <cellStyle name="20% - Accent3 11 3 2 3 2" xfId="8892"/>
    <cellStyle name="20% - Accent3 11 3 2 3 2 2" xfId="16681"/>
    <cellStyle name="20% - Accent3 11 3 2 3 2 2 2" xfId="34303"/>
    <cellStyle name="20% - Accent3 11 3 2 3 2 3" xfId="27266"/>
    <cellStyle name="20% - Accent3 11 3 2 3 3" xfId="13445"/>
    <cellStyle name="20% - Accent3 11 3 2 3 3 2" xfId="31071"/>
    <cellStyle name="20% - Accent3 11 3 2 3 4" xfId="24405"/>
    <cellStyle name="20% - Accent3 11 3 2 4" xfId="6225"/>
    <cellStyle name="20% - Accent3 11 3 2 4 2" xfId="9432"/>
    <cellStyle name="20% - Accent3 11 3 2 4 2 2" xfId="17220"/>
    <cellStyle name="20% - Accent3 11 3 2 4 2 2 2" xfId="34843"/>
    <cellStyle name="20% - Accent3 11 3 2 4 2 3" xfId="27802"/>
    <cellStyle name="20% - Accent3 11 3 2 4 3" xfId="14008"/>
    <cellStyle name="20% - Accent3 11 3 2 4 3 2" xfId="31629"/>
    <cellStyle name="20% - Accent3 11 3 2 4 4" xfId="24941"/>
    <cellStyle name="20% - Accent3 11 3 2 5" xfId="6762"/>
    <cellStyle name="20% - Accent3 11 3 2 5 2" xfId="9969"/>
    <cellStyle name="20% - Accent3 11 3 2 5 2 2" xfId="17756"/>
    <cellStyle name="20% - Accent3 11 3 2 5 2 2 2" xfId="35379"/>
    <cellStyle name="20% - Accent3 11 3 2 5 2 3" xfId="28338"/>
    <cellStyle name="20% - Accent3 11 3 2 5 3" xfId="14544"/>
    <cellStyle name="20% - Accent3 11 3 2 5 3 2" xfId="32165"/>
    <cellStyle name="20% - Accent3 11 3 2 5 4" xfId="25478"/>
    <cellStyle name="20% - Accent3 11 3 2 6" xfId="7593"/>
    <cellStyle name="20% - Accent3 11 3 2 6 2" xfId="15384"/>
    <cellStyle name="20% - Accent3 11 3 2 6 2 2" xfId="33005"/>
    <cellStyle name="20% - Accent3 11 3 2 6 3" xfId="26012"/>
    <cellStyle name="20% - Accent3 11 3 2 7" xfId="11158"/>
    <cellStyle name="20% - Accent3 11 3 2 7 2" xfId="28872"/>
    <cellStyle name="20% - Accent3 11 3 2 8" xfId="23151"/>
    <cellStyle name="20% - Accent3 11 3 2 9" xfId="51690"/>
    <cellStyle name="20% - Accent3 11 3 3" xfId="3576"/>
    <cellStyle name="20% - Accent3 11 3 3 2" xfId="5596"/>
    <cellStyle name="20% - Accent3 11 3 3 2 2" xfId="8893"/>
    <cellStyle name="20% - Accent3 11 3 3 2 2 2" xfId="16682"/>
    <cellStyle name="20% - Accent3 11 3 3 2 2 2 2" xfId="34304"/>
    <cellStyle name="20% - Accent3 11 3 3 2 2 3" xfId="27267"/>
    <cellStyle name="20% - Accent3 11 3 3 2 3" xfId="13446"/>
    <cellStyle name="20% - Accent3 11 3 3 2 3 2" xfId="31072"/>
    <cellStyle name="20% - Accent3 11 3 3 2 4" xfId="24406"/>
    <cellStyle name="20% - Accent3 11 3 3 3" xfId="6226"/>
    <cellStyle name="20% - Accent3 11 3 3 3 2" xfId="9433"/>
    <cellStyle name="20% - Accent3 11 3 3 3 2 2" xfId="17221"/>
    <cellStyle name="20% - Accent3 11 3 3 3 2 2 2" xfId="34844"/>
    <cellStyle name="20% - Accent3 11 3 3 3 2 3" xfId="27803"/>
    <cellStyle name="20% - Accent3 11 3 3 3 3" xfId="14009"/>
    <cellStyle name="20% - Accent3 11 3 3 3 3 2" xfId="31630"/>
    <cellStyle name="20% - Accent3 11 3 3 3 4" xfId="24942"/>
    <cellStyle name="20% - Accent3 11 3 3 4" xfId="6763"/>
    <cellStyle name="20% - Accent3 11 3 3 4 2" xfId="9970"/>
    <cellStyle name="20% - Accent3 11 3 3 4 2 2" xfId="17757"/>
    <cellStyle name="20% - Accent3 11 3 3 4 2 2 2" xfId="35380"/>
    <cellStyle name="20% - Accent3 11 3 3 4 2 3" xfId="28339"/>
    <cellStyle name="20% - Accent3 11 3 3 4 3" xfId="14545"/>
    <cellStyle name="20% - Accent3 11 3 3 4 3 2" xfId="32166"/>
    <cellStyle name="20% - Accent3 11 3 3 4 4" xfId="25479"/>
    <cellStyle name="20% - Accent3 11 3 3 5" xfId="8197"/>
    <cellStyle name="20% - Accent3 11 3 3 5 2" xfId="15987"/>
    <cellStyle name="20% - Accent3 11 3 3 5 2 2" xfId="33608"/>
    <cellStyle name="20% - Accent3 11 3 3 5 3" xfId="26597"/>
    <cellStyle name="20% - Accent3 11 3 3 6" xfId="12305"/>
    <cellStyle name="20% - Accent3 11 3 3 6 2" xfId="29962"/>
    <cellStyle name="20% - Accent3 11 3 3 7" xfId="23736"/>
    <cellStyle name="20% - Accent3 11 3 4" xfId="3574"/>
    <cellStyle name="20% - Accent3 11 3 4 2" xfId="8195"/>
    <cellStyle name="20% - Accent3 11 3 4 2 2" xfId="15985"/>
    <cellStyle name="20% - Accent3 11 3 4 2 2 2" xfId="33606"/>
    <cellStyle name="20% - Accent3 11 3 4 2 3" xfId="26595"/>
    <cellStyle name="20% - Accent3 11 3 4 3" xfId="12303"/>
    <cellStyle name="20% - Accent3 11 3 4 3 2" xfId="29960"/>
    <cellStyle name="20% - Accent3 11 3 4 4" xfId="23734"/>
    <cellStyle name="20% - Accent3 11 3 5" xfId="5594"/>
    <cellStyle name="20% - Accent3 11 3 5 2" xfId="8891"/>
    <cellStyle name="20% - Accent3 11 3 5 2 2" xfId="16680"/>
    <cellStyle name="20% - Accent3 11 3 5 2 2 2" xfId="34302"/>
    <cellStyle name="20% - Accent3 11 3 5 2 3" xfId="27265"/>
    <cellStyle name="20% - Accent3 11 3 5 3" xfId="13444"/>
    <cellStyle name="20% - Accent3 11 3 5 3 2" xfId="31070"/>
    <cellStyle name="20% - Accent3 11 3 5 4" xfId="24404"/>
    <cellStyle name="20% - Accent3 11 3 6" xfId="6224"/>
    <cellStyle name="20% - Accent3 11 3 6 2" xfId="9431"/>
    <cellStyle name="20% - Accent3 11 3 6 2 2" xfId="17219"/>
    <cellStyle name="20% - Accent3 11 3 6 2 2 2" xfId="34842"/>
    <cellStyle name="20% - Accent3 11 3 6 2 3" xfId="27801"/>
    <cellStyle name="20% - Accent3 11 3 6 3" xfId="14007"/>
    <cellStyle name="20% - Accent3 11 3 6 3 2" xfId="31628"/>
    <cellStyle name="20% - Accent3 11 3 6 4" xfId="24940"/>
    <cellStyle name="20% - Accent3 11 3 7" xfId="6761"/>
    <cellStyle name="20% - Accent3 11 3 7 2" xfId="9968"/>
    <cellStyle name="20% - Accent3 11 3 7 2 2" xfId="17755"/>
    <cellStyle name="20% - Accent3 11 3 7 2 2 2" xfId="35378"/>
    <cellStyle name="20% - Accent3 11 3 7 2 3" xfId="28337"/>
    <cellStyle name="20% - Accent3 11 3 7 3" xfId="14543"/>
    <cellStyle name="20% - Accent3 11 3 7 3 2" xfId="32164"/>
    <cellStyle name="20% - Accent3 11 3 7 4" xfId="25477"/>
    <cellStyle name="20% - Accent3 11 3 8" xfId="7592"/>
    <cellStyle name="20% - Accent3 11 3 8 2" xfId="15383"/>
    <cellStyle name="20% - Accent3 11 3 8 2 2" xfId="33004"/>
    <cellStyle name="20% - Accent3 11 3 8 3" xfId="26011"/>
    <cellStyle name="20% - Accent3 11 3 9" xfId="11157"/>
    <cellStyle name="20% - Accent3 11 3 9 2" xfId="28871"/>
    <cellStyle name="20% - Accent3 11 4" xfId="342"/>
    <cellStyle name="20% - Accent3 11 4 2" xfId="3577"/>
    <cellStyle name="20% - Accent3 11 4 2 2" xfId="8198"/>
    <cellStyle name="20% - Accent3 11 4 2 2 2" xfId="15988"/>
    <cellStyle name="20% - Accent3 11 4 2 2 2 2" xfId="33609"/>
    <cellStyle name="20% - Accent3 11 4 2 2 3" xfId="26598"/>
    <cellStyle name="20% - Accent3 11 4 2 3" xfId="12306"/>
    <cellStyle name="20% - Accent3 11 4 2 3 2" xfId="29963"/>
    <cellStyle name="20% - Accent3 11 4 2 4" xfId="23737"/>
    <cellStyle name="20% - Accent3 11 4 3" xfId="5597"/>
    <cellStyle name="20% - Accent3 11 4 3 2" xfId="8894"/>
    <cellStyle name="20% - Accent3 11 4 3 2 2" xfId="16683"/>
    <cellStyle name="20% - Accent3 11 4 3 2 2 2" xfId="34305"/>
    <cellStyle name="20% - Accent3 11 4 3 2 3" xfId="27268"/>
    <cellStyle name="20% - Accent3 11 4 3 3" xfId="13447"/>
    <cellStyle name="20% - Accent3 11 4 3 3 2" xfId="31073"/>
    <cellStyle name="20% - Accent3 11 4 3 4" xfId="24407"/>
    <cellStyle name="20% - Accent3 11 4 4" xfId="6227"/>
    <cellStyle name="20% - Accent3 11 4 4 2" xfId="9434"/>
    <cellStyle name="20% - Accent3 11 4 4 2 2" xfId="17222"/>
    <cellStyle name="20% - Accent3 11 4 4 2 2 2" xfId="34845"/>
    <cellStyle name="20% - Accent3 11 4 4 2 3" xfId="27804"/>
    <cellStyle name="20% - Accent3 11 4 4 3" xfId="14010"/>
    <cellStyle name="20% - Accent3 11 4 4 3 2" xfId="31631"/>
    <cellStyle name="20% - Accent3 11 4 4 4" xfId="24943"/>
    <cellStyle name="20% - Accent3 11 4 5" xfId="6764"/>
    <cellStyle name="20% - Accent3 11 4 5 2" xfId="9971"/>
    <cellStyle name="20% - Accent3 11 4 5 2 2" xfId="17758"/>
    <cellStyle name="20% - Accent3 11 4 5 2 2 2" xfId="35381"/>
    <cellStyle name="20% - Accent3 11 4 5 2 3" xfId="28340"/>
    <cellStyle name="20% - Accent3 11 4 5 3" xfId="14546"/>
    <cellStyle name="20% - Accent3 11 4 5 3 2" xfId="32167"/>
    <cellStyle name="20% - Accent3 11 4 5 4" xfId="25480"/>
    <cellStyle name="20% - Accent3 11 4 6" xfId="7594"/>
    <cellStyle name="20% - Accent3 11 4 6 2" xfId="15385"/>
    <cellStyle name="20% - Accent3 11 4 6 2 2" xfId="33006"/>
    <cellStyle name="20% - Accent3 11 4 6 3" xfId="26013"/>
    <cellStyle name="20% - Accent3 11 4 7" xfId="11159"/>
    <cellStyle name="20% - Accent3 11 4 7 2" xfId="28873"/>
    <cellStyle name="20% - Accent3 11 4 8" xfId="23152"/>
    <cellStyle name="20% - Accent3 11 4 9" xfId="51691"/>
    <cellStyle name="20% - Accent3 11 5" xfId="343"/>
    <cellStyle name="20% - Accent3 11 5 2" xfId="3578"/>
    <cellStyle name="20% - Accent3 11 5 2 2" xfId="8199"/>
    <cellStyle name="20% - Accent3 11 5 2 2 2" xfId="15989"/>
    <cellStyle name="20% - Accent3 11 5 2 2 2 2" xfId="33610"/>
    <cellStyle name="20% - Accent3 11 5 2 2 3" xfId="26599"/>
    <cellStyle name="20% - Accent3 11 5 2 3" xfId="12307"/>
    <cellStyle name="20% - Accent3 11 5 2 3 2" xfId="29964"/>
    <cellStyle name="20% - Accent3 11 5 2 4" xfId="23738"/>
    <cellStyle name="20% - Accent3 11 5 3" xfId="5598"/>
    <cellStyle name="20% - Accent3 11 5 3 2" xfId="8895"/>
    <cellStyle name="20% - Accent3 11 5 3 2 2" xfId="16684"/>
    <cellStyle name="20% - Accent3 11 5 3 2 2 2" xfId="34306"/>
    <cellStyle name="20% - Accent3 11 5 3 2 3" xfId="27269"/>
    <cellStyle name="20% - Accent3 11 5 3 3" xfId="13448"/>
    <cellStyle name="20% - Accent3 11 5 3 3 2" xfId="31074"/>
    <cellStyle name="20% - Accent3 11 5 3 4" xfId="24408"/>
    <cellStyle name="20% - Accent3 11 5 4" xfId="6228"/>
    <cellStyle name="20% - Accent3 11 5 4 2" xfId="9435"/>
    <cellStyle name="20% - Accent3 11 5 4 2 2" xfId="17223"/>
    <cellStyle name="20% - Accent3 11 5 4 2 2 2" xfId="34846"/>
    <cellStyle name="20% - Accent3 11 5 4 2 3" xfId="27805"/>
    <cellStyle name="20% - Accent3 11 5 4 3" xfId="14011"/>
    <cellStyle name="20% - Accent3 11 5 4 3 2" xfId="31632"/>
    <cellStyle name="20% - Accent3 11 5 4 4" xfId="24944"/>
    <cellStyle name="20% - Accent3 11 5 5" xfId="6765"/>
    <cellStyle name="20% - Accent3 11 5 5 2" xfId="9972"/>
    <cellStyle name="20% - Accent3 11 5 5 2 2" xfId="17759"/>
    <cellStyle name="20% - Accent3 11 5 5 2 2 2" xfId="35382"/>
    <cellStyle name="20% - Accent3 11 5 5 2 3" xfId="28341"/>
    <cellStyle name="20% - Accent3 11 5 5 3" xfId="14547"/>
    <cellStyle name="20% - Accent3 11 5 5 3 2" xfId="32168"/>
    <cellStyle name="20% - Accent3 11 5 5 4" xfId="25481"/>
    <cellStyle name="20% - Accent3 11 5 6" xfId="7595"/>
    <cellStyle name="20% - Accent3 11 5 6 2" xfId="15386"/>
    <cellStyle name="20% - Accent3 11 5 6 2 2" xfId="33007"/>
    <cellStyle name="20% - Accent3 11 5 6 3" xfId="26014"/>
    <cellStyle name="20% - Accent3 11 5 7" xfId="11160"/>
    <cellStyle name="20% - Accent3 11 5 7 2" xfId="28874"/>
    <cellStyle name="20% - Accent3 11 5 8" xfId="23153"/>
    <cellStyle name="20% - Accent3 11 5 9" xfId="51692"/>
    <cellStyle name="20% - Accent3 11 6" xfId="344"/>
    <cellStyle name="20% - Accent3 11 6 2" xfId="3579"/>
    <cellStyle name="20% - Accent3 11 6 2 2" xfId="8200"/>
    <cellStyle name="20% - Accent3 11 6 2 2 2" xfId="15990"/>
    <cellStyle name="20% - Accent3 11 6 2 2 2 2" xfId="33611"/>
    <cellStyle name="20% - Accent3 11 6 2 2 3" xfId="26600"/>
    <cellStyle name="20% - Accent3 11 6 2 3" xfId="12308"/>
    <cellStyle name="20% - Accent3 11 6 2 3 2" xfId="29965"/>
    <cellStyle name="20% - Accent3 11 6 2 4" xfId="23739"/>
    <cellStyle name="20% - Accent3 11 6 3" xfId="5599"/>
    <cellStyle name="20% - Accent3 11 6 3 2" xfId="8896"/>
    <cellStyle name="20% - Accent3 11 6 3 2 2" xfId="16685"/>
    <cellStyle name="20% - Accent3 11 6 3 2 2 2" xfId="34307"/>
    <cellStyle name="20% - Accent3 11 6 3 2 3" xfId="27270"/>
    <cellStyle name="20% - Accent3 11 6 3 3" xfId="13449"/>
    <cellStyle name="20% - Accent3 11 6 3 3 2" xfId="31075"/>
    <cellStyle name="20% - Accent3 11 6 3 4" xfId="24409"/>
    <cellStyle name="20% - Accent3 11 6 4" xfId="6229"/>
    <cellStyle name="20% - Accent3 11 6 4 2" xfId="9436"/>
    <cellStyle name="20% - Accent3 11 6 4 2 2" xfId="17224"/>
    <cellStyle name="20% - Accent3 11 6 4 2 2 2" xfId="34847"/>
    <cellStyle name="20% - Accent3 11 6 4 2 3" xfId="27806"/>
    <cellStyle name="20% - Accent3 11 6 4 3" xfId="14012"/>
    <cellStyle name="20% - Accent3 11 6 4 3 2" xfId="31633"/>
    <cellStyle name="20% - Accent3 11 6 4 4" xfId="24945"/>
    <cellStyle name="20% - Accent3 11 6 5" xfId="6766"/>
    <cellStyle name="20% - Accent3 11 6 5 2" xfId="9973"/>
    <cellStyle name="20% - Accent3 11 6 5 2 2" xfId="17760"/>
    <cellStyle name="20% - Accent3 11 6 5 2 2 2" xfId="35383"/>
    <cellStyle name="20% - Accent3 11 6 5 2 3" xfId="28342"/>
    <cellStyle name="20% - Accent3 11 6 5 3" xfId="14548"/>
    <cellStyle name="20% - Accent3 11 6 5 3 2" xfId="32169"/>
    <cellStyle name="20% - Accent3 11 6 5 4" xfId="25482"/>
    <cellStyle name="20% - Accent3 11 6 6" xfId="7596"/>
    <cellStyle name="20% - Accent3 11 6 6 2" xfId="15387"/>
    <cellStyle name="20% - Accent3 11 6 6 2 2" xfId="33008"/>
    <cellStyle name="20% - Accent3 11 6 6 3" xfId="26015"/>
    <cellStyle name="20% - Accent3 11 6 7" xfId="11161"/>
    <cellStyle name="20% - Accent3 11 6 7 2" xfId="28875"/>
    <cellStyle name="20% - Accent3 11 6 8" xfId="23154"/>
    <cellStyle name="20% - Accent3 11 6 9" xfId="51693"/>
    <cellStyle name="20% - Accent3 11 7" xfId="345"/>
    <cellStyle name="20% - Accent3 11 7 10" xfId="51694"/>
    <cellStyle name="20% - Accent3 11 7 2" xfId="346"/>
    <cellStyle name="20% - Accent3 11 7 2 2" xfId="8202"/>
    <cellStyle name="20% - Accent3 11 7 2 2 2" xfId="15992"/>
    <cellStyle name="20% - Accent3 11 7 2 2 2 2" xfId="33613"/>
    <cellStyle name="20% - Accent3 11 7 2 2 3" xfId="26602"/>
    <cellStyle name="20% - Accent3 11 7 2 3" xfId="12310"/>
    <cellStyle name="20% - Accent3 11 7 2 3 2" xfId="29967"/>
    <cellStyle name="20% - Accent3 11 7 2 4" xfId="23741"/>
    <cellStyle name="20% - Accent3 11 7 3" xfId="3580"/>
    <cellStyle name="20% - Accent3 11 7 3 2" xfId="8201"/>
    <cellStyle name="20% - Accent3 11 7 3 2 2" xfId="15991"/>
    <cellStyle name="20% - Accent3 11 7 3 2 2 2" xfId="33612"/>
    <cellStyle name="20% - Accent3 11 7 3 2 3" xfId="26601"/>
    <cellStyle name="20% - Accent3 11 7 3 3" xfId="12309"/>
    <cellStyle name="20% - Accent3 11 7 3 3 2" xfId="29966"/>
    <cellStyle name="20% - Accent3 11 7 3 4" xfId="23740"/>
    <cellStyle name="20% - Accent3 11 7 4" xfId="5600"/>
    <cellStyle name="20% - Accent3 11 7 4 2" xfId="8897"/>
    <cellStyle name="20% - Accent3 11 7 4 2 2" xfId="16686"/>
    <cellStyle name="20% - Accent3 11 7 4 2 2 2" xfId="34308"/>
    <cellStyle name="20% - Accent3 11 7 4 2 3" xfId="27271"/>
    <cellStyle name="20% - Accent3 11 7 4 3" xfId="13450"/>
    <cellStyle name="20% - Accent3 11 7 4 3 2" xfId="31076"/>
    <cellStyle name="20% - Accent3 11 7 4 4" xfId="24410"/>
    <cellStyle name="20% - Accent3 11 7 5" xfId="6230"/>
    <cellStyle name="20% - Accent3 11 7 5 2" xfId="9437"/>
    <cellStyle name="20% - Accent3 11 7 5 2 2" xfId="17225"/>
    <cellStyle name="20% - Accent3 11 7 5 2 2 2" xfId="34848"/>
    <cellStyle name="20% - Accent3 11 7 5 2 3" xfId="27807"/>
    <cellStyle name="20% - Accent3 11 7 5 3" xfId="14013"/>
    <cellStyle name="20% - Accent3 11 7 5 3 2" xfId="31634"/>
    <cellStyle name="20% - Accent3 11 7 5 4" xfId="24946"/>
    <cellStyle name="20% - Accent3 11 7 6" xfId="6767"/>
    <cellStyle name="20% - Accent3 11 7 6 2" xfId="9974"/>
    <cellStyle name="20% - Accent3 11 7 6 2 2" xfId="17761"/>
    <cellStyle name="20% - Accent3 11 7 6 2 2 2" xfId="35384"/>
    <cellStyle name="20% - Accent3 11 7 6 2 3" xfId="28343"/>
    <cellStyle name="20% - Accent3 11 7 6 3" xfId="14549"/>
    <cellStyle name="20% - Accent3 11 7 6 3 2" xfId="32170"/>
    <cellStyle name="20% - Accent3 11 7 6 4" xfId="25483"/>
    <cellStyle name="20% - Accent3 11 7 7" xfId="7597"/>
    <cellStyle name="20% - Accent3 11 7 7 2" xfId="15388"/>
    <cellStyle name="20% - Accent3 11 7 7 2 2" xfId="33009"/>
    <cellStyle name="20% - Accent3 11 7 7 3" xfId="26016"/>
    <cellStyle name="20% - Accent3 11 7 8" xfId="11162"/>
    <cellStyle name="20% - Accent3 11 7 8 2" xfId="28876"/>
    <cellStyle name="20% - Accent3 11 7 9" xfId="23155"/>
    <cellStyle name="20% - Accent3 11 8" xfId="3581"/>
    <cellStyle name="20% - Accent3 11 8 2" xfId="8203"/>
    <cellStyle name="20% - Accent3 11 8 2 2" xfId="15993"/>
    <cellStyle name="20% - Accent3 11 8 2 2 2" xfId="33614"/>
    <cellStyle name="20% - Accent3 11 8 2 3" xfId="26603"/>
    <cellStyle name="20% - Accent3 11 8 3" xfId="12311"/>
    <cellStyle name="20% - Accent3 11 8 3 2" xfId="29968"/>
    <cellStyle name="20% - Accent3 11 8 4" xfId="23742"/>
    <cellStyle name="20% - Accent3 11 9" xfId="3582"/>
    <cellStyle name="20% - Accent3 11 9 2" xfId="8204"/>
    <cellStyle name="20% - Accent3 11 9 2 2" xfId="15994"/>
    <cellStyle name="20% - Accent3 11 9 2 2 2" xfId="33615"/>
    <cellStyle name="20% - Accent3 11 9 2 3" xfId="26604"/>
    <cellStyle name="20% - Accent3 11 9 3" xfId="12312"/>
    <cellStyle name="20% - Accent3 11 9 3 2" xfId="29969"/>
    <cellStyle name="20% - Accent3 11 9 4" xfId="23743"/>
    <cellStyle name="20% - Accent3 12" xfId="347"/>
    <cellStyle name="20% - Accent3 12 2" xfId="3583"/>
    <cellStyle name="20% - Accent3 12 2 2" xfId="8205"/>
    <cellStyle name="20% - Accent3 12 2 2 2" xfId="15995"/>
    <cellStyle name="20% - Accent3 12 2 2 2 2" xfId="33616"/>
    <cellStyle name="20% - Accent3 12 2 2 3" xfId="26605"/>
    <cellStyle name="20% - Accent3 12 2 3" xfId="12313"/>
    <cellStyle name="20% - Accent3 12 2 3 2" xfId="29970"/>
    <cellStyle name="20% - Accent3 12 2 4" xfId="22040"/>
    <cellStyle name="20% - Accent3 12 2 4 2" xfId="38739"/>
    <cellStyle name="20% - Accent3 12 2 5" xfId="23744"/>
    <cellStyle name="20% - Accent3 12 3" xfId="7598"/>
    <cellStyle name="20% - Accent3 12 3 2" xfId="15389"/>
    <cellStyle name="20% - Accent3 12 3 2 2" xfId="33010"/>
    <cellStyle name="20% - Accent3 12 3 3" xfId="26017"/>
    <cellStyle name="20% - Accent3 12 4" xfId="11163"/>
    <cellStyle name="20% - Accent3 12 4 2" xfId="28877"/>
    <cellStyle name="20% - Accent3 12 5" xfId="22039"/>
    <cellStyle name="20% - Accent3 12 5 2" xfId="38738"/>
    <cellStyle name="20% - Accent3 12 6" xfId="23156"/>
    <cellStyle name="20% - Accent3 12 7" xfId="51695"/>
    <cellStyle name="20% - Accent3 13" xfId="18860"/>
    <cellStyle name="20% - Accent3 13 2" xfId="22041"/>
    <cellStyle name="20% - Accent3 13 2 2" xfId="38740"/>
    <cellStyle name="20% - Accent3 13 3" xfId="36483"/>
    <cellStyle name="20% - Accent3 14" xfId="15288"/>
    <cellStyle name="20% - Accent3 14 2" xfId="22042"/>
    <cellStyle name="20% - Accent3 14 3" xfId="32909"/>
    <cellStyle name="20% - Accent3 15" xfId="22669"/>
    <cellStyle name="20% - Accent3 15 2" xfId="38877"/>
    <cellStyle name="20% - Accent3 16" xfId="22036"/>
    <cellStyle name="20% - Accent3 17" xfId="23058"/>
    <cellStyle name="20% - Accent3 18" xfId="51456"/>
    <cellStyle name="20% - Accent3 19" xfId="51469"/>
    <cellStyle name="20% - Accent3 2" xfId="7"/>
    <cellStyle name="20% - Accent3 2 10" xfId="349"/>
    <cellStyle name="20% - Accent3 2 11" xfId="350"/>
    <cellStyle name="20% - Accent3 2 12" xfId="351"/>
    <cellStyle name="20% - Accent3 2 13" xfId="352"/>
    <cellStyle name="20% - Accent3 2 14" xfId="353"/>
    <cellStyle name="20% - Accent3 2 15" xfId="3584"/>
    <cellStyle name="20% - Accent3 2 16" xfId="3585"/>
    <cellStyle name="20% - Accent3 2 17" xfId="3586"/>
    <cellStyle name="20% - Accent3 2 18" xfId="348"/>
    <cellStyle name="20% - Accent3 2 2" xfId="354"/>
    <cellStyle name="20% - Accent3 2 2 2" xfId="355"/>
    <cellStyle name="20% - Accent3 2 2 3" xfId="356"/>
    <cellStyle name="20% - Accent3 2 2 4" xfId="3587"/>
    <cellStyle name="20% - Accent3 2 2 5" xfId="3588"/>
    <cellStyle name="20% - Accent3 2 2_Sheet1" xfId="357"/>
    <cellStyle name="20% - Accent3 2 3" xfId="358"/>
    <cellStyle name="20% - Accent3 2 4" xfId="359"/>
    <cellStyle name="20% - Accent3 2 5" xfId="360"/>
    <cellStyle name="20% - Accent3 2 6" xfId="361"/>
    <cellStyle name="20% - Accent3 2 7" xfId="362"/>
    <cellStyle name="20% - Accent3 2 8" xfId="363"/>
    <cellStyle name="20% - Accent3 2 9" xfId="364"/>
    <cellStyle name="20% - Accent3 2_BallGrid" xfId="365"/>
    <cellStyle name="20% - Accent3 20" xfId="51482"/>
    <cellStyle name="20% - Accent3 3" xfId="8"/>
    <cellStyle name="20% - Accent3 3 10" xfId="366"/>
    <cellStyle name="20% - Accent3 3 2" xfId="367"/>
    <cellStyle name="20% - Accent3 3 3" xfId="368"/>
    <cellStyle name="20% - Accent3 3 4" xfId="369"/>
    <cellStyle name="20% - Accent3 3 5" xfId="370"/>
    <cellStyle name="20% - Accent3 3 6" xfId="371"/>
    <cellStyle name="20% - Accent3 3 7" xfId="3589"/>
    <cellStyle name="20% - Accent3 3 8" xfId="3590"/>
    <cellStyle name="20% - Accent3 3 9" xfId="3591"/>
    <cellStyle name="20% - Accent3 3_BallGrid" xfId="372"/>
    <cellStyle name="20% - Accent3 4" xfId="9"/>
    <cellStyle name="20% - Accent3 4 2" xfId="374"/>
    <cellStyle name="20% - Accent3 4 2 2" xfId="22822"/>
    <cellStyle name="20% - Accent3 4 3" xfId="375"/>
    <cellStyle name="20% - Accent3 4 3 2" xfId="22043"/>
    <cellStyle name="20% - Accent3 4 4" xfId="376"/>
    <cellStyle name="20% - Accent3 4 5" xfId="377"/>
    <cellStyle name="20% - Accent3 4 6" xfId="3592"/>
    <cellStyle name="20% - Accent3 4 7" xfId="3593"/>
    <cellStyle name="20% - Accent3 4 8" xfId="3594"/>
    <cellStyle name="20% - Accent3 4 9" xfId="373"/>
    <cellStyle name="20% - Accent3 5" xfId="378"/>
    <cellStyle name="20% - Accent3 5 10" xfId="3596"/>
    <cellStyle name="20% - Accent3 5 10 2" xfId="8207"/>
    <cellStyle name="20% - Accent3 5 10 2 2" xfId="15997"/>
    <cellStyle name="20% - Accent3 5 10 2 2 2" xfId="33618"/>
    <cellStyle name="20% - Accent3 5 10 2 3" xfId="26607"/>
    <cellStyle name="20% - Accent3 5 10 3" xfId="12318"/>
    <cellStyle name="20% - Accent3 5 10 3 2" xfId="29975"/>
    <cellStyle name="20% - Accent3 5 10 4" xfId="23746"/>
    <cellStyle name="20% - Accent3 5 11" xfId="3595"/>
    <cellStyle name="20% - Accent3 5 11 2" xfId="8206"/>
    <cellStyle name="20% - Accent3 5 11 2 2" xfId="15996"/>
    <cellStyle name="20% - Accent3 5 11 2 2 2" xfId="33617"/>
    <cellStyle name="20% - Accent3 5 11 2 3" xfId="26606"/>
    <cellStyle name="20% - Accent3 5 11 3" xfId="12317"/>
    <cellStyle name="20% - Accent3 5 11 3 2" xfId="29974"/>
    <cellStyle name="20% - Accent3 5 11 4" xfId="23745"/>
    <cellStyle name="20% - Accent3 5 12" xfId="5601"/>
    <cellStyle name="20% - Accent3 5 12 2" xfId="8898"/>
    <cellStyle name="20% - Accent3 5 12 2 2" xfId="16687"/>
    <cellStyle name="20% - Accent3 5 12 2 2 2" xfId="34309"/>
    <cellStyle name="20% - Accent3 5 12 2 3" xfId="27272"/>
    <cellStyle name="20% - Accent3 5 12 3" xfId="13451"/>
    <cellStyle name="20% - Accent3 5 12 3 2" xfId="31077"/>
    <cellStyle name="20% - Accent3 5 12 4" xfId="24411"/>
    <cellStyle name="20% - Accent3 5 13" xfId="6231"/>
    <cellStyle name="20% - Accent3 5 13 2" xfId="9438"/>
    <cellStyle name="20% - Accent3 5 13 2 2" xfId="17226"/>
    <cellStyle name="20% - Accent3 5 13 2 2 2" xfId="34849"/>
    <cellStyle name="20% - Accent3 5 13 2 3" xfId="27808"/>
    <cellStyle name="20% - Accent3 5 13 3" xfId="14014"/>
    <cellStyle name="20% - Accent3 5 13 3 2" xfId="31635"/>
    <cellStyle name="20% - Accent3 5 13 4" xfId="24947"/>
    <cellStyle name="20% - Accent3 5 14" xfId="6768"/>
    <cellStyle name="20% - Accent3 5 14 2" xfId="9975"/>
    <cellStyle name="20% - Accent3 5 14 2 2" xfId="17762"/>
    <cellStyle name="20% - Accent3 5 14 2 2 2" xfId="35385"/>
    <cellStyle name="20% - Accent3 5 14 2 3" xfId="28344"/>
    <cellStyle name="20% - Accent3 5 14 3" xfId="14550"/>
    <cellStyle name="20% - Accent3 5 14 3 2" xfId="32171"/>
    <cellStyle name="20% - Accent3 5 14 4" xfId="25484"/>
    <cellStyle name="20% - Accent3 5 15" xfId="7599"/>
    <cellStyle name="20% - Accent3 5 15 2" xfId="15390"/>
    <cellStyle name="20% - Accent3 5 15 2 2" xfId="33011"/>
    <cellStyle name="20% - Accent3 5 15 3" xfId="26018"/>
    <cellStyle name="20% - Accent3 5 16" xfId="11168"/>
    <cellStyle name="20% - Accent3 5 16 2" xfId="28882"/>
    <cellStyle name="20% - Accent3 5 17" xfId="21927"/>
    <cellStyle name="20% - Accent3 5 17 2" xfId="38666"/>
    <cellStyle name="20% - Accent3 5 18" xfId="23157"/>
    <cellStyle name="20% - Accent3 5 19" xfId="51696"/>
    <cellStyle name="20% - Accent3 5 2" xfId="379"/>
    <cellStyle name="20% - Accent3 5 2 10" xfId="51697"/>
    <cellStyle name="20% - Accent3 5 2 2" xfId="3597"/>
    <cellStyle name="20% - Accent3 5 2 2 2" xfId="8208"/>
    <cellStyle name="20% - Accent3 5 2 2 2 2" xfId="15998"/>
    <cellStyle name="20% - Accent3 5 2 2 2 2 2" xfId="33619"/>
    <cellStyle name="20% - Accent3 5 2 2 2 3" xfId="26608"/>
    <cellStyle name="20% - Accent3 5 2 2 3" xfId="12319"/>
    <cellStyle name="20% - Accent3 5 2 2 3 2" xfId="29976"/>
    <cellStyle name="20% - Accent3 5 2 2 4" xfId="23747"/>
    <cellStyle name="20% - Accent3 5 2 3" xfId="5602"/>
    <cellStyle name="20% - Accent3 5 2 3 2" xfId="8899"/>
    <cellStyle name="20% - Accent3 5 2 3 2 2" xfId="16688"/>
    <cellStyle name="20% - Accent3 5 2 3 2 2 2" xfId="34310"/>
    <cellStyle name="20% - Accent3 5 2 3 2 3" xfId="27273"/>
    <cellStyle name="20% - Accent3 5 2 3 3" xfId="13452"/>
    <cellStyle name="20% - Accent3 5 2 3 3 2" xfId="31078"/>
    <cellStyle name="20% - Accent3 5 2 3 4" xfId="24412"/>
    <cellStyle name="20% - Accent3 5 2 4" xfId="6232"/>
    <cellStyle name="20% - Accent3 5 2 4 2" xfId="9439"/>
    <cellStyle name="20% - Accent3 5 2 4 2 2" xfId="17227"/>
    <cellStyle name="20% - Accent3 5 2 4 2 2 2" xfId="34850"/>
    <cellStyle name="20% - Accent3 5 2 4 2 3" xfId="27809"/>
    <cellStyle name="20% - Accent3 5 2 4 3" xfId="14015"/>
    <cellStyle name="20% - Accent3 5 2 4 3 2" xfId="31636"/>
    <cellStyle name="20% - Accent3 5 2 4 4" xfId="24948"/>
    <cellStyle name="20% - Accent3 5 2 5" xfId="6769"/>
    <cellStyle name="20% - Accent3 5 2 5 2" xfId="9976"/>
    <cellStyle name="20% - Accent3 5 2 5 2 2" xfId="17763"/>
    <cellStyle name="20% - Accent3 5 2 5 2 2 2" xfId="35386"/>
    <cellStyle name="20% - Accent3 5 2 5 2 3" xfId="28345"/>
    <cellStyle name="20% - Accent3 5 2 5 3" xfId="14551"/>
    <cellStyle name="20% - Accent3 5 2 5 3 2" xfId="32172"/>
    <cellStyle name="20% - Accent3 5 2 5 4" xfId="25485"/>
    <cellStyle name="20% - Accent3 5 2 6" xfId="7600"/>
    <cellStyle name="20% - Accent3 5 2 6 2" xfId="15391"/>
    <cellStyle name="20% - Accent3 5 2 6 2 2" xfId="33012"/>
    <cellStyle name="20% - Accent3 5 2 6 3" xfId="26019"/>
    <cellStyle name="20% - Accent3 5 2 7" xfId="11169"/>
    <cellStyle name="20% - Accent3 5 2 7 2" xfId="28883"/>
    <cellStyle name="20% - Accent3 5 2 8" xfId="22823"/>
    <cellStyle name="20% - Accent3 5 2 8 2" xfId="38987"/>
    <cellStyle name="20% - Accent3 5 2 9" xfId="23158"/>
    <cellStyle name="20% - Accent3 5 3" xfId="380"/>
    <cellStyle name="20% - Accent3 5 3 10" xfId="22044"/>
    <cellStyle name="20% - Accent3 5 3 11" xfId="23159"/>
    <cellStyle name="20% - Accent3 5 3 12" xfId="51698"/>
    <cellStyle name="20% - Accent3 5 3 2" xfId="381"/>
    <cellStyle name="20% - Accent3 5 3 2 2" xfId="3599"/>
    <cellStyle name="20% - Accent3 5 3 2 2 2" xfId="8210"/>
    <cellStyle name="20% - Accent3 5 3 2 2 2 2" xfId="16000"/>
    <cellStyle name="20% - Accent3 5 3 2 2 2 2 2" xfId="33621"/>
    <cellStyle name="20% - Accent3 5 3 2 2 2 3" xfId="26610"/>
    <cellStyle name="20% - Accent3 5 3 2 2 3" xfId="12321"/>
    <cellStyle name="20% - Accent3 5 3 2 2 3 2" xfId="29978"/>
    <cellStyle name="20% - Accent3 5 3 2 2 4" xfId="23749"/>
    <cellStyle name="20% - Accent3 5 3 2 3" xfId="5604"/>
    <cellStyle name="20% - Accent3 5 3 2 3 2" xfId="8901"/>
    <cellStyle name="20% - Accent3 5 3 2 3 2 2" xfId="16690"/>
    <cellStyle name="20% - Accent3 5 3 2 3 2 2 2" xfId="34312"/>
    <cellStyle name="20% - Accent3 5 3 2 3 2 3" xfId="27275"/>
    <cellStyle name="20% - Accent3 5 3 2 3 3" xfId="13454"/>
    <cellStyle name="20% - Accent3 5 3 2 3 3 2" xfId="31080"/>
    <cellStyle name="20% - Accent3 5 3 2 3 4" xfId="24414"/>
    <cellStyle name="20% - Accent3 5 3 2 4" xfId="6234"/>
    <cellStyle name="20% - Accent3 5 3 2 4 2" xfId="9441"/>
    <cellStyle name="20% - Accent3 5 3 2 4 2 2" xfId="17229"/>
    <cellStyle name="20% - Accent3 5 3 2 4 2 2 2" xfId="34852"/>
    <cellStyle name="20% - Accent3 5 3 2 4 2 3" xfId="27811"/>
    <cellStyle name="20% - Accent3 5 3 2 4 3" xfId="14017"/>
    <cellStyle name="20% - Accent3 5 3 2 4 3 2" xfId="31638"/>
    <cellStyle name="20% - Accent3 5 3 2 4 4" xfId="24950"/>
    <cellStyle name="20% - Accent3 5 3 2 5" xfId="6771"/>
    <cellStyle name="20% - Accent3 5 3 2 5 2" xfId="9978"/>
    <cellStyle name="20% - Accent3 5 3 2 5 2 2" xfId="17765"/>
    <cellStyle name="20% - Accent3 5 3 2 5 2 2 2" xfId="35388"/>
    <cellStyle name="20% - Accent3 5 3 2 5 2 3" xfId="28347"/>
    <cellStyle name="20% - Accent3 5 3 2 5 3" xfId="14553"/>
    <cellStyle name="20% - Accent3 5 3 2 5 3 2" xfId="32174"/>
    <cellStyle name="20% - Accent3 5 3 2 5 4" xfId="25487"/>
    <cellStyle name="20% - Accent3 5 3 2 6" xfId="7602"/>
    <cellStyle name="20% - Accent3 5 3 2 6 2" xfId="15393"/>
    <cellStyle name="20% - Accent3 5 3 2 6 2 2" xfId="33014"/>
    <cellStyle name="20% - Accent3 5 3 2 6 3" xfId="26021"/>
    <cellStyle name="20% - Accent3 5 3 2 7" xfId="11171"/>
    <cellStyle name="20% - Accent3 5 3 2 7 2" xfId="28885"/>
    <cellStyle name="20% - Accent3 5 3 2 8" xfId="23160"/>
    <cellStyle name="20% - Accent3 5 3 2 9" xfId="51699"/>
    <cellStyle name="20% - Accent3 5 3 3" xfId="3600"/>
    <cellStyle name="20% - Accent3 5 3 3 2" xfId="5605"/>
    <cellStyle name="20% - Accent3 5 3 3 2 2" xfId="8902"/>
    <cellStyle name="20% - Accent3 5 3 3 2 2 2" xfId="16691"/>
    <cellStyle name="20% - Accent3 5 3 3 2 2 2 2" xfId="34313"/>
    <cellStyle name="20% - Accent3 5 3 3 2 2 3" xfId="27276"/>
    <cellStyle name="20% - Accent3 5 3 3 2 3" xfId="13455"/>
    <cellStyle name="20% - Accent3 5 3 3 2 3 2" xfId="31081"/>
    <cellStyle name="20% - Accent3 5 3 3 2 4" xfId="24415"/>
    <cellStyle name="20% - Accent3 5 3 3 3" xfId="6235"/>
    <cellStyle name="20% - Accent3 5 3 3 3 2" xfId="9442"/>
    <cellStyle name="20% - Accent3 5 3 3 3 2 2" xfId="17230"/>
    <cellStyle name="20% - Accent3 5 3 3 3 2 2 2" xfId="34853"/>
    <cellStyle name="20% - Accent3 5 3 3 3 2 3" xfId="27812"/>
    <cellStyle name="20% - Accent3 5 3 3 3 3" xfId="14018"/>
    <cellStyle name="20% - Accent3 5 3 3 3 3 2" xfId="31639"/>
    <cellStyle name="20% - Accent3 5 3 3 3 4" xfId="24951"/>
    <cellStyle name="20% - Accent3 5 3 3 4" xfId="6772"/>
    <cellStyle name="20% - Accent3 5 3 3 4 2" xfId="9979"/>
    <cellStyle name="20% - Accent3 5 3 3 4 2 2" xfId="17766"/>
    <cellStyle name="20% - Accent3 5 3 3 4 2 2 2" xfId="35389"/>
    <cellStyle name="20% - Accent3 5 3 3 4 2 3" xfId="28348"/>
    <cellStyle name="20% - Accent3 5 3 3 4 3" xfId="14554"/>
    <cellStyle name="20% - Accent3 5 3 3 4 3 2" xfId="32175"/>
    <cellStyle name="20% - Accent3 5 3 3 4 4" xfId="25488"/>
    <cellStyle name="20% - Accent3 5 3 3 5" xfId="8211"/>
    <cellStyle name="20% - Accent3 5 3 3 5 2" xfId="16001"/>
    <cellStyle name="20% - Accent3 5 3 3 5 2 2" xfId="33622"/>
    <cellStyle name="20% - Accent3 5 3 3 5 3" xfId="26611"/>
    <cellStyle name="20% - Accent3 5 3 3 6" xfId="12322"/>
    <cellStyle name="20% - Accent3 5 3 3 6 2" xfId="29979"/>
    <cellStyle name="20% - Accent3 5 3 3 7" xfId="23750"/>
    <cellStyle name="20% - Accent3 5 3 4" xfId="3598"/>
    <cellStyle name="20% - Accent3 5 3 4 2" xfId="8209"/>
    <cellStyle name="20% - Accent3 5 3 4 2 2" xfId="15999"/>
    <cellStyle name="20% - Accent3 5 3 4 2 2 2" xfId="33620"/>
    <cellStyle name="20% - Accent3 5 3 4 2 3" xfId="26609"/>
    <cellStyle name="20% - Accent3 5 3 4 3" xfId="12320"/>
    <cellStyle name="20% - Accent3 5 3 4 3 2" xfId="29977"/>
    <cellStyle name="20% - Accent3 5 3 4 4" xfId="23748"/>
    <cellStyle name="20% - Accent3 5 3 5" xfId="5603"/>
    <cellStyle name="20% - Accent3 5 3 5 2" xfId="8900"/>
    <cellStyle name="20% - Accent3 5 3 5 2 2" xfId="16689"/>
    <cellStyle name="20% - Accent3 5 3 5 2 2 2" xfId="34311"/>
    <cellStyle name="20% - Accent3 5 3 5 2 3" xfId="27274"/>
    <cellStyle name="20% - Accent3 5 3 5 3" xfId="13453"/>
    <cellStyle name="20% - Accent3 5 3 5 3 2" xfId="31079"/>
    <cellStyle name="20% - Accent3 5 3 5 4" xfId="24413"/>
    <cellStyle name="20% - Accent3 5 3 6" xfId="6233"/>
    <cellStyle name="20% - Accent3 5 3 6 2" xfId="9440"/>
    <cellStyle name="20% - Accent3 5 3 6 2 2" xfId="17228"/>
    <cellStyle name="20% - Accent3 5 3 6 2 2 2" xfId="34851"/>
    <cellStyle name="20% - Accent3 5 3 6 2 3" xfId="27810"/>
    <cellStyle name="20% - Accent3 5 3 6 3" xfId="14016"/>
    <cellStyle name="20% - Accent3 5 3 6 3 2" xfId="31637"/>
    <cellStyle name="20% - Accent3 5 3 6 4" xfId="24949"/>
    <cellStyle name="20% - Accent3 5 3 7" xfId="6770"/>
    <cellStyle name="20% - Accent3 5 3 7 2" xfId="9977"/>
    <cellStyle name="20% - Accent3 5 3 7 2 2" xfId="17764"/>
    <cellStyle name="20% - Accent3 5 3 7 2 2 2" xfId="35387"/>
    <cellStyle name="20% - Accent3 5 3 7 2 3" xfId="28346"/>
    <cellStyle name="20% - Accent3 5 3 7 3" xfId="14552"/>
    <cellStyle name="20% - Accent3 5 3 7 3 2" xfId="32173"/>
    <cellStyle name="20% - Accent3 5 3 7 4" xfId="25486"/>
    <cellStyle name="20% - Accent3 5 3 8" xfId="7601"/>
    <cellStyle name="20% - Accent3 5 3 8 2" xfId="15392"/>
    <cellStyle name="20% - Accent3 5 3 8 2 2" xfId="33013"/>
    <cellStyle name="20% - Accent3 5 3 8 3" xfId="26020"/>
    <cellStyle name="20% - Accent3 5 3 9" xfId="11170"/>
    <cellStyle name="20% - Accent3 5 3 9 2" xfId="28884"/>
    <cellStyle name="20% - Accent3 5 4" xfId="382"/>
    <cellStyle name="20% - Accent3 5 4 10" xfId="52880"/>
    <cellStyle name="20% - Accent3 5 4 2" xfId="3601"/>
    <cellStyle name="20% - Accent3 5 4 2 2" xfId="8212"/>
    <cellStyle name="20% - Accent3 5 4 2 2 2" xfId="16002"/>
    <cellStyle name="20% - Accent3 5 4 2 2 2 2" xfId="33623"/>
    <cellStyle name="20% - Accent3 5 4 2 2 3" xfId="26612"/>
    <cellStyle name="20% - Accent3 5 4 2 3" xfId="12323"/>
    <cellStyle name="20% - Accent3 5 4 2 3 2" xfId="29980"/>
    <cellStyle name="20% - Accent3 5 4 2 4" xfId="23751"/>
    <cellStyle name="20% - Accent3 5 4 3" xfId="5606"/>
    <cellStyle name="20% - Accent3 5 4 3 2" xfId="8903"/>
    <cellStyle name="20% - Accent3 5 4 3 2 2" xfId="16692"/>
    <cellStyle name="20% - Accent3 5 4 3 2 2 2" xfId="34314"/>
    <cellStyle name="20% - Accent3 5 4 3 2 3" xfId="27277"/>
    <cellStyle name="20% - Accent3 5 4 3 3" xfId="13456"/>
    <cellStyle name="20% - Accent3 5 4 3 3 2" xfId="31082"/>
    <cellStyle name="20% - Accent3 5 4 3 4" xfId="24416"/>
    <cellStyle name="20% - Accent3 5 4 4" xfId="6236"/>
    <cellStyle name="20% - Accent3 5 4 4 2" xfId="9443"/>
    <cellStyle name="20% - Accent3 5 4 4 2 2" xfId="17231"/>
    <cellStyle name="20% - Accent3 5 4 4 2 2 2" xfId="34854"/>
    <cellStyle name="20% - Accent3 5 4 4 2 3" xfId="27813"/>
    <cellStyle name="20% - Accent3 5 4 4 3" xfId="14019"/>
    <cellStyle name="20% - Accent3 5 4 4 3 2" xfId="31640"/>
    <cellStyle name="20% - Accent3 5 4 4 4" xfId="24952"/>
    <cellStyle name="20% - Accent3 5 4 5" xfId="6773"/>
    <cellStyle name="20% - Accent3 5 4 5 2" xfId="9980"/>
    <cellStyle name="20% - Accent3 5 4 5 2 2" xfId="17767"/>
    <cellStyle name="20% - Accent3 5 4 5 2 2 2" xfId="35390"/>
    <cellStyle name="20% - Accent3 5 4 5 2 3" xfId="28349"/>
    <cellStyle name="20% - Accent3 5 4 5 3" xfId="14555"/>
    <cellStyle name="20% - Accent3 5 4 5 3 2" xfId="32176"/>
    <cellStyle name="20% - Accent3 5 4 5 4" xfId="25489"/>
    <cellStyle name="20% - Accent3 5 4 6" xfId="7603"/>
    <cellStyle name="20% - Accent3 5 4 6 2" xfId="15394"/>
    <cellStyle name="20% - Accent3 5 4 6 2 2" xfId="33015"/>
    <cellStyle name="20% - Accent3 5 4 6 3" xfId="26022"/>
    <cellStyle name="20% - Accent3 5 4 7" xfId="11172"/>
    <cellStyle name="20% - Accent3 5 4 7 2" xfId="28886"/>
    <cellStyle name="20% - Accent3 5 4 8" xfId="23161"/>
    <cellStyle name="20% - Accent3 5 4 9" xfId="51700"/>
    <cellStyle name="20% - Accent3 5 5" xfId="383"/>
    <cellStyle name="20% - Accent3 5 5 2" xfId="3602"/>
    <cellStyle name="20% - Accent3 5 5 2 2" xfId="8213"/>
    <cellStyle name="20% - Accent3 5 5 2 2 2" xfId="16003"/>
    <cellStyle name="20% - Accent3 5 5 2 2 2 2" xfId="33624"/>
    <cellStyle name="20% - Accent3 5 5 2 2 3" xfId="26613"/>
    <cellStyle name="20% - Accent3 5 5 2 3" xfId="12324"/>
    <cellStyle name="20% - Accent3 5 5 2 3 2" xfId="29981"/>
    <cellStyle name="20% - Accent3 5 5 2 4" xfId="23752"/>
    <cellStyle name="20% - Accent3 5 5 3" xfId="5607"/>
    <cellStyle name="20% - Accent3 5 5 3 2" xfId="8904"/>
    <cellStyle name="20% - Accent3 5 5 3 2 2" xfId="16693"/>
    <cellStyle name="20% - Accent3 5 5 3 2 2 2" xfId="34315"/>
    <cellStyle name="20% - Accent3 5 5 3 2 3" xfId="27278"/>
    <cellStyle name="20% - Accent3 5 5 3 3" xfId="13457"/>
    <cellStyle name="20% - Accent3 5 5 3 3 2" xfId="31083"/>
    <cellStyle name="20% - Accent3 5 5 3 4" xfId="24417"/>
    <cellStyle name="20% - Accent3 5 5 4" xfId="6237"/>
    <cellStyle name="20% - Accent3 5 5 4 2" xfId="9444"/>
    <cellStyle name="20% - Accent3 5 5 4 2 2" xfId="17232"/>
    <cellStyle name="20% - Accent3 5 5 4 2 2 2" xfId="34855"/>
    <cellStyle name="20% - Accent3 5 5 4 2 3" xfId="27814"/>
    <cellStyle name="20% - Accent3 5 5 4 3" xfId="14020"/>
    <cellStyle name="20% - Accent3 5 5 4 3 2" xfId="31641"/>
    <cellStyle name="20% - Accent3 5 5 4 4" xfId="24953"/>
    <cellStyle name="20% - Accent3 5 5 5" xfId="6774"/>
    <cellStyle name="20% - Accent3 5 5 5 2" xfId="9981"/>
    <cellStyle name="20% - Accent3 5 5 5 2 2" xfId="17768"/>
    <cellStyle name="20% - Accent3 5 5 5 2 2 2" xfId="35391"/>
    <cellStyle name="20% - Accent3 5 5 5 2 3" xfId="28350"/>
    <cellStyle name="20% - Accent3 5 5 5 3" xfId="14556"/>
    <cellStyle name="20% - Accent3 5 5 5 3 2" xfId="32177"/>
    <cellStyle name="20% - Accent3 5 5 5 4" xfId="25490"/>
    <cellStyle name="20% - Accent3 5 5 6" xfId="7604"/>
    <cellStyle name="20% - Accent3 5 5 6 2" xfId="15395"/>
    <cellStyle name="20% - Accent3 5 5 6 2 2" xfId="33016"/>
    <cellStyle name="20% - Accent3 5 5 6 3" xfId="26023"/>
    <cellStyle name="20% - Accent3 5 5 7" xfId="11173"/>
    <cellStyle name="20% - Accent3 5 5 7 2" xfId="28887"/>
    <cellStyle name="20% - Accent3 5 5 8" xfId="23162"/>
    <cellStyle name="20% - Accent3 5 5 9" xfId="51701"/>
    <cellStyle name="20% - Accent3 5 6" xfId="384"/>
    <cellStyle name="20% - Accent3 5 6 2" xfId="3603"/>
    <cellStyle name="20% - Accent3 5 6 2 2" xfId="8214"/>
    <cellStyle name="20% - Accent3 5 6 2 2 2" xfId="16004"/>
    <cellStyle name="20% - Accent3 5 6 2 2 2 2" xfId="33625"/>
    <cellStyle name="20% - Accent3 5 6 2 2 3" xfId="26614"/>
    <cellStyle name="20% - Accent3 5 6 2 3" xfId="12325"/>
    <cellStyle name="20% - Accent3 5 6 2 3 2" xfId="29982"/>
    <cellStyle name="20% - Accent3 5 6 2 4" xfId="23753"/>
    <cellStyle name="20% - Accent3 5 6 3" xfId="5608"/>
    <cellStyle name="20% - Accent3 5 6 3 2" xfId="8905"/>
    <cellStyle name="20% - Accent3 5 6 3 2 2" xfId="16694"/>
    <cellStyle name="20% - Accent3 5 6 3 2 2 2" xfId="34316"/>
    <cellStyle name="20% - Accent3 5 6 3 2 3" xfId="27279"/>
    <cellStyle name="20% - Accent3 5 6 3 3" xfId="13458"/>
    <cellStyle name="20% - Accent3 5 6 3 3 2" xfId="31084"/>
    <cellStyle name="20% - Accent3 5 6 3 4" xfId="24418"/>
    <cellStyle name="20% - Accent3 5 6 4" xfId="6238"/>
    <cellStyle name="20% - Accent3 5 6 4 2" xfId="9445"/>
    <cellStyle name="20% - Accent3 5 6 4 2 2" xfId="17233"/>
    <cellStyle name="20% - Accent3 5 6 4 2 2 2" xfId="34856"/>
    <cellStyle name="20% - Accent3 5 6 4 2 3" xfId="27815"/>
    <cellStyle name="20% - Accent3 5 6 4 3" xfId="14021"/>
    <cellStyle name="20% - Accent3 5 6 4 3 2" xfId="31642"/>
    <cellStyle name="20% - Accent3 5 6 4 4" xfId="24954"/>
    <cellStyle name="20% - Accent3 5 6 5" xfId="6775"/>
    <cellStyle name="20% - Accent3 5 6 5 2" xfId="9982"/>
    <cellStyle name="20% - Accent3 5 6 5 2 2" xfId="17769"/>
    <cellStyle name="20% - Accent3 5 6 5 2 2 2" xfId="35392"/>
    <cellStyle name="20% - Accent3 5 6 5 2 3" xfId="28351"/>
    <cellStyle name="20% - Accent3 5 6 5 3" xfId="14557"/>
    <cellStyle name="20% - Accent3 5 6 5 3 2" xfId="32178"/>
    <cellStyle name="20% - Accent3 5 6 5 4" xfId="25491"/>
    <cellStyle name="20% - Accent3 5 6 6" xfId="7605"/>
    <cellStyle name="20% - Accent3 5 6 6 2" xfId="15396"/>
    <cellStyle name="20% - Accent3 5 6 6 2 2" xfId="33017"/>
    <cellStyle name="20% - Accent3 5 6 6 3" xfId="26024"/>
    <cellStyle name="20% - Accent3 5 6 7" xfId="11174"/>
    <cellStyle name="20% - Accent3 5 6 7 2" xfId="28888"/>
    <cellStyle name="20% - Accent3 5 6 8" xfId="23163"/>
    <cellStyle name="20% - Accent3 5 6 9" xfId="51702"/>
    <cellStyle name="20% - Accent3 5 7" xfId="385"/>
    <cellStyle name="20% - Accent3 5 7 10" xfId="51703"/>
    <cellStyle name="20% - Accent3 5 7 2" xfId="386"/>
    <cellStyle name="20% - Accent3 5 7 2 2" xfId="8216"/>
    <cellStyle name="20% - Accent3 5 7 2 2 2" xfId="16006"/>
    <cellStyle name="20% - Accent3 5 7 2 2 2 2" xfId="33627"/>
    <cellStyle name="20% - Accent3 5 7 2 2 3" xfId="26616"/>
    <cellStyle name="20% - Accent3 5 7 2 3" xfId="12327"/>
    <cellStyle name="20% - Accent3 5 7 2 3 2" xfId="29984"/>
    <cellStyle name="20% - Accent3 5 7 2 4" xfId="23755"/>
    <cellStyle name="20% - Accent3 5 7 3" xfId="3604"/>
    <cellStyle name="20% - Accent3 5 7 3 2" xfId="8215"/>
    <cellStyle name="20% - Accent3 5 7 3 2 2" xfId="16005"/>
    <cellStyle name="20% - Accent3 5 7 3 2 2 2" xfId="33626"/>
    <cellStyle name="20% - Accent3 5 7 3 2 3" xfId="26615"/>
    <cellStyle name="20% - Accent3 5 7 3 3" xfId="12326"/>
    <cellStyle name="20% - Accent3 5 7 3 3 2" xfId="29983"/>
    <cellStyle name="20% - Accent3 5 7 3 4" xfId="23754"/>
    <cellStyle name="20% - Accent3 5 7 4" xfId="5609"/>
    <cellStyle name="20% - Accent3 5 7 4 2" xfId="8906"/>
    <cellStyle name="20% - Accent3 5 7 4 2 2" xfId="16695"/>
    <cellStyle name="20% - Accent3 5 7 4 2 2 2" xfId="34317"/>
    <cellStyle name="20% - Accent3 5 7 4 2 3" xfId="27280"/>
    <cellStyle name="20% - Accent3 5 7 4 3" xfId="13459"/>
    <cellStyle name="20% - Accent3 5 7 4 3 2" xfId="31085"/>
    <cellStyle name="20% - Accent3 5 7 4 4" xfId="24419"/>
    <cellStyle name="20% - Accent3 5 7 5" xfId="6239"/>
    <cellStyle name="20% - Accent3 5 7 5 2" xfId="9446"/>
    <cellStyle name="20% - Accent3 5 7 5 2 2" xfId="17234"/>
    <cellStyle name="20% - Accent3 5 7 5 2 2 2" xfId="34857"/>
    <cellStyle name="20% - Accent3 5 7 5 2 3" xfId="27816"/>
    <cellStyle name="20% - Accent3 5 7 5 3" xfId="14022"/>
    <cellStyle name="20% - Accent3 5 7 5 3 2" xfId="31643"/>
    <cellStyle name="20% - Accent3 5 7 5 4" xfId="24955"/>
    <cellStyle name="20% - Accent3 5 7 6" xfId="6776"/>
    <cellStyle name="20% - Accent3 5 7 6 2" xfId="9983"/>
    <cellStyle name="20% - Accent3 5 7 6 2 2" xfId="17770"/>
    <cellStyle name="20% - Accent3 5 7 6 2 2 2" xfId="35393"/>
    <cellStyle name="20% - Accent3 5 7 6 2 3" xfId="28352"/>
    <cellStyle name="20% - Accent3 5 7 6 3" xfId="14558"/>
    <cellStyle name="20% - Accent3 5 7 6 3 2" xfId="32179"/>
    <cellStyle name="20% - Accent3 5 7 6 4" xfId="25492"/>
    <cellStyle name="20% - Accent3 5 7 7" xfId="7606"/>
    <cellStyle name="20% - Accent3 5 7 7 2" xfId="15397"/>
    <cellStyle name="20% - Accent3 5 7 7 2 2" xfId="33018"/>
    <cellStyle name="20% - Accent3 5 7 7 3" xfId="26025"/>
    <cellStyle name="20% - Accent3 5 7 8" xfId="11175"/>
    <cellStyle name="20% - Accent3 5 7 8 2" xfId="28889"/>
    <cellStyle name="20% - Accent3 5 7 9" xfId="23164"/>
    <cellStyle name="20% - Accent3 5 8" xfId="3605"/>
    <cellStyle name="20% - Accent3 5 8 2" xfId="8217"/>
    <cellStyle name="20% - Accent3 5 8 2 2" xfId="16007"/>
    <cellStyle name="20% - Accent3 5 8 2 2 2" xfId="33628"/>
    <cellStyle name="20% - Accent3 5 8 2 3" xfId="26617"/>
    <cellStyle name="20% - Accent3 5 8 3" xfId="12328"/>
    <cellStyle name="20% - Accent3 5 8 3 2" xfId="29985"/>
    <cellStyle name="20% - Accent3 5 8 4" xfId="23756"/>
    <cellStyle name="20% - Accent3 5 9" xfId="3606"/>
    <cellStyle name="20% - Accent3 6" xfId="387"/>
    <cellStyle name="20% - Accent3 6 10" xfId="3607"/>
    <cellStyle name="20% - Accent3 6 10 2" xfId="8218"/>
    <cellStyle name="20% - Accent3 6 10 2 2" xfId="16008"/>
    <cellStyle name="20% - Accent3 6 10 2 2 2" xfId="33629"/>
    <cellStyle name="20% - Accent3 6 10 2 3" xfId="26618"/>
    <cellStyle name="20% - Accent3 6 10 3" xfId="12330"/>
    <cellStyle name="20% - Accent3 6 10 3 2" xfId="29987"/>
    <cellStyle name="20% - Accent3 6 10 4" xfId="23757"/>
    <cellStyle name="20% - Accent3 6 11" xfId="5610"/>
    <cellStyle name="20% - Accent3 6 11 2" xfId="8907"/>
    <cellStyle name="20% - Accent3 6 11 2 2" xfId="16696"/>
    <cellStyle name="20% - Accent3 6 11 2 2 2" xfId="34318"/>
    <cellStyle name="20% - Accent3 6 11 2 3" xfId="27281"/>
    <cellStyle name="20% - Accent3 6 11 3" xfId="13460"/>
    <cellStyle name="20% - Accent3 6 11 3 2" xfId="31086"/>
    <cellStyle name="20% - Accent3 6 11 4" xfId="24420"/>
    <cellStyle name="20% - Accent3 6 12" xfId="6240"/>
    <cellStyle name="20% - Accent3 6 12 2" xfId="9447"/>
    <cellStyle name="20% - Accent3 6 12 2 2" xfId="17235"/>
    <cellStyle name="20% - Accent3 6 12 2 2 2" xfId="34858"/>
    <cellStyle name="20% - Accent3 6 12 2 3" xfId="27817"/>
    <cellStyle name="20% - Accent3 6 12 3" xfId="14023"/>
    <cellStyle name="20% - Accent3 6 12 3 2" xfId="31644"/>
    <cellStyle name="20% - Accent3 6 12 4" xfId="24956"/>
    <cellStyle name="20% - Accent3 6 13" xfId="6777"/>
    <cellStyle name="20% - Accent3 6 13 2" xfId="9984"/>
    <cellStyle name="20% - Accent3 6 13 2 2" xfId="17771"/>
    <cellStyle name="20% - Accent3 6 13 2 2 2" xfId="35394"/>
    <cellStyle name="20% - Accent3 6 13 2 3" xfId="28353"/>
    <cellStyle name="20% - Accent3 6 13 3" xfId="14559"/>
    <cellStyle name="20% - Accent3 6 13 3 2" xfId="32180"/>
    <cellStyle name="20% - Accent3 6 13 4" xfId="25493"/>
    <cellStyle name="20% - Accent3 6 14" xfId="7607"/>
    <cellStyle name="20% - Accent3 6 14 2" xfId="15398"/>
    <cellStyle name="20% - Accent3 6 14 2 2" xfId="33019"/>
    <cellStyle name="20% - Accent3 6 14 3" xfId="26026"/>
    <cellStyle name="20% - Accent3 6 15" xfId="11176"/>
    <cellStyle name="20% - Accent3 6 15 2" xfId="28890"/>
    <cellStyle name="20% - Accent3 6 16" xfId="21928"/>
    <cellStyle name="20% - Accent3 6 16 2" xfId="38667"/>
    <cellStyle name="20% - Accent3 6 17" xfId="23165"/>
    <cellStyle name="20% - Accent3 6 18" xfId="51704"/>
    <cellStyle name="20% - Accent3 6 2" xfId="388"/>
    <cellStyle name="20% - Accent3 6 2 10" xfId="51705"/>
    <cellStyle name="20% - Accent3 6 2 2" xfId="3608"/>
    <cellStyle name="20% - Accent3 6 2 2 2" xfId="8219"/>
    <cellStyle name="20% - Accent3 6 2 2 2 2" xfId="16009"/>
    <cellStyle name="20% - Accent3 6 2 2 2 2 2" xfId="33630"/>
    <cellStyle name="20% - Accent3 6 2 2 2 3" xfId="26619"/>
    <cellStyle name="20% - Accent3 6 2 2 3" xfId="12331"/>
    <cellStyle name="20% - Accent3 6 2 2 3 2" xfId="29988"/>
    <cellStyle name="20% - Accent3 6 2 2 4" xfId="23758"/>
    <cellStyle name="20% - Accent3 6 2 3" xfId="5611"/>
    <cellStyle name="20% - Accent3 6 2 3 2" xfId="8908"/>
    <cellStyle name="20% - Accent3 6 2 3 2 2" xfId="16697"/>
    <cellStyle name="20% - Accent3 6 2 3 2 2 2" xfId="34319"/>
    <cellStyle name="20% - Accent3 6 2 3 2 3" xfId="27282"/>
    <cellStyle name="20% - Accent3 6 2 3 3" xfId="13461"/>
    <cellStyle name="20% - Accent3 6 2 3 3 2" xfId="31087"/>
    <cellStyle name="20% - Accent3 6 2 3 4" xfId="24421"/>
    <cellStyle name="20% - Accent3 6 2 4" xfId="6241"/>
    <cellStyle name="20% - Accent3 6 2 4 2" xfId="9448"/>
    <cellStyle name="20% - Accent3 6 2 4 2 2" xfId="17236"/>
    <cellStyle name="20% - Accent3 6 2 4 2 2 2" xfId="34859"/>
    <cellStyle name="20% - Accent3 6 2 4 2 3" xfId="27818"/>
    <cellStyle name="20% - Accent3 6 2 4 3" xfId="14024"/>
    <cellStyle name="20% - Accent3 6 2 4 3 2" xfId="31645"/>
    <cellStyle name="20% - Accent3 6 2 4 4" xfId="24957"/>
    <cellStyle name="20% - Accent3 6 2 5" xfId="6778"/>
    <cellStyle name="20% - Accent3 6 2 5 2" xfId="9985"/>
    <cellStyle name="20% - Accent3 6 2 5 2 2" xfId="17772"/>
    <cellStyle name="20% - Accent3 6 2 5 2 2 2" xfId="35395"/>
    <cellStyle name="20% - Accent3 6 2 5 2 3" xfId="28354"/>
    <cellStyle name="20% - Accent3 6 2 5 3" xfId="14560"/>
    <cellStyle name="20% - Accent3 6 2 5 3 2" xfId="32181"/>
    <cellStyle name="20% - Accent3 6 2 5 4" xfId="25494"/>
    <cellStyle name="20% - Accent3 6 2 6" xfId="7608"/>
    <cellStyle name="20% - Accent3 6 2 6 2" xfId="15399"/>
    <cellStyle name="20% - Accent3 6 2 6 2 2" xfId="33020"/>
    <cellStyle name="20% - Accent3 6 2 6 3" xfId="26027"/>
    <cellStyle name="20% - Accent3 6 2 7" xfId="11177"/>
    <cellStyle name="20% - Accent3 6 2 7 2" xfId="28891"/>
    <cellStyle name="20% - Accent3 6 2 8" xfId="22824"/>
    <cellStyle name="20% - Accent3 6 2 8 2" xfId="38988"/>
    <cellStyle name="20% - Accent3 6 2 9" xfId="23166"/>
    <cellStyle name="20% - Accent3 6 3" xfId="389"/>
    <cellStyle name="20% - Accent3 6 3 10" xfId="22045"/>
    <cellStyle name="20% - Accent3 6 3 11" xfId="23167"/>
    <cellStyle name="20% - Accent3 6 3 12" xfId="51706"/>
    <cellStyle name="20% - Accent3 6 3 2" xfId="390"/>
    <cellStyle name="20% - Accent3 6 3 2 2" xfId="3610"/>
    <cellStyle name="20% - Accent3 6 3 2 2 2" xfId="8221"/>
    <cellStyle name="20% - Accent3 6 3 2 2 2 2" xfId="16011"/>
    <cellStyle name="20% - Accent3 6 3 2 2 2 2 2" xfId="33632"/>
    <cellStyle name="20% - Accent3 6 3 2 2 2 3" xfId="26621"/>
    <cellStyle name="20% - Accent3 6 3 2 2 3" xfId="12333"/>
    <cellStyle name="20% - Accent3 6 3 2 2 3 2" xfId="29990"/>
    <cellStyle name="20% - Accent3 6 3 2 2 4" xfId="23760"/>
    <cellStyle name="20% - Accent3 6 3 2 3" xfId="5613"/>
    <cellStyle name="20% - Accent3 6 3 2 3 2" xfId="8910"/>
    <cellStyle name="20% - Accent3 6 3 2 3 2 2" xfId="16699"/>
    <cellStyle name="20% - Accent3 6 3 2 3 2 2 2" xfId="34321"/>
    <cellStyle name="20% - Accent3 6 3 2 3 2 3" xfId="27284"/>
    <cellStyle name="20% - Accent3 6 3 2 3 3" xfId="13463"/>
    <cellStyle name="20% - Accent3 6 3 2 3 3 2" xfId="31089"/>
    <cellStyle name="20% - Accent3 6 3 2 3 4" xfId="24423"/>
    <cellStyle name="20% - Accent3 6 3 2 4" xfId="6243"/>
    <cellStyle name="20% - Accent3 6 3 2 4 2" xfId="9450"/>
    <cellStyle name="20% - Accent3 6 3 2 4 2 2" xfId="17238"/>
    <cellStyle name="20% - Accent3 6 3 2 4 2 2 2" xfId="34861"/>
    <cellStyle name="20% - Accent3 6 3 2 4 2 3" xfId="27820"/>
    <cellStyle name="20% - Accent3 6 3 2 4 3" xfId="14026"/>
    <cellStyle name="20% - Accent3 6 3 2 4 3 2" xfId="31647"/>
    <cellStyle name="20% - Accent3 6 3 2 4 4" xfId="24959"/>
    <cellStyle name="20% - Accent3 6 3 2 5" xfId="6780"/>
    <cellStyle name="20% - Accent3 6 3 2 5 2" xfId="9987"/>
    <cellStyle name="20% - Accent3 6 3 2 5 2 2" xfId="17774"/>
    <cellStyle name="20% - Accent3 6 3 2 5 2 2 2" xfId="35397"/>
    <cellStyle name="20% - Accent3 6 3 2 5 2 3" xfId="28356"/>
    <cellStyle name="20% - Accent3 6 3 2 5 3" xfId="14562"/>
    <cellStyle name="20% - Accent3 6 3 2 5 3 2" xfId="32183"/>
    <cellStyle name="20% - Accent3 6 3 2 5 4" xfId="25496"/>
    <cellStyle name="20% - Accent3 6 3 2 6" xfId="7610"/>
    <cellStyle name="20% - Accent3 6 3 2 6 2" xfId="15401"/>
    <cellStyle name="20% - Accent3 6 3 2 6 2 2" xfId="33022"/>
    <cellStyle name="20% - Accent3 6 3 2 6 3" xfId="26029"/>
    <cellStyle name="20% - Accent3 6 3 2 7" xfId="11179"/>
    <cellStyle name="20% - Accent3 6 3 2 7 2" xfId="28893"/>
    <cellStyle name="20% - Accent3 6 3 2 8" xfId="23168"/>
    <cellStyle name="20% - Accent3 6 3 2 9" xfId="51707"/>
    <cellStyle name="20% - Accent3 6 3 3" xfId="3611"/>
    <cellStyle name="20% - Accent3 6 3 3 2" xfId="5614"/>
    <cellStyle name="20% - Accent3 6 3 3 2 2" xfId="8911"/>
    <cellStyle name="20% - Accent3 6 3 3 2 2 2" xfId="16700"/>
    <cellStyle name="20% - Accent3 6 3 3 2 2 2 2" xfId="34322"/>
    <cellStyle name="20% - Accent3 6 3 3 2 2 3" xfId="27285"/>
    <cellStyle name="20% - Accent3 6 3 3 2 3" xfId="13464"/>
    <cellStyle name="20% - Accent3 6 3 3 2 3 2" xfId="31090"/>
    <cellStyle name="20% - Accent3 6 3 3 2 4" xfId="24424"/>
    <cellStyle name="20% - Accent3 6 3 3 3" xfId="6244"/>
    <cellStyle name="20% - Accent3 6 3 3 3 2" xfId="9451"/>
    <cellStyle name="20% - Accent3 6 3 3 3 2 2" xfId="17239"/>
    <cellStyle name="20% - Accent3 6 3 3 3 2 2 2" xfId="34862"/>
    <cellStyle name="20% - Accent3 6 3 3 3 2 3" xfId="27821"/>
    <cellStyle name="20% - Accent3 6 3 3 3 3" xfId="14027"/>
    <cellStyle name="20% - Accent3 6 3 3 3 3 2" xfId="31648"/>
    <cellStyle name="20% - Accent3 6 3 3 3 4" xfId="24960"/>
    <cellStyle name="20% - Accent3 6 3 3 4" xfId="6781"/>
    <cellStyle name="20% - Accent3 6 3 3 4 2" xfId="9988"/>
    <cellStyle name="20% - Accent3 6 3 3 4 2 2" xfId="17775"/>
    <cellStyle name="20% - Accent3 6 3 3 4 2 2 2" xfId="35398"/>
    <cellStyle name="20% - Accent3 6 3 3 4 2 3" xfId="28357"/>
    <cellStyle name="20% - Accent3 6 3 3 4 3" xfId="14563"/>
    <cellStyle name="20% - Accent3 6 3 3 4 3 2" xfId="32184"/>
    <cellStyle name="20% - Accent3 6 3 3 4 4" xfId="25497"/>
    <cellStyle name="20% - Accent3 6 3 3 5" xfId="8222"/>
    <cellStyle name="20% - Accent3 6 3 3 5 2" xfId="16012"/>
    <cellStyle name="20% - Accent3 6 3 3 5 2 2" xfId="33633"/>
    <cellStyle name="20% - Accent3 6 3 3 5 3" xfId="26622"/>
    <cellStyle name="20% - Accent3 6 3 3 6" xfId="12334"/>
    <cellStyle name="20% - Accent3 6 3 3 6 2" xfId="29991"/>
    <cellStyle name="20% - Accent3 6 3 3 7" xfId="23761"/>
    <cellStyle name="20% - Accent3 6 3 4" xfId="3609"/>
    <cellStyle name="20% - Accent3 6 3 4 2" xfId="8220"/>
    <cellStyle name="20% - Accent3 6 3 4 2 2" xfId="16010"/>
    <cellStyle name="20% - Accent3 6 3 4 2 2 2" xfId="33631"/>
    <cellStyle name="20% - Accent3 6 3 4 2 3" xfId="26620"/>
    <cellStyle name="20% - Accent3 6 3 4 3" xfId="12332"/>
    <cellStyle name="20% - Accent3 6 3 4 3 2" xfId="29989"/>
    <cellStyle name="20% - Accent3 6 3 4 4" xfId="23759"/>
    <cellStyle name="20% - Accent3 6 3 5" xfId="5612"/>
    <cellStyle name="20% - Accent3 6 3 5 2" xfId="8909"/>
    <cellStyle name="20% - Accent3 6 3 5 2 2" xfId="16698"/>
    <cellStyle name="20% - Accent3 6 3 5 2 2 2" xfId="34320"/>
    <cellStyle name="20% - Accent3 6 3 5 2 3" xfId="27283"/>
    <cellStyle name="20% - Accent3 6 3 5 3" xfId="13462"/>
    <cellStyle name="20% - Accent3 6 3 5 3 2" xfId="31088"/>
    <cellStyle name="20% - Accent3 6 3 5 4" xfId="24422"/>
    <cellStyle name="20% - Accent3 6 3 6" xfId="6242"/>
    <cellStyle name="20% - Accent3 6 3 6 2" xfId="9449"/>
    <cellStyle name="20% - Accent3 6 3 6 2 2" xfId="17237"/>
    <cellStyle name="20% - Accent3 6 3 6 2 2 2" xfId="34860"/>
    <cellStyle name="20% - Accent3 6 3 6 2 3" xfId="27819"/>
    <cellStyle name="20% - Accent3 6 3 6 3" xfId="14025"/>
    <cellStyle name="20% - Accent3 6 3 6 3 2" xfId="31646"/>
    <cellStyle name="20% - Accent3 6 3 6 4" xfId="24958"/>
    <cellStyle name="20% - Accent3 6 3 7" xfId="6779"/>
    <cellStyle name="20% - Accent3 6 3 7 2" xfId="9986"/>
    <cellStyle name="20% - Accent3 6 3 7 2 2" xfId="17773"/>
    <cellStyle name="20% - Accent3 6 3 7 2 2 2" xfId="35396"/>
    <cellStyle name="20% - Accent3 6 3 7 2 3" xfId="28355"/>
    <cellStyle name="20% - Accent3 6 3 7 3" xfId="14561"/>
    <cellStyle name="20% - Accent3 6 3 7 3 2" xfId="32182"/>
    <cellStyle name="20% - Accent3 6 3 7 4" xfId="25495"/>
    <cellStyle name="20% - Accent3 6 3 8" xfId="7609"/>
    <cellStyle name="20% - Accent3 6 3 8 2" xfId="15400"/>
    <cellStyle name="20% - Accent3 6 3 8 2 2" xfId="33021"/>
    <cellStyle name="20% - Accent3 6 3 8 3" xfId="26028"/>
    <cellStyle name="20% - Accent3 6 3 9" xfId="11178"/>
    <cellStyle name="20% - Accent3 6 3 9 2" xfId="28892"/>
    <cellStyle name="20% - Accent3 6 4" xfId="391"/>
    <cellStyle name="20% - Accent3 6 4 10" xfId="52881"/>
    <cellStyle name="20% - Accent3 6 4 2" xfId="3612"/>
    <cellStyle name="20% - Accent3 6 4 2 2" xfId="8223"/>
    <cellStyle name="20% - Accent3 6 4 2 2 2" xfId="16013"/>
    <cellStyle name="20% - Accent3 6 4 2 2 2 2" xfId="33634"/>
    <cellStyle name="20% - Accent3 6 4 2 2 3" xfId="26623"/>
    <cellStyle name="20% - Accent3 6 4 2 3" xfId="12335"/>
    <cellStyle name="20% - Accent3 6 4 2 3 2" xfId="29992"/>
    <cellStyle name="20% - Accent3 6 4 2 4" xfId="23762"/>
    <cellStyle name="20% - Accent3 6 4 3" xfId="5615"/>
    <cellStyle name="20% - Accent3 6 4 3 2" xfId="8912"/>
    <cellStyle name="20% - Accent3 6 4 3 2 2" xfId="16701"/>
    <cellStyle name="20% - Accent3 6 4 3 2 2 2" xfId="34323"/>
    <cellStyle name="20% - Accent3 6 4 3 2 3" xfId="27286"/>
    <cellStyle name="20% - Accent3 6 4 3 3" xfId="13465"/>
    <cellStyle name="20% - Accent3 6 4 3 3 2" xfId="31091"/>
    <cellStyle name="20% - Accent3 6 4 3 4" xfId="24425"/>
    <cellStyle name="20% - Accent3 6 4 4" xfId="6245"/>
    <cellStyle name="20% - Accent3 6 4 4 2" xfId="9452"/>
    <cellStyle name="20% - Accent3 6 4 4 2 2" xfId="17240"/>
    <cellStyle name="20% - Accent3 6 4 4 2 2 2" xfId="34863"/>
    <cellStyle name="20% - Accent3 6 4 4 2 3" xfId="27822"/>
    <cellStyle name="20% - Accent3 6 4 4 3" xfId="14028"/>
    <cellStyle name="20% - Accent3 6 4 4 3 2" xfId="31649"/>
    <cellStyle name="20% - Accent3 6 4 4 4" xfId="24961"/>
    <cellStyle name="20% - Accent3 6 4 5" xfId="6782"/>
    <cellStyle name="20% - Accent3 6 4 5 2" xfId="9989"/>
    <cellStyle name="20% - Accent3 6 4 5 2 2" xfId="17776"/>
    <cellStyle name="20% - Accent3 6 4 5 2 2 2" xfId="35399"/>
    <cellStyle name="20% - Accent3 6 4 5 2 3" xfId="28358"/>
    <cellStyle name="20% - Accent3 6 4 5 3" xfId="14564"/>
    <cellStyle name="20% - Accent3 6 4 5 3 2" xfId="32185"/>
    <cellStyle name="20% - Accent3 6 4 5 4" xfId="25498"/>
    <cellStyle name="20% - Accent3 6 4 6" xfId="7611"/>
    <cellStyle name="20% - Accent3 6 4 6 2" xfId="15402"/>
    <cellStyle name="20% - Accent3 6 4 6 2 2" xfId="33023"/>
    <cellStyle name="20% - Accent3 6 4 6 3" xfId="26030"/>
    <cellStyle name="20% - Accent3 6 4 7" xfId="11180"/>
    <cellStyle name="20% - Accent3 6 4 7 2" xfId="28894"/>
    <cellStyle name="20% - Accent3 6 4 8" xfId="23169"/>
    <cellStyle name="20% - Accent3 6 4 9" xfId="51708"/>
    <cellStyle name="20% - Accent3 6 5" xfId="392"/>
    <cellStyle name="20% - Accent3 6 5 2" xfId="3613"/>
    <cellStyle name="20% - Accent3 6 5 2 2" xfId="8224"/>
    <cellStyle name="20% - Accent3 6 5 2 2 2" xfId="16014"/>
    <cellStyle name="20% - Accent3 6 5 2 2 2 2" xfId="33635"/>
    <cellStyle name="20% - Accent3 6 5 2 2 3" xfId="26624"/>
    <cellStyle name="20% - Accent3 6 5 2 3" xfId="12336"/>
    <cellStyle name="20% - Accent3 6 5 2 3 2" xfId="29993"/>
    <cellStyle name="20% - Accent3 6 5 2 4" xfId="23763"/>
    <cellStyle name="20% - Accent3 6 5 3" xfId="5616"/>
    <cellStyle name="20% - Accent3 6 5 3 2" xfId="8913"/>
    <cellStyle name="20% - Accent3 6 5 3 2 2" xfId="16702"/>
    <cellStyle name="20% - Accent3 6 5 3 2 2 2" xfId="34324"/>
    <cellStyle name="20% - Accent3 6 5 3 2 3" xfId="27287"/>
    <cellStyle name="20% - Accent3 6 5 3 3" xfId="13466"/>
    <cellStyle name="20% - Accent3 6 5 3 3 2" xfId="31092"/>
    <cellStyle name="20% - Accent3 6 5 3 4" xfId="24426"/>
    <cellStyle name="20% - Accent3 6 5 4" xfId="6246"/>
    <cellStyle name="20% - Accent3 6 5 4 2" xfId="9453"/>
    <cellStyle name="20% - Accent3 6 5 4 2 2" xfId="17241"/>
    <cellStyle name="20% - Accent3 6 5 4 2 2 2" xfId="34864"/>
    <cellStyle name="20% - Accent3 6 5 4 2 3" xfId="27823"/>
    <cellStyle name="20% - Accent3 6 5 4 3" xfId="14029"/>
    <cellStyle name="20% - Accent3 6 5 4 3 2" xfId="31650"/>
    <cellStyle name="20% - Accent3 6 5 4 4" xfId="24962"/>
    <cellStyle name="20% - Accent3 6 5 5" xfId="6783"/>
    <cellStyle name="20% - Accent3 6 5 5 2" xfId="9990"/>
    <cellStyle name="20% - Accent3 6 5 5 2 2" xfId="17777"/>
    <cellStyle name="20% - Accent3 6 5 5 2 2 2" xfId="35400"/>
    <cellStyle name="20% - Accent3 6 5 5 2 3" xfId="28359"/>
    <cellStyle name="20% - Accent3 6 5 5 3" xfId="14565"/>
    <cellStyle name="20% - Accent3 6 5 5 3 2" xfId="32186"/>
    <cellStyle name="20% - Accent3 6 5 5 4" xfId="25499"/>
    <cellStyle name="20% - Accent3 6 5 6" xfId="7612"/>
    <cellStyle name="20% - Accent3 6 5 6 2" xfId="15403"/>
    <cellStyle name="20% - Accent3 6 5 6 2 2" xfId="33024"/>
    <cellStyle name="20% - Accent3 6 5 6 3" xfId="26031"/>
    <cellStyle name="20% - Accent3 6 5 7" xfId="11181"/>
    <cellStyle name="20% - Accent3 6 5 7 2" xfId="28895"/>
    <cellStyle name="20% - Accent3 6 5 8" xfId="23170"/>
    <cellStyle name="20% - Accent3 6 5 9" xfId="51709"/>
    <cellStyle name="20% - Accent3 6 6" xfId="393"/>
    <cellStyle name="20% - Accent3 6 6 2" xfId="3614"/>
    <cellStyle name="20% - Accent3 6 6 2 2" xfId="8225"/>
    <cellStyle name="20% - Accent3 6 6 2 2 2" xfId="16015"/>
    <cellStyle name="20% - Accent3 6 6 2 2 2 2" xfId="33636"/>
    <cellStyle name="20% - Accent3 6 6 2 2 3" xfId="26625"/>
    <cellStyle name="20% - Accent3 6 6 2 3" xfId="12337"/>
    <cellStyle name="20% - Accent3 6 6 2 3 2" xfId="29994"/>
    <cellStyle name="20% - Accent3 6 6 2 4" xfId="23764"/>
    <cellStyle name="20% - Accent3 6 6 3" xfId="5617"/>
    <cellStyle name="20% - Accent3 6 6 3 2" xfId="8914"/>
    <cellStyle name="20% - Accent3 6 6 3 2 2" xfId="16703"/>
    <cellStyle name="20% - Accent3 6 6 3 2 2 2" xfId="34325"/>
    <cellStyle name="20% - Accent3 6 6 3 2 3" xfId="27288"/>
    <cellStyle name="20% - Accent3 6 6 3 3" xfId="13467"/>
    <cellStyle name="20% - Accent3 6 6 3 3 2" xfId="31093"/>
    <cellStyle name="20% - Accent3 6 6 3 4" xfId="24427"/>
    <cellStyle name="20% - Accent3 6 6 4" xfId="6247"/>
    <cellStyle name="20% - Accent3 6 6 4 2" xfId="9454"/>
    <cellStyle name="20% - Accent3 6 6 4 2 2" xfId="17242"/>
    <cellStyle name="20% - Accent3 6 6 4 2 2 2" xfId="34865"/>
    <cellStyle name="20% - Accent3 6 6 4 2 3" xfId="27824"/>
    <cellStyle name="20% - Accent3 6 6 4 3" xfId="14030"/>
    <cellStyle name="20% - Accent3 6 6 4 3 2" xfId="31651"/>
    <cellStyle name="20% - Accent3 6 6 4 4" xfId="24963"/>
    <cellStyle name="20% - Accent3 6 6 5" xfId="6784"/>
    <cellStyle name="20% - Accent3 6 6 5 2" xfId="9991"/>
    <cellStyle name="20% - Accent3 6 6 5 2 2" xfId="17778"/>
    <cellStyle name="20% - Accent3 6 6 5 2 2 2" xfId="35401"/>
    <cellStyle name="20% - Accent3 6 6 5 2 3" xfId="28360"/>
    <cellStyle name="20% - Accent3 6 6 5 3" xfId="14566"/>
    <cellStyle name="20% - Accent3 6 6 5 3 2" xfId="32187"/>
    <cellStyle name="20% - Accent3 6 6 5 4" xfId="25500"/>
    <cellStyle name="20% - Accent3 6 6 6" xfId="7613"/>
    <cellStyle name="20% - Accent3 6 6 6 2" xfId="15404"/>
    <cellStyle name="20% - Accent3 6 6 6 2 2" xfId="33025"/>
    <cellStyle name="20% - Accent3 6 6 6 3" xfId="26032"/>
    <cellStyle name="20% - Accent3 6 6 7" xfId="11182"/>
    <cellStyle name="20% - Accent3 6 6 7 2" xfId="28896"/>
    <cellStyle name="20% - Accent3 6 6 8" xfId="23171"/>
    <cellStyle name="20% - Accent3 6 6 9" xfId="51710"/>
    <cellStyle name="20% - Accent3 6 7" xfId="394"/>
    <cellStyle name="20% - Accent3 6 7 10" xfId="51711"/>
    <cellStyle name="20% - Accent3 6 7 2" xfId="395"/>
    <cellStyle name="20% - Accent3 6 7 2 2" xfId="8227"/>
    <cellStyle name="20% - Accent3 6 7 2 2 2" xfId="16017"/>
    <cellStyle name="20% - Accent3 6 7 2 2 2 2" xfId="33638"/>
    <cellStyle name="20% - Accent3 6 7 2 2 3" xfId="26627"/>
    <cellStyle name="20% - Accent3 6 7 2 3" xfId="12339"/>
    <cellStyle name="20% - Accent3 6 7 2 3 2" xfId="29996"/>
    <cellStyle name="20% - Accent3 6 7 2 4" xfId="23766"/>
    <cellStyle name="20% - Accent3 6 7 3" xfId="3615"/>
    <cellStyle name="20% - Accent3 6 7 3 2" xfId="8226"/>
    <cellStyle name="20% - Accent3 6 7 3 2 2" xfId="16016"/>
    <cellStyle name="20% - Accent3 6 7 3 2 2 2" xfId="33637"/>
    <cellStyle name="20% - Accent3 6 7 3 2 3" xfId="26626"/>
    <cellStyle name="20% - Accent3 6 7 3 3" xfId="12338"/>
    <cellStyle name="20% - Accent3 6 7 3 3 2" xfId="29995"/>
    <cellStyle name="20% - Accent3 6 7 3 4" xfId="23765"/>
    <cellStyle name="20% - Accent3 6 7 4" xfId="5618"/>
    <cellStyle name="20% - Accent3 6 7 4 2" xfId="8915"/>
    <cellStyle name="20% - Accent3 6 7 4 2 2" xfId="16704"/>
    <cellStyle name="20% - Accent3 6 7 4 2 2 2" xfId="34326"/>
    <cellStyle name="20% - Accent3 6 7 4 2 3" xfId="27289"/>
    <cellStyle name="20% - Accent3 6 7 4 3" xfId="13468"/>
    <cellStyle name="20% - Accent3 6 7 4 3 2" xfId="31094"/>
    <cellStyle name="20% - Accent3 6 7 4 4" xfId="24428"/>
    <cellStyle name="20% - Accent3 6 7 5" xfId="6248"/>
    <cellStyle name="20% - Accent3 6 7 5 2" xfId="9455"/>
    <cellStyle name="20% - Accent3 6 7 5 2 2" xfId="17243"/>
    <cellStyle name="20% - Accent3 6 7 5 2 2 2" xfId="34866"/>
    <cellStyle name="20% - Accent3 6 7 5 2 3" xfId="27825"/>
    <cellStyle name="20% - Accent3 6 7 5 3" xfId="14031"/>
    <cellStyle name="20% - Accent3 6 7 5 3 2" xfId="31652"/>
    <cellStyle name="20% - Accent3 6 7 5 4" xfId="24964"/>
    <cellStyle name="20% - Accent3 6 7 6" xfId="6785"/>
    <cellStyle name="20% - Accent3 6 7 6 2" xfId="9992"/>
    <cellStyle name="20% - Accent3 6 7 6 2 2" xfId="17779"/>
    <cellStyle name="20% - Accent3 6 7 6 2 2 2" xfId="35402"/>
    <cellStyle name="20% - Accent3 6 7 6 2 3" xfId="28361"/>
    <cellStyle name="20% - Accent3 6 7 6 3" xfId="14567"/>
    <cellStyle name="20% - Accent3 6 7 6 3 2" xfId="32188"/>
    <cellStyle name="20% - Accent3 6 7 6 4" xfId="25501"/>
    <cellStyle name="20% - Accent3 6 7 7" xfId="7614"/>
    <cellStyle name="20% - Accent3 6 7 7 2" xfId="15405"/>
    <cellStyle name="20% - Accent3 6 7 7 2 2" xfId="33026"/>
    <cellStyle name="20% - Accent3 6 7 7 3" xfId="26033"/>
    <cellStyle name="20% - Accent3 6 7 8" xfId="11183"/>
    <cellStyle name="20% - Accent3 6 7 8 2" xfId="28897"/>
    <cellStyle name="20% - Accent3 6 7 9" xfId="23172"/>
    <cellStyle name="20% - Accent3 6 8" xfId="3616"/>
    <cellStyle name="20% - Accent3 6 8 2" xfId="8228"/>
    <cellStyle name="20% - Accent3 6 8 2 2" xfId="16018"/>
    <cellStyle name="20% - Accent3 6 8 2 2 2" xfId="33639"/>
    <cellStyle name="20% - Accent3 6 8 2 3" xfId="26628"/>
    <cellStyle name="20% - Accent3 6 8 3" xfId="12340"/>
    <cellStyle name="20% - Accent3 6 8 3 2" xfId="29997"/>
    <cellStyle name="20% - Accent3 6 8 4" xfId="23767"/>
    <cellStyle name="20% - Accent3 6 9" xfId="3617"/>
    <cellStyle name="20% - Accent3 6 9 2" xfId="8229"/>
    <cellStyle name="20% - Accent3 6 9 2 2" xfId="16019"/>
    <cellStyle name="20% - Accent3 6 9 2 2 2" xfId="33640"/>
    <cellStyle name="20% - Accent3 6 9 2 3" xfId="26629"/>
    <cellStyle name="20% - Accent3 6 9 3" xfId="12341"/>
    <cellStyle name="20% - Accent3 6 9 3 2" xfId="29998"/>
    <cellStyle name="20% - Accent3 6 9 4" xfId="23768"/>
    <cellStyle name="20% - Accent3 7" xfId="396"/>
    <cellStyle name="20% - Accent3 7 10" xfId="3618"/>
    <cellStyle name="20% - Accent3 7 10 2" xfId="8230"/>
    <cellStyle name="20% - Accent3 7 10 2 2" xfId="16020"/>
    <cellStyle name="20% - Accent3 7 10 2 2 2" xfId="33641"/>
    <cellStyle name="20% - Accent3 7 10 2 3" xfId="26630"/>
    <cellStyle name="20% - Accent3 7 10 3" xfId="12342"/>
    <cellStyle name="20% - Accent3 7 10 3 2" xfId="29999"/>
    <cellStyle name="20% - Accent3 7 10 4" xfId="23769"/>
    <cellStyle name="20% - Accent3 7 11" xfId="5619"/>
    <cellStyle name="20% - Accent3 7 11 2" xfId="8916"/>
    <cellStyle name="20% - Accent3 7 11 2 2" xfId="16705"/>
    <cellStyle name="20% - Accent3 7 11 2 2 2" xfId="34327"/>
    <cellStyle name="20% - Accent3 7 11 2 3" xfId="27290"/>
    <cellStyle name="20% - Accent3 7 11 3" xfId="13469"/>
    <cellStyle name="20% - Accent3 7 11 3 2" xfId="31095"/>
    <cellStyle name="20% - Accent3 7 11 4" xfId="24429"/>
    <cellStyle name="20% - Accent3 7 12" xfId="6249"/>
    <cellStyle name="20% - Accent3 7 12 2" xfId="9456"/>
    <cellStyle name="20% - Accent3 7 12 2 2" xfId="17244"/>
    <cellStyle name="20% - Accent3 7 12 2 2 2" xfId="34867"/>
    <cellStyle name="20% - Accent3 7 12 2 3" xfId="27826"/>
    <cellStyle name="20% - Accent3 7 12 3" xfId="14032"/>
    <cellStyle name="20% - Accent3 7 12 3 2" xfId="31653"/>
    <cellStyle name="20% - Accent3 7 12 4" xfId="24965"/>
    <cellStyle name="20% - Accent3 7 13" xfId="6786"/>
    <cellStyle name="20% - Accent3 7 13 2" xfId="9993"/>
    <cellStyle name="20% - Accent3 7 13 2 2" xfId="17780"/>
    <cellStyle name="20% - Accent3 7 13 2 2 2" xfId="35403"/>
    <cellStyle name="20% - Accent3 7 13 2 3" xfId="28362"/>
    <cellStyle name="20% - Accent3 7 13 3" xfId="14568"/>
    <cellStyle name="20% - Accent3 7 13 3 2" xfId="32189"/>
    <cellStyle name="20% - Accent3 7 13 4" xfId="25502"/>
    <cellStyle name="20% - Accent3 7 14" xfId="7615"/>
    <cellStyle name="20% - Accent3 7 14 2" xfId="15406"/>
    <cellStyle name="20% - Accent3 7 14 2 2" xfId="33027"/>
    <cellStyle name="20% - Accent3 7 14 3" xfId="26034"/>
    <cellStyle name="20% - Accent3 7 15" xfId="11184"/>
    <cellStyle name="20% - Accent3 7 15 2" xfId="28898"/>
    <cellStyle name="20% - Accent3 7 16" xfId="22046"/>
    <cellStyle name="20% - Accent3 7 16 2" xfId="38741"/>
    <cellStyle name="20% - Accent3 7 17" xfId="23173"/>
    <cellStyle name="20% - Accent3 7 18" xfId="51712"/>
    <cellStyle name="20% - Accent3 7 2" xfId="397"/>
    <cellStyle name="20% - Accent3 7 2 10" xfId="51713"/>
    <cellStyle name="20% - Accent3 7 2 2" xfId="3619"/>
    <cellStyle name="20% - Accent3 7 2 2 2" xfId="8231"/>
    <cellStyle name="20% - Accent3 7 2 2 2 2" xfId="16021"/>
    <cellStyle name="20% - Accent3 7 2 2 2 2 2" xfId="33642"/>
    <cellStyle name="20% - Accent3 7 2 2 2 3" xfId="26631"/>
    <cellStyle name="20% - Accent3 7 2 2 3" xfId="12343"/>
    <cellStyle name="20% - Accent3 7 2 2 3 2" xfId="30000"/>
    <cellStyle name="20% - Accent3 7 2 2 4" xfId="23770"/>
    <cellStyle name="20% - Accent3 7 2 3" xfId="5620"/>
    <cellStyle name="20% - Accent3 7 2 3 2" xfId="8917"/>
    <cellStyle name="20% - Accent3 7 2 3 2 2" xfId="16706"/>
    <cellStyle name="20% - Accent3 7 2 3 2 2 2" xfId="34328"/>
    <cellStyle name="20% - Accent3 7 2 3 2 3" xfId="27291"/>
    <cellStyle name="20% - Accent3 7 2 3 3" xfId="13470"/>
    <cellStyle name="20% - Accent3 7 2 3 3 2" xfId="31096"/>
    <cellStyle name="20% - Accent3 7 2 3 4" xfId="24430"/>
    <cellStyle name="20% - Accent3 7 2 4" xfId="6250"/>
    <cellStyle name="20% - Accent3 7 2 4 2" xfId="9457"/>
    <cellStyle name="20% - Accent3 7 2 4 2 2" xfId="17245"/>
    <cellStyle name="20% - Accent3 7 2 4 2 2 2" xfId="34868"/>
    <cellStyle name="20% - Accent3 7 2 4 2 3" xfId="27827"/>
    <cellStyle name="20% - Accent3 7 2 4 3" xfId="14033"/>
    <cellStyle name="20% - Accent3 7 2 4 3 2" xfId="31654"/>
    <cellStyle name="20% - Accent3 7 2 4 4" xfId="24966"/>
    <cellStyle name="20% - Accent3 7 2 5" xfId="6787"/>
    <cellStyle name="20% - Accent3 7 2 5 2" xfId="9994"/>
    <cellStyle name="20% - Accent3 7 2 5 2 2" xfId="17781"/>
    <cellStyle name="20% - Accent3 7 2 5 2 2 2" xfId="35404"/>
    <cellStyle name="20% - Accent3 7 2 5 2 3" xfId="28363"/>
    <cellStyle name="20% - Accent3 7 2 5 3" xfId="14569"/>
    <cellStyle name="20% - Accent3 7 2 5 3 2" xfId="32190"/>
    <cellStyle name="20% - Accent3 7 2 5 4" xfId="25503"/>
    <cellStyle name="20% - Accent3 7 2 6" xfId="7616"/>
    <cellStyle name="20% - Accent3 7 2 6 2" xfId="15407"/>
    <cellStyle name="20% - Accent3 7 2 6 2 2" xfId="33028"/>
    <cellStyle name="20% - Accent3 7 2 6 3" xfId="26035"/>
    <cellStyle name="20% - Accent3 7 2 7" xfId="11185"/>
    <cellStyle name="20% - Accent3 7 2 7 2" xfId="28899"/>
    <cellStyle name="20% - Accent3 7 2 8" xfId="22704"/>
    <cellStyle name="20% - Accent3 7 2 8 2" xfId="38900"/>
    <cellStyle name="20% - Accent3 7 2 9" xfId="23174"/>
    <cellStyle name="20% - Accent3 7 3" xfId="398"/>
    <cellStyle name="20% - Accent3 7 3 10" xfId="23175"/>
    <cellStyle name="20% - Accent3 7 3 11" xfId="51714"/>
    <cellStyle name="20% - Accent3 7 3 2" xfId="399"/>
    <cellStyle name="20% - Accent3 7 3 2 2" xfId="3621"/>
    <cellStyle name="20% - Accent3 7 3 2 2 2" xfId="8233"/>
    <cellStyle name="20% - Accent3 7 3 2 2 2 2" xfId="16023"/>
    <cellStyle name="20% - Accent3 7 3 2 2 2 2 2" xfId="33644"/>
    <cellStyle name="20% - Accent3 7 3 2 2 2 3" xfId="26633"/>
    <cellStyle name="20% - Accent3 7 3 2 2 3" xfId="12345"/>
    <cellStyle name="20% - Accent3 7 3 2 2 3 2" xfId="30002"/>
    <cellStyle name="20% - Accent3 7 3 2 2 4" xfId="23772"/>
    <cellStyle name="20% - Accent3 7 3 2 3" xfId="5622"/>
    <cellStyle name="20% - Accent3 7 3 2 3 2" xfId="8919"/>
    <cellStyle name="20% - Accent3 7 3 2 3 2 2" xfId="16708"/>
    <cellStyle name="20% - Accent3 7 3 2 3 2 2 2" xfId="34330"/>
    <cellStyle name="20% - Accent3 7 3 2 3 2 3" xfId="27293"/>
    <cellStyle name="20% - Accent3 7 3 2 3 3" xfId="13472"/>
    <cellStyle name="20% - Accent3 7 3 2 3 3 2" xfId="31098"/>
    <cellStyle name="20% - Accent3 7 3 2 3 4" xfId="24432"/>
    <cellStyle name="20% - Accent3 7 3 2 4" xfId="6252"/>
    <cellStyle name="20% - Accent3 7 3 2 4 2" xfId="9459"/>
    <cellStyle name="20% - Accent3 7 3 2 4 2 2" xfId="17247"/>
    <cellStyle name="20% - Accent3 7 3 2 4 2 2 2" xfId="34870"/>
    <cellStyle name="20% - Accent3 7 3 2 4 2 3" xfId="27829"/>
    <cellStyle name="20% - Accent3 7 3 2 4 3" xfId="14035"/>
    <cellStyle name="20% - Accent3 7 3 2 4 3 2" xfId="31656"/>
    <cellStyle name="20% - Accent3 7 3 2 4 4" xfId="24968"/>
    <cellStyle name="20% - Accent3 7 3 2 5" xfId="6789"/>
    <cellStyle name="20% - Accent3 7 3 2 5 2" xfId="9996"/>
    <cellStyle name="20% - Accent3 7 3 2 5 2 2" xfId="17783"/>
    <cellStyle name="20% - Accent3 7 3 2 5 2 2 2" xfId="35406"/>
    <cellStyle name="20% - Accent3 7 3 2 5 2 3" xfId="28365"/>
    <cellStyle name="20% - Accent3 7 3 2 5 3" xfId="14571"/>
    <cellStyle name="20% - Accent3 7 3 2 5 3 2" xfId="32192"/>
    <cellStyle name="20% - Accent3 7 3 2 5 4" xfId="25505"/>
    <cellStyle name="20% - Accent3 7 3 2 6" xfId="7618"/>
    <cellStyle name="20% - Accent3 7 3 2 6 2" xfId="15409"/>
    <cellStyle name="20% - Accent3 7 3 2 6 2 2" xfId="33030"/>
    <cellStyle name="20% - Accent3 7 3 2 6 3" xfId="26037"/>
    <cellStyle name="20% - Accent3 7 3 2 7" xfId="11187"/>
    <cellStyle name="20% - Accent3 7 3 2 7 2" xfId="28901"/>
    <cellStyle name="20% - Accent3 7 3 2 8" xfId="23176"/>
    <cellStyle name="20% - Accent3 7 3 2 9" xfId="51715"/>
    <cellStyle name="20% - Accent3 7 3 3" xfId="3622"/>
    <cellStyle name="20% - Accent3 7 3 3 2" xfId="5623"/>
    <cellStyle name="20% - Accent3 7 3 3 2 2" xfId="8920"/>
    <cellStyle name="20% - Accent3 7 3 3 2 2 2" xfId="16709"/>
    <cellStyle name="20% - Accent3 7 3 3 2 2 2 2" xfId="34331"/>
    <cellStyle name="20% - Accent3 7 3 3 2 2 3" xfId="27294"/>
    <cellStyle name="20% - Accent3 7 3 3 2 3" xfId="13473"/>
    <cellStyle name="20% - Accent3 7 3 3 2 3 2" xfId="31099"/>
    <cellStyle name="20% - Accent3 7 3 3 2 4" xfId="24433"/>
    <cellStyle name="20% - Accent3 7 3 3 3" xfId="6253"/>
    <cellStyle name="20% - Accent3 7 3 3 3 2" xfId="9460"/>
    <cellStyle name="20% - Accent3 7 3 3 3 2 2" xfId="17248"/>
    <cellStyle name="20% - Accent3 7 3 3 3 2 2 2" xfId="34871"/>
    <cellStyle name="20% - Accent3 7 3 3 3 2 3" xfId="27830"/>
    <cellStyle name="20% - Accent3 7 3 3 3 3" xfId="14036"/>
    <cellStyle name="20% - Accent3 7 3 3 3 3 2" xfId="31657"/>
    <cellStyle name="20% - Accent3 7 3 3 3 4" xfId="24969"/>
    <cellStyle name="20% - Accent3 7 3 3 4" xfId="6790"/>
    <cellStyle name="20% - Accent3 7 3 3 4 2" xfId="9997"/>
    <cellStyle name="20% - Accent3 7 3 3 4 2 2" xfId="17784"/>
    <cellStyle name="20% - Accent3 7 3 3 4 2 2 2" xfId="35407"/>
    <cellStyle name="20% - Accent3 7 3 3 4 2 3" xfId="28366"/>
    <cellStyle name="20% - Accent3 7 3 3 4 3" xfId="14572"/>
    <cellStyle name="20% - Accent3 7 3 3 4 3 2" xfId="32193"/>
    <cellStyle name="20% - Accent3 7 3 3 4 4" xfId="25506"/>
    <cellStyle name="20% - Accent3 7 3 3 5" xfId="8234"/>
    <cellStyle name="20% - Accent3 7 3 3 5 2" xfId="16024"/>
    <cellStyle name="20% - Accent3 7 3 3 5 2 2" xfId="33645"/>
    <cellStyle name="20% - Accent3 7 3 3 5 3" xfId="26634"/>
    <cellStyle name="20% - Accent3 7 3 3 6" xfId="12346"/>
    <cellStyle name="20% - Accent3 7 3 3 6 2" xfId="30003"/>
    <cellStyle name="20% - Accent3 7 3 3 7" xfId="23773"/>
    <cellStyle name="20% - Accent3 7 3 4" xfId="3620"/>
    <cellStyle name="20% - Accent3 7 3 4 2" xfId="8232"/>
    <cellStyle name="20% - Accent3 7 3 4 2 2" xfId="16022"/>
    <cellStyle name="20% - Accent3 7 3 4 2 2 2" xfId="33643"/>
    <cellStyle name="20% - Accent3 7 3 4 2 3" xfId="26632"/>
    <cellStyle name="20% - Accent3 7 3 4 3" xfId="12344"/>
    <cellStyle name="20% - Accent3 7 3 4 3 2" xfId="30001"/>
    <cellStyle name="20% - Accent3 7 3 4 4" xfId="23771"/>
    <cellStyle name="20% - Accent3 7 3 5" xfId="5621"/>
    <cellStyle name="20% - Accent3 7 3 5 2" xfId="8918"/>
    <cellStyle name="20% - Accent3 7 3 5 2 2" xfId="16707"/>
    <cellStyle name="20% - Accent3 7 3 5 2 2 2" xfId="34329"/>
    <cellStyle name="20% - Accent3 7 3 5 2 3" xfId="27292"/>
    <cellStyle name="20% - Accent3 7 3 5 3" xfId="13471"/>
    <cellStyle name="20% - Accent3 7 3 5 3 2" xfId="31097"/>
    <cellStyle name="20% - Accent3 7 3 5 4" xfId="24431"/>
    <cellStyle name="20% - Accent3 7 3 6" xfId="6251"/>
    <cellStyle name="20% - Accent3 7 3 6 2" xfId="9458"/>
    <cellStyle name="20% - Accent3 7 3 6 2 2" xfId="17246"/>
    <cellStyle name="20% - Accent3 7 3 6 2 2 2" xfId="34869"/>
    <cellStyle name="20% - Accent3 7 3 6 2 3" xfId="27828"/>
    <cellStyle name="20% - Accent3 7 3 6 3" xfId="14034"/>
    <cellStyle name="20% - Accent3 7 3 6 3 2" xfId="31655"/>
    <cellStyle name="20% - Accent3 7 3 6 4" xfId="24967"/>
    <cellStyle name="20% - Accent3 7 3 7" xfId="6788"/>
    <cellStyle name="20% - Accent3 7 3 7 2" xfId="9995"/>
    <cellStyle name="20% - Accent3 7 3 7 2 2" xfId="17782"/>
    <cellStyle name="20% - Accent3 7 3 7 2 2 2" xfId="35405"/>
    <cellStyle name="20% - Accent3 7 3 7 2 3" xfId="28364"/>
    <cellStyle name="20% - Accent3 7 3 7 3" xfId="14570"/>
    <cellStyle name="20% - Accent3 7 3 7 3 2" xfId="32191"/>
    <cellStyle name="20% - Accent3 7 3 7 4" xfId="25504"/>
    <cellStyle name="20% - Accent3 7 3 8" xfId="7617"/>
    <cellStyle name="20% - Accent3 7 3 8 2" xfId="15408"/>
    <cellStyle name="20% - Accent3 7 3 8 2 2" xfId="33029"/>
    <cellStyle name="20% - Accent3 7 3 8 3" xfId="26036"/>
    <cellStyle name="20% - Accent3 7 3 9" xfId="11186"/>
    <cellStyle name="20% - Accent3 7 3 9 2" xfId="28900"/>
    <cellStyle name="20% - Accent3 7 4" xfId="400"/>
    <cellStyle name="20% - Accent3 7 4 2" xfId="3623"/>
    <cellStyle name="20% - Accent3 7 4 2 2" xfId="8235"/>
    <cellStyle name="20% - Accent3 7 4 2 2 2" xfId="16025"/>
    <cellStyle name="20% - Accent3 7 4 2 2 2 2" xfId="33646"/>
    <cellStyle name="20% - Accent3 7 4 2 2 3" xfId="26635"/>
    <cellStyle name="20% - Accent3 7 4 2 3" xfId="12347"/>
    <cellStyle name="20% - Accent3 7 4 2 3 2" xfId="30004"/>
    <cellStyle name="20% - Accent3 7 4 2 4" xfId="23774"/>
    <cellStyle name="20% - Accent3 7 4 3" xfId="5624"/>
    <cellStyle name="20% - Accent3 7 4 3 2" xfId="8921"/>
    <cellStyle name="20% - Accent3 7 4 3 2 2" xfId="16710"/>
    <cellStyle name="20% - Accent3 7 4 3 2 2 2" xfId="34332"/>
    <cellStyle name="20% - Accent3 7 4 3 2 3" xfId="27295"/>
    <cellStyle name="20% - Accent3 7 4 3 3" xfId="13474"/>
    <cellStyle name="20% - Accent3 7 4 3 3 2" xfId="31100"/>
    <cellStyle name="20% - Accent3 7 4 3 4" xfId="24434"/>
    <cellStyle name="20% - Accent3 7 4 4" xfId="6254"/>
    <cellStyle name="20% - Accent3 7 4 4 2" xfId="9461"/>
    <cellStyle name="20% - Accent3 7 4 4 2 2" xfId="17249"/>
    <cellStyle name="20% - Accent3 7 4 4 2 2 2" xfId="34872"/>
    <cellStyle name="20% - Accent3 7 4 4 2 3" xfId="27831"/>
    <cellStyle name="20% - Accent3 7 4 4 3" xfId="14037"/>
    <cellStyle name="20% - Accent3 7 4 4 3 2" xfId="31658"/>
    <cellStyle name="20% - Accent3 7 4 4 4" xfId="24970"/>
    <cellStyle name="20% - Accent3 7 4 5" xfId="6791"/>
    <cellStyle name="20% - Accent3 7 4 5 2" xfId="9998"/>
    <cellStyle name="20% - Accent3 7 4 5 2 2" xfId="17785"/>
    <cellStyle name="20% - Accent3 7 4 5 2 2 2" xfId="35408"/>
    <cellStyle name="20% - Accent3 7 4 5 2 3" xfId="28367"/>
    <cellStyle name="20% - Accent3 7 4 5 3" xfId="14573"/>
    <cellStyle name="20% - Accent3 7 4 5 3 2" xfId="32194"/>
    <cellStyle name="20% - Accent3 7 4 5 4" xfId="25507"/>
    <cellStyle name="20% - Accent3 7 4 6" xfId="7619"/>
    <cellStyle name="20% - Accent3 7 4 6 2" xfId="15410"/>
    <cellStyle name="20% - Accent3 7 4 6 2 2" xfId="33031"/>
    <cellStyle name="20% - Accent3 7 4 6 3" xfId="26038"/>
    <cellStyle name="20% - Accent3 7 4 7" xfId="11188"/>
    <cellStyle name="20% - Accent3 7 4 7 2" xfId="28902"/>
    <cellStyle name="20% - Accent3 7 4 8" xfId="23177"/>
    <cellStyle name="20% - Accent3 7 4 9" xfId="51716"/>
    <cellStyle name="20% - Accent3 7 5" xfId="401"/>
    <cellStyle name="20% - Accent3 7 5 2" xfId="3624"/>
    <cellStyle name="20% - Accent3 7 5 2 2" xfId="8236"/>
    <cellStyle name="20% - Accent3 7 5 2 2 2" xfId="16026"/>
    <cellStyle name="20% - Accent3 7 5 2 2 2 2" xfId="33647"/>
    <cellStyle name="20% - Accent3 7 5 2 2 3" xfId="26636"/>
    <cellStyle name="20% - Accent3 7 5 2 3" xfId="12348"/>
    <cellStyle name="20% - Accent3 7 5 2 3 2" xfId="30005"/>
    <cellStyle name="20% - Accent3 7 5 2 4" xfId="23775"/>
    <cellStyle name="20% - Accent3 7 5 3" xfId="5625"/>
    <cellStyle name="20% - Accent3 7 5 3 2" xfId="8922"/>
    <cellStyle name="20% - Accent3 7 5 3 2 2" xfId="16711"/>
    <cellStyle name="20% - Accent3 7 5 3 2 2 2" xfId="34333"/>
    <cellStyle name="20% - Accent3 7 5 3 2 3" xfId="27296"/>
    <cellStyle name="20% - Accent3 7 5 3 3" xfId="13475"/>
    <cellStyle name="20% - Accent3 7 5 3 3 2" xfId="31101"/>
    <cellStyle name="20% - Accent3 7 5 3 4" xfId="24435"/>
    <cellStyle name="20% - Accent3 7 5 4" xfId="6255"/>
    <cellStyle name="20% - Accent3 7 5 4 2" xfId="9462"/>
    <cellStyle name="20% - Accent3 7 5 4 2 2" xfId="17250"/>
    <cellStyle name="20% - Accent3 7 5 4 2 2 2" xfId="34873"/>
    <cellStyle name="20% - Accent3 7 5 4 2 3" xfId="27832"/>
    <cellStyle name="20% - Accent3 7 5 4 3" xfId="14038"/>
    <cellStyle name="20% - Accent3 7 5 4 3 2" xfId="31659"/>
    <cellStyle name="20% - Accent3 7 5 4 4" xfId="24971"/>
    <cellStyle name="20% - Accent3 7 5 5" xfId="6792"/>
    <cellStyle name="20% - Accent3 7 5 5 2" xfId="9999"/>
    <cellStyle name="20% - Accent3 7 5 5 2 2" xfId="17786"/>
    <cellStyle name="20% - Accent3 7 5 5 2 2 2" xfId="35409"/>
    <cellStyle name="20% - Accent3 7 5 5 2 3" xfId="28368"/>
    <cellStyle name="20% - Accent3 7 5 5 3" xfId="14574"/>
    <cellStyle name="20% - Accent3 7 5 5 3 2" xfId="32195"/>
    <cellStyle name="20% - Accent3 7 5 5 4" xfId="25508"/>
    <cellStyle name="20% - Accent3 7 5 6" xfId="7620"/>
    <cellStyle name="20% - Accent3 7 5 6 2" xfId="15411"/>
    <cellStyle name="20% - Accent3 7 5 6 2 2" xfId="33032"/>
    <cellStyle name="20% - Accent3 7 5 6 3" xfId="26039"/>
    <cellStyle name="20% - Accent3 7 5 7" xfId="11189"/>
    <cellStyle name="20% - Accent3 7 5 7 2" xfId="28903"/>
    <cellStyle name="20% - Accent3 7 5 8" xfId="23178"/>
    <cellStyle name="20% - Accent3 7 5 9" xfId="51717"/>
    <cellStyle name="20% - Accent3 7 6" xfId="402"/>
    <cellStyle name="20% - Accent3 7 6 2" xfId="3625"/>
    <cellStyle name="20% - Accent3 7 6 2 2" xfId="8237"/>
    <cellStyle name="20% - Accent3 7 6 2 2 2" xfId="16027"/>
    <cellStyle name="20% - Accent3 7 6 2 2 2 2" xfId="33648"/>
    <cellStyle name="20% - Accent3 7 6 2 2 3" xfId="26637"/>
    <cellStyle name="20% - Accent3 7 6 2 3" xfId="12349"/>
    <cellStyle name="20% - Accent3 7 6 2 3 2" xfId="30006"/>
    <cellStyle name="20% - Accent3 7 6 2 4" xfId="23776"/>
    <cellStyle name="20% - Accent3 7 6 3" xfId="5626"/>
    <cellStyle name="20% - Accent3 7 6 3 2" xfId="8923"/>
    <cellStyle name="20% - Accent3 7 6 3 2 2" xfId="16712"/>
    <cellStyle name="20% - Accent3 7 6 3 2 2 2" xfId="34334"/>
    <cellStyle name="20% - Accent3 7 6 3 2 3" xfId="27297"/>
    <cellStyle name="20% - Accent3 7 6 3 3" xfId="13476"/>
    <cellStyle name="20% - Accent3 7 6 3 3 2" xfId="31102"/>
    <cellStyle name="20% - Accent3 7 6 3 4" xfId="24436"/>
    <cellStyle name="20% - Accent3 7 6 4" xfId="6256"/>
    <cellStyle name="20% - Accent3 7 6 4 2" xfId="9463"/>
    <cellStyle name="20% - Accent3 7 6 4 2 2" xfId="17251"/>
    <cellStyle name="20% - Accent3 7 6 4 2 2 2" xfId="34874"/>
    <cellStyle name="20% - Accent3 7 6 4 2 3" xfId="27833"/>
    <cellStyle name="20% - Accent3 7 6 4 3" xfId="14039"/>
    <cellStyle name="20% - Accent3 7 6 4 3 2" xfId="31660"/>
    <cellStyle name="20% - Accent3 7 6 4 4" xfId="24972"/>
    <cellStyle name="20% - Accent3 7 6 5" xfId="6793"/>
    <cellStyle name="20% - Accent3 7 6 5 2" xfId="10000"/>
    <cellStyle name="20% - Accent3 7 6 5 2 2" xfId="17787"/>
    <cellStyle name="20% - Accent3 7 6 5 2 2 2" xfId="35410"/>
    <cellStyle name="20% - Accent3 7 6 5 2 3" xfId="28369"/>
    <cellStyle name="20% - Accent3 7 6 5 3" xfId="14575"/>
    <cellStyle name="20% - Accent3 7 6 5 3 2" xfId="32196"/>
    <cellStyle name="20% - Accent3 7 6 5 4" xfId="25509"/>
    <cellStyle name="20% - Accent3 7 6 6" xfId="7621"/>
    <cellStyle name="20% - Accent3 7 6 6 2" xfId="15412"/>
    <cellStyle name="20% - Accent3 7 6 6 2 2" xfId="33033"/>
    <cellStyle name="20% - Accent3 7 6 6 3" xfId="26040"/>
    <cellStyle name="20% - Accent3 7 6 7" xfId="11190"/>
    <cellStyle name="20% - Accent3 7 6 7 2" xfId="28904"/>
    <cellStyle name="20% - Accent3 7 6 8" xfId="23179"/>
    <cellStyle name="20% - Accent3 7 6 9" xfId="51718"/>
    <cellStyle name="20% - Accent3 7 7" xfId="403"/>
    <cellStyle name="20% - Accent3 7 7 10" xfId="51719"/>
    <cellStyle name="20% - Accent3 7 7 2" xfId="404"/>
    <cellStyle name="20% - Accent3 7 7 2 2" xfId="8239"/>
    <cellStyle name="20% - Accent3 7 7 2 2 2" xfId="16029"/>
    <cellStyle name="20% - Accent3 7 7 2 2 2 2" xfId="33650"/>
    <cellStyle name="20% - Accent3 7 7 2 2 3" xfId="26639"/>
    <cellStyle name="20% - Accent3 7 7 2 3" xfId="12351"/>
    <cellStyle name="20% - Accent3 7 7 2 3 2" xfId="30008"/>
    <cellStyle name="20% - Accent3 7 7 2 4" xfId="23778"/>
    <cellStyle name="20% - Accent3 7 7 3" xfId="3626"/>
    <cellStyle name="20% - Accent3 7 7 3 2" xfId="8238"/>
    <cellStyle name="20% - Accent3 7 7 3 2 2" xfId="16028"/>
    <cellStyle name="20% - Accent3 7 7 3 2 2 2" xfId="33649"/>
    <cellStyle name="20% - Accent3 7 7 3 2 3" xfId="26638"/>
    <cellStyle name="20% - Accent3 7 7 3 3" xfId="12350"/>
    <cellStyle name="20% - Accent3 7 7 3 3 2" xfId="30007"/>
    <cellStyle name="20% - Accent3 7 7 3 4" xfId="23777"/>
    <cellStyle name="20% - Accent3 7 7 4" xfId="5627"/>
    <cellStyle name="20% - Accent3 7 7 4 2" xfId="8924"/>
    <cellStyle name="20% - Accent3 7 7 4 2 2" xfId="16713"/>
    <cellStyle name="20% - Accent3 7 7 4 2 2 2" xfId="34335"/>
    <cellStyle name="20% - Accent3 7 7 4 2 3" xfId="27298"/>
    <cellStyle name="20% - Accent3 7 7 4 3" xfId="13477"/>
    <cellStyle name="20% - Accent3 7 7 4 3 2" xfId="31103"/>
    <cellStyle name="20% - Accent3 7 7 4 4" xfId="24437"/>
    <cellStyle name="20% - Accent3 7 7 5" xfId="6257"/>
    <cellStyle name="20% - Accent3 7 7 5 2" xfId="9464"/>
    <cellStyle name="20% - Accent3 7 7 5 2 2" xfId="17252"/>
    <cellStyle name="20% - Accent3 7 7 5 2 2 2" xfId="34875"/>
    <cellStyle name="20% - Accent3 7 7 5 2 3" xfId="27834"/>
    <cellStyle name="20% - Accent3 7 7 5 3" xfId="14040"/>
    <cellStyle name="20% - Accent3 7 7 5 3 2" xfId="31661"/>
    <cellStyle name="20% - Accent3 7 7 5 4" xfId="24973"/>
    <cellStyle name="20% - Accent3 7 7 6" xfId="6794"/>
    <cellStyle name="20% - Accent3 7 7 6 2" xfId="10001"/>
    <cellStyle name="20% - Accent3 7 7 6 2 2" xfId="17788"/>
    <cellStyle name="20% - Accent3 7 7 6 2 2 2" xfId="35411"/>
    <cellStyle name="20% - Accent3 7 7 6 2 3" xfId="28370"/>
    <cellStyle name="20% - Accent3 7 7 6 3" xfId="14576"/>
    <cellStyle name="20% - Accent3 7 7 6 3 2" xfId="32197"/>
    <cellStyle name="20% - Accent3 7 7 6 4" xfId="25510"/>
    <cellStyle name="20% - Accent3 7 7 7" xfId="7622"/>
    <cellStyle name="20% - Accent3 7 7 7 2" xfId="15413"/>
    <cellStyle name="20% - Accent3 7 7 7 2 2" xfId="33034"/>
    <cellStyle name="20% - Accent3 7 7 7 3" xfId="26041"/>
    <cellStyle name="20% - Accent3 7 7 8" xfId="11191"/>
    <cellStyle name="20% - Accent3 7 7 8 2" xfId="28905"/>
    <cellStyle name="20% - Accent3 7 7 9" xfId="23180"/>
    <cellStyle name="20% - Accent3 7 8" xfId="3627"/>
    <cellStyle name="20% - Accent3 7 8 2" xfId="8240"/>
    <cellStyle name="20% - Accent3 7 8 2 2" xfId="16030"/>
    <cellStyle name="20% - Accent3 7 8 2 2 2" xfId="33651"/>
    <cellStyle name="20% - Accent3 7 8 2 3" xfId="26640"/>
    <cellStyle name="20% - Accent3 7 8 3" xfId="12352"/>
    <cellStyle name="20% - Accent3 7 8 3 2" xfId="30009"/>
    <cellStyle name="20% - Accent3 7 8 4" xfId="23779"/>
    <cellStyle name="20% - Accent3 7 9" xfId="3628"/>
    <cellStyle name="20% - Accent3 7 9 2" xfId="8241"/>
    <cellStyle name="20% - Accent3 7 9 2 2" xfId="16031"/>
    <cellStyle name="20% - Accent3 7 9 2 2 2" xfId="33652"/>
    <cellStyle name="20% - Accent3 7 9 2 3" xfId="26641"/>
    <cellStyle name="20% - Accent3 7 9 3" xfId="12353"/>
    <cellStyle name="20% - Accent3 7 9 3 2" xfId="30010"/>
    <cellStyle name="20% - Accent3 7 9 4" xfId="23780"/>
    <cellStyle name="20% - Accent3 8" xfId="405"/>
    <cellStyle name="20% - Accent3 8 10" xfId="3629"/>
    <cellStyle name="20% - Accent3 8 10 2" xfId="8242"/>
    <cellStyle name="20% - Accent3 8 10 2 2" xfId="16032"/>
    <cellStyle name="20% - Accent3 8 10 2 2 2" xfId="33653"/>
    <cellStyle name="20% - Accent3 8 10 2 3" xfId="26642"/>
    <cellStyle name="20% - Accent3 8 10 3" xfId="12354"/>
    <cellStyle name="20% - Accent3 8 10 3 2" xfId="30011"/>
    <cellStyle name="20% - Accent3 8 10 4" xfId="23781"/>
    <cellStyle name="20% - Accent3 8 11" xfId="5628"/>
    <cellStyle name="20% - Accent3 8 11 2" xfId="8925"/>
    <cellStyle name="20% - Accent3 8 11 2 2" xfId="16714"/>
    <cellStyle name="20% - Accent3 8 11 2 2 2" xfId="34336"/>
    <cellStyle name="20% - Accent3 8 11 2 3" xfId="27299"/>
    <cellStyle name="20% - Accent3 8 11 3" xfId="13478"/>
    <cellStyle name="20% - Accent3 8 11 3 2" xfId="31104"/>
    <cellStyle name="20% - Accent3 8 11 4" xfId="24438"/>
    <cellStyle name="20% - Accent3 8 12" xfId="6258"/>
    <cellStyle name="20% - Accent3 8 12 2" xfId="9465"/>
    <cellStyle name="20% - Accent3 8 12 2 2" xfId="17253"/>
    <cellStyle name="20% - Accent3 8 12 2 2 2" xfId="34876"/>
    <cellStyle name="20% - Accent3 8 12 2 3" xfId="27835"/>
    <cellStyle name="20% - Accent3 8 12 3" xfId="14041"/>
    <cellStyle name="20% - Accent3 8 12 3 2" xfId="31662"/>
    <cellStyle name="20% - Accent3 8 12 4" xfId="24974"/>
    <cellStyle name="20% - Accent3 8 13" xfId="6795"/>
    <cellStyle name="20% - Accent3 8 13 2" xfId="10002"/>
    <cellStyle name="20% - Accent3 8 13 2 2" xfId="17789"/>
    <cellStyle name="20% - Accent3 8 13 2 2 2" xfId="35412"/>
    <cellStyle name="20% - Accent3 8 13 2 3" xfId="28371"/>
    <cellStyle name="20% - Accent3 8 13 3" xfId="14577"/>
    <cellStyle name="20% - Accent3 8 13 3 2" xfId="32198"/>
    <cellStyle name="20% - Accent3 8 13 4" xfId="25511"/>
    <cellStyle name="20% - Accent3 8 14" xfId="7623"/>
    <cellStyle name="20% - Accent3 8 14 2" xfId="15414"/>
    <cellStyle name="20% - Accent3 8 14 2 2" xfId="33035"/>
    <cellStyle name="20% - Accent3 8 14 3" xfId="26042"/>
    <cellStyle name="20% - Accent3 8 15" xfId="11192"/>
    <cellStyle name="20% - Accent3 8 15 2" xfId="28906"/>
    <cellStyle name="20% - Accent3 8 16" xfId="22047"/>
    <cellStyle name="20% - Accent3 8 16 2" xfId="38742"/>
    <cellStyle name="20% - Accent3 8 17" xfId="23181"/>
    <cellStyle name="20% - Accent3 8 18" xfId="51720"/>
    <cellStyle name="20% - Accent3 8 2" xfId="406"/>
    <cellStyle name="20% - Accent3 8 2 10" xfId="51721"/>
    <cellStyle name="20% - Accent3 8 2 2" xfId="3630"/>
    <cellStyle name="20% - Accent3 8 2 2 2" xfId="8243"/>
    <cellStyle name="20% - Accent3 8 2 2 2 2" xfId="16033"/>
    <cellStyle name="20% - Accent3 8 2 2 2 2 2" xfId="33654"/>
    <cellStyle name="20% - Accent3 8 2 2 2 3" xfId="26643"/>
    <cellStyle name="20% - Accent3 8 2 2 3" xfId="12355"/>
    <cellStyle name="20% - Accent3 8 2 2 3 2" xfId="30012"/>
    <cellStyle name="20% - Accent3 8 2 2 4" xfId="22706"/>
    <cellStyle name="20% - Accent3 8 2 2 4 2" xfId="38902"/>
    <cellStyle name="20% - Accent3 8 2 2 5" xfId="23782"/>
    <cellStyle name="20% - Accent3 8 2 3" xfId="5629"/>
    <cellStyle name="20% - Accent3 8 2 3 2" xfId="8926"/>
    <cellStyle name="20% - Accent3 8 2 3 2 2" xfId="16715"/>
    <cellStyle name="20% - Accent3 8 2 3 2 2 2" xfId="34337"/>
    <cellStyle name="20% - Accent3 8 2 3 2 3" xfId="27300"/>
    <cellStyle name="20% - Accent3 8 2 3 3" xfId="13479"/>
    <cellStyle name="20% - Accent3 8 2 3 3 2" xfId="31105"/>
    <cellStyle name="20% - Accent3 8 2 3 4" xfId="24439"/>
    <cellStyle name="20% - Accent3 8 2 4" xfId="6259"/>
    <cellStyle name="20% - Accent3 8 2 4 2" xfId="9466"/>
    <cellStyle name="20% - Accent3 8 2 4 2 2" xfId="17254"/>
    <cellStyle name="20% - Accent3 8 2 4 2 2 2" xfId="34877"/>
    <cellStyle name="20% - Accent3 8 2 4 2 3" xfId="27836"/>
    <cellStyle name="20% - Accent3 8 2 4 3" xfId="14042"/>
    <cellStyle name="20% - Accent3 8 2 4 3 2" xfId="31663"/>
    <cellStyle name="20% - Accent3 8 2 4 4" xfId="24975"/>
    <cellStyle name="20% - Accent3 8 2 5" xfId="6796"/>
    <cellStyle name="20% - Accent3 8 2 5 2" xfId="10003"/>
    <cellStyle name="20% - Accent3 8 2 5 2 2" xfId="17790"/>
    <cellStyle name="20% - Accent3 8 2 5 2 2 2" xfId="35413"/>
    <cellStyle name="20% - Accent3 8 2 5 2 3" xfId="28372"/>
    <cellStyle name="20% - Accent3 8 2 5 3" xfId="14578"/>
    <cellStyle name="20% - Accent3 8 2 5 3 2" xfId="32199"/>
    <cellStyle name="20% - Accent3 8 2 5 4" xfId="25512"/>
    <cellStyle name="20% - Accent3 8 2 6" xfId="7624"/>
    <cellStyle name="20% - Accent3 8 2 6 2" xfId="15415"/>
    <cellStyle name="20% - Accent3 8 2 6 2 2" xfId="33036"/>
    <cellStyle name="20% - Accent3 8 2 6 3" xfId="26043"/>
    <cellStyle name="20% - Accent3 8 2 7" xfId="11193"/>
    <cellStyle name="20% - Accent3 8 2 7 2" xfId="28907"/>
    <cellStyle name="20% - Accent3 8 2 8" xfId="22048"/>
    <cellStyle name="20% - Accent3 8 2 8 2" xfId="38743"/>
    <cellStyle name="20% - Accent3 8 2 9" xfId="23182"/>
    <cellStyle name="20% - Accent3 8 3" xfId="407"/>
    <cellStyle name="20% - Accent3 8 3 10" xfId="22705"/>
    <cellStyle name="20% - Accent3 8 3 10 2" xfId="38901"/>
    <cellStyle name="20% - Accent3 8 3 11" xfId="23183"/>
    <cellStyle name="20% - Accent3 8 3 12" xfId="51722"/>
    <cellStyle name="20% - Accent3 8 3 2" xfId="408"/>
    <cellStyle name="20% - Accent3 8 3 2 2" xfId="3632"/>
    <cellStyle name="20% - Accent3 8 3 2 2 2" xfId="8245"/>
    <cellStyle name="20% - Accent3 8 3 2 2 2 2" xfId="16035"/>
    <cellStyle name="20% - Accent3 8 3 2 2 2 2 2" xfId="33656"/>
    <cellStyle name="20% - Accent3 8 3 2 2 2 3" xfId="26645"/>
    <cellStyle name="20% - Accent3 8 3 2 2 3" xfId="12357"/>
    <cellStyle name="20% - Accent3 8 3 2 2 3 2" xfId="30014"/>
    <cellStyle name="20% - Accent3 8 3 2 2 4" xfId="23784"/>
    <cellStyle name="20% - Accent3 8 3 2 3" xfId="5631"/>
    <cellStyle name="20% - Accent3 8 3 2 3 2" xfId="8928"/>
    <cellStyle name="20% - Accent3 8 3 2 3 2 2" xfId="16717"/>
    <cellStyle name="20% - Accent3 8 3 2 3 2 2 2" xfId="34339"/>
    <cellStyle name="20% - Accent3 8 3 2 3 2 3" xfId="27302"/>
    <cellStyle name="20% - Accent3 8 3 2 3 3" xfId="13481"/>
    <cellStyle name="20% - Accent3 8 3 2 3 3 2" xfId="31107"/>
    <cellStyle name="20% - Accent3 8 3 2 3 4" xfId="24441"/>
    <cellStyle name="20% - Accent3 8 3 2 4" xfId="6261"/>
    <cellStyle name="20% - Accent3 8 3 2 4 2" xfId="9468"/>
    <cellStyle name="20% - Accent3 8 3 2 4 2 2" xfId="17256"/>
    <cellStyle name="20% - Accent3 8 3 2 4 2 2 2" xfId="34879"/>
    <cellStyle name="20% - Accent3 8 3 2 4 2 3" xfId="27838"/>
    <cellStyle name="20% - Accent3 8 3 2 4 3" xfId="14044"/>
    <cellStyle name="20% - Accent3 8 3 2 4 3 2" xfId="31665"/>
    <cellStyle name="20% - Accent3 8 3 2 4 4" xfId="24977"/>
    <cellStyle name="20% - Accent3 8 3 2 5" xfId="6798"/>
    <cellStyle name="20% - Accent3 8 3 2 5 2" xfId="10005"/>
    <cellStyle name="20% - Accent3 8 3 2 5 2 2" xfId="17792"/>
    <cellStyle name="20% - Accent3 8 3 2 5 2 2 2" xfId="35415"/>
    <cellStyle name="20% - Accent3 8 3 2 5 2 3" xfId="28374"/>
    <cellStyle name="20% - Accent3 8 3 2 5 3" xfId="14580"/>
    <cellStyle name="20% - Accent3 8 3 2 5 3 2" xfId="32201"/>
    <cellStyle name="20% - Accent3 8 3 2 5 4" xfId="25514"/>
    <cellStyle name="20% - Accent3 8 3 2 6" xfId="7626"/>
    <cellStyle name="20% - Accent3 8 3 2 6 2" xfId="15417"/>
    <cellStyle name="20% - Accent3 8 3 2 6 2 2" xfId="33038"/>
    <cellStyle name="20% - Accent3 8 3 2 6 3" xfId="26045"/>
    <cellStyle name="20% - Accent3 8 3 2 7" xfId="11195"/>
    <cellStyle name="20% - Accent3 8 3 2 7 2" xfId="28909"/>
    <cellStyle name="20% - Accent3 8 3 2 8" xfId="23184"/>
    <cellStyle name="20% - Accent3 8 3 2 9" xfId="51723"/>
    <cellStyle name="20% - Accent3 8 3 3" xfId="3633"/>
    <cellStyle name="20% - Accent3 8 3 3 2" xfId="5632"/>
    <cellStyle name="20% - Accent3 8 3 3 2 2" xfId="8929"/>
    <cellStyle name="20% - Accent3 8 3 3 2 2 2" xfId="16718"/>
    <cellStyle name="20% - Accent3 8 3 3 2 2 2 2" xfId="34340"/>
    <cellStyle name="20% - Accent3 8 3 3 2 2 3" xfId="27303"/>
    <cellStyle name="20% - Accent3 8 3 3 2 3" xfId="13482"/>
    <cellStyle name="20% - Accent3 8 3 3 2 3 2" xfId="31108"/>
    <cellStyle name="20% - Accent3 8 3 3 2 4" xfId="24442"/>
    <cellStyle name="20% - Accent3 8 3 3 3" xfId="6262"/>
    <cellStyle name="20% - Accent3 8 3 3 3 2" xfId="9469"/>
    <cellStyle name="20% - Accent3 8 3 3 3 2 2" xfId="17257"/>
    <cellStyle name="20% - Accent3 8 3 3 3 2 2 2" xfId="34880"/>
    <cellStyle name="20% - Accent3 8 3 3 3 2 3" xfId="27839"/>
    <cellStyle name="20% - Accent3 8 3 3 3 3" xfId="14045"/>
    <cellStyle name="20% - Accent3 8 3 3 3 3 2" xfId="31666"/>
    <cellStyle name="20% - Accent3 8 3 3 3 4" xfId="24978"/>
    <cellStyle name="20% - Accent3 8 3 3 4" xfId="6799"/>
    <cellStyle name="20% - Accent3 8 3 3 4 2" xfId="10006"/>
    <cellStyle name="20% - Accent3 8 3 3 4 2 2" xfId="17793"/>
    <cellStyle name="20% - Accent3 8 3 3 4 2 2 2" xfId="35416"/>
    <cellStyle name="20% - Accent3 8 3 3 4 2 3" xfId="28375"/>
    <cellStyle name="20% - Accent3 8 3 3 4 3" xfId="14581"/>
    <cellStyle name="20% - Accent3 8 3 3 4 3 2" xfId="32202"/>
    <cellStyle name="20% - Accent3 8 3 3 4 4" xfId="25515"/>
    <cellStyle name="20% - Accent3 8 3 3 5" xfId="8246"/>
    <cellStyle name="20% - Accent3 8 3 3 5 2" xfId="16036"/>
    <cellStyle name="20% - Accent3 8 3 3 5 2 2" xfId="33657"/>
    <cellStyle name="20% - Accent3 8 3 3 5 3" xfId="26646"/>
    <cellStyle name="20% - Accent3 8 3 3 6" xfId="12358"/>
    <cellStyle name="20% - Accent3 8 3 3 6 2" xfId="30015"/>
    <cellStyle name="20% - Accent3 8 3 3 7" xfId="23785"/>
    <cellStyle name="20% - Accent3 8 3 4" xfId="3631"/>
    <cellStyle name="20% - Accent3 8 3 4 2" xfId="8244"/>
    <cellStyle name="20% - Accent3 8 3 4 2 2" xfId="16034"/>
    <cellStyle name="20% - Accent3 8 3 4 2 2 2" xfId="33655"/>
    <cellStyle name="20% - Accent3 8 3 4 2 3" xfId="26644"/>
    <cellStyle name="20% - Accent3 8 3 4 3" xfId="12356"/>
    <cellStyle name="20% - Accent3 8 3 4 3 2" xfId="30013"/>
    <cellStyle name="20% - Accent3 8 3 4 4" xfId="23783"/>
    <cellStyle name="20% - Accent3 8 3 5" xfId="5630"/>
    <cellStyle name="20% - Accent3 8 3 5 2" xfId="8927"/>
    <cellStyle name="20% - Accent3 8 3 5 2 2" xfId="16716"/>
    <cellStyle name="20% - Accent3 8 3 5 2 2 2" xfId="34338"/>
    <cellStyle name="20% - Accent3 8 3 5 2 3" xfId="27301"/>
    <cellStyle name="20% - Accent3 8 3 5 3" xfId="13480"/>
    <cellStyle name="20% - Accent3 8 3 5 3 2" xfId="31106"/>
    <cellStyle name="20% - Accent3 8 3 5 4" xfId="24440"/>
    <cellStyle name="20% - Accent3 8 3 6" xfId="6260"/>
    <cellStyle name="20% - Accent3 8 3 6 2" xfId="9467"/>
    <cellStyle name="20% - Accent3 8 3 6 2 2" xfId="17255"/>
    <cellStyle name="20% - Accent3 8 3 6 2 2 2" xfId="34878"/>
    <cellStyle name="20% - Accent3 8 3 6 2 3" xfId="27837"/>
    <cellStyle name="20% - Accent3 8 3 6 3" xfId="14043"/>
    <cellStyle name="20% - Accent3 8 3 6 3 2" xfId="31664"/>
    <cellStyle name="20% - Accent3 8 3 6 4" xfId="24976"/>
    <cellStyle name="20% - Accent3 8 3 7" xfId="6797"/>
    <cellStyle name="20% - Accent3 8 3 7 2" xfId="10004"/>
    <cellStyle name="20% - Accent3 8 3 7 2 2" xfId="17791"/>
    <cellStyle name="20% - Accent3 8 3 7 2 2 2" xfId="35414"/>
    <cellStyle name="20% - Accent3 8 3 7 2 3" xfId="28373"/>
    <cellStyle name="20% - Accent3 8 3 7 3" xfId="14579"/>
    <cellStyle name="20% - Accent3 8 3 7 3 2" xfId="32200"/>
    <cellStyle name="20% - Accent3 8 3 7 4" xfId="25513"/>
    <cellStyle name="20% - Accent3 8 3 8" xfId="7625"/>
    <cellStyle name="20% - Accent3 8 3 8 2" xfId="15416"/>
    <cellStyle name="20% - Accent3 8 3 8 2 2" xfId="33037"/>
    <cellStyle name="20% - Accent3 8 3 8 3" xfId="26044"/>
    <cellStyle name="20% - Accent3 8 3 9" xfId="11194"/>
    <cellStyle name="20% - Accent3 8 3 9 2" xfId="28908"/>
    <cellStyle name="20% - Accent3 8 4" xfId="409"/>
    <cellStyle name="20% - Accent3 8 4 2" xfId="3634"/>
    <cellStyle name="20% - Accent3 8 4 2 2" xfId="8247"/>
    <cellStyle name="20% - Accent3 8 4 2 2 2" xfId="16037"/>
    <cellStyle name="20% - Accent3 8 4 2 2 2 2" xfId="33658"/>
    <cellStyle name="20% - Accent3 8 4 2 2 3" xfId="26647"/>
    <cellStyle name="20% - Accent3 8 4 2 3" xfId="12359"/>
    <cellStyle name="20% - Accent3 8 4 2 3 2" xfId="30016"/>
    <cellStyle name="20% - Accent3 8 4 2 4" xfId="23786"/>
    <cellStyle name="20% - Accent3 8 4 3" xfId="5633"/>
    <cellStyle name="20% - Accent3 8 4 3 2" xfId="8930"/>
    <cellStyle name="20% - Accent3 8 4 3 2 2" xfId="16719"/>
    <cellStyle name="20% - Accent3 8 4 3 2 2 2" xfId="34341"/>
    <cellStyle name="20% - Accent3 8 4 3 2 3" xfId="27304"/>
    <cellStyle name="20% - Accent3 8 4 3 3" xfId="13483"/>
    <cellStyle name="20% - Accent3 8 4 3 3 2" xfId="31109"/>
    <cellStyle name="20% - Accent3 8 4 3 4" xfId="24443"/>
    <cellStyle name="20% - Accent3 8 4 4" xfId="6263"/>
    <cellStyle name="20% - Accent3 8 4 4 2" xfId="9470"/>
    <cellStyle name="20% - Accent3 8 4 4 2 2" xfId="17258"/>
    <cellStyle name="20% - Accent3 8 4 4 2 2 2" xfId="34881"/>
    <cellStyle name="20% - Accent3 8 4 4 2 3" xfId="27840"/>
    <cellStyle name="20% - Accent3 8 4 4 3" xfId="14046"/>
    <cellStyle name="20% - Accent3 8 4 4 3 2" xfId="31667"/>
    <cellStyle name="20% - Accent3 8 4 4 4" xfId="24979"/>
    <cellStyle name="20% - Accent3 8 4 5" xfId="6800"/>
    <cellStyle name="20% - Accent3 8 4 5 2" xfId="10007"/>
    <cellStyle name="20% - Accent3 8 4 5 2 2" xfId="17794"/>
    <cellStyle name="20% - Accent3 8 4 5 2 2 2" xfId="35417"/>
    <cellStyle name="20% - Accent3 8 4 5 2 3" xfId="28376"/>
    <cellStyle name="20% - Accent3 8 4 5 3" xfId="14582"/>
    <cellStyle name="20% - Accent3 8 4 5 3 2" xfId="32203"/>
    <cellStyle name="20% - Accent3 8 4 5 4" xfId="25516"/>
    <cellStyle name="20% - Accent3 8 4 6" xfId="7627"/>
    <cellStyle name="20% - Accent3 8 4 6 2" xfId="15418"/>
    <cellStyle name="20% - Accent3 8 4 6 2 2" xfId="33039"/>
    <cellStyle name="20% - Accent3 8 4 6 3" xfId="26046"/>
    <cellStyle name="20% - Accent3 8 4 7" xfId="11196"/>
    <cellStyle name="20% - Accent3 8 4 7 2" xfId="28910"/>
    <cellStyle name="20% - Accent3 8 4 8" xfId="23185"/>
    <cellStyle name="20% - Accent3 8 4 9" xfId="51724"/>
    <cellStyle name="20% - Accent3 8 5" xfId="410"/>
    <cellStyle name="20% - Accent3 8 5 2" xfId="3635"/>
    <cellStyle name="20% - Accent3 8 5 2 2" xfId="8248"/>
    <cellStyle name="20% - Accent3 8 5 2 2 2" xfId="16038"/>
    <cellStyle name="20% - Accent3 8 5 2 2 2 2" xfId="33659"/>
    <cellStyle name="20% - Accent3 8 5 2 2 3" xfId="26648"/>
    <cellStyle name="20% - Accent3 8 5 2 3" xfId="12360"/>
    <cellStyle name="20% - Accent3 8 5 2 3 2" xfId="30017"/>
    <cellStyle name="20% - Accent3 8 5 2 4" xfId="23787"/>
    <cellStyle name="20% - Accent3 8 5 3" xfId="5634"/>
    <cellStyle name="20% - Accent3 8 5 3 2" xfId="8931"/>
    <cellStyle name="20% - Accent3 8 5 3 2 2" xfId="16720"/>
    <cellStyle name="20% - Accent3 8 5 3 2 2 2" xfId="34342"/>
    <cellStyle name="20% - Accent3 8 5 3 2 3" xfId="27305"/>
    <cellStyle name="20% - Accent3 8 5 3 3" xfId="13484"/>
    <cellStyle name="20% - Accent3 8 5 3 3 2" xfId="31110"/>
    <cellStyle name="20% - Accent3 8 5 3 4" xfId="24444"/>
    <cellStyle name="20% - Accent3 8 5 4" xfId="6264"/>
    <cellStyle name="20% - Accent3 8 5 4 2" xfId="9471"/>
    <cellStyle name="20% - Accent3 8 5 4 2 2" xfId="17259"/>
    <cellStyle name="20% - Accent3 8 5 4 2 2 2" xfId="34882"/>
    <cellStyle name="20% - Accent3 8 5 4 2 3" xfId="27841"/>
    <cellStyle name="20% - Accent3 8 5 4 3" xfId="14047"/>
    <cellStyle name="20% - Accent3 8 5 4 3 2" xfId="31668"/>
    <cellStyle name="20% - Accent3 8 5 4 4" xfId="24980"/>
    <cellStyle name="20% - Accent3 8 5 5" xfId="6801"/>
    <cellStyle name="20% - Accent3 8 5 5 2" xfId="10008"/>
    <cellStyle name="20% - Accent3 8 5 5 2 2" xfId="17795"/>
    <cellStyle name="20% - Accent3 8 5 5 2 2 2" xfId="35418"/>
    <cellStyle name="20% - Accent3 8 5 5 2 3" xfId="28377"/>
    <cellStyle name="20% - Accent3 8 5 5 3" xfId="14583"/>
    <cellStyle name="20% - Accent3 8 5 5 3 2" xfId="32204"/>
    <cellStyle name="20% - Accent3 8 5 5 4" xfId="25517"/>
    <cellStyle name="20% - Accent3 8 5 6" xfId="7628"/>
    <cellStyle name="20% - Accent3 8 5 6 2" xfId="15419"/>
    <cellStyle name="20% - Accent3 8 5 6 2 2" xfId="33040"/>
    <cellStyle name="20% - Accent3 8 5 6 3" xfId="26047"/>
    <cellStyle name="20% - Accent3 8 5 7" xfId="11197"/>
    <cellStyle name="20% - Accent3 8 5 7 2" xfId="28911"/>
    <cellStyle name="20% - Accent3 8 5 8" xfId="23186"/>
    <cellStyle name="20% - Accent3 8 5 9" xfId="51725"/>
    <cellStyle name="20% - Accent3 8 6" xfId="411"/>
    <cellStyle name="20% - Accent3 8 6 2" xfId="3636"/>
    <cellStyle name="20% - Accent3 8 6 2 2" xfId="8249"/>
    <cellStyle name="20% - Accent3 8 6 2 2 2" xfId="16039"/>
    <cellStyle name="20% - Accent3 8 6 2 2 2 2" xfId="33660"/>
    <cellStyle name="20% - Accent3 8 6 2 2 3" xfId="26649"/>
    <cellStyle name="20% - Accent3 8 6 2 3" xfId="12361"/>
    <cellStyle name="20% - Accent3 8 6 2 3 2" xfId="30018"/>
    <cellStyle name="20% - Accent3 8 6 2 4" xfId="23788"/>
    <cellStyle name="20% - Accent3 8 6 3" xfId="5635"/>
    <cellStyle name="20% - Accent3 8 6 3 2" xfId="8932"/>
    <cellStyle name="20% - Accent3 8 6 3 2 2" xfId="16721"/>
    <cellStyle name="20% - Accent3 8 6 3 2 2 2" xfId="34343"/>
    <cellStyle name="20% - Accent3 8 6 3 2 3" xfId="27306"/>
    <cellStyle name="20% - Accent3 8 6 3 3" xfId="13485"/>
    <cellStyle name="20% - Accent3 8 6 3 3 2" xfId="31111"/>
    <cellStyle name="20% - Accent3 8 6 3 4" xfId="24445"/>
    <cellStyle name="20% - Accent3 8 6 4" xfId="6265"/>
    <cellStyle name="20% - Accent3 8 6 4 2" xfId="9472"/>
    <cellStyle name="20% - Accent3 8 6 4 2 2" xfId="17260"/>
    <cellStyle name="20% - Accent3 8 6 4 2 2 2" xfId="34883"/>
    <cellStyle name="20% - Accent3 8 6 4 2 3" xfId="27842"/>
    <cellStyle name="20% - Accent3 8 6 4 3" xfId="14048"/>
    <cellStyle name="20% - Accent3 8 6 4 3 2" xfId="31669"/>
    <cellStyle name="20% - Accent3 8 6 4 4" xfId="24981"/>
    <cellStyle name="20% - Accent3 8 6 5" xfId="6802"/>
    <cellStyle name="20% - Accent3 8 6 5 2" xfId="10009"/>
    <cellStyle name="20% - Accent3 8 6 5 2 2" xfId="17796"/>
    <cellStyle name="20% - Accent3 8 6 5 2 2 2" xfId="35419"/>
    <cellStyle name="20% - Accent3 8 6 5 2 3" xfId="28378"/>
    <cellStyle name="20% - Accent3 8 6 5 3" xfId="14584"/>
    <cellStyle name="20% - Accent3 8 6 5 3 2" xfId="32205"/>
    <cellStyle name="20% - Accent3 8 6 5 4" xfId="25518"/>
    <cellStyle name="20% - Accent3 8 6 6" xfId="7629"/>
    <cellStyle name="20% - Accent3 8 6 6 2" xfId="15420"/>
    <cellStyle name="20% - Accent3 8 6 6 2 2" xfId="33041"/>
    <cellStyle name="20% - Accent3 8 6 6 3" xfId="26048"/>
    <cellStyle name="20% - Accent3 8 6 7" xfId="11198"/>
    <cellStyle name="20% - Accent3 8 6 7 2" xfId="28912"/>
    <cellStyle name="20% - Accent3 8 6 8" xfId="23187"/>
    <cellStyle name="20% - Accent3 8 6 9" xfId="51726"/>
    <cellStyle name="20% - Accent3 8 7" xfId="412"/>
    <cellStyle name="20% - Accent3 8 7 10" xfId="51727"/>
    <cellStyle name="20% - Accent3 8 7 2" xfId="413"/>
    <cellStyle name="20% - Accent3 8 7 2 2" xfId="8251"/>
    <cellStyle name="20% - Accent3 8 7 2 2 2" xfId="16041"/>
    <cellStyle name="20% - Accent3 8 7 2 2 2 2" xfId="33662"/>
    <cellStyle name="20% - Accent3 8 7 2 2 3" xfId="26651"/>
    <cellStyle name="20% - Accent3 8 7 2 3" xfId="12363"/>
    <cellStyle name="20% - Accent3 8 7 2 3 2" xfId="30020"/>
    <cellStyle name="20% - Accent3 8 7 2 4" xfId="23790"/>
    <cellStyle name="20% - Accent3 8 7 3" xfId="3637"/>
    <cellStyle name="20% - Accent3 8 7 3 2" xfId="8250"/>
    <cellStyle name="20% - Accent3 8 7 3 2 2" xfId="16040"/>
    <cellStyle name="20% - Accent3 8 7 3 2 2 2" xfId="33661"/>
    <cellStyle name="20% - Accent3 8 7 3 2 3" xfId="26650"/>
    <cellStyle name="20% - Accent3 8 7 3 3" xfId="12362"/>
    <cellStyle name="20% - Accent3 8 7 3 3 2" xfId="30019"/>
    <cellStyle name="20% - Accent3 8 7 3 4" xfId="23789"/>
    <cellStyle name="20% - Accent3 8 7 4" xfId="5636"/>
    <cellStyle name="20% - Accent3 8 7 4 2" xfId="8933"/>
    <cellStyle name="20% - Accent3 8 7 4 2 2" xfId="16722"/>
    <cellStyle name="20% - Accent3 8 7 4 2 2 2" xfId="34344"/>
    <cellStyle name="20% - Accent3 8 7 4 2 3" xfId="27307"/>
    <cellStyle name="20% - Accent3 8 7 4 3" xfId="13486"/>
    <cellStyle name="20% - Accent3 8 7 4 3 2" xfId="31112"/>
    <cellStyle name="20% - Accent3 8 7 4 4" xfId="24446"/>
    <cellStyle name="20% - Accent3 8 7 5" xfId="6266"/>
    <cellStyle name="20% - Accent3 8 7 5 2" xfId="9473"/>
    <cellStyle name="20% - Accent3 8 7 5 2 2" xfId="17261"/>
    <cellStyle name="20% - Accent3 8 7 5 2 2 2" xfId="34884"/>
    <cellStyle name="20% - Accent3 8 7 5 2 3" xfId="27843"/>
    <cellStyle name="20% - Accent3 8 7 5 3" xfId="14049"/>
    <cellStyle name="20% - Accent3 8 7 5 3 2" xfId="31670"/>
    <cellStyle name="20% - Accent3 8 7 5 4" xfId="24982"/>
    <cellStyle name="20% - Accent3 8 7 6" xfId="6803"/>
    <cellStyle name="20% - Accent3 8 7 6 2" xfId="10010"/>
    <cellStyle name="20% - Accent3 8 7 6 2 2" xfId="17797"/>
    <cellStyle name="20% - Accent3 8 7 6 2 2 2" xfId="35420"/>
    <cellStyle name="20% - Accent3 8 7 6 2 3" xfId="28379"/>
    <cellStyle name="20% - Accent3 8 7 6 3" xfId="14585"/>
    <cellStyle name="20% - Accent3 8 7 6 3 2" xfId="32206"/>
    <cellStyle name="20% - Accent3 8 7 6 4" xfId="25519"/>
    <cellStyle name="20% - Accent3 8 7 7" xfId="7630"/>
    <cellStyle name="20% - Accent3 8 7 7 2" xfId="15421"/>
    <cellStyle name="20% - Accent3 8 7 7 2 2" xfId="33042"/>
    <cellStyle name="20% - Accent3 8 7 7 3" xfId="26049"/>
    <cellStyle name="20% - Accent3 8 7 8" xfId="11199"/>
    <cellStyle name="20% - Accent3 8 7 8 2" xfId="28913"/>
    <cellStyle name="20% - Accent3 8 7 9" xfId="23188"/>
    <cellStyle name="20% - Accent3 8 8" xfId="3638"/>
    <cellStyle name="20% - Accent3 8 8 2" xfId="8252"/>
    <cellStyle name="20% - Accent3 8 8 2 2" xfId="16042"/>
    <cellStyle name="20% - Accent3 8 8 2 2 2" xfId="33663"/>
    <cellStyle name="20% - Accent3 8 8 2 3" xfId="26652"/>
    <cellStyle name="20% - Accent3 8 8 3" xfId="12364"/>
    <cellStyle name="20% - Accent3 8 8 3 2" xfId="30021"/>
    <cellStyle name="20% - Accent3 8 8 4" xfId="23791"/>
    <cellStyle name="20% - Accent3 8 9" xfId="3639"/>
    <cellStyle name="20% - Accent3 8 9 2" xfId="8253"/>
    <cellStyle name="20% - Accent3 8 9 2 2" xfId="16043"/>
    <cellStyle name="20% - Accent3 8 9 2 2 2" xfId="33664"/>
    <cellStyle name="20% - Accent3 8 9 2 3" xfId="26653"/>
    <cellStyle name="20% - Accent3 8 9 3" xfId="12365"/>
    <cellStyle name="20% - Accent3 8 9 3 2" xfId="30022"/>
    <cellStyle name="20% - Accent3 8 9 4" xfId="23792"/>
    <cellStyle name="20% - Accent3 9" xfId="414"/>
    <cellStyle name="20% - Accent3 9 10" xfId="3640"/>
    <cellStyle name="20% - Accent3 9 10 2" xfId="8254"/>
    <cellStyle name="20% - Accent3 9 10 2 2" xfId="16044"/>
    <cellStyle name="20% - Accent3 9 10 2 2 2" xfId="33665"/>
    <cellStyle name="20% - Accent3 9 10 2 3" xfId="26654"/>
    <cellStyle name="20% - Accent3 9 10 3" xfId="12366"/>
    <cellStyle name="20% - Accent3 9 10 3 2" xfId="30023"/>
    <cellStyle name="20% - Accent3 9 10 4" xfId="23793"/>
    <cellStyle name="20% - Accent3 9 11" xfId="5637"/>
    <cellStyle name="20% - Accent3 9 11 2" xfId="8934"/>
    <cellStyle name="20% - Accent3 9 11 2 2" xfId="16723"/>
    <cellStyle name="20% - Accent3 9 11 2 2 2" xfId="34345"/>
    <cellStyle name="20% - Accent3 9 11 2 3" xfId="27308"/>
    <cellStyle name="20% - Accent3 9 11 3" xfId="13487"/>
    <cellStyle name="20% - Accent3 9 11 3 2" xfId="31113"/>
    <cellStyle name="20% - Accent3 9 11 4" xfId="24447"/>
    <cellStyle name="20% - Accent3 9 12" xfId="6267"/>
    <cellStyle name="20% - Accent3 9 12 2" xfId="9474"/>
    <cellStyle name="20% - Accent3 9 12 2 2" xfId="17262"/>
    <cellStyle name="20% - Accent3 9 12 2 2 2" xfId="34885"/>
    <cellStyle name="20% - Accent3 9 12 2 3" xfId="27844"/>
    <cellStyle name="20% - Accent3 9 12 3" xfId="14050"/>
    <cellStyle name="20% - Accent3 9 12 3 2" xfId="31671"/>
    <cellStyle name="20% - Accent3 9 12 4" xfId="24983"/>
    <cellStyle name="20% - Accent3 9 13" xfId="6804"/>
    <cellStyle name="20% - Accent3 9 13 2" xfId="10011"/>
    <cellStyle name="20% - Accent3 9 13 2 2" xfId="17798"/>
    <cellStyle name="20% - Accent3 9 13 2 2 2" xfId="35421"/>
    <cellStyle name="20% - Accent3 9 13 2 3" xfId="28380"/>
    <cellStyle name="20% - Accent3 9 13 3" xfId="14586"/>
    <cellStyle name="20% - Accent3 9 13 3 2" xfId="32207"/>
    <cellStyle name="20% - Accent3 9 13 4" xfId="25520"/>
    <cellStyle name="20% - Accent3 9 14" xfId="7631"/>
    <cellStyle name="20% - Accent3 9 14 2" xfId="15422"/>
    <cellStyle name="20% - Accent3 9 14 2 2" xfId="33043"/>
    <cellStyle name="20% - Accent3 9 14 3" xfId="26050"/>
    <cellStyle name="20% - Accent3 9 15" xfId="11200"/>
    <cellStyle name="20% - Accent3 9 15 2" xfId="28914"/>
    <cellStyle name="20% - Accent3 9 16" xfId="22049"/>
    <cellStyle name="20% - Accent3 9 16 2" xfId="38744"/>
    <cellStyle name="20% - Accent3 9 17" xfId="23189"/>
    <cellStyle name="20% - Accent3 9 18" xfId="51728"/>
    <cellStyle name="20% - Accent3 9 2" xfId="415"/>
    <cellStyle name="20% - Accent3 9 2 10" xfId="51729"/>
    <cellStyle name="20% - Accent3 9 2 2" xfId="3641"/>
    <cellStyle name="20% - Accent3 9 2 2 2" xfId="8255"/>
    <cellStyle name="20% - Accent3 9 2 2 2 2" xfId="16045"/>
    <cellStyle name="20% - Accent3 9 2 2 2 2 2" xfId="33666"/>
    <cellStyle name="20% - Accent3 9 2 2 2 3" xfId="26655"/>
    <cellStyle name="20% - Accent3 9 2 2 3" xfId="12367"/>
    <cellStyle name="20% - Accent3 9 2 2 3 2" xfId="30024"/>
    <cellStyle name="20% - Accent3 9 2 2 4" xfId="23794"/>
    <cellStyle name="20% - Accent3 9 2 3" xfId="5638"/>
    <cellStyle name="20% - Accent3 9 2 3 2" xfId="8935"/>
    <cellStyle name="20% - Accent3 9 2 3 2 2" xfId="16724"/>
    <cellStyle name="20% - Accent3 9 2 3 2 2 2" xfId="34346"/>
    <cellStyle name="20% - Accent3 9 2 3 2 3" xfId="27309"/>
    <cellStyle name="20% - Accent3 9 2 3 3" xfId="13488"/>
    <cellStyle name="20% - Accent3 9 2 3 3 2" xfId="31114"/>
    <cellStyle name="20% - Accent3 9 2 3 4" xfId="24448"/>
    <cellStyle name="20% - Accent3 9 2 4" xfId="6268"/>
    <cellStyle name="20% - Accent3 9 2 4 2" xfId="9475"/>
    <cellStyle name="20% - Accent3 9 2 4 2 2" xfId="17263"/>
    <cellStyle name="20% - Accent3 9 2 4 2 2 2" xfId="34886"/>
    <cellStyle name="20% - Accent3 9 2 4 2 3" xfId="27845"/>
    <cellStyle name="20% - Accent3 9 2 4 3" xfId="14051"/>
    <cellStyle name="20% - Accent3 9 2 4 3 2" xfId="31672"/>
    <cellStyle name="20% - Accent3 9 2 4 4" xfId="24984"/>
    <cellStyle name="20% - Accent3 9 2 5" xfId="6805"/>
    <cellStyle name="20% - Accent3 9 2 5 2" xfId="10012"/>
    <cellStyle name="20% - Accent3 9 2 5 2 2" xfId="17799"/>
    <cellStyle name="20% - Accent3 9 2 5 2 2 2" xfId="35422"/>
    <cellStyle name="20% - Accent3 9 2 5 2 3" xfId="28381"/>
    <cellStyle name="20% - Accent3 9 2 5 3" xfId="14587"/>
    <cellStyle name="20% - Accent3 9 2 5 3 2" xfId="32208"/>
    <cellStyle name="20% - Accent3 9 2 5 4" xfId="25521"/>
    <cellStyle name="20% - Accent3 9 2 6" xfId="7632"/>
    <cellStyle name="20% - Accent3 9 2 6 2" xfId="15423"/>
    <cellStyle name="20% - Accent3 9 2 6 2 2" xfId="33044"/>
    <cellStyle name="20% - Accent3 9 2 6 3" xfId="26051"/>
    <cellStyle name="20% - Accent3 9 2 7" xfId="11201"/>
    <cellStyle name="20% - Accent3 9 2 7 2" xfId="28915"/>
    <cellStyle name="20% - Accent3 9 2 8" xfId="22707"/>
    <cellStyle name="20% - Accent3 9 2 8 2" xfId="38903"/>
    <cellStyle name="20% - Accent3 9 2 9" xfId="23190"/>
    <cellStyle name="20% - Accent3 9 3" xfId="416"/>
    <cellStyle name="20% - Accent3 9 3 10" xfId="23191"/>
    <cellStyle name="20% - Accent3 9 3 11" xfId="51730"/>
    <cellStyle name="20% - Accent3 9 3 2" xfId="417"/>
    <cellStyle name="20% - Accent3 9 3 2 2" xfId="3643"/>
    <cellStyle name="20% - Accent3 9 3 2 2 2" xfId="8257"/>
    <cellStyle name="20% - Accent3 9 3 2 2 2 2" xfId="16047"/>
    <cellStyle name="20% - Accent3 9 3 2 2 2 2 2" xfId="33668"/>
    <cellStyle name="20% - Accent3 9 3 2 2 2 3" xfId="26657"/>
    <cellStyle name="20% - Accent3 9 3 2 2 3" xfId="12369"/>
    <cellStyle name="20% - Accent3 9 3 2 2 3 2" xfId="30026"/>
    <cellStyle name="20% - Accent3 9 3 2 2 4" xfId="23796"/>
    <cellStyle name="20% - Accent3 9 3 2 3" xfId="5640"/>
    <cellStyle name="20% - Accent3 9 3 2 3 2" xfId="8937"/>
    <cellStyle name="20% - Accent3 9 3 2 3 2 2" xfId="16726"/>
    <cellStyle name="20% - Accent3 9 3 2 3 2 2 2" xfId="34348"/>
    <cellStyle name="20% - Accent3 9 3 2 3 2 3" xfId="27311"/>
    <cellStyle name="20% - Accent3 9 3 2 3 3" xfId="13490"/>
    <cellStyle name="20% - Accent3 9 3 2 3 3 2" xfId="31116"/>
    <cellStyle name="20% - Accent3 9 3 2 3 4" xfId="24450"/>
    <cellStyle name="20% - Accent3 9 3 2 4" xfId="6270"/>
    <cellStyle name="20% - Accent3 9 3 2 4 2" xfId="9477"/>
    <cellStyle name="20% - Accent3 9 3 2 4 2 2" xfId="17265"/>
    <cellStyle name="20% - Accent3 9 3 2 4 2 2 2" xfId="34888"/>
    <cellStyle name="20% - Accent3 9 3 2 4 2 3" xfId="27847"/>
    <cellStyle name="20% - Accent3 9 3 2 4 3" xfId="14053"/>
    <cellStyle name="20% - Accent3 9 3 2 4 3 2" xfId="31674"/>
    <cellStyle name="20% - Accent3 9 3 2 4 4" xfId="24986"/>
    <cellStyle name="20% - Accent3 9 3 2 5" xfId="6807"/>
    <cellStyle name="20% - Accent3 9 3 2 5 2" xfId="10014"/>
    <cellStyle name="20% - Accent3 9 3 2 5 2 2" xfId="17801"/>
    <cellStyle name="20% - Accent3 9 3 2 5 2 2 2" xfId="35424"/>
    <cellStyle name="20% - Accent3 9 3 2 5 2 3" xfId="28383"/>
    <cellStyle name="20% - Accent3 9 3 2 5 3" xfId="14589"/>
    <cellStyle name="20% - Accent3 9 3 2 5 3 2" xfId="32210"/>
    <cellStyle name="20% - Accent3 9 3 2 5 4" xfId="25523"/>
    <cellStyle name="20% - Accent3 9 3 2 6" xfId="7634"/>
    <cellStyle name="20% - Accent3 9 3 2 6 2" xfId="15425"/>
    <cellStyle name="20% - Accent3 9 3 2 6 2 2" xfId="33046"/>
    <cellStyle name="20% - Accent3 9 3 2 6 3" xfId="26053"/>
    <cellStyle name="20% - Accent3 9 3 2 7" xfId="11203"/>
    <cellStyle name="20% - Accent3 9 3 2 7 2" xfId="28917"/>
    <cellStyle name="20% - Accent3 9 3 2 8" xfId="23192"/>
    <cellStyle name="20% - Accent3 9 3 2 9" xfId="51731"/>
    <cellStyle name="20% - Accent3 9 3 3" xfId="3644"/>
    <cellStyle name="20% - Accent3 9 3 3 2" xfId="5641"/>
    <cellStyle name="20% - Accent3 9 3 3 2 2" xfId="8938"/>
    <cellStyle name="20% - Accent3 9 3 3 2 2 2" xfId="16727"/>
    <cellStyle name="20% - Accent3 9 3 3 2 2 2 2" xfId="34349"/>
    <cellStyle name="20% - Accent3 9 3 3 2 2 3" xfId="27312"/>
    <cellStyle name="20% - Accent3 9 3 3 2 3" xfId="13491"/>
    <cellStyle name="20% - Accent3 9 3 3 2 3 2" xfId="31117"/>
    <cellStyle name="20% - Accent3 9 3 3 2 4" xfId="24451"/>
    <cellStyle name="20% - Accent3 9 3 3 3" xfId="6271"/>
    <cellStyle name="20% - Accent3 9 3 3 3 2" xfId="9478"/>
    <cellStyle name="20% - Accent3 9 3 3 3 2 2" xfId="17266"/>
    <cellStyle name="20% - Accent3 9 3 3 3 2 2 2" xfId="34889"/>
    <cellStyle name="20% - Accent3 9 3 3 3 2 3" xfId="27848"/>
    <cellStyle name="20% - Accent3 9 3 3 3 3" xfId="14054"/>
    <cellStyle name="20% - Accent3 9 3 3 3 3 2" xfId="31675"/>
    <cellStyle name="20% - Accent3 9 3 3 3 4" xfId="24987"/>
    <cellStyle name="20% - Accent3 9 3 3 4" xfId="6808"/>
    <cellStyle name="20% - Accent3 9 3 3 4 2" xfId="10015"/>
    <cellStyle name="20% - Accent3 9 3 3 4 2 2" xfId="17802"/>
    <cellStyle name="20% - Accent3 9 3 3 4 2 2 2" xfId="35425"/>
    <cellStyle name="20% - Accent3 9 3 3 4 2 3" xfId="28384"/>
    <cellStyle name="20% - Accent3 9 3 3 4 3" xfId="14590"/>
    <cellStyle name="20% - Accent3 9 3 3 4 3 2" xfId="32211"/>
    <cellStyle name="20% - Accent3 9 3 3 4 4" xfId="25524"/>
    <cellStyle name="20% - Accent3 9 3 3 5" xfId="8258"/>
    <cellStyle name="20% - Accent3 9 3 3 5 2" xfId="16048"/>
    <cellStyle name="20% - Accent3 9 3 3 5 2 2" xfId="33669"/>
    <cellStyle name="20% - Accent3 9 3 3 5 3" xfId="26658"/>
    <cellStyle name="20% - Accent3 9 3 3 6" xfId="12370"/>
    <cellStyle name="20% - Accent3 9 3 3 6 2" xfId="30027"/>
    <cellStyle name="20% - Accent3 9 3 3 7" xfId="23797"/>
    <cellStyle name="20% - Accent3 9 3 4" xfId="3642"/>
    <cellStyle name="20% - Accent3 9 3 4 2" xfId="8256"/>
    <cellStyle name="20% - Accent3 9 3 4 2 2" xfId="16046"/>
    <cellStyle name="20% - Accent3 9 3 4 2 2 2" xfId="33667"/>
    <cellStyle name="20% - Accent3 9 3 4 2 3" xfId="26656"/>
    <cellStyle name="20% - Accent3 9 3 4 3" xfId="12368"/>
    <cellStyle name="20% - Accent3 9 3 4 3 2" xfId="30025"/>
    <cellStyle name="20% - Accent3 9 3 4 4" xfId="23795"/>
    <cellStyle name="20% - Accent3 9 3 5" xfId="5639"/>
    <cellStyle name="20% - Accent3 9 3 5 2" xfId="8936"/>
    <cellStyle name="20% - Accent3 9 3 5 2 2" xfId="16725"/>
    <cellStyle name="20% - Accent3 9 3 5 2 2 2" xfId="34347"/>
    <cellStyle name="20% - Accent3 9 3 5 2 3" xfId="27310"/>
    <cellStyle name="20% - Accent3 9 3 5 3" xfId="13489"/>
    <cellStyle name="20% - Accent3 9 3 5 3 2" xfId="31115"/>
    <cellStyle name="20% - Accent3 9 3 5 4" xfId="24449"/>
    <cellStyle name="20% - Accent3 9 3 6" xfId="6269"/>
    <cellStyle name="20% - Accent3 9 3 6 2" xfId="9476"/>
    <cellStyle name="20% - Accent3 9 3 6 2 2" xfId="17264"/>
    <cellStyle name="20% - Accent3 9 3 6 2 2 2" xfId="34887"/>
    <cellStyle name="20% - Accent3 9 3 6 2 3" xfId="27846"/>
    <cellStyle name="20% - Accent3 9 3 6 3" xfId="14052"/>
    <cellStyle name="20% - Accent3 9 3 6 3 2" xfId="31673"/>
    <cellStyle name="20% - Accent3 9 3 6 4" xfId="24985"/>
    <cellStyle name="20% - Accent3 9 3 7" xfId="6806"/>
    <cellStyle name="20% - Accent3 9 3 7 2" xfId="10013"/>
    <cellStyle name="20% - Accent3 9 3 7 2 2" xfId="17800"/>
    <cellStyle name="20% - Accent3 9 3 7 2 2 2" xfId="35423"/>
    <cellStyle name="20% - Accent3 9 3 7 2 3" xfId="28382"/>
    <cellStyle name="20% - Accent3 9 3 7 3" xfId="14588"/>
    <cellStyle name="20% - Accent3 9 3 7 3 2" xfId="32209"/>
    <cellStyle name="20% - Accent3 9 3 7 4" xfId="25522"/>
    <cellStyle name="20% - Accent3 9 3 8" xfId="7633"/>
    <cellStyle name="20% - Accent3 9 3 8 2" xfId="15424"/>
    <cellStyle name="20% - Accent3 9 3 8 2 2" xfId="33045"/>
    <cellStyle name="20% - Accent3 9 3 8 3" xfId="26052"/>
    <cellStyle name="20% - Accent3 9 3 9" xfId="11202"/>
    <cellStyle name="20% - Accent3 9 3 9 2" xfId="28916"/>
    <cellStyle name="20% - Accent3 9 4" xfId="418"/>
    <cellStyle name="20% - Accent3 9 4 2" xfId="3645"/>
    <cellStyle name="20% - Accent3 9 4 2 2" xfId="8259"/>
    <cellStyle name="20% - Accent3 9 4 2 2 2" xfId="16049"/>
    <cellStyle name="20% - Accent3 9 4 2 2 2 2" xfId="33670"/>
    <cellStyle name="20% - Accent3 9 4 2 2 3" xfId="26659"/>
    <cellStyle name="20% - Accent3 9 4 2 3" xfId="12371"/>
    <cellStyle name="20% - Accent3 9 4 2 3 2" xfId="30028"/>
    <cellStyle name="20% - Accent3 9 4 2 4" xfId="23798"/>
    <cellStyle name="20% - Accent3 9 4 3" xfId="5642"/>
    <cellStyle name="20% - Accent3 9 4 3 2" xfId="8939"/>
    <cellStyle name="20% - Accent3 9 4 3 2 2" xfId="16728"/>
    <cellStyle name="20% - Accent3 9 4 3 2 2 2" xfId="34350"/>
    <cellStyle name="20% - Accent3 9 4 3 2 3" xfId="27313"/>
    <cellStyle name="20% - Accent3 9 4 3 3" xfId="13492"/>
    <cellStyle name="20% - Accent3 9 4 3 3 2" xfId="31118"/>
    <cellStyle name="20% - Accent3 9 4 3 4" xfId="24452"/>
    <cellStyle name="20% - Accent3 9 4 4" xfId="6272"/>
    <cellStyle name="20% - Accent3 9 4 4 2" xfId="9479"/>
    <cellStyle name="20% - Accent3 9 4 4 2 2" xfId="17267"/>
    <cellStyle name="20% - Accent3 9 4 4 2 2 2" xfId="34890"/>
    <cellStyle name="20% - Accent3 9 4 4 2 3" xfId="27849"/>
    <cellStyle name="20% - Accent3 9 4 4 3" xfId="14055"/>
    <cellStyle name="20% - Accent3 9 4 4 3 2" xfId="31676"/>
    <cellStyle name="20% - Accent3 9 4 4 4" xfId="24988"/>
    <cellStyle name="20% - Accent3 9 4 5" xfId="6809"/>
    <cellStyle name="20% - Accent3 9 4 5 2" xfId="10016"/>
    <cellStyle name="20% - Accent3 9 4 5 2 2" xfId="17803"/>
    <cellStyle name="20% - Accent3 9 4 5 2 2 2" xfId="35426"/>
    <cellStyle name="20% - Accent3 9 4 5 2 3" xfId="28385"/>
    <cellStyle name="20% - Accent3 9 4 5 3" xfId="14591"/>
    <cellStyle name="20% - Accent3 9 4 5 3 2" xfId="32212"/>
    <cellStyle name="20% - Accent3 9 4 5 4" xfId="25525"/>
    <cellStyle name="20% - Accent3 9 4 6" xfId="7635"/>
    <cellStyle name="20% - Accent3 9 4 6 2" xfId="15426"/>
    <cellStyle name="20% - Accent3 9 4 6 2 2" xfId="33047"/>
    <cellStyle name="20% - Accent3 9 4 6 3" xfId="26054"/>
    <cellStyle name="20% - Accent3 9 4 7" xfId="11204"/>
    <cellStyle name="20% - Accent3 9 4 7 2" xfId="28918"/>
    <cellStyle name="20% - Accent3 9 4 8" xfId="23193"/>
    <cellStyle name="20% - Accent3 9 4 9" xfId="51732"/>
    <cellStyle name="20% - Accent3 9 5" xfId="419"/>
    <cellStyle name="20% - Accent3 9 5 2" xfId="3646"/>
    <cellStyle name="20% - Accent3 9 5 2 2" xfId="8260"/>
    <cellStyle name="20% - Accent3 9 5 2 2 2" xfId="16050"/>
    <cellStyle name="20% - Accent3 9 5 2 2 2 2" xfId="33671"/>
    <cellStyle name="20% - Accent3 9 5 2 2 3" xfId="26660"/>
    <cellStyle name="20% - Accent3 9 5 2 3" xfId="12372"/>
    <cellStyle name="20% - Accent3 9 5 2 3 2" xfId="30029"/>
    <cellStyle name="20% - Accent3 9 5 2 4" xfId="23799"/>
    <cellStyle name="20% - Accent3 9 5 3" xfId="5643"/>
    <cellStyle name="20% - Accent3 9 5 3 2" xfId="8940"/>
    <cellStyle name="20% - Accent3 9 5 3 2 2" xfId="16729"/>
    <cellStyle name="20% - Accent3 9 5 3 2 2 2" xfId="34351"/>
    <cellStyle name="20% - Accent3 9 5 3 2 3" xfId="27314"/>
    <cellStyle name="20% - Accent3 9 5 3 3" xfId="13493"/>
    <cellStyle name="20% - Accent3 9 5 3 3 2" xfId="31119"/>
    <cellStyle name="20% - Accent3 9 5 3 4" xfId="24453"/>
    <cellStyle name="20% - Accent3 9 5 4" xfId="6273"/>
    <cellStyle name="20% - Accent3 9 5 4 2" xfId="9480"/>
    <cellStyle name="20% - Accent3 9 5 4 2 2" xfId="17268"/>
    <cellStyle name="20% - Accent3 9 5 4 2 2 2" xfId="34891"/>
    <cellStyle name="20% - Accent3 9 5 4 2 3" xfId="27850"/>
    <cellStyle name="20% - Accent3 9 5 4 3" xfId="14056"/>
    <cellStyle name="20% - Accent3 9 5 4 3 2" xfId="31677"/>
    <cellStyle name="20% - Accent3 9 5 4 4" xfId="24989"/>
    <cellStyle name="20% - Accent3 9 5 5" xfId="6810"/>
    <cellStyle name="20% - Accent3 9 5 5 2" xfId="10017"/>
    <cellStyle name="20% - Accent3 9 5 5 2 2" xfId="17804"/>
    <cellStyle name="20% - Accent3 9 5 5 2 2 2" xfId="35427"/>
    <cellStyle name="20% - Accent3 9 5 5 2 3" xfId="28386"/>
    <cellStyle name="20% - Accent3 9 5 5 3" xfId="14592"/>
    <cellStyle name="20% - Accent3 9 5 5 3 2" xfId="32213"/>
    <cellStyle name="20% - Accent3 9 5 5 4" xfId="25526"/>
    <cellStyle name="20% - Accent3 9 5 6" xfId="7636"/>
    <cellStyle name="20% - Accent3 9 5 6 2" xfId="15427"/>
    <cellStyle name="20% - Accent3 9 5 6 2 2" xfId="33048"/>
    <cellStyle name="20% - Accent3 9 5 6 3" xfId="26055"/>
    <cellStyle name="20% - Accent3 9 5 7" xfId="11205"/>
    <cellStyle name="20% - Accent3 9 5 7 2" xfId="28919"/>
    <cellStyle name="20% - Accent3 9 5 8" xfId="23194"/>
    <cellStyle name="20% - Accent3 9 5 9" xfId="51733"/>
    <cellStyle name="20% - Accent3 9 6" xfId="420"/>
    <cellStyle name="20% - Accent3 9 6 2" xfId="3647"/>
    <cellStyle name="20% - Accent3 9 6 2 2" xfId="8261"/>
    <cellStyle name="20% - Accent3 9 6 2 2 2" xfId="16051"/>
    <cellStyle name="20% - Accent3 9 6 2 2 2 2" xfId="33672"/>
    <cellStyle name="20% - Accent3 9 6 2 2 3" xfId="26661"/>
    <cellStyle name="20% - Accent3 9 6 2 3" xfId="12373"/>
    <cellStyle name="20% - Accent3 9 6 2 3 2" xfId="30030"/>
    <cellStyle name="20% - Accent3 9 6 2 4" xfId="23800"/>
    <cellStyle name="20% - Accent3 9 6 3" xfId="5644"/>
    <cellStyle name="20% - Accent3 9 6 3 2" xfId="8941"/>
    <cellStyle name="20% - Accent3 9 6 3 2 2" xfId="16730"/>
    <cellStyle name="20% - Accent3 9 6 3 2 2 2" xfId="34352"/>
    <cellStyle name="20% - Accent3 9 6 3 2 3" xfId="27315"/>
    <cellStyle name="20% - Accent3 9 6 3 3" xfId="13494"/>
    <cellStyle name="20% - Accent3 9 6 3 3 2" xfId="31120"/>
    <cellStyle name="20% - Accent3 9 6 3 4" xfId="24454"/>
    <cellStyle name="20% - Accent3 9 6 4" xfId="6274"/>
    <cellStyle name="20% - Accent3 9 6 4 2" xfId="9481"/>
    <cellStyle name="20% - Accent3 9 6 4 2 2" xfId="17269"/>
    <cellStyle name="20% - Accent3 9 6 4 2 2 2" xfId="34892"/>
    <cellStyle name="20% - Accent3 9 6 4 2 3" xfId="27851"/>
    <cellStyle name="20% - Accent3 9 6 4 3" xfId="14057"/>
    <cellStyle name="20% - Accent3 9 6 4 3 2" xfId="31678"/>
    <cellStyle name="20% - Accent3 9 6 4 4" xfId="24990"/>
    <cellStyle name="20% - Accent3 9 6 5" xfId="6811"/>
    <cellStyle name="20% - Accent3 9 6 5 2" xfId="10018"/>
    <cellStyle name="20% - Accent3 9 6 5 2 2" xfId="17805"/>
    <cellStyle name="20% - Accent3 9 6 5 2 2 2" xfId="35428"/>
    <cellStyle name="20% - Accent3 9 6 5 2 3" xfId="28387"/>
    <cellStyle name="20% - Accent3 9 6 5 3" xfId="14593"/>
    <cellStyle name="20% - Accent3 9 6 5 3 2" xfId="32214"/>
    <cellStyle name="20% - Accent3 9 6 5 4" xfId="25527"/>
    <cellStyle name="20% - Accent3 9 6 6" xfId="7637"/>
    <cellStyle name="20% - Accent3 9 6 6 2" xfId="15428"/>
    <cellStyle name="20% - Accent3 9 6 6 2 2" xfId="33049"/>
    <cellStyle name="20% - Accent3 9 6 6 3" xfId="26056"/>
    <cellStyle name="20% - Accent3 9 6 7" xfId="11206"/>
    <cellStyle name="20% - Accent3 9 6 7 2" xfId="28920"/>
    <cellStyle name="20% - Accent3 9 6 8" xfId="23195"/>
    <cellStyle name="20% - Accent3 9 6 9" xfId="51734"/>
    <cellStyle name="20% - Accent3 9 7" xfId="421"/>
    <cellStyle name="20% - Accent3 9 7 10" xfId="51735"/>
    <cellStyle name="20% - Accent3 9 7 2" xfId="422"/>
    <cellStyle name="20% - Accent3 9 7 2 2" xfId="8263"/>
    <cellStyle name="20% - Accent3 9 7 2 2 2" xfId="16053"/>
    <cellStyle name="20% - Accent3 9 7 2 2 2 2" xfId="33674"/>
    <cellStyle name="20% - Accent3 9 7 2 2 3" xfId="26663"/>
    <cellStyle name="20% - Accent3 9 7 2 3" xfId="12375"/>
    <cellStyle name="20% - Accent3 9 7 2 3 2" xfId="30032"/>
    <cellStyle name="20% - Accent3 9 7 2 4" xfId="23802"/>
    <cellStyle name="20% - Accent3 9 7 3" xfId="3648"/>
    <cellStyle name="20% - Accent3 9 7 3 2" xfId="8262"/>
    <cellStyle name="20% - Accent3 9 7 3 2 2" xfId="16052"/>
    <cellStyle name="20% - Accent3 9 7 3 2 2 2" xfId="33673"/>
    <cellStyle name="20% - Accent3 9 7 3 2 3" xfId="26662"/>
    <cellStyle name="20% - Accent3 9 7 3 3" xfId="12374"/>
    <cellStyle name="20% - Accent3 9 7 3 3 2" xfId="30031"/>
    <cellStyle name="20% - Accent3 9 7 3 4" xfId="23801"/>
    <cellStyle name="20% - Accent3 9 7 4" xfId="5645"/>
    <cellStyle name="20% - Accent3 9 7 4 2" xfId="8942"/>
    <cellStyle name="20% - Accent3 9 7 4 2 2" xfId="16731"/>
    <cellStyle name="20% - Accent3 9 7 4 2 2 2" xfId="34353"/>
    <cellStyle name="20% - Accent3 9 7 4 2 3" xfId="27316"/>
    <cellStyle name="20% - Accent3 9 7 4 3" xfId="13495"/>
    <cellStyle name="20% - Accent3 9 7 4 3 2" xfId="31121"/>
    <cellStyle name="20% - Accent3 9 7 4 4" xfId="24455"/>
    <cellStyle name="20% - Accent3 9 7 5" xfId="6275"/>
    <cellStyle name="20% - Accent3 9 7 5 2" xfId="9482"/>
    <cellStyle name="20% - Accent3 9 7 5 2 2" xfId="17270"/>
    <cellStyle name="20% - Accent3 9 7 5 2 2 2" xfId="34893"/>
    <cellStyle name="20% - Accent3 9 7 5 2 3" xfId="27852"/>
    <cellStyle name="20% - Accent3 9 7 5 3" xfId="14058"/>
    <cellStyle name="20% - Accent3 9 7 5 3 2" xfId="31679"/>
    <cellStyle name="20% - Accent3 9 7 5 4" xfId="24991"/>
    <cellStyle name="20% - Accent3 9 7 6" xfId="6812"/>
    <cellStyle name="20% - Accent3 9 7 6 2" xfId="10019"/>
    <cellStyle name="20% - Accent3 9 7 6 2 2" xfId="17806"/>
    <cellStyle name="20% - Accent3 9 7 6 2 2 2" xfId="35429"/>
    <cellStyle name="20% - Accent3 9 7 6 2 3" xfId="28388"/>
    <cellStyle name="20% - Accent3 9 7 6 3" xfId="14594"/>
    <cellStyle name="20% - Accent3 9 7 6 3 2" xfId="32215"/>
    <cellStyle name="20% - Accent3 9 7 6 4" xfId="25528"/>
    <cellStyle name="20% - Accent3 9 7 7" xfId="7638"/>
    <cellStyle name="20% - Accent3 9 7 7 2" xfId="15429"/>
    <cellStyle name="20% - Accent3 9 7 7 2 2" xfId="33050"/>
    <cellStyle name="20% - Accent3 9 7 7 3" xfId="26057"/>
    <cellStyle name="20% - Accent3 9 7 8" xfId="11207"/>
    <cellStyle name="20% - Accent3 9 7 8 2" xfId="28921"/>
    <cellStyle name="20% - Accent3 9 7 9" xfId="23196"/>
    <cellStyle name="20% - Accent3 9 8" xfId="3649"/>
    <cellStyle name="20% - Accent3 9 8 2" xfId="8264"/>
    <cellStyle name="20% - Accent3 9 8 2 2" xfId="16054"/>
    <cellStyle name="20% - Accent3 9 8 2 2 2" xfId="33675"/>
    <cellStyle name="20% - Accent3 9 8 2 3" xfId="26664"/>
    <cellStyle name="20% - Accent3 9 8 3" xfId="12376"/>
    <cellStyle name="20% - Accent3 9 8 3 2" xfId="30033"/>
    <cellStyle name="20% - Accent3 9 8 4" xfId="23803"/>
    <cellStyle name="20% - Accent3 9 9" xfId="3650"/>
    <cellStyle name="20% - Accent3 9 9 2" xfId="8265"/>
    <cellStyle name="20% - Accent3 9 9 2 2" xfId="16055"/>
    <cellStyle name="20% - Accent3 9 9 2 2 2" xfId="33676"/>
    <cellStyle name="20% - Accent3 9 9 2 3" xfId="26665"/>
    <cellStyle name="20% - Accent3 9 9 3" xfId="12377"/>
    <cellStyle name="20% - Accent3 9 9 3 2" xfId="30034"/>
    <cellStyle name="20% - Accent3 9 9 4" xfId="23804"/>
    <cellStyle name="20% - Accent4 10" xfId="423"/>
    <cellStyle name="20% - Accent4 10 2" xfId="424"/>
    <cellStyle name="20% - Accent4 10 3" xfId="425"/>
    <cellStyle name="20% - Accent4 10 3 2" xfId="8266"/>
    <cellStyle name="20% - Accent4 10 3 2 2" xfId="16056"/>
    <cellStyle name="20% - Accent4 10 3 2 2 2" xfId="33677"/>
    <cellStyle name="20% - Accent4 10 3 2 3" xfId="26666"/>
    <cellStyle name="20% - Accent4 10 3 3" xfId="12378"/>
    <cellStyle name="20% - Accent4 10 3 3 2" xfId="30035"/>
    <cellStyle name="20% - Accent4 10 3 4" xfId="23805"/>
    <cellStyle name="20% - Accent4 10 3 5" xfId="51736"/>
    <cellStyle name="20% - Accent4 10 4" xfId="7639"/>
    <cellStyle name="20% - Accent4 10 4 2" xfId="15430"/>
    <cellStyle name="20% - Accent4 10 4 2 2" xfId="33051"/>
    <cellStyle name="20% - Accent4 10 4 3" xfId="26058"/>
    <cellStyle name="20% - Accent4 10 5" xfId="11208"/>
    <cellStyle name="20% - Accent4 10 5 2" xfId="28922"/>
    <cellStyle name="20% - Accent4 10 6" xfId="22051"/>
    <cellStyle name="20% - Accent4 10 6 2" xfId="38745"/>
    <cellStyle name="20% - Accent4 10 7" xfId="23197"/>
    <cellStyle name="20% - Accent4 11" xfId="426"/>
    <cellStyle name="20% - Accent4 11 10" xfId="3651"/>
    <cellStyle name="20% - Accent4 11 10 2" xfId="8267"/>
    <cellStyle name="20% - Accent4 11 10 2 2" xfId="16057"/>
    <cellStyle name="20% - Accent4 11 10 2 2 2" xfId="33678"/>
    <cellStyle name="20% - Accent4 11 10 2 3" xfId="26667"/>
    <cellStyle name="20% - Accent4 11 10 3" xfId="12379"/>
    <cellStyle name="20% - Accent4 11 10 3 2" xfId="30036"/>
    <cellStyle name="20% - Accent4 11 10 4" xfId="23806"/>
    <cellStyle name="20% - Accent4 11 11" xfId="5646"/>
    <cellStyle name="20% - Accent4 11 11 2" xfId="8943"/>
    <cellStyle name="20% - Accent4 11 11 2 2" xfId="16732"/>
    <cellStyle name="20% - Accent4 11 11 2 2 2" xfId="34354"/>
    <cellStyle name="20% - Accent4 11 11 2 3" xfId="27317"/>
    <cellStyle name="20% - Accent4 11 11 3" xfId="13496"/>
    <cellStyle name="20% - Accent4 11 11 3 2" xfId="31122"/>
    <cellStyle name="20% - Accent4 11 11 4" xfId="24456"/>
    <cellStyle name="20% - Accent4 11 12" xfId="6276"/>
    <cellStyle name="20% - Accent4 11 12 2" xfId="9483"/>
    <cellStyle name="20% - Accent4 11 12 2 2" xfId="17271"/>
    <cellStyle name="20% - Accent4 11 12 2 2 2" xfId="34894"/>
    <cellStyle name="20% - Accent4 11 12 2 3" xfId="27853"/>
    <cellStyle name="20% - Accent4 11 12 3" xfId="14059"/>
    <cellStyle name="20% - Accent4 11 12 3 2" xfId="31680"/>
    <cellStyle name="20% - Accent4 11 12 4" xfId="24992"/>
    <cellStyle name="20% - Accent4 11 13" xfId="6813"/>
    <cellStyle name="20% - Accent4 11 13 2" xfId="10020"/>
    <cellStyle name="20% - Accent4 11 13 2 2" xfId="17807"/>
    <cellStyle name="20% - Accent4 11 13 2 2 2" xfId="35430"/>
    <cellStyle name="20% - Accent4 11 13 2 3" xfId="28389"/>
    <cellStyle name="20% - Accent4 11 13 3" xfId="14595"/>
    <cellStyle name="20% - Accent4 11 13 3 2" xfId="32216"/>
    <cellStyle name="20% - Accent4 11 13 4" xfId="25529"/>
    <cellStyle name="20% - Accent4 11 14" xfId="7640"/>
    <cellStyle name="20% - Accent4 11 14 2" xfId="15431"/>
    <cellStyle name="20% - Accent4 11 14 2 2" xfId="33052"/>
    <cellStyle name="20% - Accent4 11 14 3" xfId="26059"/>
    <cellStyle name="20% - Accent4 11 15" xfId="11209"/>
    <cellStyle name="20% - Accent4 11 15 2" xfId="28923"/>
    <cellStyle name="20% - Accent4 11 16" xfId="22052"/>
    <cellStyle name="20% - Accent4 11 16 2" xfId="38746"/>
    <cellStyle name="20% - Accent4 11 17" xfId="23198"/>
    <cellStyle name="20% - Accent4 11 18" xfId="51737"/>
    <cellStyle name="20% - Accent4 11 2" xfId="427"/>
    <cellStyle name="20% - Accent4 11 2 2" xfId="3652"/>
    <cellStyle name="20% - Accent4 11 2 2 2" xfId="8268"/>
    <cellStyle name="20% - Accent4 11 2 2 2 2" xfId="16058"/>
    <cellStyle name="20% - Accent4 11 2 2 2 2 2" xfId="33679"/>
    <cellStyle name="20% - Accent4 11 2 2 2 3" xfId="26668"/>
    <cellStyle name="20% - Accent4 11 2 2 3" xfId="12380"/>
    <cellStyle name="20% - Accent4 11 2 2 3 2" xfId="30037"/>
    <cellStyle name="20% - Accent4 11 2 2 4" xfId="23807"/>
    <cellStyle name="20% - Accent4 11 2 3" xfId="5647"/>
    <cellStyle name="20% - Accent4 11 2 3 2" xfId="8944"/>
    <cellStyle name="20% - Accent4 11 2 3 2 2" xfId="16733"/>
    <cellStyle name="20% - Accent4 11 2 3 2 2 2" xfId="34355"/>
    <cellStyle name="20% - Accent4 11 2 3 2 3" xfId="27318"/>
    <cellStyle name="20% - Accent4 11 2 3 3" xfId="13497"/>
    <cellStyle name="20% - Accent4 11 2 3 3 2" xfId="31123"/>
    <cellStyle name="20% - Accent4 11 2 3 4" xfId="24457"/>
    <cellStyle name="20% - Accent4 11 2 4" xfId="6277"/>
    <cellStyle name="20% - Accent4 11 2 4 2" xfId="9484"/>
    <cellStyle name="20% - Accent4 11 2 4 2 2" xfId="17272"/>
    <cellStyle name="20% - Accent4 11 2 4 2 2 2" xfId="34895"/>
    <cellStyle name="20% - Accent4 11 2 4 2 3" xfId="27854"/>
    <cellStyle name="20% - Accent4 11 2 4 3" xfId="14060"/>
    <cellStyle name="20% - Accent4 11 2 4 3 2" xfId="31681"/>
    <cellStyle name="20% - Accent4 11 2 4 4" xfId="24993"/>
    <cellStyle name="20% - Accent4 11 2 5" xfId="6814"/>
    <cellStyle name="20% - Accent4 11 2 5 2" xfId="10021"/>
    <cellStyle name="20% - Accent4 11 2 5 2 2" xfId="17808"/>
    <cellStyle name="20% - Accent4 11 2 5 2 2 2" xfId="35431"/>
    <cellStyle name="20% - Accent4 11 2 5 2 3" xfId="28390"/>
    <cellStyle name="20% - Accent4 11 2 5 3" xfId="14596"/>
    <cellStyle name="20% - Accent4 11 2 5 3 2" xfId="32217"/>
    <cellStyle name="20% - Accent4 11 2 5 4" xfId="25530"/>
    <cellStyle name="20% - Accent4 11 2 6" xfId="7641"/>
    <cellStyle name="20% - Accent4 11 2 6 2" xfId="15432"/>
    <cellStyle name="20% - Accent4 11 2 6 2 2" xfId="33053"/>
    <cellStyle name="20% - Accent4 11 2 6 3" xfId="26060"/>
    <cellStyle name="20% - Accent4 11 2 7" xfId="11210"/>
    <cellStyle name="20% - Accent4 11 2 7 2" xfId="28924"/>
    <cellStyle name="20% - Accent4 11 2 8" xfId="23199"/>
    <cellStyle name="20% - Accent4 11 2 9" xfId="51738"/>
    <cellStyle name="20% - Accent4 11 3" xfId="428"/>
    <cellStyle name="20% - Accent4 11 3 10" xfId="23200"/>
    <cellStyle name="20% - Accent4 11 3 11" xfId="51739"/>
    <cellStyle name="20% - Accent4 11 3 2" xfId="429"/>
    <cellStyle name="20% - Accent4 11 3 2 2" xfId="3654"/>
    <cellStyle name="20% - Accent4 11 3 2 2 2" xfId="8270"/>
    <cellStyle name="20% - Accent4 11 3 2 2 2 2" xfId="16060"/>
    <cellStyle name="20% - Accent4 11 3 2 2 2 2 2" xfId="33681"/>
    <cellStyle name="20% - Accent4 11 3 2 2 2 3" xfId="26670"/>
    <cellStyle name="20% - Accent4 11 3 2 2 3" xfId="12382"/>
    <cellStyle name="20% - Accent4 11 3 2 2 3 2" xfId="30039"/>
    <cellStyle name="20% - Accent4 11 3 2 2 4" xfId="23809"/>
    <cellStyle name="20% - Accent4 11 3 2 3" xfId="5649"/>
    <cellStyle name="20% - Accent4 11 3 2 3 2" xfId="8946"/>
    <cellStyle name="20% - Accent4 11 3 2 3 2 2" xfId="16735"/>
    <cellStyle name="20% - Accent4 11 3 2 3 2 2 2" xfId="34357"/>
    <cellStyle name="20% - Accent4 11 3 2 3 2 3" xfId="27320"/>
    <cellStyle name="20% - Accent4 11 3 2 3 3" xfId="13499"/>
    <cellStyle name="20% - Accent4 11 3 2 3 3 2" xfId="31125"/>
    <cellStyle name="20% - Accent4 11 3 2 3 4" xfId="24459"/>
    <cellStyle name="20% - Accent4 11 3 2 4" xfId="6279"/>
    <cellStyle name="20% - Accent4 11 3 2 4 2" xfId="9486"/>
    <cellStyle name="20% - Accent4 11 3 2 4 2 2" xfId="17274"/>
    <cellStyle name="20% - Accent4 11 3 2 4 2 2 2" xfId="34897"/>
    <cellStyle name="20% - Accent4 11 3 2 4 2 3" xfId="27856"/>
    <cellStyle name="20% - Accent4 11 3 2 4 3" xfId="14062"/>
    <cellStyle name="20% - Accent4 11 3 2 4 3 2" xfId="31683"/>
    <cellStyle name="20% - Accent4 11 3 2 4 4" xfId="24995"/>
    <cellStyle name="20% - Accent4 11 3 2 5" xfId="6816"/>
    <cellStyle name="20% - Accent4 11 3 2 5 2" xfId="10023"/>
    <cellStyle name="20% - Accent4 11 3 2 5 2 2" xfId="17810"/>
    <cellStyle name="20% - Accent4 11 3 2 5 2 2 2" xfId="35433"/>
    <cellStyle name="20% - Accent4 11 3 2 5 2 3" xfId="28392"/>
    <cellStyle name="20% - Accent4 11 3 2 5 3" xfId="14598"/>
    <cellStyle name="20% - Accent4 11 3 2 5 3 2" xfId="32219"/>
    <cellStyle name="20% - Accent4 11 3 2 5 4" xfId="25532"/>
    <cellStyle name="20% - Accent4 11 3 2 6" xfId="7643"/>
    <cellStyle name="20% - Accent4 11 3 2 6 2" xfId="15434"/>
    <cellStyle name="20% - Accent4 11 3 2 6 2 2" xfId="33055"/>
    <cellStyle name="20% - Accent4 11 3 2 6 3" xfId="26062"/>
    <cellStyle name="20% - Accent4 11 3 2 7" xfId="11212"/>
    <cellStyle name="20% - Accent4 11 3 2 7 2" xfId="28926"/>
    <cellStyle name="20% - Accent4 11 3 2 8" xfId="23201"/>
    <cellStyle name="20% - Accent4 11 3 2 9" xfId="51740"/>
    <cellStyle name="20% - Accent4 11 3 3" xfId="3655"/>
    <cellStyle name="20% - Accent4 11 3 3 2" xfId="5650"/>
    <cellStyle name="20% - Accent4 11 3 3 2 2" xfId="8947"/>
    <cellStyle name="20% - Accent4 11 3 3 2 2 2" xfId="16736"/>
    <cellStyle name="20% - Accent4 11 3 3 2 2 2 2" xfId="34358"/>
    <cellStyle name="20% - Accent4 11 3 3 2 2 3" xfId="27321"/>
    <cellStyle name="20% - Accent4 11 3 3 2 3" xfId="13500"/>
    <cellStyle name="20% - Accent4 11 3 3 2 3 2" xfId="31126"/>
    <cellStyle name="20% - Accent4 11 3 3 2 4" xfId="24460"/>
    <cellStyle name="20% - Accent4 11 3 3 3" xfId="6280"/>
    <cellStyle name="20% - Accent4 11 3 3 3 2" xfId="9487"/>
    <cellStyle name="20% - Accent4 11 3 3 3 2 2" xfId="17275"/>
    <cellStyle name="20% - Accent4 11 3 3 3 2 2 2" xfId="34898"/>
    <cellStyle name="20% - Accent4 11 3 3 3 2 3" xfId="27857"/>
    <cellStyle name="20% - Accent4 11 3 3 3 3" xfId="14063"/>
    <cellStyle name="20% - Accent4 11 3 3 3 3 2" xfId="31684"/>
    <cellStyle name="20% - Accent4 11 3 3 3 4" xfId="24996"/>
    <cellStyle name="20% - Accent4 11 3 3 4" xfId="6817"/>
    <cellStyle name="20% - Accent4 11 3 3 4 2" xfId="10024"/>
    <cellStyle name="20% - Accent4 11 3 3 4 2 2" xfId="17811"/>
    <cellStyle name="20% - Accent4 11 3 3 4 2 2 2" xfId="35434"/>
    <cellStyle name="20% - Accent4 11 3 3 4 2 3" xfId="28393"/>
    <cellStyle name="20% - Accent4 11 3 3 4 3" xfId="14599"/>
    <cellStyle name="20% - Accent4 11 3 3 4 3 2" xfId="32220"/>
    <cellStyle name="20% - Accent4 11 3 3 4 4" xfId="25533"/>
    <cellStyle name="20% - Accent4 11 3 3 5" xfId="8271"/>
    <cellStyle name="20% - Accent4 11 3 3 5 2" xfId="16061"/>
    <cellStyle name="20% - Accent4 11 3 3 5 2 2" xfId="33682"/>
    <cellStyle name="20% - Accent4 11 3 3 5 3" xfId="26671"/>
    <cellStyle name="20% - Accent4 11 3 3 6" xfId="12383"/>
    <cellStyle name="20% - Accent4 11 3 3 6 2" xfId="30040"/>
    <cellStyle name="20% - Accent4 11 3 3 7" xfId="23810"/>
    <cellStyle name="20% - Accent4 11 3 4" xfId="3653"/>
    <cellStyle name="20% - Accent4 11 3 4 2" xfId="8269"/>
    <cellStyle name="20% - Accent4 11 3 4 2 2" xfId="16059"/>
    <cellStyle name="20% - Accent4 11 3 4 2 2 2" xfId="33680"/>
    <cellStyle name="20% - Accent4 11 3 4 2 3" xfId="26669"/>
    <cellStyle name="20% - Accent4 11 3 4 3" xfId="12381"/>
    <cellStyle name="20% - Accent4 11 3 4 3 2" xfId="30038"/>
    <cellStyle name="20% - Accent4 11 3 4 4" xfId="23808"/>
    <cellStyle name="20% - Accent4 11 3 5" xfId="5648"/>
    <cellStyle name="20% - Accent4 11 3 5 2" xfId="8945"/>
    <cellStyle name="20% - Accent4 11 3 5 2 2" xfId="16734"/>
    <cellStyle name="20% - Accent4 11 3 5 2 2 2" xfId="34356"/>
    <cellStyle name="20% - Accent4 11 3 5 2 3" xfId="27319"/>
    <cellStyle name="20% - Accent4 11 3 5 3" xfId="13498"/>
    <cellStyle name="20% - Accent4 11 3 5 3 2" xfId="31124"/>
    <cellStyle name="20% - Accent4 11 3 5 4" xfId="24458"/>
    <cellStyle name="20% - Accent4 11 3 6" xfId="6278"/>
    <cellStyle name="20% - Accent4 11 3 6 2" xfId="9485"/>
    <cellStyle name="20% - Accent4 11 3 6 2 2" xfId="17273"/>
    <cellStyle name="20% - Accent4 11 3 6 2 2 2" xfId="34896"/>
    <cellStyle name="20% - Accent4 11 3 6 2 3" xfId="27855"/>
    <cellStyle name="20% - Accent4 11 3 6 3" xfId="14061"/>
    <cellStyle name="20% - Accent4 11 3 6 3 2" xfId="31682"/>
    <cellStyle name="20% - Accent4 11 3 6 4" xfId="24994"/>
    <cellStyle name="20% - Accent4 11 3 7" xfId="6815"/>
    <cellStyle name="20% - Accent4 11 3 7 2" xfId="10022"/>
    <cellStyle name="20% - Accent4 11 3 7 2 2" xfId="17809"/>
    <cellStyle name="20% - Accent4 11 3 7 2 2 2" xfId="35432"/>
    <cellStyle name="20% - Accent4 11 3 7 2 3" xfId="28391"/>
    <cellStyle name="20% - Accent4 11 3 7 3" xfId="14597"/>
    <cellStyle name="20% - Accent4 11 3 7 3 2" xfId="32218"/>
    <cellStyle name="20% - Accent4 11 3 7 4" xfId="25531"/>
    <cellStyle name="20% - Accent4 11 3 8" xfId="7642"/>
    <cellStyle name="20% - Accent4 11 3 8 2" xfId="15433"/>
    <cellStyle name="20% - Accent4 11 3 8 2 2" xfId="33054"/>
    <cellStyle name="20% - Accent4 11 3 8 3" xfId="26061"/>
    <cellStyle name="20% - Accent4 11 3 9" xfId="11211"/>
    <cellStyle name="20% - Accent4 11 3 9 2" xfId="28925"/>
    <cellStyle name="20% - Accent4 11 4" xfId="430"/>
    <cellStyle name="20% - Accent4 11 4 2" xfId="3656"/>
    <cellStyle name="20% - Accent4 11 4 2 2" xfId="8272"/>
    <cellStyle name="20% - Accent4 11 4 2 2 2" xfId="16062"/>
    <cellStyle name="20% - Accent4 11 4 2 2 2 2" xfId="33683"/>
    <cellStyle name="20% - Accent4 11 4 2 2 3" xfId="26672"/>
    <cellStyle name="20% - Accent4 11 4 2 3" xfId="12384"/>
    <cellStyle name="20% - Accent4 11 4 2 3 2" xfId="30041"/>
    <cellStyle name="20% - Accent4 11 4 2 4" xfId="23811"/>
    <cellStyle name="20% - Accent4 11 4 3" xfId="5651"/>
    <cellStyle name="20% - Accent4 11 4 3 2" xfId="8948"/>
    <cellStyle name="20% - Accent4 11 4 3 2 2" xfId="16737"/>
    <cellStyle name="20% - Accent4 11 4 3 2 2 2" xfId="34359"/>
    <cellStyle name="20% - Accent4 11 4 3 2 3" xfId="27322"/>
    <cellStyle name="20% - Accent4 11 4 3 3" xfId="13501"/>
    <cellStyle name="20% - Accent4 11 4 3 3 2" xfId="31127"/>
    <cellStyle name="20% - Accent4 11 4 3 4" xfId="24461"/>
    <cellStyle name="20% - Accent4 11 4 4" xfId="6281"/>
    <cellStyle name="20% - Accent4 11 4 4 2" xfId="9488"/>
    <cellStyle name="20% - Accent4 11 4 4 2 2" xfId="17276"/>
    <cellStyle name="20% - Accent4 11 4 4 2 2 2" xfId="34899"/>
    <cellStyle name="20% - Accent4 11 4 4 2 3" xfId="27858"/>
    <cellStyle name="20% - Accent4 11 4 4 3" xfId="14064"/>
    <cellStyle name="20% - Accent4 11 4 4 3 2" xfId="31685"/>
    <cellStyle name="20% - Accent4 11 4 4 4" xfId="24997"/>
    <cellStyle name="20% - Accent4 11 4 5" xfId="6818"/>
    <cellStyle name="20% - Accent4 11 4 5 2" xfId="10025"/>
    <cellStyle name="20% - Accent4 11 4 5 2 2" xfId="17812"/>
    <cellStyle name="20% - Accent4 11 4 5 2 2 2" xfId="35435"/>
    <cellStyle name="20% - Accent4 11 4 5 2 3" xfId="28394"/>
    <cellStyle name="20% - Accent4 11 4 5 3" xfId="14600"/>
    <cellStyle name="20% - Accent4 11 4 5 3 2" xfId="32221"/>
    <cellStyle name="20% - Accent4 11 4 5 4" xfId="25534"/>
    <cellStyle name="20% - Accent4 11 4 6" xfId="7644"/>
    <cellStyle name="20% - Accent4 11 4 6 2" xfId="15435"/>
    <cellStyle name="20% - Accent4 11 4 6 2 2" xfId="33056"/>
    <cellStyle name="20% - Accent4 11 4 6 3" xfId="26063"/>
    <cellStyle name="20% - Accent4 11 4 7" xfId="11213"/>
    <cellStyle name="20% - Accent4 11 4 7 2" xfId="28927"/>
    <cellStyle name="20% - Accent4 11 4 8" xfId="23202"/>
    <cellStyle name="20% - Accent4 11 4 9" xfId="51741"/>
    <cellStyle name="20% - Accent4 11 5" xfId="431"/>
    <cellStyle name="20% - Accent4 11 5 2" xfId="3657"/>
    <cellStyle name="20% - Accent4 11 5 2 2" xfId="8273"/>
    <cellStyle name="20% - Accent4 11 5 2 2 2" xfId="16063"/>
    <cellStyle name="20% - Accent4 11 5 2 2 2 2" xfId="33684"/>
    <cellStyle name="20% - Accent4 11 5 2 2 3" xfId="26673"/>
    <cellStyle name="20% - Accent4 11 5 2 3" xfId="12385"/>
    <cellStyle name="20% - Accent4 11 5 2 3 2" xfId="30042"/>
    <cellStyle name="20% - Accent4 11 5 2 4" xfId="23812"/>
    <cellStyle name="20% - Accent4 11 5 3" xfId="5652"/>
    <cellStyle name="20% - Accent4 11 5 3 2" xfId="8949"/>
    <cellStyle name="20% - Accent4 11 5 3 2 2" xfId="16738"/>
    <cellStyle name="20% - Accent4 11 5 3 2 2 2" xfId="34360"/>
    <cellStyle name="20% - Accent4 11 5 3 2 3" xfId="27323"/>
    <cellStyle name="20% - Accent4 11 5 3 3" xfId="13502"/>
    <cellStyle name="20% - Accent4 11 5 3 3 2" xfId="31128"/>
    <cellStyle name="20% - Accent4 11 5 3 4" xfId="24462"/>
    <cellStyle name="20% - Accent4 11 5 4" xfId="6282"/>
    <cellStyle name="20% - Accent4 11 5 4 2" xfId="9489"/>
    <cellStyle name="20% - Accent4 11 5 4 2 2" xfId="17277"/>
    <cellStyle name="20% - Accent4 11 5 4 2 2 2" xfId="34900"/>
    <cellStyle name="20% - Accent4 11 5 4 2 3" xfId="27859"/>
    <cellStyle name="20% - Accent4 11 5 4 3" xfId="14065"/>
    <cellStyle name="20% - Accent4 11 5 4 3 2" xfId="31686"/>
    <cellStyle name="20% - Accent4 11 5 4 4" xfId="24998"/>
    <cellStyle name="20% - Accent4 11 5 5" xfId="6819"/>
    <cellStyle name="20% - Accent4 11 5 5 2" xfId="10026"/>
    <cellStyle name="20% - Accent4 11 5 5 2 2" xfId="17813"/>
    <cellStyle name="20% - Accent4 11 5 5 2 2 2" xfId="35436"/>
    <cellStyle name="20% - Accent4 11 5 5 2 3" xfId="28395"/>
    <cellStyle name="20% - Accent4 11 5 5 3" xfId="14601"/>
    <cellStyle name="20% - Accent4 11 5 5 3 2" xfId="32222"/>
    <cellStyle name="20% - Accent4 11 5 5 4" xfId="25535"/>
    <cellStyle name="20% - Accent4 11 5 6" xfId="7645"/>
    <cellStyle name="20% - Accent4 11 5 6 2" xfId="15436"/>
    <cellStyle name="20% - Accent4 11 5 6 2 2" xfId="33057"/>
    <cellStyle name="20% - Accent4 11 5 6 3" xfId="26064"/>
    <cellStyle name="20% - Accent4 11 5 7" xfId="11214"/>
    <cellStyle name="20% - Accent4 11 5 7 2" xfId="28928"/>
    <cellStyle name="20% - Accent4 11 5 8" xfId="23203"/>
    <cellStyle name="20% - Accent4 11 5 9" xfId="51742"/>
    <cellStyle name="20% - Accent4 11 6" xfId="432"/>
    <cellStyle name="20% - Accent4 11 6 2" xfId="3658"/>
    <cellStyle name="20% - Accent4 11 6 2 2" xfId="8274"/>
    <cellStyle name="20% - Accent4 11 6 2 2 2" xfId="16064"/>
    <cellStyle name="20% - Accent4 11 6 2 2 2 2" xfId="33685"/>
    <cellStyle name="20% - Accent4 11 6 2 2 3" xfId="26674"/>
    <cellStyle name="20% - Accent4 11 6 2 3" xfId="12386"/>
    <cellStyle name="20% - Accent4 11 6 2 3 2" xfId="30043"/>
    <cellStyle name="20% - Accent4 11 6 2 4" xfId="23813"/>
    <cellStyle name="20% - Accent4 11 6 3" xfId="5653"/>
    <cellStyle name="20% - Accent4 11 6 3 2" xfId="8950"/>
    <cellStyle name="20% - Accent4 11 6 3 2 2" xfId="16739"/>
    <cellStyle name="20% - Accent4 11 6 3 2 2 2" xfId="34361"/>
    <cellStyle name="20% - Accent4 11 6 3 2 3" xfId="27324"/>
    <cellStyle name="20% - Accent4 11 6 3 3" xfId="13503"/>
    <cellStyle name="20% - Accent4 11 6 3 3 2" xfId="31129"/>
    <cellStyle name="20% - Accent4 11 6 3 4" xfId="24463"/>
    <cellStyle name="20% - Accent4 11 6 4" xfId="6283"/>
    <cellStyle name="20% - Accent4 11 6 4 2" xfId="9490"/>
    <cellStyle name="20% - Accent4 11 6 4 2 2" xfId="17278"/>
    <cellStyle name="20% - Accent4 11 6 4 2 2 2" xfId="34901"/>
    <cellStyle name="20% - Accent4 11 6 4 2 3" xfId="27860"/>
    <cellStyle name="20% - Accent4 11 6 4 3" xfId="14066"/>
    <cellStyle name="20% - Accent4 11 6 4 3 2" xfId="31687"/>
    <cellStyle name="20% - Accent4 11 6 4 4" xfId="24999"/>
    <cellStyle name="20% - Accent4 11 6 5" xfId="6820"/>
    <cellStyle name="20% - Accent4 11 6 5 2" xfId="10027"/>
    <cellStyle name="20% - Accent4 11 6 5 2 2" xfId="17814"/>
    <cellStyle name="20% - Accent4 11 6 5 2 2 2" xfId="35437"/>
    <cellStyle name="20% - Accent4 11 6 5 2 3" xfId="28396"/>
    <cellStyle name="20% - Accent4 11 6 5 3" xfId="14602"/>
    <cellStyle name="20% - Accent4 11 6 5 3 2" xfId="32223"/>
    <cellStyle name="20% - Accent4 11 6 5 4" xfId="25536"/>
    <cellStyle name="20% - Accent4 11 6 6" xfId="7646"/>
    <cellStyle name="20% - Accent4 11 6 6 2" xfId="15437"/>
    <cellStyle name="20% - Accent4 11 6 6 2 2" xfId="33058"/>
    <cellStyle name="20% - Accent4 11 6 6 3" xfId="26065"/>
    <cellStyle name="20% - Accent4 11 6 7" xfId="11215"/>
    <cellStyle name="20% - Accent4 11 6 7 2" xfId="28929"/>
    <cellStyle name="20% - Accent4 11 6 8" xfId="23204"/>
    <cellStyle name="20% - Accent4 11 6 9" xfId="51743"/>
    <cellStyle name="20% - Accent4 11 7" xfId="433"/>
    <cellStyle name="20% - Accent4 11 7 10" xfId="51744"/>
    <cellStyle name="20% - Accent4 11 7 2" xfId="434"/>
    <cellStyle name="20% - Accent4 11 7 2 2" xfId="8276"/>
    <cellStyle name="20% - Accent4 11 7 2 2 2" xfId="16066"/>
    <cellStyle name="20% - Accent4 11 7 2 2 2 2" xfId="33687"/>
    <cellStyle name="20% - Accent4 11 7 2 2 3" xfId="26676"/>
    <cellStyle name="20% - Accent4 11 7 2 3" xfId="12388"/>
    <cellStyle name="20% - Accent4 11 7 2 3 2" xfId="30045"/>
    <cellStyle name="20% - Accent4 11 7 2 4" xfId="23815"/>
    <cellStyle name="20% - Accent4 11 7 3" xfId="3659"/>
    <cellStyle name="20% - Accent4 11 7 3 2" xfId="8275"/>
    <cellStyle name="20% - Accent4 11 7 3 2 2" xfId="16065"/>
    <cellStyle name="20% - Accent4 11 7 3 2 2 2" xfId="33686"/>
    <cellStyle name="20% - Accent4 11 7 3 2 3" xfId="26675"/>
    <cellStyle name="20% - Accent4 11 7 3 3" xfId="12387"/>
    <cellStyle name="20% - Accent4 11 7 3 3 2" xfId="30044"/>
    <cellStyle name="20% - Accent4 11 7 3 4" xfId="23814"/>
    <cellStyle name="20% - Accent4 11 7 4" xfId="5654"/>
    <cellStyle name="20% - Accent4 11 7 4 2" xfId="8951"/>
    <cellStyle name="20% - Accent4 11 7 4 2 2" xfId="16740"/>
    <cellStyle name="20% - Accent4 11 7 4 2 2 2" xfId="34362"/>
    <cellStyle name="20% - Accent4 11 7 4 2 3" xfId="27325"/>
    <cellStyle name="20% - Accent4 11 7 4 3" xfId="13504"/>
    <cellStyle name="20% - Accent4 11 7 4 3 2" xfId="31130"/>
    <cellStyle name="20% - Accent4 11 7 4 4" xfId="24464"/>
    <cellStyle name="20% - Accent4 11 7 5" xfId="6284"/>
    <cellStyle name="20% - Accent4 11 7 5 2" xfId="9491"/>
    <cellStyle name="20% - Accent4 11 7 5 2 2" xfId="17279"/>
    <cellStyle name="20% - Accent4 11 7 5 2 2 2" xfId="34902"/>
    <cellStyle name="20% - Accent4 11 7 5 2 3" xfId="27861"/>
    <cellStyle name="20% - Accent4 11 7 5 3" xfId="14067"/>
    <cellStyle name="20% - Accent4 11 7 5 3 2" xfId="31688"/>
    <cellStyle name="20% - Accent4 11 7 5 4" xfId="25000"/>
    <cellStyle name="20% - Accent4 11 7 6" xfId="6821"/>
    <cellStyle name="20% - Accent4 11 7 6 2" xfId="10028"/>
    <cellStyle name="20% - Accent4 11 7 6 2 2" xfId="17815"/>
    <cellStyle name="20% - Accent4 11 7 6 2 2 2" xfId="35438"/>
    <cellStyle name="20% - Accent4 11 7 6 2 3" xfId="28397"/>
    <cellStyle name="20% - Accent4 11 7 6 3" xfId="14603"/>
    <cellStyle name="20% - Accent4 11 7 6 3 2" xfId="32224"/>
    <cellStyle name="20% - Accent4 11 7 6 4" xfId="25537"/>
    <cellStyle name="20% - Accent4 11 7 7" xfId="7647"/>
    <cellStyle name="20% - Accent4 11 7 7 2" xfId="15438"/>
    <cellStyle name="20% - Accent4 11 7 7 2 2" xfId="33059"/>
    <cellStyle name="20% - Accent4 11 7 7 3" xfId="26066"/>
    <cellStyle name="20% - Accent4 11 7 8" xfId="11216"/>
    <cellStyle name="20% - Accent4 11 7 8 2" xfId="28930"/>
    <cellStyle name="20% - Accent4 11 7 9" xfId="23205"/>
    <cellStyle name="20% - Accent4 11 8" xfId="3660"/>
    <cellStyle name="20% - Accent4 11 8 2" xfId="8277"/>
    <cellStyle name="20% - Accent4 11 8 2 2" xfId="16067"/>
    <cellStyle name="20% - Accent4 11 8 2 2 2" xfId="33688"/>
    <cellStyle name="20% - Accent4 11 8 2 3" xfId="26677"/>
    <cellStyle name="20% - Accent4 11 8 3" xfId="12389"/>
    <cellStyle name="20% - Accent4 11 8 3 2" xfId="30046"/>
    <cellStyle name="20% - Accent4 11 8 4" xfId="23816"/>
    <cellStyle name="20% - Accent4 11 9" xfId="3661"/>
    <cellStyle name="20% - Accent4 11 9 2" xfId="8278"/>
    <cellStyle name="20% - Accent4 11 9 2 2" xfId="16068"/>
    <cellStyle name="20% - Accent4 11 9 2 2 2" xfId="33689"/>
    <cellStyle name="20% - Accent4 11 9 2 3" xfId="26678"/>
    <cellStyle name="20% - Accent4 11 9 3" xfId="12390"/>
    <cellStyle name="20% - Accent4 11 9 3 2" xfId="30047"/>
    <cellStyle name="20% - Accent4 11 9 4" xfId="23817"/>
    <cellStyle name="20% - Accent4 12" xfId="435"/>
    <cellStyle name="20% - Accent4 12 2" xfId="3662"/>
    <cellStyle name="20% - Accent4 12 2 2" xfId="8279"/>
    <cellStyle name="20% - Accent4 12 2 2 2" xfId="16069"/>
    <cellStyle name="20% - Accent4 12 2 2 2 2" xfId="33690"/>
    <cellStyle name="20% - Accent4 12 2 2 3" xfId="26679"/>
    <cellStyle name="20% - Accent4 12 2 3" xfId="12391"/>
    <cellStyle name="20% - Accent4 12 2 3 2" xfId="30048"/>
    <cellStyle name="20% - Accent4 12 2 4" xfId="22054"/>
    <cellStyle name="20% - Accent4 12 2 4 2" xfId="38748"/>
    <cellStyle name="20% - Accent4 12 2 5" xfId="23818"/>
    <cellStyle name="20% - Accent4 12 3" xfId="7648"/>
    <cellStyle name="20% - Accent4 12 3 2" xfId="15439"/>
    <cellStyle name="20% - Accent4 12 3 2 2" xfId="33060"/>
    <cellStyle name="20% - Accent4 12 3 3" xfId="26067"/>
    <cellStyle name="20% - Accent4 12 4" xfId="11217"/>
    <cellStyle name="20% - Accent4 12 4 2" xfId="28931"/>
    <cellStyle name="20% - Accent4 12 5" xfId="22053"/>
    <cellStyle name="20% - Accent4 12 5 2" xfId="38747"/>
    <cellStyle name="20% - Accent4 12 6" xfId="23206"/>
    <cellStyle name="20% - Accent4 12 7" xfId="51745"/>
    <cellStyle name="20% - Accent4 13" xfId="18862"/>
    <cellStyle name="20% - Accent4 13 2" xfId="22055"/>
    <cellStyle name="20% - Accent4 13 2 2" xfId="38749"/>
    <cellStyle name="20% - Accent4 13 3" xfId="36485"/>
    <cellStyle name="20% - Accent4 14" xfId="15290"/>
    <cellStyle name="20% - Accent4 14 2" xfId="22056"/>
    <cellStyle name="20% - Accent4 14 3" xfId="32911"/>
    <cellStyle name="20% - Accent4 15" xfId="22673"/>
    <cellStyle name="20% - Accent4 15 2" xfId="38879"/>
    <cellStyle name="20% - Accent4 16" xfId="22050"/>
    <cellStyle name="20% - Accent4 17" xfId="23060"/>
    <cellStyle name="20% - Accent4 18" xfId="51458"/>
    <cellStyle name="20% - Accent4 19" xfId="51471"/>
    <cellStyle name="20% - Accent4 2" xfId="10"/>
    <cellStyle name="20% - Accent4 2 10" xfId="437"/>
    <cellStyle name="20% - Accent4 2 11" xfId="438"/>
    <cellStyle name="20% - Accent4 2 12" xfId="439"/>
    <cellStyle name="20% - Accent4 2 13" xfId="440"/>
    <cellStyle name="20% - Accent4 2 14" xfId="441"/>
    <cellStyle name="20% - Accent4 2 15" xfId="3663"/>
    <cellStyle name="20% - Accent4 2 16" xfId="3664"/>
    <cellStyle name="20% - Accent4 2 17" xfId="3665"/>
    <cellStyle name="20% - Accent4 2 18" xfId="436"/>
    <cellStyle name="20% - Accent4 2 2" xfId="442"/>
    <cellStyle name="20% - Accent4 2 2 2" xfId="443"/>
    <cellStyle name="20% - Accent4 2 2 3" xfId="444"/>
    <cellStyle name="20% - Accent4 2 2 4" xfId="3666"/>
    <cellStyle name="20% - Accent4 2 2 5" xfId="3667"/>
    <cellStyle name="20% - Accent4 2 2_Sheet1" xfId="445"/>
    <cellStyle name="20% - Accent4 2 3" xfId="446"/>
    <cellStyle name="20% - Accent4 2 4" xfId="447"/>
    <cellStyle name="20% - Accent4 2 5" xfId="448"/>
    <cellStyle name="20% - Accent4 2 6" xfId="449"/>
    <cellStyle name="20% - Accent4 2 7" xfId="450"/>
    <cellStyle name="20% - Accent4 2 8" xfId="451"/>
    <cellStyle name="20% - Accent4 2 9" xfId="452"/>
    <cellStyle name="20% - Accent4 2_BallGrid" xfId="453"/>
    <cellStyle name="20% - Accent4 20" xfId="51484"/>
    <cellStyle name="20% - Accent4 3" xfId="11"/>
    <cellStyle name="20% - Accent4 3 10" xfId="454"/>
    <cellStyle name="20% - Accent4 3 2" xfId="455"/>
    <cellStyle name="20% - Accent4 3 3" xfId="456"/>
    <cellStyle name="20% - Accent4 3 4" xfId="457"/>
    <cellStyle name="20% - Accent4 3 5" xfId="458"/>
    <cellStyle name="20% - Accent4 3 6" xfId="459"/>
    <cellStyle name="20% - Accent4 3 7" xfId="3668"/>
    <cellStyle name="20% - Accent4 3 8" xfId="3669"/>
    <cellStyle name="20% - Accent4 3 9" xfId="3670"/>
    <cellStyle name="20% - Accent4 3_BallGrid" xfId="460"/>
    <cellStyle name="20% - Accent4 4" xfId="12"/>
    <cellStyle name="20% - Accent4 4 2" xfId="462"/>
    <cellStyle name="20% - Accent4 4 2 2" xfId="22825"/>
    <cellStyle name="20% - Accent4 4 3" xfId="463"/>
    <cellStyle name="20% - Accent4 4 3 2" xfId="22057"/>
    <cellStyle name="20% - Accent4 4 4" xfId="464"/>
    <cellStyle name="20% - Accent4 4 5" xfId="465"/>
    <cellStyle name="20% - Accent4 4 6" xfId="3671"/>
    <cellStyle name="20% - Accent4 4 7" xfId="3672"/>
    <cellStyle name="20% - Accent4 4 8" xfId="3673"/>
    <cellStyle name="20% - Accent4 4 9" xfId="461"/>
    <cellStyle name="20% - Accent4 5" xfId="466"/>
    <cellStyle name="20% - Accent4 5 10" xfId="3675"/>
    <cellStyle name="20% - Accent4 5 10 2" xfId="8281"/>
    <cellStyle name="20% - Accent4 5 10 2 2" xfId="16071"/>
    <cellStyle name="20% - Accent4 5 10 2 2 2" xfId="33692"/>
    <cellStyle name="20% - Accent4 5 10 2 3" xfId="26681"/>
    <cellStyle name="20% - Accent4 5 10 3" xfId="12395"/>
    <cellStyle name="20% - Accent4 5 10 3 2" xfId="30052"/>
    <cellStyle name="20% - Accent4 5 10 4" xfId="23820"/>
    <cellStyle name="20% - Accent4 5 11" xfId="3674"/>
    <cellStyle name="20% - Accent4 5 11 2" xfId="8280"/>
    <cellStyle name="20% - Accent4 5 11 2 2" xfId="16070"/>
    <cellStyle name="20% - Accent4 5 11 2 2 2" xfId="33691"/>
    <cellStyle name="20% - Accent4 5 11 2 3" xfId="26680"/>
    <cellStyle name="20% - Accent4 5 11 3" xfId="12394"/>
    <cellStyle name="20% - Accent4 5 11 3 2" xfId="30051"/>
    <cellStyle name="20% - Accent4 5 11 4" xfId="23819"/>
    <cellStyle name="20% - Accent4 5 12" xfId="5655"/>
    <cellStyle name="20% - Accent4 5 12 2" xfId="8952"/>
    <cellStyle name="20% - Accent4 5 12 2 2" xfId="16741"/>
    <cellStyle name="20% - Accent4 5 12 2 2 2" xfId="34363"/>
    <cellStyle name="20% - Accent4 5 12 2 3" xfId="27326"/>
    <cellStyle name="20% - Accent4 5 12 3" xfId="13505"/>
    <cellStyle name="20% - Accent4 5 12 3 2" xfId="31131"/>
    <cellStyle name="20% - Accent4 5 12 4" xfId="24465"/>
    <cellStyle name="20% - Accent4 5 13" xfId="6285"/>
    <cellStyle name="20% - Accent4 5 13 2" xfId="9492"/>
    <cellStyle name="20% - Accent4 5 13 2 2" xfId="17280"/>
    <cellStyle name="20% - Accent4 5 13 2 2 2" xfId="34903"/>
    <cellStyle name="20% - Accent4 5 13 2 3" xfId="27862"/>
    <cellStyle name="20% - Accent4 5 13 3" xfId="14068"/>
    <cellStyle name="20% - Accent4 5 13 3 2" xfId="31689"/>
    <cellStyle name="20% - Accent4 5 13 4" xfId="25001"/>
    <cellStyle name="20% - Accent4 5 14" xfId="6822"/>
    <cellStyle name="20% - Accent4 5 14 2" xfId="10029"/>
    <cellStyle name="20% - Accent4 5 14 2 2" xfId="17816"/>
    <cellStyle name="20% - Accent4 5 14 2 2 2" xfId="35439"/>
    <cellStyle name="20% - Accent4 5 14 2 3" xfId="28398"/>
    <cellStyle name="20% - Accent4 5 14 3" xfId="14604"/>
    <cellStyle name="20% - Accent4 5 14 3 2" xfId="32225"/>
    <cellStyle name="20% - Accent4 5 14 4" xfId="25538"/>
    <cellStyle name="20% - Accent4 5 15" xfId="7649"/>
    <cellStyle name="20% - Accent4 5 15 2" xfId="15440"/>
    <cellStyle name="20% - Accent4 5 15 2 2" xfId="33061"/>
    <cellStyle name="20% - Accent4 5 15 3" xfId="26068"/>
    <cellStyle name="20% - Accent4 5 16" xfId="11220"/>
    <cellStyle name="20% - Accent4 5 16 2" xfId="28934"/>
    <cellStyle name="20% - Accent4 5 17" xfId="21929"/>
    <cellStyle name="20% - Accent4 5 17 2" xfId="38668"/>
    <cellStyle name="20% - Accent4 5 18" xfId="23207"/>
    <cellStyle name="20% - Accent4 5 19" xfId="51746"/>
    <cellStyle name="20% - Accent4 5 2" xfId="467"/>
    <cellStyle name="20% - Accent4 5 2 10" xfId="51747"/>
    <cellStyle name="20% - Accent4 5 2 2" xfId="3676"/>
    <cellStyle name="20% - Accent4 5 2 2 2" xfId="8282"/>
    <cellStyle name="20% - Accent4 5 2 2 2 2" xfId="16072"/>
    <cellStyle name="20% - Accent4 5 2 2 2 2 2" xfId="33693"/>
    <cellStyle name="20% - Accent4 5 2 2 2 3" xfId="26682"/>
    <cellStyle name="20% - Accent4 5 2 2 3" xfId="12396"/>
    <cellStyle name="20% - Accent4 5 2 2 3 2" xfId="30053"/>
    <cellStyle name="20% - Accent4 5 2 2 4" xfId="23821"/>
    <cellStyle name="20% - Accent4 5 2 3" xfId="5656"/>
    <cellStyle name="20% - Accent4 5 2 3 2" xfId="8953"/>
    <cellStyle name="20% - Accent4 5 2 3 2 2" xfId="16742"/>
    <cellStyle name="20% - Accent4 5 2 3 2 2 2" xfId="34364"/>
    <cellStyle name="20% - Accent4 5 2 3 2 3" xfId="27327"/>
    <cellStyle name="20% - Accent4 5 2 3 3" xfId="13506"/>
    <cellStyle name="20% - Accent4 5 2 3 3 2" xfId="31132"/>
    <cellStyle name="20% - Accent4 5 2 3 4" xfId="24466"/>
    <cellStyle name="20% - Accent4 5 2 4" xfId="6286"/>
    <cellStyle name="20% - Accent4 5 2 4 2" xfId="9493"/>
    <cellStyle name="20% - Accent4 5 2 4 2 2" xfId="17281"/>
    <cellStyle name="20% - Accent4 5 2 4 2 2 2" xfId="34904"/>
    <cellStyle name="20% - Accent4 5 2 4 2 3" xfId="27863"/>
    <cellStyle name="20% - Accent4 5 2 4 3" xfId="14069"/>
    <cellStyle name="20% - Accent4 5 2 4 3 2" xfId="31690"/>
    <cellStyle name="20% - Accent4 5 2 4 4" xfId="25002"/>
    <cellStyle name="20% - Accent4 5 2 5" xfId="6823"/>
    <cellStyle name="20% - Accent4 5 2 5 2" xfId="10030"/>
    <cellStyle name="20% - Accent4 5 2 5 2 2" xfId="17817"/>
    <cellStyle name="20% - Accent4 5 2 5 2 2 2" xfId="35440"/>
    <cellStyle name="20% - Accent4 5 2 5 2 3" xfId="28399"/>
    <cellStyle name="20% - Accent4 5 2 5 3" xfId="14605"/>
    <cellStyle name="20% - Accent4 5 2 5 3 2" xfId="32226"/>
    <cellStyle name="20% - Accent4 5 2 5 4" xfId="25539"/>
    <cellStyle name="20% - Accent4 5 2 6" xfId="7650"/>
    <cellStyle name="20% - Accent4 5 2 6 2" xfId="15441"/>
    <cellStyle name="20% - Accent4 5 2 6 2 2" xfId="33062"/>
    <cellStyle name="20% - Accent4 5 2 6 3" xfId="26069"/>
    <cellStyle name="20% - Accent4 5 2 7" xfId="11221"/>
    <cellStyle name="20% - Accent4 5 2 7 2" xfId="28935"/>
    <cellStyle name="20% - Accent4 5 2 8" xfId="22826"/>
    <cellStyle name="20% - Accent4 5 2 8 2" xfId="38989"/>
    <cellStyle name="20% - Accent4 5 2 9" xfId="23208"/>
    <cellStyle name="20% - Accent4 5 3" xfId="468"/>
    <cellStyle name="20% - Accent4 5 3 10" xfId="22058"/>
    <cellStyle name="20% - Accent4 5 3 11" xfId="23209"/>
    <cellStyle name="20% - Accent4 5 3 12" xfId="51748"/>
    <cellStyle name="20% - Accent4 5 3 2" xfId="469"/>
    <cellStyle name="20% - Accent4 5 3 2 2" xfId="3678"/>
    <cellStyle name="20% - Accent4 5 3 2 2 2" xfId="8284"/>
    <cellStyle name="20% - Accent4 5 3 2 2 2 2" xfId="16074"/>
    <cellStyle name="20% - Accent4 5 3 2 2 2 2 2" xfId="33695"/>
    <cellStyle name="20% - Accent4 5 3 2 2 2 3" xfId="26684"/>
    <cellStyle name="20% - Accent4 5 3 2 2 3" xfId="12398"/>
    <cellStyle name="20% - Accent4 5 3 2 2 3 2" xfId="30055"/>
    <cellStyle name="20% - Accent4 5 3 2 2 4" xfId="23823"/>
    <cellStyle name="20% - Accent4 5 3 2 3" xfId="5658"/>
    <cellStyle name="20% - Accent4 5 3 2 3 2" xfId="8955"/>
    <cellStyle name="20% - Accent4 5 3 2 3 2 2" xfId="16744"/>
    <cellStyle name="20% - Accent4 5 3 2 3 2 2 2" xfId="34366"/>
    <cellStyle name="20% - Accent4 5 3 2 3 2 3" xfId="27329"/>
    <cellStyle name="20% - Accent4 5 3 2 3 3" xfId="13508"/>
    <cellStyle name="20% - Accent4 5 3 2 3 3 2" xfId="31134"/>
    <cellStyle name="20% - Accent4 5 3 2 3 4" xfId="24468"/>
    <cellStyle name="20% - Accent4 5 3 2 4" xfId="6288"/>
    <cellStyle name="20% - Accent4 5 3 2 4 2" xfId="9495"/>
    <cellStyle name="20% - Accent4 5 3 2 4 2 2" xfId="17283"/>
    <cellStyle name="20% - Accent4 5 3 2 4 2 2 2" xfId="34906"/>
    <cellStyle name="20% - Accent4 5 3 2 4 2 3" xfId="27865"/>
    <cellStyle name="20% - Accent4 5 3 2 4 3" xfId="14071"/>
    <cellStyle name="20% - Accent4 5 3 2 4 3 2" xfId="31692"/>
    <cellStyle name="20% - Accent4 5 3 2 4 4" xfId="25004"/>
    <cellStyle name="20% - Accent4 5 3 2 5" xfId="6825"/>
    <cellStyle name="20% - Accent4 5 3 2 5 2" xfId="10032"/>
    <cellStyle name="20% - Accent4 5 3 2 5 2 2" xfId="17819"/>
    <cellStyle name="20% - Accent4 5 3 2 5 2 2 2" xfId="35442"/>
    <cellStyle name="20% - Accent4 5 3 2 5 2 3" xfId="28401"/>
    <cellStyle name="20% - Accent4 5 3 2 5 3" xfId="14607"/>
    <cellStyle name="20% - Accent4 5 3 2 5 3 2" xfId="32228"/>
    <cellStyle name="20% - Accent4 5 3 2 5 4" xfId="25541"/>
    <cellStyle name="20% - Accent4 5 3 2 6" xfId="7652"/>
    <cellStyle name="20% - Accent4 5 3 2 6 2" xfId="15443"/>
    <cellStyle name="20% - Accent4 5 3 2 6 2 2" xfId="33064"/>
    <cellStyle name="20% - Accent4 5 3 2 6 3" xfId="26071"/>
    <cellStyle name="20% - Accent4 5 3 2 7" xfId="11223"/>
    <cellStyle name="20% - Accent4 5 3 2 7 2" xfId="28937"/>
    <cellStyle name="20% - Accent4 5 3 2 8" xfId="23210"/>
    <cellStyle name="20% - Accent4 5 3 2 9" xfId="51749"/>
    <cellStyle name="20% - Accent4 5 3 3" xfId="3679"/>
    <cellStyle name="20% - Accent4 5 3 3 2" xfId="5659"/>
    <cellStyle name="20% - Accent4 5 3 3 2 2" xfId="8956"/>
    <cellStyle name="20% - Accent4 5 3 3 2 2 2" xfId="16745"/>
    <cellStyle name="20% - Accent4 5 3 3 2 2 2 2" xfId="34367"/>
    <cellStyle name="20% - Accent4 5 3 3 2 2 3" xfId="27330"/>
    <cellStyle name="20% - Accent4 5 3 3 2 3" xfId="13509"/>
    <cellStyle name="20% - Accent4 5 3 3 2 3 2" xfId="31135"/>
    <cellStyle name="20% - Accent4 5 3 3 2 4" xfId="24469"/>
    <cellStyle name="20% - Accent4 5 3 3 3" xfId="6289"/>
    <cellStyle name="20% - Accent4 5 3 3 3 2" xfId="9496"/>
    <cellStyle name="20% - Accent4 5 3 3 3 2 2" xfId="17284"/>
    <cellStyle name="20% - Accent4 5 3 3 3 2 2 2" xfId="34907"/>
    <cellStyle name="20% - Accent4 5 3 3 3 2 3" xfId="27866"/>
    <cellStyle name="20% - Accent4 5 3 3 3 3" xfId="14072"/>
    <cellStyle name="20% - Accent4 5 3 3 3 3 2" xfId="31693"/>
    <cellStyle name="20% - Accent4 5 3 3 3 4" xfId="25005"/>
    <cellStyle name="20% - Accent4 5 3 3 4" xfId="6826"/>
    <cellStyle name="20% - Accent4 5 3 3 4 2" xfId="10033"/>
    <cellStyle name="20% - Accent4 5 3 3 4 2 2" xfId="17820"/>
    <cellStyle name="20% - Accent4 5 3 3 4 2 2 2" xfId="35443"/>
    <cellStyle name="20% - Accent4 5 3 3 4 2 3" xfId="28402"/>
    <cellStyle name="20% - Accent4 5 3 3 4 3" xfId="14608"/>
    <cellStyle name="20% - Accent4 5 3 3 4 3 2" xfId="32229"/>
    <cellStyle name="20% - Accent4 5 3 3 4 4" xfId="25542"/>
    <cellStyle name="20% - Accent4 5 3 3 5" xfId="8285"/>
    <cellStyle name="20% - Accent4 5 3 3 5 2" xfId="16075"/>
    <cellStyle name="20% - Accent4 5 3 3 5 2 2" xfId="33696"/>
    <cellStyle name="20% - Accent4 5 3 3 5 3" xfId="26685"/>
    <cellStyle name="20% - Accent4 5 3 3 6" xfId="12399"/>
    <cellStyle name="20% - Accent4 5 3 3 6 2" xfId="30056"/>
    <cellStyle name="20% - Accent4 5 3 3 7" xfId="23824"/>
    <cellStyle name="20% - Accent4 5 3 4" xfId="3677"/>
    <cellStyle name="20% - Accent4 5 3 4 2" xfId="8283"/>
    <cellStyle name="20% - Accent4 5 3 4 2 2" xfId="16073"/>
    <cellStyle name="20% - Accent4 5 3 4 2 2 2" xfId="33694"/>
    <cellStyle name="20% - Accent4 5 3 4 2 3" xfId="26683"/>
    <cellStyle name="20% - Accent4 5 3 4 3" xfId="12397"/>
    <cellStyle name="20% - Accent4 5 3 4 3 2" xfId="30054"/>
    <cellStyle name="20% - Accent4 5 3 4 4" xfId="23822"/>
    <cellStyle name="20% - Accent4 5 3 5" xfId="5657"/>
    <cellStyle name="20% - Accent4 5 3 5 2" xfId="8954"/>
    <cellStyle name="20% - Accent4 5 3 5 2 2" xfId="16743"/>
    <cellStyle name="20% - Accent4 5 3 5 2 2 2" xfId="34365"/>
    <cellStyle name="20% - Accent4 5 3 5 2 3" xfId="27328"/>
    <cellStyle name="20% - Accent4 5 3 5 3" xfId="13507"/>
    <cellStyle name="20% - Accent4 5 3 5 3 2" xfId="31133"/>
    <cellStyle name="20% - Accent4 5 3 5 4" xfId="24467"/>
    <cellStyle name="20% - Accent4 5 3 6" xfId="6287"/>
    <cellStyle name="20% - Accent4 5 3 6 2" xfId="9494"/>
    <cellStyle name="20% - Accent4 5 3 6 2 2" xfId="17282"/>
    <cellStyle name="20% - Accent4 5 3 6 2 2 2" xfId="34905"/>
    <cellStyle name="20% - Accent4 5 3 6 2 3" xfId="27864"/>
    <cellStyle name="20% - Accent4 5 3 6 3" xfId="14070"/>
    <cellStyle name="20% - Accent4 5 3 6 3 2" xfId="31691"/>
    <cellStyle name="20% - Accent4 5 3 6 4" xfId="25003"/>
    <cellStyle name="20% - Accent4 5 3 7" xfId="6824"/>
    <cellStyle name="20% - Accent4 5 3 7 2" xfId="10031"/>
    <cellStyle name="20% - Accent4 5 3 7 2 2" xfId="17818"/>
    <cellStyle name="20% - Accent4 5 3 7 2 2 2" xfId="35441"/>
    <cellStyle name="20% - Accent4 5 3 7 2 3" xfId="28400"/>
    <cellStyle name="20% - Accent4 5 3 7 3" xfId="14606"/>
    <cellStyle name="20% - Accent4 5 3 7 3 2" xfId="32227"/>
    <cellStyle name="20% - Accent4 5 3 7 4" xfId="25540"/>
    <cellStyle name="20% - Accent4 5 3 8" xfId="7651"/>
    <cellStyle name="20% - Accent4 5 3 8 2" xfId="15442"/>
    <cellStyle name="20% - Accent4 5 3 8 2 2" xfId="33063"/>
    <cellStyle name="20% - Accent4 5 3 8 3" xfId="26070"/>
    <cellStyle name="20% - Accent4 5 3 9" xfId="11222"/>
    <cellStyle name="20% - Accent4 5 3 9 2" xfId="28936"/>
    <cellStyle name="20% - Accent4 5 4" xfId="470"/>
    <cellStyle name="20% - Accent4 5 4 10" xfId="52882"/>
    <cellStyle name="20% - Accent4 5 4 2" xfId="3680"/>
    <cellStyle name="20% - Accent4 5 4 2 2" xfId="8286"/>
    <cellStyle name="20% - Accent4 5 4 2 2 2" xfId="16076"/>
    <cellStyle name="20% - Accent4 5 4 2 2 2 2" xfId="33697"/>
    <cellStyle name="20% - Accent4 5 4 2 2 3" xfId="26686"/>
    <cellStyle name="20% - Accent4 5 4 2 3" xfId="12400"/>
    <cellStyle name="20% - Accent4 5 4 2 3 2" xfId="30057"/>
    <cellStyle name="20% - Accent4 5 4 2 4" xfId="23825"/>
    <cellStyle name="20% - Accent4 5 4 3" xfId="5660"/>
    <cellStyle name="20% - Accent4 5 4 3 2" xfId="8957"/>
    <cellStyle name="20% - Accent4 5 4 3 2 2" xfId="16746"/>
    <cellStyle name="20% - Accent4 5 4 3 2 2 2" xfId="34368"/>
    <cellStyle name="20% - Accent4 5 4 3 2 3" xfId="27331"/>
    <cellStyle name="20% - Accent4 5 4 3 3" xfId="13510"/>
    <cellStyle name="20% - Accent4 5 4 3 3 2" xfId="31136"/>
    <cellStyle name="20% - Accent4 5 4 3 4" xfId="24470"/>
    <cellStyle name="20% - Accent4 5 4 4" xfId="6290"/>
    <cellStyle name="20% - Accent4 5 4 4 2" xfId="9497"/>
    <cellStyle name="20% - Accent4 5 4 4 2 2" xfId="17285"/>
    <cellStyle name="20% - Accent4 5 4 4 2 2 2" xfId="34908"/>
    <cellStyle name="20% - Accent4 5 4 4 2 3" xfId="27867"/>
    <cellStyle name="20% - Accent4 5 4 4 3" xfId="14073"/>
    <cellStyle name="20% - Accent4 5 4 4 3 2" xfId="31694"/>
    <cellStyle name="20% - Accent4 5 4 4 4" xfId="25006"/>
    <cellStyle name="20% - Accent4 5 4 5" xfId="6827"/>
    <cellStyle name="20% - Accent4 5 4 5 2" xfId="10034"/>
    <cellStyle name="20% - Accent4 5 4 5 2 2" xfId="17821"/>
    <cellStyle name="20% - Accent4 5 4 5 2 2 2" xfId="35444"/>
    <cellStyle name="20% - Accent4 5 4 5 2 3" xfId="28403"/>
    <cellStyle name="20% - Accent4 5 4 5 3" xfId="14609"/>
    <cellStyle name="20% - Accent4 5 4 5 3 2" xfId="32230"/>
    <cellStyle name="20% - Accent4 5 4 5 4" xfId="25543"/>
    <cellStyle name="20% - Accent4 5 4 6" xfId="7653"/>
    <cellStyle name="20% - Accent4 5 4 6 2" xfId="15444"/>
    <cellStyle name="20% - Accent4 5 4 6 2 2" xfId="33065"/>
    <cellStyle name="20% - Accent4 5 4 6 3" xfId="26072"/>
    <cellStyle name="20% - Accent4 5 4 7" xfId="11224"/>
    <cellStyle name="20% - Accent4 5 4 7 2" xfId="28938"/>
    <cellStyle name="20% - Accent4 5 4 8" xfId="23211"/>
    <cellStyle name="20% - Accent4 5 4 9" xfId="51750"/>
    <cellStyle name="20% - Accent4 5 5" xfId="471"/>
    <cellStyle name="20% - Accent4 5 5 2" xfId="3681"/>
    <cellStyle name="20% - Accent4 5 5 2 2" xfId="8287"/>
    <cellStyle name="20% - Accent4 5 5 2 2 2" xfId="16077"/>
    <cellStyle name="20% - Accent4 5 5 2 2 2 2" xfId="33698"/>
    <cellStyle name="20% - Accent4 5 5 2 2 3" xfId="26687"/>
    <cellStyle name="20% - Accent4 5 5 2 3" xfId="12401"/>
    <cellStyle name="20% - Accent4 5 5 2 3 2" xfId="30058"/>
    <cellStyle name="20% - Accent4 5 5 2 4" xfId="23826"/>
    <cellStyle name="20% - Accent4 5 5 3" xfId="5661"/>
    <cellStyle name="20% - Accent4 5 5 3 2" xfId="8958"/>
    <cellStyle name="20% - Accent4 5 5 3 2 2" xfId="16747"/>
    <cellStyle name="20% - Accent4 5 5 3 2 2 2" xfId="34369"/>
    <cellStyle name="20% - Accent4 5 5 3 2 3" xfId="27332"/>
    <cellStyle name="20% - Accent4 5 5 3 3" xfId="13511"/>
    <cellStyle name="20% - Accent4 5 5 3 3 2" xfId="31137"/>
    <cellStyle name="20% - Accent4 5 5 3 4" xfId="24471"/>
    <cellStyle name="20% - Accent4 5 5 4" xfId="6291"/>
    <cellStyle name="20% - Accent4 5 5 4 2" xfId="9498"/>
    <cellStyle name="20% - Accent4 5 5 4 2 2" xfId="17286"/>
    <cellStyle name="20% - Accent4 5 5 4 2 2 2" xfId="34909"/>
    <cellStyle name="20% - Accent4 5 5 4 2 3" xfId="27868"/>
    <cellStyle name="20% - Accent4 5 5 4 3" xfId="14074"/>
    <cellStyle name="20% - Accent4 5 5 4 3 2" xfId="31695"/>
    <cellStyle name="20% - Accent4 5 5 4 4" xfId="25007"/>
    <cellStyle name="20% - Accent4 5 5 5" xfId="6828"/>
    <cellStyle name="20% - Accent4 5 5 5 2" xfId="10035"/>
    <cellStyle name="20% - Accent4 5 5 5 2 2" xfId="17822"/>
    <cellStyle name="20% - Accent4 5 5 5 2 2 2" xfId="35445"/>
    <cellStyle name="20% - Accent4 5 5 5 2 3" xfId="28404"/>
    <cellStyle name="20% - Accent4 5 5 5 3" xfId="14610"/>
    <cellStyle name="20% - Accent4 5 5 5 3 2" xfId="32231"/>
    <cellStyle name="20% - Accent4 5 5 5 4" xfId="25544"/>
    <cellStyle name="20% - Accent4 5 5 6" xfId="7654"/>
    <cellStyle name="20% - Accent4 5 5 6 2" xfId="15445"/>
    <cellStyle name="20% - Accent4 5 5 6 2 2" xfId="33066"/>
    <cellStyle name="20% - Accent4 5 5 6 3" xfId="26073"/>
    <cellStyle name="20% - Accent4 5 5 7" xfId="11225"/>
    <cellStyle name="20% - Accent4 5 5 7 2" xfId="28939"/>
    <cellStyle name="20% - Accent4 5 5 8" xfId="23212"/>
    <cellStyle name="20% - Accent4 5 5 9" xfId="51751"/>
    <cellStyle name="20% - Accent4 5 6" xfId="472"/>
    <cellStyle name="20% - Accent4 5 6 2" xfId="3682"/>
    <cellStyle name="20% - Accent4 5 6 2 2" xfId="8288"/>
    <cellStyle name="20% - Accent4 5 6 2 2 2" xfId="16078"/>
    <cellStyle name="20% - Accent4 5 6 2 2 2 2" xfId="33699"/>
    <cellStyle name="20% - Accent4 5 6 2 2 3" xfId="26688"/>
    <cellStyle name="20% - Accent4 5 6 2 3" xfId="12402"/>
    <cellStyle name="20% - Accent4 5 6 2 3 2" xfId="30059"/>
    <cellStyle name="20% - Accent4 5 6 2 4" xfId="23827"/>
    <cellStyle name="20% - Accent4 5 6 3" xfId="5662"/>
    <cellStyle name="20% - Accent4 5 6 3 2" xfId="8959"/>
    <cellStyle name="20% - Accent4 5 6 3 2 2" xfId="16748"/>
    <cellStyle name="20% - Accent4 5 6 3 2 2 2" xfId="34370"/>
    <cellStyle name="20% - Accent4 5 6 3 2 3" xfId="27333"/>
    <cellStyle name="20% - Accent4 5 6 3 3" xfId="13512"/>
    <cellStyle name="20% - Accent4 5 6 3 3 2" xfId="31138"/>
    <cellStyle name="20% - Accent4 5 6 3 4" xfId="24472"/>
    <cellStyle name="20% - Accent4 5 6 4" xfId="6292"/>
    <cellStyle name="20% - Accent4 5 6 4 2" xfId="9499"/>
    <cellStyle name="20% - Accent4 5 6 4 2 2" xfId="17287"/>
    <cellStyle name="20% - Accent4 5 6 4 2 2 2" xfId="34910"/>
    <cellStyle name="20% - Accent4 5 6 4 2 3" xfId="27869"/>
    <cellStyle name="20% - Accent4 5 6 4 3" xfId="14075"/>
    <cellStyle name="20% - Accent4 5 6 4 3 2" xfId="31696"/>
    <cellStyle name="20% - Accent4 5 6 4 4" xfId="25008"/>
    <cellStyle name="20% - Accent4 5 6 5" xfId="6829"/>
    <cellStyle name="20% - Accent4 5 6 5 2" xfId="10036"/>
    <cellStyle name="20% - Accent4 5 6 5 2 2" xfId="17823"/>
    <cellStyle name="20% - Accent4 5 6 5 2 2 2" xfId="35446"/>
    <cellStyle name="20% - Accent4 5 6 5 2 3" xfId="28405"/>
    <cellStyle name="20% - Accent4 5 6 5 3" xfId="14611"/>
    <cellStyle name="20% - Accent4 5 6 5 3 2" xfId="32232"/>
    <cellStyle name="20% - Accent4 5 6 5 4" xfId="25545"/>
    <cellStyle name="20% - Accent4 5 6 6" xfId="7655"/>
    <cellStyle name="20% - Accent4 5 6 6 2" xfId="15446"/>
    <cellStyle name="20% - Accent4 5 6 6 2 2" xfId="33067"/>
    <cellStyle name="20% - Accent4 5 6 6 3" xfId="26074"/>
    <cellStyle name="20% - Accent4 5 6 7" xfId="11226"/>
    <cellStyle name="20% - Accent4 5 6 7 2" xfId="28940"/>
    <cellStyle name="20% - Accent4 5 6 8" xfId="23213"/>
    <cellStyle name="20% - Accent4 5 6 9" xfId="51752"/>
    <cellStyle name="20% - Accent4 5 7" xfId="473"/>
    <cellStyle name="20% - Accent4 5 7 10" xfId="51753"/>
    <cellStyle name="20% - Accent4 5 7 2" xfId="474"/>
    <cellStyle name="20% - Accent4 5 7 2 2" xfId="8290"/>
    <cellStyle name="20% - Accent4 5 7 2 2 2" xfId="16080"/>
    <cellStyle name="20% - Accent4 5 7 2 2 2 2" xfId="33701"/>
    <cellStyle name="20% - Accent4 5 7 2 2 3" xfId="26690"/>
    <cellStyle name="20% - Accent4 5 7 2 3" xfId="12404"/>
    <cellStyle name="20% - Accent4 5 7 2 3 2" xfId="30061"/>
    <cellStyle name="20% - Accent4 5 7 2 4" xfId="23829"/>
    <cellStyle name="20% - Accent4 5 7 3" xfId="3683"/>
    <cellStyle name="20% - Accent4 5 7 3 2" xfId="8289"/>
    <cellStyle name="20% - Accent4 5 7 3 2 2" xfId="16079"/>
    <cellStyle name="20% - Accent4 5 7 3 2 2 2" xfId="33700"/>
    <cellStyle name="20% - Accent4 5 7 3 2 3" xfId="26689"/>
    <cellStyle name="20% - Accent4 5 7 3 3" xfId="12403"/>
    <cellStyle name="20% - Accent4 5 7 3 3 2" xfId="30060"/>
    <cellStyle name="20% - Accent4 5 7 3 4" xfId="23828"/>
    <cellStyle name="20% - Accent4 5 7 4" xfId="5663"/>
    <cellStyle name="20% - Accent4 5 7 4 2" xfId="8960"/>
    <cellStyle name="20% - Accent4 5 7 4 2 2" xfId="16749"/>
    <cellStyle name="20% - Accent4 5 7 4 2 2 2" xfId="34371"/>
    <cellStyle name="20% - Accent4 5 7 4 2 3" xfId="27334"/>
    <cellStyle name="20% - Accent4 5 7 4 3" xfId="13513"/>
    <cellStyle name="20% - Accent4 5 7 4 3 2" xfId="31139"/>
    <cellStyle name="20% - Accent4 5 7 4 4" xfId="24473"/>
    <cellStyle name="20% - Accent4 5 7 5" xfId="6293"/>
    <cellStyle name="20% - Accent4 5 7 5 2" xfId="9500"/>
    <cellStyle name="20% - Accent4 5 7 5 2 2" xfId="17288"/>
    <cellStyle name="20% - Accent4 5 7 5 2 2 2" xfId="34911"/>
    <cellStyle name="20% - Accent4 5 7 5 2 3" xfId="27870"/>
    <cellStyle name="20% - Accent4 5 7 5 3" xfId="14076"/>
    <cellStyle name="20% - Accent4 5 7 5 3 2" xfId="31697"/>
    <cellStyle name="20% - Accent4 5 7 5 4" xfId="25009"/>
    <cellStyle name="20% - Accent4 5 7 6" xfId="6830"/>
    <cellStyle name="20% - Accent4 5 7 6 2" xfId="10037"/>
    <cellStyle name="20% - Accent4 5 7 6 2 2" xfId="17824"/>
    <cellStyle name="20% - Accent4 5 7 6 2 2 2" xfId="35447"/>
    <cellStyle name="20% - Accent4 5 7 6 2 3" xfId="28406"/>
    <cellStyle name="20% - Accent4 5 7 6 3" xfId="14612"/>
    <cellStyle name="20% - Accent4 5 7 6 3 2" xfId="32233"/>
    <cellStyle name="20% - Accent4 5 7 6 4" xfId="25546"/>
    <cellStyle name="20% - Accent4 5 7 7" xfId="7656"/>
    <cellStyle name="20% - Accent4 5 7 7 2" xfId="15447"/>
    <cellStyle name="20% - Accent4 5 7 7 2 2" xfId="33068"/>
    <cellStyle name="20% - Accent4 5 7 7 3" xfId="26075"/>
    <cellStyle name="20% - Accent4 5 7 8" xfId="11227"/>
    <cellStyle name="20% - Accent4 5 7 8 2" xfId="28941"/>
    <cellStyle name="20% - Accent4 5 7 9" xfId="23214"/>
    <cellStyle name="20% - Accent4 5 8" xfId="3684"/>
    <cellStyle name="20% - Accent4 5 8 2" xfId="8291"/>
    <cellStyle name="20% - Accent4 5 8 2 2" xfId="16081"/>
    <cellStyle name="20% - Accent4 5 8 2 2 2" xfId="33702"/>
    <cellStyle name="20% - Accent4 5 8 2 3" xfId="26691"/>
    <cellStyle name="20% - Accent4 5 8 3" xfId="12405"/>
    <cellStyle name="20% - Accent4 5 8 3 2" xfId="30062"/>
    <cellStyle name="20% - Accent4 5 8 4" xfId="23830"/>
    <cellStyle name="20% - Accent4 5 9" xfId="3685"/>
    <cellStyle name="20% - Accent4 6" xfId="475"/>
    <cellStyle name="20% - Accent4 6 10" xfId="3686"/>
    <cellStyle name="20% - Accent4 6 10 2" xfId="8292"/>
    <cellStyle name="20% - Accent4 6 10 2 2" xfId="16082"/>
    <cellStyle name="20% - Accent4 6 10 2 2 2" xfId="33703"/>
    <cellStyle name="20% - Accent4 6 10 2 3" xfId="26692"/>
    <cellStyle name="20% - Accent4 6 10 3" xfId="12406"/>
    <cellStyle name="20% - Accent4 6 10 3 2" xfId="30063"/>
    <cellStyle name="20% - Accent4 6 10 4" xfId="23831"/>
    <cellStyle name="20% - Accent4 6 11" xfId="5664"/>
    <cellStyle name="20% - Accent4 6 11 2" xfId="8961"/>
    <cellStyle name="20% - Accent4 6 11 2 2" xfId="16750"/>
    <cellStyle name="20% - Accent4 6 11 2 2 2" xfId="34372"/>
    <cellStyle name="20% - Accent4 6 11 2 3" xfId="27335"/>
    <cellStyle name="20% - Accent4 6 11 3" xfId="13514"/>
    <cellStyle name="20% - Accent4 6 11 3 2" xfId="31140"/>
    <cellStyle name="20% - Accent4 6 11 4" xfId="24474"/>
    <cellStyle name="20% - Accent4 6 12" xfId="6294"/>
    <cellStyle name="20% - Accent4 6 12 2" xfId="9501"/>
    <cellStyle name="20% - Accent4 6 12 2 2" xfId="17289"/>
    <cellStyle name="20% - Accent4 6 12 2 2 2" xfId="34912"/>
    <cellStyle name="20% - Accent4 6 12 2 3" xfId="27871"/>
    <cellStyle name="20% - Accent4 6 12 3" xfId="14077"/>
    <cellStyle name="20% - Accent4 6 12 3 2" xfId="31698"/>
    <cellStyle name="20% - Accent4 6 12 4" xfId="25010"/>
    <cellStyle name="20% - Accent4 6 13" xfId="6831"/>
    <cellStyle name="20% - Accent4 6 13 2" xfId="10038"/>
    <cellStyle name="20% - Accent4 6 13 2 2" xfId="17825"/>
    <cellStyle name="20% - Accent4 6 13 2 2 2" xfId="35448"/>
    <cellStyle name="20% - Accent4 6 13 2 3" xfId="28407"/>
    <cellStyle name="20% - Accent4 6 13 3" xfId="14613"/>
    <cellStyle name="20% - Accent4 6 13 3 2" xfId="32234"/>
    <cellStyle name="20% - Accent4 6 13 4" xfId="25547"/>
    <cellStyle name="20% - Accent4 6 14" xfId="7657"/>
    <cellStyle name="20% - Accent4 6 14 2" xfId="15448"/>
    <cellStyle name="20% - Accent4 6 14 2 2" xfId="33069"/>
    <cellStyle name="20% - Accent4 6 14 3" xfId="26076"/>
    <cellStyle name="20% - Accent4 6 15" xfId="11228"/>
    <cellStyle name="20% - Accent4 6 15 2" xfId="28942"/>
    <cellStyle name="20% - Accent4 6 16" xfId="21930"/>
    <cellStyle name="20% - Accent4 6 16 2" xfId="38669"/>
    <cellStyle name="20% - Accent4 6 17" xfId="23215"/>
    <cellStyle name="20% - Accent4 6 18" xfId="51754"/>
    <cellStyle name="20% - Accent4 6 2" xfId="476"/>
    <cellStyle name="20% - Accent4 6 2 10" xfId="51755"/>
    <cellStyle name="20% - Accent4 6 2 2" xfId="3687"/>
    <cellStyle name="20% - Accent4 6 2 2 2" xfId="8293"/>
    <cellStyle name="20% - Accent4 6 2 2 2 2" xfId="16083"/>
    <cellStyle name="20% - Accent4 6 2 2 2 2 2" xfId="33704"/>
    <cellStyle name="20% - Accent4 6 2 2 2 3" xfId="26693"/>
    <cellStyle name="20% - Accent4 6 2 2 3" xfId="12407"/>
    <cellStyle name="20% - Accent4 6 2 2 3 2" xfId="30064"/>
    <cellStyle name="20% - Accent4 6 2 2 4" xfId="23832"/>
    <cellStyle name="20% - Accent4 6 2 3" xfId="5665"/>
    <cellStyle name="20% - Accent4 6 2 3 2" xfId="8962"/>
    <cellStyle name="20% - Accent4 6 2 3 2 2" xfId="16751"/>
    <cellStyle name="20% - Accent4 6 2 3 2 2 2" xfId="34373"/>
    <cellStyle name="20% - Accent4 6 2 3 2 3" xfId="27336"/>
    <cellStyle name="20% - Accent4 6 2 3 3" xfId="13515"/>
    <cellStyle name="20% - Accent4 6 2 3 3 2" xfId="31141"/>
    <cellStyle name="20% - Accent4 6 2 3 4" xfId="24475"/>
    <cellStyle name="20% - Accent4 6 2 4" xfId="6295"/>
    <cellStyle name="20% - Accent4 6 2 4 2" xfId="9502"/>
    <cellStyle name="20% - Accent4 6 2 4 2 2" xfId="17290"/>
    <cellStyle name="20% - Accent4 6 2 4 2 2 2" xfId="34913"/>
    <cellStyle name="20% - Accent4 6 2 4 2 3" xfId="27872"/>
    <cellStyle name="20% - Accent4 6 2 4 3" xfId="14078"/>
    <cellStyle name="20% - Accent4 6 2 4 3 2" xfId="31699"/>
    <cellStyle name="20% - Accent4 6 2 4 4" xfId="25011"/>
    <cellStyle name="20% - Accent4 6 2 5" xfId="6832"/>
    <cellStyle name="20% - Accent4 6 2 5 2" xfId="10039"/>
    <cellStyle name="20% - Accent4 6 2 5 2 2" xfId="17826"/>
    <cellStyle name="20% - Accent4 6 2 5 2 2 2" xfId="35449"/>
    <cellStyle name="20% - Accent4 6 2 5 2 3" xfId="28408"/>
    <cellStyle name="20% - Accent4 6 2 5 3" xfId="14614"/>
    <cellStyle name="20% - Accent4 6 2 5 3 2" xfId="32235"/>
    <cellStyle name="20% - Accent4 6 2 5 4" xfId="25548"/>
    <cellStyle name="20% - Accent4 6 2 6" xfId="7658"/>
    <cellStyle name="20% - Accent4 6 2 6 2" xfId="15449"/>
    <cellStyle name="20% - Accent4 6 2 6 2 2" xfId="33070"/>
    <cellStyle name="20% - Accent4 6 2 6 3" xfId="26077"/>
    <cellStyle name="20% - Accent4 6 2 7" xfId="11229"/>
    <cellStyle name="20% - Accent4 6 2 7 2" xfId="28943"/>
    <cellStyle name="20% - Accent4 6 2 8" xfId="22827"/>
    <cellStyle name="20% - Accent4 6 2 8 2" xfId="38990"/>
    <cellStyle name="20% - Accent4 6 2 9" xfId="23216"/>
    <cellStyle name="20% - Accent4 6 3" xfId="477"/>
    <cellStyle name="20% - Accent4 6 3 10" xfId="22059"/>
    <cellStyle name="20% - Accent4 6 3 11" xfId="23217"/>
    <cellStyle name="20% - Accent4 6 3 12" xfId="51756"/>
    <cellStyle name="20% - Accent4 6 3 2" xfId="478"/>
    <cellStyle name="20% - Accent4 6 3 2 2" xfId="3689"/>
    <cellStyle name="20% - Accent4 6 3 2 2 2" xfId="8295"/>
    <cellStyle name="20% - Accent4 6 3 2 2 2 2" xfId="16085"/>
    <cellStyle name="20% - Accent4 6 3 2 2 2 2 2" xfId="33706"/>
    <cellStyle name="20% - Accent4 6 3 2 2 2 3" xfId="26695"/>
    <cellStyle name="20% - Accent4 6 3 2 2 3" xfId="12409"/>
    <cellStyle name="20% - Accent4 6 3 2 2 3 2" xfId="30066"/>
    <cellStyle name="20% - Accent4 6 3 2 2 4" xfId="23834"/>
    <cellStyle name="20% - Accent4 6 3 2 3" xfId="5667"/>
    <cellStyle name="20% - Accent4 6 3 2 3 2" xfId="8964"/>
    <cellStyle name="20% - Accent4 6 3 2 3 2 2" xfId="16753"/>
    <cellStyle name="20% - Accent4 6 3 2 3 2 2 2" xfId="34375"/>
    <cellStyle name="20% - Accent4 6 3 2 3 2 3" xfId="27338"/>
    <cellStyle name="20% - Accent4 6 3 2 3 3" xfId="13517"/>
    <cellStyle name="20% - Accent4 6 3 2 3 3 2" xfId="31143"/>
    <cellStyle name="20% - Accent4 6 3 2 3 4" xfId="24477"/>
    <cellStyle name="20% - Accent4 6 3 2 4" xfId="6297"/>
    <cellStyle name="20% - Accent4 6 3 2 4 2" xfId="9504"/>
    <cellStyle name="20% - Accent4 6 3 2 4 2 2" xfId="17292"/>
    <cellStyle name="20% - Accent4 6 3 2 4 2 2 2" xfId="34915"/>
    <cellStyle name="20% - Accent4 6 3 2 4 2 3" xfId="27874"/>
    <cellStyle name="20% - Accent4 6 3 2 4 3" xfId="14080"/>
    <cellStyle name="20% - Accent4 6 3 2 4 3 2" xfId="31701"/>
    <cellStyle name="20% - Accent4 6 3 2 4 4" xfId="25013"/>
    <cellStyle name="20% - Accent4 6 3 2 5" xfId="6834"/>
    <cellStyle name="20% - Accent4 6 3 2 5 2" xfId="10041"/>
    <cellStyle name="20% - Accent4 6 3 2 5 2 2" xfId="17828"/>
    <cellStyle name="20% - Accent4 6 3 2 5 2 2 2" xfId="35451"/>
    <cellStyle name="20% - Accent4 6 3 2 5 2 3" xfId="28410"/>
    <cellStyle name="20% - Accent4 6 3 2 5 3" xfId="14616"/>
    <cellStyle name="20% - Accent4 6 3 2 5 3 2" xfId="32237"/>
    <cellStyle name="20% - Accent4 6 3 2 5 4" xfId="25550"/>
    <cellStyle name="20% - Accent4 6 3 2 6" xfId="7660"/>
    <cellStyle name="20% - Accent4 6 3 2 6 2" xfId="15451"/>
    <cellStyle name="20% - Accent4 6 3 2 6 2 2" xfId="33072"/>
    <cellStyle name="20% - Accent4 6 3 2 6 3" xfId="26079"/>
    <cellStyle name="20% - Accent4 6 3 2 7" xfId="11231"/>
    <cellStyle name="20% - Accent4 6 3 2 7 2" xfId="28945"/>
    <cellStyle name="20% - Accent4 6 3 2 8" xfId="23218"/>
    <cellStyle name="20% - Accent4 6 3 2 9" xfId="51757"/>
    <cellStyle name="20% - Accent4 6 3 3" xfId="3690"/>
    <cellStyle name="20% - Accent4 6 3 3 2" xfId="5668"/>
    <cellStyle name="20% - Accent4 6 3 3 2 2" xfId="8965"/>
    <cellStyle name="20% - Accent4 6 3 3 2 2 2" xfId="16754"/>
    <cellStyle name="20% - Accent4 6 3 3 2 2 2 2" xfId="34376"/>
    <cellStyle name="20% - Accent4 6 3 3 2 2 3" xfId="27339"/>
    <cellStyle name="20% - Accent4 6 3 3 2 3" xfId="13518"/>
    <cellStyle name="20% - Accent4 6 3 3 2 3 2" xfId="31144"/>
    <cellStyle name="20% - Accent4 6 3 3 2 4" xfId="24478"/>
    <cellStyle name="20% - Accent4 6 3 3 3" xfId="6298"/>
    <cellStyle name="20% - Accent4 6 3 3 3 2" xfId="9505"/>
    <cellStyle name="20% - Accent4 6 3 3 3 2 2" xfId="17293"/>
    <cellStyle name="20% - Accent4 6 3 3 3 2 2 2" xfId="34916"/>
    <cellStyle name="20% - Accent4 6 3 3 3 2 3" xfId="27875"/>
    <cellStyle name="20% - Accent4 6 3 3 3 3" xfId="14081"/>
    <cellStyle name="20% - Accent4 6 3 3 3 3 2" xfId="31702"/>
    <cellStyle name="20% - Accent4 6 3 3 3 4" xfId="25014"/>
    <cellStyle name="20% - Accent4 6 3 3 4" xfId="6835"/>
    <cellStyle name="20% - Accent4 6 3 3 4 2" xfId="10042"/>
    <cellStyle name="20% - Accent4 6 3 3 4 2 2" xfId="17829"/>
    <cellStyle name="20% - Accent4 6 3 3 4 2 2 2" xfId="35452"/>
    <cellStyle name="20% - Accent4 6 3 3 4 2 3" xfId="28411"/>
    <cellStyle name="20% - Accent4 6 3 3 4 3" xfId="14617"/>
    <cellStyle name="20% - Accent4 6 3 3 4 3 2" xfId="32238"/>
    <cellStyle name="20% - Accent4 6 3 3 4 4" xfId="25551"/>
    <cellStyle name="20% - Accent4 6 3 3 5" xfId="8296"/>
    <cellStyle name="20% - Accent4 6 3 3 5 2" xfId="16086"/>
    <cellStyle name="20% - Accent4 6 3 3 5 2 2" xfId="33707"/>
    <cellStyle name="20% - Accent4 6 3 3 5 3" xfId="26696"/>
    <cellStyle name="20% - Accent4 6 3 3 6" xfId="12410"/>
    <cellStyle name="20% - Accent4 6 3 3 6 2" xfId="30067"/>
    <cellStyle name="20% - Accent4 6 3 3 7" xfId="23835"/>
    <cellStyle name="20% - Accent4 6 3 4" xfId="3688"/>
    <cellStyle name="20% - Accent4 6 3 4 2" xfId="8294"/>
    <cellStyle name="20% - Accent4 6 3 4 2 2" xfId="16084"/>
    <cellStyle name="20% - Accent4 6 3 4 2 2 2" xfId="33705"/>
    <cellStyle name="20% - Accent4 6 3 4 2 3" xfId="26694"/>
    <cellStyle name="20% - Accent4 6 3 4 3" xfId="12408"/>
    <cellStyle name="20% - Accent4 6 3 4 3 2" xfId="30065"/>
    <cellStyle name="20% - Accent4 6 3 4 4" xfId="23833"/>
    <cellStyle name="20% - Accent4 6 3 5" xfId="5666"/>
    <cellStyle name="20% - Accent4 6 3 5 2" xfId="8963"/>
    <cellStyle name="20% - Accent4 6 3 5 2 2" xfId="16752"/>
    <cellStyle name="20% - Accent4 6 3 5 2 2 2" xfId="34374"/>
    <cellStyle name="20% - Accent4 6 3 5 2 3" xfId="27337"/>
    <cellStyle name="20% - Accent4 6 3 5 3" xfId="13516"/>
    <cellStyle name="20% - Accent4 6 3 5 3 2" xfId="31142"/>
    <cellStyle name="20% - Accent4 6 3 5 4" xfId="24476"/>
    <cellStyle name="20% - Accent4 6 3 6" xfId="6296"/>
    <cellStyle name="20% - Accent4 6 3 6 2" xfId="9503"/>
    <cellStyle name="20% - Accent4 6 3 6 2 2" xfId="17291"/>
    <cellStyle name="20% - Accent4 6 3 6 2 2 2" xfId="34914"/>
    <cellStyle name="20% - Accent4 6 3 6 2 3" xfId="27873"/>
    <cellStyle name="20% - Accent4 6 3 6 3" xfId="14079"/>
    <cellStyle name="20% - Accent4 6 3 6 3 2" xfId="31700"/>
    <cellStyle name="20% - Accent4 6 3 6 4" xfId="25012"/>
    <cellStyle name="20% - Accent4 6 3 7" xfId="6833"/>
    <cellStyle name="20% - Accent4 6 3 7 2" xfId="10040"/>
    <cellStyle name="20% - Accent4 6 3 7 2 2" xfId="17827"/>
    <cellStyle name="20% - Accent4 6 3 7 2 2 2" xfId="35450"/>
    <cellStyle name="20% - Accent4 6 3 7 2 3" xfId="28409"/>
    <cellStyle name="20% - Accent4 6 3 7 3" xfId="14615"/>
    <cellStyle name="20% - Accent4 6 3 7 3 2" xfId="32236"/>
    <cellStyle name="20% - Accent4 6 3 7 4" xfId="25549"/>
    <cellStyle name="20% - Accent4 6 3 8" xfId="7659"/>
    <cellStyle name="20% - Accent4 6 3 8 2" xfId="15450"/>
    <cellStyle name="20% - Accent4 6 3 8 2 2" xfId="33071"/>
    <cellStyle name="20% - Accent4 6 3 8 3" xfId="26078"/>
    <cellStyle name="20% - Accent4 6 3 9" xfId="11230"/>
    <cellStyle name="20% - Accent4 6 3 9 2" xfId="28944"/>
    <cellStyle name="20% - Accent4 6 4" xfId="479"/>
    <cellStyle name="20% - Accent4 6 4 10" xfId="52883"/>
    <cellStyle name="20% - Accent4 6 4 2" xfId="3691"/>
    <cellStyle name="20% - Accent4 6 4 2 2" xfId="8297"/>
    <cellStyle name="20% - Accent4 6 4 2 2 2" xfId="16087"/>
    <cellStyle name="20% - Accent4 6 4 2 2 2 2" xfId="33708"/>
    <cellStyle name="20% - Accent4 6 4 2 2 3" xfId="26697"/>
    <cellStyle name="20% - Accent4 6 4 2 3" xfId="12411"/>
    <cellStyle name="20% - Accent4 6 4 2 3 2" xfId="30068"/>
    <cellStyle name="20% - Accent4 6 4 2 4" xfId="23836"/>
    <cellStyle name="20% - Accent4 6 4 3" xfId="5669"/>
    <cellStyle name="20% - Accent4 6 4 3 2" xfId="8966"/>
    <cellStyle name="20% - Accent4 6 4 3 2 2" xfId="16755"/>
    <cellStyle name="20% - Accent4 6 4 3 2 2 2" xfId="34377"/>
    <cellStyle name="20% - Accent4 6 4 3 2 3" xfId="27340"/>
    <cellStyle name="20% - Accent4 6 4 3 3" xfId="13519"/>
    <cellStyle name="20% - Accent4 6 4 3 3 2" xfId="31145"/>
    <cellStyle name="20% - Accent4 6 4 3 4" xfId="24479"/>
    <cellStyle name="20% - Accent4 6 4 4" xfId="6299"/>
    <cellStyle name="20% - Accent4 6 4 4 2" xfId="9506"/>
    <cellStyle name="20% - Accent4 6 4 4 2 2" xfId="17294"/>
    <cellStyle name="20% - Accent4 6 4 4 2 2 2" xfId="34917"/>
    <cellStyle name="20% - Accent4 6 4 4 2 3" xfId="27876"/>
    <cellStyle name="20% - Accent4 6 4 4 3" xfId="14082"/>
    <cellStyle name="20% - Accent4 6 4 4 3 2" xfId="31703"/>
    <cellStyle name="20% - Accent4 6 4 4 4" xfId="25015"/>
    <cellStyle name="20% - Accent4 6 4 5" xfId="6836"/>
    <cellStyle name="20% - Accent4 6 4 5 2" xfId="10043"/>
    <cellStyle name="20% - Accent4 6 4 5 2 2" xfId="17830"/>
    <cellStyle name="20% - Accent4 6 4 5 2 2 2" xfId="35453"/>
    <cellStyle name="20% - Accent4 6 4 5 2 3" xfId="28412"/>
    <cellStyle name="20% - Accent4 6 4 5 3" xfId="14618"/>
    <cellStyle name="20% - Accent4 6 4 5 3 2" xfId="32239"/>
    <cellStyle name="20% - Accent4 6 4 5 4" xfId="25552"/>
    <cellStyle name="20% - Accent4 6 4 6" xfId="7661"/>
    <cellStyle name="20% - Accent4 6 4 6 2" xfId="15452"/>
    <cellStyle name="20% - Accent4 6 4 6 2 2" xfId="33073"/>
    <cellStyle name="20% - Accent4 6 4 6 3" xfId="26080"/>
    <cellStyle name="20% - Accent4 6 4 7" xfId="11232"/>
    <cellStyle name="20% - Accent4 6 4 7 2" xfId="28946"/>
    <cellStyle name="20% - Accent4 6 4 8" xfId="23219"/>
    <cellStyle name="20% - Accent4 6 4 9" xfId="51758"/>
    <cellStyle name="20% - Accent4 6 5" xfId="480"/>
    <cellStyle name="20% - Accent4 6 5 2" xfId="3692"/>
    <cellStyle name="20% - Accent4 6 5 2 2" xfId="8298"/>
    <cellStyle name="20% - Accent4 6 5 2 2 2" xfId="16088"/>
    <cellStyle name="20% - Accent4 6 5 2 2 2 2" xfId="33709"/>
    <cellStyle name="20% - Accent4 6 5 2 2 3" xfId="26698"/>
    <cellStyle name="20% - Accent4 6 5 2 3" xfId="12412"/>
    <cellStyle name="20% - Accent4 6 5 2 3 2" xfId="30069"/>
    <cellStyle name="20% - Accent4 6 5 2 4" xfId="23837"/>
    <cellStyle name="20% - Accent4 6 5 3" xfId="5670"/>
    <cellStyle name="20% - Accent4 6 5 3 2" xfId="8967"/>
    <cellStyle name="20% - Accent4 6 5 3 2 2" xfId="16756"/>
    <cellStyle name="20% - Accent4 6 5 3 2 2 2" xfId="34378"/>
    <cellStyle name="20% - Accent4 6 5 3 2 3" xfId="27341"/>
    <cellStyle name="20% - Accent4 6 5 3 3" xfId="13520"/>
    <cellStyle name="20% - Accent4 6 5 3 3 2" xfId="31146"/>
    <cellStyle name="20% - Accent4 6 5 3 4" xfId="24480"/>
    <cellStyle name="20% - Accent4 6 5 4" xfId="6300"/>
    <cellStyle name="20% - Accent4 6 5 4 2" xfId="9507"/>
    <cellStyle name="20% - Accent4 6 5 4 2 2" xfId="17295"/>
    <cellStyle name="20% - Accent4 6 5 4 2 2 2" xfId="34918"/>
    <cellStyle name="20% - Accent4 6 5 4 2 3" xfId="27877"/>
    <cellStyle name="20% - Accent4 6 5 4 3" xfId="14083"/>
    <cellStyle name="20% - Accent4 6 5 4 3 2" xfId="31704"/>
    <cellStyle name="20% - Accent4 6 5 4 4" xfId="25016"/>
    <cellStyle name="20% - Accent4 6 5 5" xfId="6837"/>
    <cellStyle name="20% - Accent4 6 5 5 2" xfId="10044"/>
    <cellStyle name="20% - Accent4 6 5 5 2 2" xfId="17831"/>
    <cellStyle name="20% - Accent4 6 5 5 2 2 2" xfId="35454"/>
    <cellStyle name="20% - Accent4 6 5 5 2 3" xfId="28413"/>
    <cellStyle name="20% - Accent4 6 5 5 3" xfId="14619"/>
    <cellStyle name="20% - Accent4 6 5 5 3 2" xfId="32240"/>
    <cellStyle name="20% - Accent4 6 5 5 4" xfId="25553"/>
    <cellStyle name="20% - Accent4 6 5 6" xfId="7662"/>
    <cellStyle name="20% - Accent4 6 5 6 2" xfId="15453"/>
    <cellStyle name="20% - Accent4 6 5 6 2 2" xfId="33074"/>
    <cellStyle name="20% - Accent4 6 5 6 3" xfId="26081"/>
    <cellStyle name="20% - Accent4 6 5 7" xfId="11233"/>
    <cellStyle name="20% - Accent4 6 5 7 2" xfId="28947"/>
    <cellStyle name="20% - Accent4 6 5 8" xfId="23220"/>
    <cellStyle name="20% - Accent4 6 5 9" xfId="51759"/>
    <cellStyle name="20% - Accent4 6 6" xfId="481"/>
    <cellStyle name="20% - Accent4 6 6 2" xfId="3693"/>
    <cellStyle name="20% - Accent4 6 6 2 2" xfId="8299"/>
    <cellStyle name="20% - Accent4 6 6 2 2 2" xfId="16089"/>
    <cellStyle name="20% - Accent4 6 6 2 2 2 2" xfId="33710"/>
    <cellStyle name="20% - Accent4 6 6 2 2 3" xfId="26699"/>
    <cellStyle name="20% - Accent4 6 6 2 3" xfId="12413"/>
    <cellStyle name="20% - Accent4 6 6 2 3 2" xfId="30070"/>
    <cellStyle name="20% - Accent4 6 6 2 4" xfId="23838"/>
    <cellStyle name="20% - Accent4 6 6 3" xfId="5671"/>
    <cellStyle name="20% - Accent4 6 6 3 2" xfId="8968"/>
    <cellStyle name="20% - Accent4 6 6 3 2 2" xfId="16757"/>
    <cellStyle name="20% - Accent4 6 6 3 2 2 2" xfId="34379"/>
    <cellStyle name="20% - Accent4 6 6 3 2 3" xfId="27342"/>
    <cellStyle name="20% - Accent4 6 6 3 3" xfId="13521"/>
    <cellStyle name="20% - Accent4 6 6 3 3 2" xfId="31147"/>
    <cellStyle name="20% - Accent4 6 6 3 4" xfId="24481"/>
    <cellStyle name="20% - Accent4 6 6 4" xfId="6301"/>
    <cellStyle name="20% - Accent4 6 6 4 2" xfId="9508"/>
    <cellStyle name="20% - Accent4 6 6 4 2 2" xfId="17296"/>
    <cellStyle name="20% - Accent4 6 6 4 2 2 2" xfId="34919"/>
    <cellStyle name="20% - Accent4 6 6 4 2 3" xfId="27878"/>
    <cellStyle name="20% - Accent4 6 6 4 3" xfId="14084"/>
    <cellStyle name="20% - Accent4 6 6 4 3 2" xfId="31705"/>
    <cellStyle name="20% - Accent4 6 6 4 4" xfId="25017"/>
    <cellStyle name="20% - Accent4 6 6 5" xfId="6838"/>
    <cellStyle name="20% - Accent4 6 6 5 2" xfId="10045"/>
    <cellStyle name="20% - Accent4 6 6 5 2 2" xfId="17832"/>
    <cellStyle name="20% - Accent4 6 6 5 2 2 2" xfId="35455"/>
    <cellStyle name="20% - Accent4 6 6 5 2 3" xfId="28414"/>
    <cellStyle name="20% - Accent4 6 6 5 3" xfId="14620"/>
    <cellStyle name="20% - Accent4 6 6 5 3 2" xfId="32241"/>
    <cellStyle name="20% - Accent4 6 6 5 4" xfId="25554"/>
    <cellStyle name="20% - Accent4 6 6 6" xfId="7663"/>
    <cellStyle name="20% - Accent4 6 6 6 2" xfId="15454"/>
    <cellStyle name="20% - Accent4 6 6 6 2 2" xfId="33075"/>
    <cellStyle name="20% - Accent4 6 6 6 3" xfId="26082"/>
    <cellStyle name="20% - Accent4 6 6 7" xfId="11234"/>
    <cellStyle name="20% - Accent4 6 6 7 2" xfId="28948"/>
    <cellStyle name="20% - Accent4 6 6 8" xfId="23221"/>
    <cellStyle name="20% - Accent4 6 6 9" xfId="51760"/>
    <cellStyle name="20% - Accent4 6 7" xfId="482"/>
    <cellStyle name="20% - Accent4 6 7 10" xfId="51761"/>
    <cellStyle name="20% - Accent4 6 7 2" xfId="483"/>
    <cellStyle name="20% - Accent4 6 7 2 2" xfId="8301"/>
    <cellStyle name="20% - Accent4 6 7 2 2 2" xfId="16091"/>
    <cellStyle name="20% - Accent4 6 7 2 2 2 2" xfId="33712"/>
    <cellStyle name="20% - Accent4 6 7 2 2 3" xfId="26701"/>
    <cellStyle name="20% - Accent4 6 7 2 3" xfId="12415"/>
    <cellStyle name="20% - Accent4 6 7 2 3 2" xfId="30072"/>
    <cellStyle name="20% - Accent4 6 7 2 4" xfId="23840"/>
    <cellStyle name="20% - Accent4 6 7 3" xfId="3694"/>
    <cellStyle name="20% - Accent4 6 7 3 2" xfId="8300"/>
    <cellStyle name="20% - Accent4 6 7 3 2 2" xfId="16090"/>
    <cellStyle name="20% - Accent4 6 7 3 2 2 2" xfId="33711"/>
    <cellStyle name="20% - Accent4 6 7 3 2 3" xfId="26700"/>
    <cellStyle name="20% - Accent4 6 7 3 3" xfId="12414"/>
    <cellStyle name="20% - Accent4 6 7 3 3 2" xfId="30071"/>
    <cellStyle name="20% - Accent4 6 7 3 4" xfId="23839"/>
    <cellStyle name="20% - Accent4 6 7 4" xfId="5672"/>
    <cellStyle name="20% - Accent4 6 7 4 2" xfId="8969"/>
    <cellStyle name="20% - Accent4 6 7 4 2 2" xfId="16758"/>
    <cellStyle name="20% - Accent4 6 7 4 2 2 2" xfId="34380"/>
    <cellStyle name="20% - Accent4 6 7 4 2 3" xfId="27343"/>
    <cellStyle name="20% - Accent4 6 7 4 3" xfId="13522"/>
    <cellStyle name="20% - Accent4 6 7 4 3 2" xfId="31148"/>
    <cellStyle name="20% - Accent4 6 7 4 4" xfId="24482"/>
    <cellStyle name="20% - Accent4 6 7 5" xfId="6302"/>
    <cellStyle name="20% - Accent4 6 7 5 2" xfId="9509"/>
    <cellStyle name="20% - Accent4 6 7 5 2 2" xfId="17297"/>
    <cellStyle name="20% - Accent4 6 7 5 2 2 2" xfId="34920"/>
    <cellStyle name="20% - Accent4 6 7 5 2 3" xfId="27879"/>
    <cellStyle name="20% - Accent4 6 7 5 3" xfId="14085"/>
    <cellStyle name="20% - Accent4 6 7 5 3 2" xfId="31706"/>
    <cellStyle name="20% - Accent4 6 7 5 4" xfId="25018"/>
    <cellStyle name="20% - Accent4 6 7 6" xfId="6839"/>
    <cellStyle name="20% - Accent4 6 7 6 2" xfId="10046"/>
    <cellStyle name="20% - Accent4 6 7 6 2 2" xfId="17833"/>
    <cellStyle name="20% - Accent4 6 7 6 2 2 2" xfId="35456"/>
    <cellStyle name="20% - Accent4 6 7 6 2 3" xfId="28415"/>
    <cellStyle name="20% - Accent4 6 7 6 3" xfId="14621"/>
    <cellStyle name="20% - Accent4 6 7 6 3 2" xfId="32242"/>
    <cellStyle name="20% - Accent4 6 7 6 4" xfId="25555"/>
    <cellStyle name="20% - Accent4 6 7 7" xfId="7664"/>
    <cellStyle name="20% - Accent4 6 7 7 2" xfId="15455"/>
    <cellStyle name="20% - Accent4 6 7 7 2 2" xfId="33076"/>
    <cellStyle name="20% - Accent4 6 7 7 3" xfId="26083"/>
    <cellStyle name="20% - Accent4 6 7 8" xfId="11235"/>
    <cellStyle name="20% - Accent4 6 7 8 2" xfId="28949"/>
    <cellStyle name="20% - Accent4 6 7 9" xfId="23222"/>
    <cellStyle name="20% - Accent4 6 8" xfId="3695"/>
    <cellStyle name="20% - Accent4 6 8 2" xfId="8302"/>
    <cellStyle name="20% - Accent4 6 8 2 2" xfId="16092"/>
    <cellStyle name="20% - Accent4 6 8 2 2 2" xfId="33713"/>
    <cellStyle name="20% - Accent4 6 8 2 3" xfId="26702"/>
    <cellStyle name="20% - Accent4 6 8 3" xfId="12416"/>
    <cellStyle name="20% - Accent4 6 8 3 2" xfId="30073"/>
    <cellStyle name="20% - Accent4 6 8 4" xfId="23841"/>
    <cellStyle name="20% - Accent4 6 9" xfId="3696"/>
    <cellStyle name="20% - Accent4 6 9 2" xfId="8303"/>
    <cellStyle name="20% - Accent4 6 9 2 2" xfId="16093"/>
    <cellStyle name="20% - Accent4 6 9 2 2 2" xfId="33714"/>
    <cellStyle name="20% - Accent4 6 9 2 3" xfId="26703"/>
    <cellStyle name="20% - Accent4 6 9 3" xfId="12417"/>
    <cellStyle name="20% - Accent4 6 9 3 2" xfId="30074"/>
    <cellStyle name="20% - Accent4 6 9 4" xfId="23842"/>
    <cellStyle name="20% - Accent4 7" xfId="484"/>
    <cellStyle name="20% - Accent4 7 10" xfId="3697"/>
    <cellStyle name="20% - Accent4 7 10 2" xfId="8304"/>
    <cellStyle name="20% - Accent4 7 10 2 2" xfId="16094"/>
    <cellStyle name="20% - Accent4 7 10 2 2 2" xfId="33715"/>
    <cellStyle name="20% - Accent4 7 10 2 3" xfId="26704"/>
    <cellStyle name="20% - Accent4 7 10 3" xfId="12418"/>
    <cellStyle name="20% - Accent4 7 10 3 2" xfId="30075"/>
    <cellStyle name="20% - Accent4 7 10 4" xfId="23843"/>
    <cellStyle name="20% - Accent4 7 11" xfId="5673"/>
    <cellStyle name="20% - Accent4 7 11 2" xfId="8970"/>
    <cellStyle name="20% - Accent4 7 11 2 2" xfId="16759"/>
    <cellStyle name="20% - Accent4 7 11 2 2 2" xfId="34381"/>
    <cellStyle name="20% - Accent4 7 11 2 3" xfId="27344"/>
    <cellStyle name="20% - Accent4 7 11 3" xfId="13523"/>
    <cellStyle name="20% - Accent4 7 11 3 2" xfId="31149"/>
    <cellStyle name="20% - Accent4 7 11 4" xfId="24483"/>
    <cellStyle name="20% - Accent4 7 12" xfId="6303"/>
    <cellStyle name="20% - Accent4 7 12 2" xfId="9510"/>
    <cellStyle name="20% - Accent4 7 12 2 2" xfId="17298"/>
    <cellStyle name="20% - Accent4 7 12 2 2 2" xfId="34921"/>
    <cellStyle name="20% - Accent4 7 12 2 3" xfId="27880"/>
    <cellStyle name="20% - Accent4 7 12 3" xfId="14086"/>
    <cellStyle name="20% - Accent4 7 12 3 2" xfId="31707"/>
    <cellStyle name="20% - Accent4 7 12 4" xfId="25019"/>
    <cellStyle name="20% - Accent4 7 13" xfId="6840"/>
    <cellStyle name="20% - Accent4 7 13 2" xfId="10047"/>
    <cellStyle name="20% - Accent4 7 13 2 2" xfId="17834"/>
    <cellStyle name="20% - Accent4 7 13 2 2 2" xfId="35457"/>
    <cellStyle name="20% - Accent4 7 13 2 3" xfId="28416"/>
    <cellStyle name="20% - Accent4 7 13 3" xfId="14622"/>
    <cellStyle name="20% - Accent4 7 13 3 2" xfId="32243"/>
    <cellStyle name="20% - Accent4 7 13 4" xfId="25556"/>
    <cellStyle name="20% - Accent4 7 14" xfId="7665"/>
    <cellStyle name="20% - Accent4 7 14 2" xfId="15456"/>
    <cellStyle name="20% - Accent4 7 14 2 2" xfId="33077"/>
    <cellStyle name="20% - Accent4 7 14 3" xfId="26084"/>
    <cellStyle name="20% - Accent4 7 15" xfId="11236"/>
    <cellStyle name="20% - Accent4 7 15 2" xfId="28950"/>
    <cellStyle name="20% - Accent4 7 16" xfId="22060"/>
    <cellStyle name="20% - Accent4 7 16 2" xfId="38750"/>
    <cellStyle name="20% - Accent4 7 17" xfId="23223"/>
    <cellStyle name="20% - Accent4 7 18" xfId="51762"/>
    <cellStyle name="20% - Accent4 7 2" xfId="485"/>
    <cellStyle name="20% - Accent4 7 2 10" xfId="51763"/>
    <cellStyle name="20% - Accent4 7 2 2" xfId="3698"/>
    <cellStyle name="20% - Accent4 7 2 2 2" xfId="8305"/>
    <cellStyle name="20% - Accent4 7 2 2 2 2" xfId="16095"/>
    <cellStyle name="20% - Accent4 7 2 2 2 2 2" xfId="33716"/>
    <cellStyle name="20% - Accent4 7 2 2 2 3" xfId="26705"/>
    <cellStyle name="20% - Accent4 7 2 2 3" xfId="12419"/>
    <cellStyle name="20% - Accent4 7 2 2 3 2" xfId="30076"/>
    <cellStyle name="20% - Accent4 7 2 2 4" xfId="23844"/>
    <cellStyle name="20% - Accent4 7 2 3" xfId="5674"/>
    <cellStyle name="20% - Accent4 7 2 3 2" xfId="8971"/>
    <cellStyle name="20% - Accent4 7 2 3 2 2" xfId="16760"/>
    <cellStyle name="20% - Accent4 7 2 3 2 2 2" xfId="34382"/>
    <cellStyle name="20% - Accent4 7 2 3 2 3" xfId="27345"/>
    <cellStyle name="20% - Accent4 7 2 3 3" xfId="13524"/>
    <cellStyle name="20% - Accent4 7 2 3 3 2" xfId="31150"/>
    <cellStyle name="20% - Accent4 7 2 3 4" xfId="24484"/>
    <cellStyle name="20% - Accent4 7 2 4" xfId="6304"/>
    <cellStyle name="20% - Accent4 7 2 4 2" xfId="9511"/>
    <cellStyle name="20% - Accent4 7 2 4 2 2" xfId="17299"/>
    <cellStyle name="20% - Accent4 7 2 4 2 2 2" xfId="34922"/>
    <cellStyle name="20% - Accent4 7 2 4 2 3" xfId="27881"/>
    <cellStyle name="20% - Accent4 7 2 4 3" xfId="14087"/>
    <cellStyle name="20% - Accent4 7 2 4 3 2" xfId="31708"/>
    <cellStyle name="20% - Accent4 7 2 4 4" xfId="25020"/>
    <cellStyle name="20% - Accent4 7 2 5" xfId="6841"/>
    <cellStyle name="20% - Accent4 7 2 5 2" xfId="10048"/>
    <cellStyle name="20% - Accent4 7 2 5 2 2" xfId="17835"/>
    <cellStyle name="20% - Accent4 7 2 5 2 2 2" xfId="35458"/>
    <cellStyle name="20% - Accent4 7 2 5 2 3" xfId="28417"/>
    <cellStyle name="20% - Accent4 7 2 5 3" xfId="14623"/>
    <cellStyle name="20% - Accent4 7 2 5 3 2" xfId="32244"/>
    <cellStyle name="20% - Accent4 7 2 5 4" xfId="25557"/>
    <cellStyle name="20% - Accent4 7 2 6" xfId="7666"/>
    <cellStyle name="20% - Accent4 7 2 6 2" xfId="15457"/>
    <cellStyle name="20% - Accent4 7 2 6 2 2" xfId="33078"/>
    <cellStyle name="20% - Accent4 7 2 6 3" xfId="26085"/>
    <cellStyle name="20% - Accent4 7 2 7" xfId="11237"/>
    <cellStyle name="20% - Accent4 7 2 7 2" xfId="28951"/>
    <cellStyle name="20% - Accent4 7 2 8" xfId="22708"/>
    <cellStyle name="20% - Accent4 7 2 8 2" xfId="38904"/>
    <cellStyle name="20% - Accent4 7 2 9" xfId="23224"/>
    <cellStyle name="20% - Accent4 7 3" xfId="486"/>
    <cellStyle name="20% - Accent4 7 3 10" xfId="23225"/>
    <cellStyle name="20% - Accent4 7 3 11" xfId="51764"/>
    <cellStyle name="20% - Accent4 7 3 2" xfId="487"/>
    <cellStyle name="20% - Accent4 7 3 2 2" xfId="3700"/>
    <cellStyle name="20% - Accent4 7 3 2 2 2" xfId="8307"/>
    <cellStyle name="20% - Accent4 7 3 2 2 2 2" xfId="16097"/>
    <cellStyle name="20% - Accent4 7 3 2 2 2 2 2" xfId="33718"/>
    <cellStyle name="20% - Accent4 7 3 2 2 2 3" xfId="26707"/>
    <cellStyle name="20% - Accent4 7 3 2 2 3" xfId="12421"/>
    <cellStyle name="20% - Accent4 7 3 2 2 3 2" xfId="30078"/>
    <cellStyle name="20% - Accent4 7 3 2 2 4" xfId="23846"/>
    <cellStyle name="20% - Accent4 7 3 2 3" xfId="5676"/>
    <cellStyle name="20% - Accent4 7 3 2 3 2" xfId="8973"/>
    <cellStyle name="20% - Accent4 7 3 2 3 2 2" xfId="16762"/>
    <cellStyle name="20% - Accent4 7 3 2 3 2 2 2" xfId="34384"/>
    <cellStyle name="20% - Accent4 7 3 2 3 2 3" xfId="27347"/>
    <cellStyle name="20% - Accent4 7 3 2 3 3" xfId="13526"/>
    <cellStyle name="20% - Accent4 7 3 2 3 3 2" xfId="31152"/>
    <cellStyle name="20% - Accent4 7 3 2 3 4" xfId="24486"/>
    <cellStyle name="20% - Accent4 7 3 2 4" xfId="6306"/>
    <cellStyle name="20% - Accent4 7 3 2 4 2" xfId="9513"/>
    <cellStyle name="20% - Accent4 7 3 2 4 2 2" xfId="17301"/>
    <cellStyle name="20% - Accent4 7 3 2 4 2 2 2" xfId="34924"/>
    <cellStyle name="20% - Accent4 7 3 2 4 2 3" xfId="27883"/>
    <cellStyle name="20% - Accent4 7 3 2 4 3" xfId="14089"/>
    <cellStyle name="20% - Accent4 7 3 2 4 3 2" xfId="31710"/>
    <cellStyle name="20% - Accent4 7 3 2 4 4" xfId="25022"/>
    <cellStyle name="20% - Accent4 7 3 2 5" xfId="6843"/>
    <cellStyle name="20% - Accent4 7 3 2 5 2" xfId="10050"/>
    <cellStyle name="20% - Accent4 7 3 2 5 2 2" xfId="17837"/>
    <cellStyle name="20% - Accent4 7 3 2 5 2 2 2" xfId="35460"/>
    <cellStyle name="20% - Accent4 7 3 2 5 2 3" xfId="28419"/>
    <cellStyle name="20% - Accent4 7 3 2 5 3" xfId="14625"/>
    <cellStyle name="20% - Accent4 7 3 2 5 3 2" xfId="32246"/>
    <cellStyle name="20% - Accent4 7 3 2 5 4" xfId="25559"/>
    <cellStyle name="20% - Accent4 7 3 2 6" xfId="7668"/>
    <cellStyle name="20% - Accent4 7 3 2 6 2" xfId="15459"/>
    <cellStyle name="20% - Accent4 7 3 2 6 2 2" xfId="33080"/>
    <cellStyle name="20% - Accent4 7 3 2 6 3" xfId="26087"/>
    <cellStyle name="20% - Accent4 7 3 2 7" xfId="11239"/>
    <cellStyle name="20% - Accent4 7 3 2 7 2" xfId="28953"/>
    <cellStyle name="20% - Accent4 7 3 2 8" xfId="23226"/>
    <cellStyle name="20% - Accent4 7 3 2 9" xfId="51765"/>
    <cellStyle name="20% - Accent4 7 3 3" xfId="3701"/>
    <cellStyle name="20% - Accent4 7 3 3 2" xfId="5677"/>
    <cellStyle name="20% - Accent4 7 3 3 2 2" xfId="8974"/>
    <cellStyle name="20% - Accent4 7 3 3 2 2 2" xfId="16763"/>
    <cellStyle name="20% - Accent4 7 3 3 2 2 2 2" xfId="34385"/>
    <cellStyle name="20% - Accent4 7 3 3 2 2 3" xfId="27348"/>
    <cellStyle name="20% - Accent4 7 3 3 2 3" xfId="13527"/>
    <cellStyle name="20% - Accent4 7 3 3 2 3 2" xfId="31153"/>
    <cellStyle name="20% - Accent4 7 3 3 2 4" xfId="24487"/>
    <cellStyle name="20% - Accent4 7 3 3 3" xfId="6307"/>
    <cellStyle name="20% - Accent4 7 3 3 3 2" xfId="9514"/>
    <cellStyle name="20% - Accent4 7 3 3 3 2 2" xfId="17302"/>
    <cellStyle name="20% - Accent4 7 3 3 3 2 2 2" xfId="34925"/>
    <cellStyle name="20% - Accent4 7 3 3 3 2 3" xfId="27884"/>
    <cellStyle name="20% - Accent4 7 3 3 3 3" xfId="14090"/>
    <cellStyle name="20% - Accent4 7 3 3 3 3 2" xfId="31711"/>
    <cellStyle name="20% - Accent4 7 3 3 3 4" xfId="25023"/>
    <cellStyle name="20% - Accent4 7 3 3 4" xfId="6844"/>
    <cellStyle name="20% - Accent4 7 3 3 4 2" xfId="10051"/>
    <cellStyle name="20% - Accent4 7 3 3 4 2 2" xfId="17838"/>
    <cellStyle name="20% - Accent4 7 3 3 4 2 2 2" xfId="35461"/>
    <cellStyle name="20% - Accent4 7 3 3 4 2 3" xfId="28420"/>
    <cellStyle name="20% - Accent4 7 3 3 4 3" xfId="14626"/>
    <cellStyle name="20% - Accent4 7 3 3 4 3 2" xfId="32247"/>
    <cellStyle name="20% - Accent4 7 3 3 4 4" xfId="25560"/>
    <cellStyle name="20% - Accent4 7 3 3 5" xfId="8308"/>
    <cellStyle name="20% - Accent4 7 3 3 5 2" xfId="16098"/>
    <cellStyle name="20% - Accent4 7 3 3 5 2 2" xfId="33719"/>
    <cellStyle name="20% - Accent4 7 3 3 5 3" xfId="26708"/>
    <cellStyle name="20% - Accent4 7 3 3 6" xfId="12422"/>
    <cellStyle name="20% - Accent4 7 3 3 6 2" xfId="30079"/>
    <cellStyle name="20% - Accent4 7 3 3 7" xfId="23847"/>
    <cellStyle name="20% - Accent4 7 3 4" xfId="3699"/>
    <cellStyle name="20% - Accent4 7 3 4 2" xfId="8306"/>
    <cellStyle name="20% - Accent4 7 3 4 2 2" xfId="16096"/>
    <cellStyle name="20% - Accent4 7 3 4 2 2 2" xfId="33717"/>
    <cellStyle name="20% - Accent4 7 3 4 2 3" xfId="26706"/>
    <cellStyle name="20% - Accent4 7 3 4 3" xfId="12420"/>
    <cellStyle name="20% - Accent4 7 3 4 3 2" xfId="30077"/>
    <cellStyle name="20% - Accent4 7 3 4 4" xfId="23845"/>
    <cellStyle name="20% - Accent4 7 3 5" xfId="5675"/>
    <cellStyle name="20% - Accent4 7 3 5 2" xfId="8972"/>
    <cellStyle name="20% - Accent4 7 3 5 2 2" xfId="16761"/>
    <cellStyle name="20% - Accent4 7 3 5 2 2 2" xfId="34383"/>
    <cellStyle name="20% - Accent4 7 3 5 2 3" xfId="27346"/>
    <cellStyle name="20% - Accent4 7 3 5 3" xfId="13525"/>
    <cellStyle name="20% - Accent4 7 3 5 3 2" xfId="31151"/>
    <cellStyle name="20% - Accent4 7 3 5 4" xfId="24485"/>
    <cellStyle name="20% - Accent4 7 3 6" xfId="6305"/>
    <cellStyle name="20% - Accent4 7 3 6 2" xfId="9512"/>
    <cellStyle name="20% - Accent4 7 3 6 2 2" xfId="17300"/>
    <cellStyle name="20% - Accent4 7 3 6 2 2 2" xfId="34923"/>
    <cellStyle name="20% - Accent4 7 3 6 2 3" xfId="27882"/>
    <cellStyle name="20% - Accent4 7 3 6 3" xfId="14088"/>
    <cellStyle name="20% - Accent4 7 3 6 3 2" xfId="31709"/>
    <cellStyle name="20% - Accent4 7 3 6 4" xfId="25021"/>
    <cellStyle name="20% - Accent4 7 3 7" xfId="6842"/>
    <cellStyle name="20% - Accent4 7 3 7 2" xfId="10049"/>
    <cellStyle name="20% - Accent4 7 3 7 2 2" xfId="17836"/>
    <cellStyle name="20% - Accent4 7 3 7 2 2 2" xfId="35459"/>
    <cellStyle name="20% - Accent4 7 3 7 2 3" xfId="28418"/>
    <cellStyle name="20% - Accent4 7 3 7 3" xfId="14624"/>
    <cellStyle name="20% - Accent4 7 3 7 3 2" xfId="32245"/>
    <cellStyle name="20% - Accent4 7 3 7 4" xfId="25558"/>
    <cellStyle name="20% - Accent4 7 3 8" xfId="7667"/>
    <cellStyle name="20% - Accent4 7 3 8 2" xfId="15458"/>
    <cellStyle name="20% - Accent4 7 3 8 2 2" xfId="33079"/>
    <cellStyle name="20% - Accent4 7 3 8 3" xfId="26086"/>
    <cellStyle name="20% - Accent4 7 3 9" xfId="11238"/>
    <cellStyle name="20% - Accent4 7 3 9 2" xfId="28952"/>
    <cellStyle name="20% - Accent4 7 4" xfId="488"/>
    <cellStyle name="20% - Accent4 7 4 2" xfId="3702"/>
    <cellStyle name="20% - Accent4 7 4 2 2" xfId="8309"/>
    <cellStyle name="20% - Accent4 7 4 2 2 2" xfId="16099"/>
    <cellStyle name="20% - Accent4 7 4 2 2 2 2" xfId="33720"/>
    <cellStyle name="20% - Accent4 7 4 2 2 3" xfId="26709"/>
    <cellStyle name="20% - Accent4 7 4 2 3" xfId="12423"/>
    <cellStyle name="20% - Accent4 7 4 2 3 2" xfId="30080"/>
    <cellStyle name="20% - Accent4 7 4 2 4" xfId="23848"/>
    <cellStyle name="20% - Accent4 7 4 3" xfId="5678"/>
    <cellStyle name="20% - Accent4 7 4 3 2" xfId="8975"/>
    <cellStyle name="20% - Accent4 7 4 3 2 2" xfId="16764"/>
    <cellStyle name="20% - Accent4 7 4 3 2 2 2" xfId="34386"/>
    <cellStyle name="20% - Accent4 7 4 3 2 3" xfId="27349"/>
    <cellStyle name="20% - Accent4 7 4 3 3" xfId="13528"/>
    <cellStyle name="20% - Accent4 7 4 3 3 2" xfId="31154"/>
    <cellStyle name="20% - Accent4 7 4 3 4" xfId="24488"/>
    <cellStyle name="20% - Accent4 7 4 4" xfId="6308"/>
    <cellStyle name="20% - Accent4 7 4 4 2" xfId="9515"/>
    <cellStyle name="20% - Accent4 7 4 4 2 2" xfId="17303"/>
    <cellStyle name="20% - Accent4 7 4 4 2 2 2" xfId="34926"/>
    <cellStyle name="20% - Accent4 7 4 4 2 3" xfId="27885"/>
    <cellStyle name="20% - Accent4 7 4 4 3" xfId="14091"/>
    <cellStyle name="20% - Accent4 7 4 4 3 2" xfId="31712"/>
    <cellStyle name="20% - Accent4 7 4 4 4" xfId="25024"/>
    <cellStyle name="20% - Accent4 7 4 5" xfId="6845"/>
    <cellStyle name="20% - Accent4 7 4 5 2" xfId="10052"/>
    <cellStyle name="20% - Accent4 7 4 5 2 2" xfId="17839"/>
    <cellStyle name="20% - Accent4 7 4 5 2 2 2" xfId="35462"/>
    <cellStyle name="20% - Accent4 7 4 5 2 3" xfId="28421"/>
    <cellStyle name="20% - Accent4 7 4 5 3" xfId="14627"/>
    <cellStyle name="20% - Accent4 7 4 5 3 2" xfId="32248"/>
    <cellStyle name="20% - Accent4 7 4 5 4" xfId="25561"/>
    <cellStyle name="20% - Accent4 7 4 6" xfId="7669"/>
    <cellStyle name="20% - Accent4 7 4 6 2" xfId="15460"/>
    <cellStyle name="20% - Accent4 7 4 6 2 2" xfId="33081"/>
    <cellStyle name="20% - Accent4 7 4 6 3" xfId="26088"/>
    <cellStyle name="20% - Accent4 7 4 7" xfId="11240"/>
    <cellStyle name="20% - Accent4 7 4 7 2" xfId="28954"/>
    <cellStyle name="20% - Accent4 7 4 8" xfId="23227"/>
    <cellStyle name="20% - Accent4 7 4 9" xfId="51766"/>
    <cellStyle name="20% - Accent4 7 5" xfId="489"/>
    <cellStyle name="20% - Accent4 7 5 2" xfId="3703"/>
    <cellStyle name="20% - Accent4 7 5 2 2" xfId="8310"/>
    <cellStyle name="20% - Accent4 7 5 2 2 2" xfId="16100"/>
    <cellStyle name="20% - Accent4 7 5 2 2 2 2" xfId="33721"/>
    <cellStyle name="20% - Accent4 7 5 2 2 3" xfId="26710"/>
    <cellStyle name="20% - Accent4 7 5 2 3" xfId="12424"/>
    <cellStyle name="20% - Accent4 7 5 2 3 2" xfId="30081"/>
    <cellStyle name="20% - Accent4 7 5 2 4" xfId="23849"/>
    <cellStyle name="20% - Accent4 7 5 3" xfId="5679"/>
    <cellStyle name="20% - Accent4 7 5 3 2" xfId="8976"/>
    <cellStyle name="20% - Accent4 7 5 3 2 2" xfId="16765"/>
    <cellStyle name="20% - Accent4 7 5 3 2 2 2" xfId="34387"/>
    <cellStyle name="20% - Accent4 7 5 3 2 3" xfId="27350"/>
    <cellStyle name="20% - Accent4 7 5 3 3" xfId="13529"/>
    <cellStyle name="20% - Accent4 7 5 3 3 2" xfId="31155"/>
    <cellStyle name="20% - Accent4 7 5 3 4" xfId="24489"/>
    <cellStyle name="20% - Accent4 7 5 4" xfId="6309"/>
    <cellStyle name="20% - Accent4 7 5 4 2" xfId="9516"/>
    <cellStyle name="20% - Accent4 7 5 4 2 2" xfId="17304"/>
    <cellStyle name="20% - Accent4 7 5 4 2 2 2" xfId="34927"/>
    <cellStyle name="20% - Accent4 7 5 4 2 3" xfId="27886"/>
    <cellStyle name="20% - Accent4 7 5 4 3" xfId="14092"/>
    <cellStyle name="20% - Accent4 7 5 4 3 2" xfId="31713"/>
    <cellStyle name="20% - Accent4 7 5 4 4" xfId="25025"/>
    <cellStyle name="20% - Accent4 7 5 5" xfId="6846"/>
    <cellStyle name="20% - Accent4 7 5 5 2" xfId="10053"/>
    <cellStyle name="20% - Accent4 7 5 5 2 2" xfId="17840"/>
    <cellStyle name="20% - Accent4 7 5 5 2 2 2" xfId="35463"/>
    <cellStyle name="20% - Accent4 7 5 5 2 3" xfId="28422"/>
    <cellStyle name="20% - Accent4 7 5 5 3" xfId="14628"/>
    <cellStyle name="20% - Accent4 7 5 5 3 2" xfId="32249"/>
    <cellStyle name="20% - Accent4 7 5 5 4" xfId="25562"/>
    <cellStyle name="20% - Accent4 7 5 6" xfId="7670"/>
    <cellStyle name="20% - Accent4 7 5 6 2" xfId="15461"/>
    <cellStyle name="20% - Accent4 7 5 6 2 2" xfId="33082"/>
    <cellStyle name="20% - Accent4 7 5 6 3" xfId="26089"/>
    <cellStyle name="20% - Accent4 7 5 7" xfId="11241"/>
    <cellStyle name="20% - Accent4 7 5 7 2" xfId="28955"/>
    <cellStyle name="20% - Accent4 7 5 8" xfId="23228"/>
    <cellStyle name="20% - Accent4 7 5 9" xfId="51767"/>
    <cellStyle name="20% - Accent4 7 6" xfId="490"/>
    <cellStyle name="20% - Accent4 7 6 2" xfId="3704"/>
    <cellStyle name="20% - Accent4 7 6 2 2" xfId="8311"/>
    <cellStyle name="20% - Accent4 7 6 2 2 2" xfId="16101"/>
    <cellStyle name="20% - Accent4 7 6 2 2 2 2" xfId="33722"/>
    <cellStyle name="20% - Accent4 7 6 2 2 3" xfId="26711"/>
    <cellStyle name="20% - Accent4 7 6 2 3" xfId="12425"/>
    <cellStyle name="20% - Accent4 7 6 2 3 2" xfId="30082"/>
    <cellStyle name="20% - Accent4 7 6 2 4" xfId="23850"/>
    <cellStyle name="20% - Accent4 7 6 3" xfId="5680"/>
    <cellStyle name="20% - Accent4 7 6 3 2" xfId="8977"/>
    <cellStyle name="20% - Accent4 7 6 3 2 2" xfId="16766"/>
    <cellStyle name="20% - Accent4 7 6 3 2 2 2" xfId="34388"/>
    <cellStyle name="20% - Accent4 7 6 3 2 3" xfId="27351"/>
    <cellStyle name="20% - Accent4 7 6 3 3" xfId="13530"/>
    <cellStyle name="20% - Accent4 7 6 3 3 2" xfId="31156"/>
    <cellStyle name="20% - Accent4 7 6 3 4" xfId="24490"/>
    <cellStyle name="20% - Accent4 7 6 4" xfId="6310"/>
    <cellStyle name="20% - Accent4 7 6 4 2" xfId="9517"/>
    <cellStyle name="20% - Accent4 7 6 4 2 2" xfId="17305"/>
    <cellStyle name="20% - Accent4 7 6 4 2 2 2" xfId="34928"/>
    <cellStyle name="20% - Accent4 7 6 4 2 3" xfId="27887"/>
    <cellStyle name="20% - Accent4 7 6 4 3" xfId="14093"/>
    <cellStyle name="20% - Accent4 7 6 4 3 2" xfId="31714"/>
    <cellStyle name="20% - Accent4 7 6 4 4" xfId="25026"/>
    <cellStyle name="20% - Accent4 7 6 5" xfId="6847"/>
    <cellStyle name="20% - Accent4 7 6 5 2" xfId="10054"/>
    <cellStyle name="20% - Accent4 7 6 5 2 2" xfId="17841"/>
    <cellStyle name="20% - Accent4 7 6 5 2 2 2" xfId="35464"/>
    <cellStyle name="20% - Accent4 7 6 5 2 3" xfId="28423"/>
    <cellStyle name="20% - Accent4 7 6 5 3" xfId="14629"/>
    <cellStyle name="20% - Accent4 7 6 5 3 2" xfId="32250"/>
    <cellStyle name="20% - Accent4 7 6 5 4" xfId="25563"/>
    <cellStyle name="20% - Accent4 7 6 6" xfId="7671"/>
    <cellStyle name="20% - Accent4 7 6 6 2" xfId="15462"/>
    <cellStyle name="20% - Accent4 7 6 6 2 2" xfId="33083"/>
    <cellStyle name="20% - Accent4 7 6 6 3" xfId="26090"/>
    <cellStyle name="20% - Accent4 7 6 7" xfId="11242"/>
    <cellStyle name="20% - Accent4 7 6 7 2" xfId="28956"/>
    <cellStyle name="20% - Accent4 7 6 8" xfId="23229"/>
    <cellStyle name="20% - Accent4 7 6 9" xfId="51768"/>
    <cellStyle name="20% - Accent4 7 7" xfId="491"/>
    <cellStyle name="20% - Accent4 7 7 10" xfId="51769"/>
    <cellStyle name="20% - Accent4 7 7 2" xfId="492"/>
    <cellStyle name="20% - Accent4 7 7 2 2" xfId="8313"/>
    <cellStyle name="20% - Accent4 7 7 2 2 2" xfId="16103"/>
    <cellStyle name="20% - Accent4 7 7 2 2 2 2" xfId="33724"/>
    <cellStyle name="20% - Accent4 7 7 2 2 3" xfId="26713"/>
    <cellStyle name="20% - Accent4 7 7 2 3" xfId="12427"/>
    <cellStyle name="20% - Accent4 7 7 2 3 2" xfId="30084"/>
    <cellStyle name="20% - Accent4 7 7 2 4" xfId="23852"/>
    <cellStyle name="20% - Accent4 7 7 3" xfId="3705"/>
    <cellStyle name="20% - Accent4 7 7 3 2" xfId="8312"/>
    <cellStyle name="20% - Accent4 7 7 3 2 2" xfId="16102"/>
    <cellStyle name="20% - Accent4 7 7 3 2 2 2" xfId="33723"/>
    <cellStyle name="20% - Accent4 7 7 3 2 3" xfId="26712"/>
    <cellStyle name="20% - Accent4 7 7 3 3" xfId="12426"/>
    <cellStyle name="20% - Accent4 7 7 3 3 2" xfId="30083"/>
    <cellStyle name="20% - Accent4 7 7 3 4" xfId="23851"/>
    <cellStyle name="20% - Accent4 7 7 4" xfId="5681"/>
    <cellStyle name="20% - Accent4 7 7 4 2" xfId="8978"/>
    <cellStyle name="20% - Accent4 7 7 4 2 2" xfId="16767"/>
    <cellStyle name="20% - Accent4 7 7 4 2 2 2" xfId="34389"/>
    <cellStyle name="20% - Accent4 7 7 4 2 3" xfId="27352"/>
    <cellStyle name="20% - Accent4 7 7 4 3" xfId="13531"/>
    <cellStyle name="20% - Accent4 7 7 4 3 2" xfId="31157"/>
    <cellStyle name="20% - Accent4 7 7 4 4" xfId="24491"/>
    <cellStyle name="20% - Accent4 7 7 5" xfId="6311"/>
    <cellStyle name="20% - Accent4 7 7 5 2" xfId="9518"/>
    <cellStyle name="20% - Accent4 7 7 5 2 2" xfId="17306"/>
    <cellStyle name="20% - Accent4 7 7 5 2 2 2" xfId="34929"/>
    <cellStyle name="20% - Accent4 7 7 5 2 3" xfId="27888"/>
    <cellStyle name="20% - Accent4 7 7 5 3" xfId="14094"/>
    <cellStyle name="20% - Accent4 7 7 5 3 2" xfId="31715"/>
    <cellStyle name="20% - Accent4 7 7 5 4" xfId="25027"/>
    <cellStyle name="20% - Accent4 7 7 6" xfId="6848"/>
    <cellStyle name="20% - Accent4 7 7 6 2" xfId="10055"/>
    <cellStyle name="20% - Accent4 7 7 6 2 2" xfId="17842"/>
    <cellStyle name="20% - Accent4 7 7 6 2 2 2" xfId="35465"/>
    <cellStyle name="20% - Accent4 7 7 6 2 3" xfId="28424"/>
    <cellStyle name="20% - Accent4 7 7 6 3" xfId="14630"/>
    <cellStyle name="20% - Accent4 7 7 6 3 2" xfId="32251"/>
    <cellStyle name="20% - Accent4 7 7 6 4" xfId="25564"/>
    <cellStyle name="20% - Accent4 7 7 7" xfId="7672"/>
    <cellStyle name="20% - Accent4 7 7 7 2" xfId="15463"/>
    <cellStyle name="20% - Accent4 7 7 7 2 2" xfId="33084"/>
    <cellStyle name="20% - Accent4 7 7 7 3" xfId="26091"/>
    <cellStyle name="20% - Accent4 7 7 8" xfId="11243"/>
    <cellStyle name="20% - Accent4 7 7 8 2" xfId="28957"/>
    <cellStyle name="20% - Accent4 7 7 9" xfId="23230"/>
    <cellStyle name="20% - Accent4 7 8" xfId="3706"/>
    <cellStyle name="20% - Accent4 7 8 2" xfId="8314"/>
    <cellStyle name="20% - Accent4 7 8 2 2" xfId="16104"/>
    <cellStyle name="20% - Accent4 7 8 2 2 2" xfId="33725"/>
    <cellStyle name="20% - Accent4 7 8 2 3" xfId="26714"/>
    <cellStyle name="20% - Accent4 7 8 3" xfId="12428"/>
    <cellStyle name="20% - Accent4 7 8 3 2" xfId="30085"/>
    <cellStyle name="20% - Accent4 7 8 4" xfId="23853"/>
    <cellStyle name="20% - Accent4 7 9" xfId="3707"/>
    <cellStyle name="20% - Accent4 7 9 2" xfId="8315"/>
    <cellStyle name="20% - Accent4 7 9 2 2" xfId="16105"/>
    <cellStyle name="20% - Accent4 7 9 2 2 2" xfId="33726"/>
    <cellStyle name="20% - Accent4 7 9 2 3" xfId="26715"/>
    <cellStyle name="20% - Accent4 7 9 3" xfId="12429"/>
    <cellStyle name="20% - Accent4 7 9 3 2" xfId="30086"/>
    <cellStyle name="20% - Accent4 7 9 4" xfId="23854"/>
    <cellStyle name="20% - Accent4 8" xfId="493"/>
    <cellStyle name="20% - Accent4 8 10" xfId="3708"/>
    <cellStyle name="20% - Accent4 8 10 2" xfId="8316"/>
    <cellStyle name="20% - Accent4 8 10 2 2" xfId="16106"/>
    <cellStyle name="20% - Accent4 8 10 2 2 2" xfId="33727"/>
    <cellStyle name="20% - Accent4 8 10 2 3" xfId="26716"/>
    <cellStyle name="20% - Accent4 8 10 3" xfId="12430"/>
    <cellStyle name="20% - Accent4 8 10 3 2" xfId="30087"/>
    <cellStyle name="20% - Accent4 8 10 4" xfId="23855"/>
    <cellStyle name="20% - Accent4 8 11" xfId="5682"/>
    <cellStyle name="20% - Accent4 8 11 2" xfId="8979"/>
    <cellStyle name="20% - Accent4 8 11 2 2" xfId="16768"/>
    <cellStyle name="20% - Accent4 8 11 2 2 2" xfId="34390"/>
    <cellStyle name="20% - Accent4 8 11 2 3" xfId="27353"/>
    <cellStyle name="20% - Accent4 8 11 3" xfId="13532"/>
    <cellStyle name="20% - Accent4 8 11 3 2" xfId="31158"/>
    <cellStyle name="20% - Accent4 8 11 4" xfId="24492"/>
    <cellStyle name="20% - Accent4 8 12" xfId="6312"/>
    <cellStyle name="20% - Accent4 8 12 2" xfId="9519"/>
    <cellStyle name="20% - Accent4 8 12 2 2" xfId="17307"/>
    <cellStyle name="20% - Accent4 8 12 2 2 2" xfId="34930"/>
    <cellStyle name="20% - Accent4 8 12 2 3" xfId="27889"/>
    <cellStyle name="20% - Accent4 8 12 3" xfId="14095"/>
    <cellStyle name="20% - Accent4 8 12 3 2" xfId="31716"/>
    <cellStyle name="20% - Accent4 8 12 4" xfId="25028"/>
    <cellStyle name="20% - Accent4 8 13" xfId="6849"/>
    <cellStyle name="20% - Accent4 8 13 2" xfId="10056"/>
    <cellStyle name="20% - Accent4 8 13 2 2" xfId="17843"/>
    <cellStyle name="20% - Accent4 8 13 2 2 2" xfId="35466"/>
    <cellStyle name="20% - Accent4 8 13 2 3" xfId="28425"/>
    <cellStyle name="20% - Accent4 8 13 3" xfId="14631"/>
    <cellStyle name="20% - Accent4 8 13 3 2" xfId="32252"/>
    <cellStyle name="20% - Accent4 8 13 4" xfId="25565"/>
    <cellStyle name="20% - Accent4 8 14" xfId="7673"/>
    <cellStyle name="20% - Accent4 8 14 2" xfId="15464"/>
    <cellStyle name="20% - Accent4 8 14 2 2" xfId="33085"/>
    <cellStyle name="20% - Accent4 8 14 3" xfId="26092"/>
    <cellStyle name="20% - Accent4 8 15" xfId="11244"/>
    <cellStyle name="20% - Accent4 8 15 2" xfId="28958"/>
    <cellStyle name="20% - Accent4 8 16" xfId="22061"/>
    <cellStyle name="20% - Accent4 8 16 2" xfId="38751"/>
    <cellStyle name="20% - Accent4 8 17" xfId="23231"/>
    <cellStyle name="20% - Accent4 8 18" xfId="51770"/>
    <cellStyle name="20% - Accent4 8 2" xfId="494"/>
    <cellStyle name="20% - Accent4 8 2 10" xfId="51771"/>
    <cellStyle name="20% - Accent4 8 2 2" xfId="3709"/>
    <cellStyle name="20% - Accent4 8 2 2 2" xfId="8317"/>
    <cellStyle name="20% - Accent4 8 2 2 2 2" xfId="16107"/>
    <cellStyle name="20% - Accent4 8 2 2 2 2 2" xfId="33728"/>
    <cellStyle name="20% - Accent4 8 2 2 2 3" xfId="26717"/>
    <cellStyle name="20% - Accent4 8 2 2 3" xfId="12431"/>
    <cellStyle name="20% - Accent4 8 2 2 3 2" xfId="30088"/>
    <cellStyle name="20% - Accent4 8 2 2 4" xfId="22710"/>
    <cellStyle name="20% - Accent4 8 2 2 4 2" xfId="38906"/>
    <cellStyle name="20% - Accent4 8 2 2 5" xfId="23856"/>
    <cellStyle name="20% - Accent4 8 2 3" xfId="5683"/>
    <cellStyle name="20% - Accent4 8 2 3 2" xfId="8980"/>
    <cellStyle name="20% - Accent4 8 2 3 2 2" xfId="16769"/>
    <cellStyle name="20% - Accent4 8 2 3 2 2 2" xfId="34391"/>
    <cellStyle name="20% - Accent4 8 2 3 2 3" xfId="27354"/>
    <cellStyle name="20% - Accent4 8 2 3 3" xfId="13533"/>
    <cellStyle name="20% - Accent4 8 2 3 3 2" xfId="31159"/>
    <cellStyle name="20% - Accent4 8 2 3 4" xfId="24493"/>
    <cellStyle name="20% - Accent4 8 2 4" xfId="6313"/>
    <cellStyle name="20% - Accent4 8 2 4 2" xfId="9520"/>
    <cellStyle name="20% - Accent4 8 2 4 2 2" xfId="17308"/>
    <cellStyle name="20% - Accent4 8 2 4 2 2 2" xfId="34931"/>
    <cellStyle name="20% - Accent4 8 2 4 2 3" xfId="27890"/>
    <cellStyle name="20% - Accent4 8 2 4 3" xfId="14096"/>
    <cellStyle name="20% - Accent4 8 2 4 3 2" xfId="31717"/>
    <cellStyle name="20% - Accent4 8 2 4 4" xfId="25029"/>
    <cellStyle name="20% - Accent4 8 2 5" xfId="6850"/>
    <cellStyle name="20% - Accent4 8 2 5 2" xfId="10057"/>
    <cellStyle name="20% - Accent4 8 2 5 2 2" xfId="17844"/>
    <cellStyle name="20% - Accent4 8 2 5 2 2 2" xfId="35467"/>
    <cellStyle name="20% - Accent4 8 2 5 2 3" xfId="28426"/>
    <cellStyle name="20% - Accent4 8 2 5 3" xfId="14632"/>
    <cellStyle name="20% - Accent4 8 2 5 3 2" xfId="32253"/>
    <cellStyle name="20% - Accent4 8 2 5 4" xfId="25566"/>
    <cellStyle name="20% - Accent4 8 2 6" xfId="7674"/>
    <cellStyle name="20% - Accent4 8 2 6 2" xfId="15465"/>
    <cellStyle name="20% - Accent4 8 2 6 2 2" xfId="33086"/>
    <cellStyle name="20% - Accent4 8 2 6 3" xfId="26093"/>
    <cellStyle name="20% - Accent4 8 2 7" xfId="11245"/>
    <cellStyle name="20% - Accent4 8 2 7 2" xfId="28959"/>
    <cellStyle name="20% - Accent4 8 2 8" xfId="22062"/>
    <cellStyle name="20% - Accent4 8 2 8 2" xfId="38752"/>
    <cellStyle name="20% - Accent4 8 2 9" xfId="23232"/>
    <cellStyle name="20% - Accent4 8 3" xfId="495"/>
    <cellStyle name="20% - Accent4 8 3 10" xfId="22709"/>
    <cellStyle name="20% - Accent4 8 3 10 2" xfId="38905"/>
    <cellStyle name="20% - Accent4 8 3 11" xfId="23233"/>
    <cellStyle name="20% - Accent4 8 3 12" xfId="51772"/>
    <cellStyle name="20% - Accent4 8 3 2" xfId="496"/>
    <cellStyle name="20% - Accent4 8 3 2 2" xfId="3711"/>
    <cellStyle name="20% - Accent4 8 3 2 2 2" xfId="8319"/>
    <cellStyle name="20% - Accent4 8 3 2 2 2 2" xfId="16109"/>
    <cellStyle name="20% - Accent4 8 3 2 2 2 2 2" xfId="33730"/>
    <cellStyle name="20% - Accent4 8 3 2 2 2 3" xfId="26719"/>
    <cellStyle name="20% - Accent4 8 3 2 2 3" xfId="12433"/>
    <cellStyle name="20% - Accent4 8 3 2 2 3 2" xfId="30090"/>
    <cellStyle name="20% - Accent4 8 3 2 2 4" xfId="23858"/>
    <cellStyle name="20% - Accent4 8 3 2 3" xfId="5685"/>
    <cellStyle name="20% - Accent4 8 3 2 3 2" xfId="8982"/>
    <cellStyle name="20% - Accent4 8 3 2 3 2 2" xfId="16771"/>
    <cellStyle name="20% - Accent4 8 3 2 3 2 2 2" xfId="34393"/>
    <cellStyle name="20% - Accent4 8 3 2 3 2 3" xfId="27356"/>
    <cellStyle name="20% - Accent4 8 3 2 3 3" xfId="13535"/>
    <cellStyle name="20% - Accent4 8 3 2 3 3 2" xfId="31161"/>
    <cellStyle name="20% - Accent4 8 3 2 3 4" xfId="24495"/>
    <cellStyle name="20% - Accent4 8 3 2 4" xfId="6315"/>
    <cellStyle name="20% - Accent4 8 3 2 4 2" xfId="9522"/>
    <cellStyle name="20% - Accent4 8 3 2 4 2 2" xfId="17310"/>
    <cellStyle name="20% - Accent4 8 3 2 4 2 2 2" xfId="34933"/>
    <cellStyle name="20% - Accent4 8 3 2 4 2 3" xfId="27892"/>
    <cellStyle name="20% - Accent4 8 3 2 4 3" xfId="14098"/>
    <cellStyle name="20% - Accent4 8 3 2 4 3 2" xfId="31719"/>
    <cellStyle name="20% - Accent4 8 3 2 4 4" xfId="25031"/>
    <cellStyle name="20% - Accent4 8 3 2 5" xfId="6852"/>
    <cellStyle name="20% - Accent4 8 3 2 5 2" xfId="10059"/>
    <cellStyle name="20% - Accent4 8 3 2 5 2 2" xfId="17846"/>
    <cellStyle name="20% - Accent4 8 3 2 5 2 2 2" xfId="35469"/>
    <cellStyle name="20% - Accent4 8 3 2 5 2 3" xfId="28428"/>
    <cellStyle name="20% - Accent4 8 3 2 5 3" xfId="14634"/>
    <cellStyle name="20% - Accent4 8 3 2 5 3 2" xfId="32255"/>
    <cellStyle name="20% - Accent4 8 3 2 5 4" xfId="25568"/>
    <cellStyle name="20% - Accent4 8 3 2 6" xfId="7676"/>
    <cellStyle name="20% - Accent4 8 3 2 6 2" xfId="15467"/>
    <cellStyle name="20% - Accent4 8 3 2 6 2 2" xfId="33088"/>
    <cellStyle name="20% - Accent4 8 3 2 6 3" xfId="26095"/>
    <cellStyle name="20% - Accent4 8 3 2 7" xfId="11247"/>
    <cellStyle name="20% - Accent4 8 3 2 7 2" xfId="28961"/>
    <cellStyle name="20% - Accent4 8 3 2 8" xfId="23234"/>
    <cellStyle name="20% - Accent4 8 3 2 9" xfId="51773"/>
    <cellStyle name="20% - Accent4 8 3 3" xfId="3712"/>
    <cellStyle name="20% - Accent4 8 3 3 2" xfId="5686"/>
    <cellStyle name="20% - Accent4 8 3 3 2 2" xfId="8983"/>
    <cellStyle name="20% - Accent4 8 3 3 2 2 2" xfId="16772"/>
    <cellStyle name="20% - Accent4 8 3 3 2 2 2 2" xfId="34394"/>
    <cellStyle name="20% - Accent4 8 3 3 2 2 3" xfId="27357"/>
    <cellStyle name="20% - Accent4 8 3 3 2 3" xfId="13536"/>
    <cellStyle name="20% - Accent4 8 3 3 2 3 2" xfId="31162"/>
    <cellStyle name="20% - Accent4 8 3 3 2 4" xfId="24496"/>
    <cellStyle name="20% - Accent4 8 3 3 3" xfId="6316"/>
    <cellStyle name="20% - Accent4 8 3 3 3 2" xfId="9523"/>
    <cellStyle name="20% - Accent4 8 3 3 3 2 2" xfId="17311"/>
    <cellStyle name="20% - Accent4 8 3 3 3 2 2 2" xfId="34934"/>
    <cellStyle name="20% - Accent4 8 3 3 3 2 3" xfId="27893"/>
    <cellStyle name="20% - Accent4 8 3 3 3 3" xfId="14099"/>
    <cellStyle name="20% - Accent4 8 3 3 3 3 2" xfId="31720"/>
    <cellStyle name="20% - Accent4 8 3 3 3 4" xfId="25032"/>
    <cellStyle name="20% - Accent4 8 3 3 4" xfId="6853"/>
    <cellStyle name="20% - Accent4 8 3 3 4 2" xfId="10060"/>
    <cellStyle name="20% - Accent4 8 3 3 4 2 2" xfId="17847"/>
    <cellStyle name="20% - Accent4 8 3 3 4 2 2 2" xfId="35470"/>
    <cellStyle name="20% - Accent4 8 3 3 4 2 3" xfId="28429"/>
    <cellStyle name="20% - Accent4 8 3 3 4 3" xfId="14635"/>
    <cellStyle name="20% - Accent4 8 3 3 4 3 2" xfId="32256"/>
    <cellStyle name="20% - Accent4 8 3 3 4 4" xfId="25569"/>
    <cellStyle name="20% - Accent4 8 3 3 5" xfId="8320"/>
    <cellStyle name="20% - Accent4 8 3 3 5 2" xfId="16110"/>
    <cellStyle name="20% - Accent4 8 3 3 5 2 2" xfId="33731"/>
    <cellStyle name="20% - Accent4 8 3 3 5 3" xfId="26720"/>
    <cellStyle name="20% - Accent4 8 3 3 6" xfId="12434"/>
    <cellStyle name="20% - Accent4 8 3 3 6 2" xfId="30091"/>
    <cellStyle name="20% - Accent4 8 3 3 7" xfId="23859"/>
    <cellStyle name="20% - Accent4 8 3 4" xfId="3710"/>
    <cellStyle name="20% - Accent4 8 3 4 2" xfId="8318"/>
    <cellStyle name="20% - Accent4 8 3 4 2 2" xfId="16108"/>
    <cellStyle name="20% - Accent4 8 3 4 2 2 2" xfId="33729"/>
    <cellStyle name="20% - Accent4 8 3 4 2 3" xfId="26718"/>
    <cellStyle name="20% - Accent4 8 3 4 3" xfId="12432"/>
    <cellStyle name="20% - Accent4 8 3 4 3 2" xfId="30089"/>
    <cellStyle name="20% - Accent4 8 3 4 4" xfId="23857"/>
    <cellStyle name="20% - Accent4 8 3 5" xfId="5684"/>
    <cellStyle name="20% - Accent4 8 3 5 2" xfId="8981"/>
    <cellStyle name="20% - Accent4 8 3 5 2 2" xfId="16770"/>
    <cellStyle name="20% - Accent4 8 3 5 2 2 2" xfId="34392"/>
    <cellStyle name="20% - Accent4 8 3 5 2 3" xfId="27355"/>
    <cellStyle name="20% - Accent4 8 3 5 3" xfId="13534"/>
    <cellStyle name="20% - Accent4 8 3 5 3 2" xfId="31160"/>
    <cellStyle name="20% - Accent4 8 3 5 4" xfId="24494"/>
    <cellStyle name="20% - Accent4 8 3 6" xfId="6314"/>
    <cellStyle name="20% - Accent4 8 3 6 2" xfId="9521"/>
    <cellStyle name="20% - Accent4 8 3 6 2 2" xfId="17309"/>
    <cellStyle name="20% - Accent4 8 3 6 2 2 2" xfId="34932"/>
    <cellStyle name="20% - Accent4 8 3 6 2 3" xfId="27891"/>
    <cellStyle name="20% - Accent4 8 3 6 3" xfId="14097"/>
    <cellStyle name="20% - Accent4 8 3 6 3 2" xfId="31718"/>
    <cellStyle name="20% - Accent4 8 3 6 4" xfId="25030"/>
    <cellStyle name="20% - Accent4 8 3 7" xfId="6851"/>
    <cellStyle name="20% - Accent4 8 3 7 2" xfId="10058"/>
    <cellStyle name="20% - Accent4 8 3 7 2 2" xfId="17845"/>
    <cellStyle name="20% - Accent4 8 3 7 2 2 2" xfId="35468"/>
    <cellStyle name="20% - Accent4 8 3 7 2 3" xfId="28427"/>
    <cellStyle name="20% - Accent4 8 3 7 3" xfId="14633"/>
    <cellStyle name="20% - Accent4 8 3 7 3 2" xfId="32254"/>
    <cellStyle name="20% - Accent4 8 3 7 4" xfId="25567"/>
    <cellStyle name="20% - Accent4 8 3 8" xfId="7675"/>
    <cellStyle name="20% - Accent4 8 3 8 2" xfId="15466"/>
    <cellStyle name="20% - Accent4 8 3 8 2 2" xfId="33087"/>
    <cellStyle name="20% - Accent4 8 3 8 3" xfId="26094"/>
    <cellStyle name="20% - Accent4 8 3 9" xfId="11246"/>
    <cellStyle name="20% - Accent4 8 3 9 2" xfId="28960"/>
    <cellStyle name="20% - Accent4 8 4" xfId="497"/>
    <cellStyle name="20% - Accent4 8 4 2" xfId="3713"/>
    <cellStyle name="20% - Accent4 8 4 2 2" xfId="8321"/>
    <cellStyle name="20% - Accent4 8 4 2 2 2" xfId="16111"/>
    <cellStyle name="20% - Accent4 8 4 2 2 2 2" xfId="33732"/>
    <cellStyle name="20% - Accent4 8 4 2 2 3" xfId="26721"/>
    <cellStyle name="20% - Accent4 8 4 2 3" xfId="12435"/>
    <cellStyle name="20% - Accent4 8 4 2 3 2" xfId="30092"/>
    <cellStyle name="20% - Accent4 8 4 2 4" xfId="23860"/>
    <cellStyle name="20% - Accent4 8 4 3" xfId="5687"/>
    <cellStyle name="20% - Accent4 8 4 3 2" xfId="8984"/>
    <cellStyle name="20% - Accent4 8 4 3 2 2" xfId="16773"/>
    <cellStyle name="20% - Accent4 8 4 3 2 2 2" xfId="34395"/>
    <cellStyle name="20% - Accent4 8 4 3 2 3" xfId="27358"/>
    <cellStyle name="20% - Accent4 8 4 3 3" xfId="13537"/>
    <cellStyle name="20% - Accent4 8 4 3 3 2" xfId="31163"/>
    <cellStyle name="20% - Accent4 8 4 3 4" xfId="24497"/>
    <cellStyle name="20% - Accent4 8 4 4" xfId="6317"/>
    <cellStyle name="20% - Accent4 8 4 4 2" xfId="9524"/>
    <cellStyle name="20% - Accent4 8 4 4 2 2" xfId="17312"/>
    <cellStyle name="20% - Accent4 8 4 4 2 2 2" xfId="34935"/>
    <cellStyle name="20% - Accent4 8 4 4 2 3" xfId="27894"/>
    <cellStyle name="20% - Accent4 8 4 4 3" xfId="14100"/>
    <cellStyle name="20% - Accent4 8 4 4 3 2" xfId="31721"/>
    <cellStyle name="20% - Accent4 8 4 4 4" xfId="25033"/>
    <cellStyle name="20% - Accent4 8 4 5" xfId="6854"/>
    <cellStyle name="20% - Accent4 8 4 5 2" xfId="10061"/>
    <cellStyle name="20% - Accent4 8 4 5 2 2" xfId="17848"/>
    <cellStyle name="20% - Accent4 8 4 5 2 2 2" xfId="35471"/>
    <cellStyle name="20% - Accent4 8 4 5 2 3" xfId="28430"/>
    <cellStyle name="20% - Accent4 8 4 5 3" xfId="14636"/>
    <cellStyle name="20% - Accent4 8 4 5 3 2" xfId="32257"/>
    <cellStyle name="20% - Accent4 8 4 5 4" xfId="25570"/>
    <cellStyle name="20% - Accent4 8 4 6" xfId="7677"/>
    <cellStyle name="20% - Accent4 8 4 6 2" xfId="15468"/>
    <cellStyle name="20% - Accent4 8 4 6 2 2" xfId="33089"/>
    <cellStyle name="20% - Accent4 8 4 6 3" xfId="26096"/>
    <cellStyle name="20% - Accent4 8 4 7" xfId="11248"/>
    <cellStyle name="20% - Accent4 8 4 7 2" xfId="28962"/>
    <cellStyle name="20% - Accent4 8 4 8" xfId="23235"/>
    <cellStyle name="20% - Accent4 8 4 9" xfId="51774"/>
    <cellStyle name="20% - Accent4 8 5" xfId="498"/>
    <cellStyle name="20% - Accent4 8 5 2" xfId="3714"/>
    <cellStyle name="20% - Accent4 8 5 2 2" xfId="8322"/>
    <cellStyle name="20% - Accent4 8 5 2 2 2" xfId="16112"/>
    <cellStyle name="20% - Accent4 8 5 2 2 2 2" xfId="33733"/>
    <cellStyle name="20% - Accent4 8 5 2 2 3" xfId="26722"/>
    <cellStyle name="20% - Accent4 8 5 2 3" xfId="12436"/>
    <cellStyle name="20% - Accent4 8 5 2 3 2" xfId="30093"/>
    <cellStyle name="20% - Accent4 8 5 2 4" xfId="23861"/>
    <cellStyle name="20% - Accent4 8 5 3" xfId="5688"/>
    <cellStyle name="20% - Accent4 8 5 3 2" xfId="8985"/>
    <cellStyle name="20% - Accent4 8 5 3 2 2" xfId="16774"/>
    <cellStyle name="20% - Accent4 8 5 3 2 2 2" xfId="34396"/>
    <cellStyle name="20% - Accent4 8 5 3 2 3" xfId="27359"/>
    <cellStyle name="20% - Accent4 8 5 3 3" xfId="13538"/>
    <cellStyle name="20% - Accent4 8 5 3 3 2" xfId="31164"/>
    <cellStyle name="20% - Accent4 8 5 3 4" xfId="24498"/>
    <cellStyle name="20% - Accent4 8 5 4" xfId="6318"/>
    <cellStyle name="20% - Accent4 8 5 4 2" xfId="9525"/>
    <cellStyle name="20% - Accent4 8 5 4 2 2" xfId="17313"/>
    <cellStyle name="20% - Accent4 8 5 4 2 2 2" xfId="34936"/>
    <cellStyle name="20% - Accent4 8 5 4 2 3" xfId="27895"/>
    <cellStyle name="20% - Accent4 8 5 4 3" xfId="14101"/>
    <cellStyle name="20% - Accent4 8 5 4 3 2" xfId="31722"/>
    <cellStyle name="20% - Accent4 8 5 4 4" xfId="25034"/>
    <cellStyle name="20% - Accent4 8 5 5" xfId="6855"/>
    <cellStyle name="20% - Accent4 8 5 5 2" xfId="10062"/>
    <cellStyle name="20% - Accent4 8 5 5 2 2" xfId="17849"/>
    <cellStyle name="20% - Accent4 8 5 5 2 2 2" xfId="35472"/>
    <cellStyle name="20% - Accent4 8 5 5 2 3" xfId="28431"/>
    <cellStyle name="20% - Accent4 8 5 5 3" xfId="14637"/>
    <cellStyle name="20% - Accent4 8 5 5 3 2" xfId="32258"/>
    <cellStyle name="20% - Accent4 8 5 5 4" xfId="25571"/>
    <cellStyle name="20% - Accent4 8 5 6" xfId="7678"/>
    <cellStyle name="20% - Accent4 8 5 6 2" xfId="15469"/>
    <cellStyle name="20% - Accent4 8 5 6 2 2" xfId="33090"/>
    <cellStyle name="20% - Accent4 8 5 6 3" xfId="26097"/>
    <cellStyle name="20% - Accent4 8 5 7" xfId="11249"/>
    <cellStyle name="20% - Accent4 8 5 7 2" xfId="28963"/>
    <cellStyle name="20% - Accent4 8 5 8" xfId="23236"/>
    <cellStyle name="20% - Accent4 8 5 9" xfId="51775"/>
    <cellStyle name="20% - Accent4 8 6" xfId="499"/>
    <cellStyle name="20% - Accent4 8 6 2" xfId="3715"/>
    <cellStyle name="20% - Accent4 8 6 2 2" xfId="8323"/>
    <cellStyle name="20% - Accent4 8 6 2 2 2" xfId="16113"/>
    <cellStyle name="20% - Accent4 8 6 2 2 2 2" xfId="33734"/>
    <cellStyle name="20% - Accent4 8 6 2 2 3" xfId="26723"/>
    <cellStyle name="20% - Accent4 8 6 2 3" xfId="12437"/>
    <cellStyle name="20% - Accent4 8 6 2 3 2" xfId="30094"/>
    <cellStyle name="20% - Accent4 8 6 2 4" xfId="23862"/>
    <cellStyle name="20% - Accent4 8 6 3" xfId="5689"/>
    <cellStyle name="20% - Accent4 8 6 3 2" xfId="8986"/>
    <cellStyle name="20% - Accent4 8 6 3 2 2" xfId="16775"/>
    <cellStyle name="20% - Accent4 8 6 3 2 2 2" xfId="34397"/>
    <cellStyle name="20% - Accent4 8 6 3 2 3" xfId="27360"/>
    <cellStyle name="20% - Accent4 8 6 3 3" xfId="13539"/>
    <cellStyle name="20% - Accent4 8 6 3 3 2" xfId="31165"/>
    <cellStyle name="20% - Accent4 8 6 3 4" xfId="24499"/>
    <cellStyle name="20% - Accent4 8 6 4" xfId="6319"/>
    <cellStyle name="20% - Accent4 8 6 4 2" xfId="9526"/>
    <cellStyle name="20% - Accent4 8 6 4 2 2" xfId="17314"/>
    <cellStyle name="20% - Accent4 8 6 4 2 2 2" xfId="34937"/>
    <cellStyle name="20% - Accent4 8 6 4 2 3" xfId="27896"/>
    <cellStyle name="20% - Accent4 8 6 4 3" xfId="14102"/>
    <cellStyle name="20% - Accent4 8 6 4 3 2" xfId="31723"/>
    <cellStyle name="20% - Accent4 8 6 4 4" xfId="25035"/>
    <cellStyle name="20% - Accent4 8 6 5" xfId="6856"/>
    <cellStyle name="20% - Accent4 8 6 5 2" xfId="10063"/>
    <cellStyle name="20% - Accent4 8 6 5 2 2" xfId="17850"/>
    <cellStyle name="20% - Accent4 8 6 5 2 2 2" xfId="35473"/>
    <cellStyle name="20% - Accent4 8 6 5 2 3" xfId="28432"/>
    <cellStyle name="20% - Accent4 8 6 5 3" xfId="14638"/>
    <cellStyle name="20% - Accent4 8 6 5 3 2" xfId="32259"/>
    <cellStyle name="20% - Accent4 8 6 5 4" xfId="25572"/>
    <cellStyle name="20% - Accent4 8 6 6" xfId="7679"/>
    <cellStyle name="20% - Accent4 8 6 6 2" xfId="15470"/>
    <cellStyle name="20% - Accent4 8 6 6 2 2" xfId="33091"/>
    <cellStyle name="20% - Accent4 8 6 6 3" xfId="26098"/>
    <cellStyle name="20% - Accent4 8 6 7" xfId="11250"/>
    <cellStyle name="20% - Accent4 8 6 7 2" xfId="28964"/>
    <cellStyle name="20% - Accent4 8 6 8" xfId="23237"/>
    <cellStyle name="20% - Accent4 8 6 9" xfId="51776"/>
    <cellStyle name="20% - Accent4 8 7" xfId="500"/>
    <cellStyle name="20% - Accent4 8 7 10" xfId="51777"/>
    <cellStyle name="20% - Accent4 8 7 2" xfId="501"/>
    <cellStyle name="20% - Accent4 8 7 2 2" xfId="8325"/>
    <cellStyle name="20% - Accent4 8 7 2 2 2" xfId="16115"/>
    <cellStyle name="20% - Accent4 8 7 2 2 2 2" xfId="33736"/>
    <cellStyle name="20% - Accent4 8 7 2 2 3" xfId="26725"/>
    <cellStyle name="20% - Accent4 8 7 2 3" xfId="12439"/>
    <cellStyle name="20% - Accent4 8 7 2 3 2" xfId="30096"/>
    <cellStyle name="20% - Accent4 8 7 2 4" xfId="23864"/>
    <cellStyle name="20% - Accent4 8 7 3" xfId="3716"/>
    <cellStyle name="20% - Accent4 8 7 3 2" xfId="8324"/>
    <cellStyle name="20% - Accent4 8 7 3 2 2" xfId="16114"/>
    <cellStyle name="20% - Accent4 8 7 3 2 2 2" xfId="33735"/>
    <cellStyle name="20% - Accent4 8 7 3 2 3" xfId="26724"/>
    <cellStyle name="20% - Accent4 8 7 3 3" xfId="12438"/>
    <cellStyle name="20% - Accent4 8 7 3 3 2" xfId="30095"/>
    <cellStyle name="20% - Accent4 8 7 3 4" xfId="23863"/>
    <cellStyle name="20% - Accent4 8 7 4" xfId="5690"/>
    <cellStyle name="20% - Accent4 8 7 4 2" xfId="8987"/>
    <cellStyle name="20% - Accent4 8 7 4 2 2" xfId="16776"/>
    <cellStyle name="20% - Accent4 8 7 4 2 2 2" xfId="34398"/>
    <cellStyle name="20% - Accent4 8 7 4 2 3" xfId="27361"/>
    <cellStyle name="20% - Accent4 8 7 4 3" xfId="13540"/>
    <cellStyle name="20% - Accent4 8 7 4 3 2" xfId="31166"/>
    <cellStyle name="20% - Accent4 8 7 4 4" xfId="24500"/>
    <cellStyle name="20% - Accent4 8 7 5" xfId="6320"/>
    <cellStyle name="20% - Accent4 8 7 5 2" xfId="9527"/>
    <cellStyle name="20% - Accent4 8 7 5 2 2" xfId="17315"/>
    <cellStyle name="20% - Accent4 8 7 5 2 2 2" xfId="34938"/>
    <cellStyle name="20% - Accent4 8 7 5 2 3" xfId="27897"/>
    <cellStyle name="20% - Accent4 8 7 5 3" xfId="14103"/>
    <cellStyle name="20% - Accent4 8 7 5 3 2" xfId="31724"/>
    <cellStyle name="20% - Accent4 8 7 5 4" xfId="25036"/>
    <cellStyle name="20% - Accent4 8 7 6" xfId="6857"/>
    <cellStyle name="20% - Accent4 8 7 6 2" xfId="10064"/>
    <cellStyle name="20% - Accent4 8 7 6 2 2" xfId="17851"/>
    <cellStyle name="20% - Accent4 8 7 6 2 2 2" xfId="35474"/>
    <cellStyle name="20% - Accent4 8 7 6 2 3" xfId="28433"/>
    <cellStyle name="20% - Accent4 8 7 6 3" xfId="14639"/>
    <cellStyle name="20% - Accent4 8 7 6 3 2" xfId="32260"/>
    <cellStyle name="20% - Accent4 8 7 6 4" xfId="25573"/>
    <cellStyle name="20% - Accent4 8 7 7" xfId="7680"/>
    <cellStyle name="20% - Accent4 8 7 7 2" xfId="15471"/>
    <cellStyle name="20% - Accent4 8 7 7 2 2" xfId="33092"/>
    <cellStyle name="20% - Accent4 8 7 7 3" xfId="26099"/>
    <cellStyle name="20% - Accent4 8 7 8" xfId="11251"/>
    <cellStyle name="20% - Accent4 8 7 8 2" xfId="28965"/>
    <cellStyle name="20% - Accent4 8 7 9" xfId="23238"/>
    <cellStyle name="20% - Accent4 8 8" xfId="3717"/>
    <cellStyle name="20% - Accent4 8 8 2" xfId="8326"/>
    <cellStyle name="20% - Accent4 8 8 2 2" xfId="16116"/>
    <cellStyle name="20% - Accent4 8 8 2 2 2" xfId="33737"/>
    <cellStyle name="20% - Accent4 8 8 2 3" xfId="26726"/>
    <cellStyle name="20% - Accent4 8 8 3" xfId="12440"/>
    <cellStyle name="20% - Accent4 8 8 3 2" xfId="30097"/>
    <cellStyle name="20% - Accent4 8 8 4" xfId="23865"/>
    <cellStyle name="20% - Accent4 8 9" xfId="3718"/>
    <cellStyle name="20% - Accent4 8 9 2" xfId="8327"/>
    <cellStyle name="20% - Accent4 8 9 2 2" xfId="16117"/>
    <cellStyle name="20% - Accent4 8 9 2 2 2" xfId="33738"/>
    <cellStyle name="20% - Accent4 8 9 2 3" xfId="26727"/>
    <cellStyle name="20% - Accent4 8 9 3" xfId="12441"/>
    <cellStyle name="20% - Accent4 8 9 3 2" xfId="30098"/>
    <cellStyle name="20% - Accent4 8 9 4" xfId="23866"/>
    <cellStyle name="20% - Accent4 9" xfId="502"/>
    <cellStyle name="20% - Accent4 9 10" xfId="3719"/>
    <cellStyle name="20% - Accent4 9 10 2" xfId="8328"/>
    <cellStyle name="20% - Accent4 9 10 2 2" xfId="16118"/>
    <cellStyle name="20% - Accent4 9 10 2 2 2" xfId="33739"/>
    <cellStyle name="20% - Accent4 9 10 2 3" xfId="26728"/>
    <cellStyle name="20% - Accent4 9 10 3" xfId="12442"/>
    <cellStyle name="20% - Accent4 9 10 3 2" xfId="30099"/>
    <cellStyle name="20% - Accent4 9 10 4" xfId="23867"/>
    <cellStyle name="20% - Accent4 9 11" xfId="5691"/>
    <cellStyle name="20% - Accent4 9 11 2" xfId="8988"/>
    <cellStyle name="20% - Accent4 9 11 2 2" xfId="16777"/>
    <cellStyle name="20% - Accent4 9 11 2 2 2" xfId="34399"/>
    <cellStyle name="20% - Accent4 9 11 2 3" xfId="27362"/>
    <cellStyle name="20% - Accent4 9 11 3" xfId="13541"/>
    <cellStyle name="20% - Accent4 9 11 3 2" xfId="31167"/>
    <cellStyle name="20% - Accent4 9 11 4" xfId="24501"/>
    <cellStyle name="20% - Accent4 9 12" xfId="6321"/>
    <cellStyle name="20% - Accent4 9 12 2" xfId="9528"/>
    <cellStyle name="20% - Accent4 9 12 2 2" xfId="17316"/>
    <cellStyle name="20% - Accent4 9 12 2 2 2" xfId="34939"/>
    <cellStyle name="20% - Accent4 9 12 2 3" xfId="27898"/>
    <cellStyle name="20% - Accent4 9 12 3" xfId="14104"/>
    <cellStyle name="20% - Accent4 9 12 3 2" xfId="31725"/>
    <cellStyle name="20% - Accent4 9 12 4" xfId="25037"/>
    <cellStyle name="20% - Accent4 9 13" xfId="6858"/>
    <cellStyle name="20% - Accent4 9 13 2" xfId="10065"/>
    <cellStyle name="20% - Accent4 9 13 2 2" xfId="17852"/>
    <cellStyle name="20% - Accent4 9 13 2 2 2" xfId="35475"/>
    <cellStyle name="20% - Accent4 9 13 2 3" xfId="28434"/>
    <cellStyle name="20% - Accent4 9 13 3" xfId="14640"/>
    <cellStyle name="20% - Accent4 9 13 3 2" xfId="32261"/>
    <cellStyle name="20% - Accent4 9 13 4" xfId="25574"/>
    <cellStyle name="20% - Accent4 9 14" xfId="7681"/>
    <cellStyle name="20% - Accent4 9 14 2" xfId="15472"/>
    <cellStyle name="20% - Accent4 9 14 2 2" xfId="33093"/>
    <cellStyle name="20% - Accent4 9 14 3" xfId="26100"/>
    <cellStyle name="20% - Accent4 9 15" xfId="11252"/>
    <cellStyle name="20% - Accent4 9 15 2" xfId="28966"/>
    <cellStyle name="20% - Accent4 9 16" xfId="22063"/>
    <cellStyle name="20% - Accent4 9 16 2" xfId="38753"/>
    <cellStyle name="20% - Accent4 9 17" xfId="23239"/>
    <cellStyle name="20% - Accent4 9 18" xfId="51778"/>
    <cellStyle name="20% - Accent4 9 2" xfId="503"/>
    <cellStyle name="20% - Accent4 9 2 10" xfId="51779"/>
    <cellStyle name="20% - Accent4 9 2 2" xfId="3720"/>
    <cellStyle name="20% - Accent4 9 2 2 2" xfId="8329"/>
    <cellStyle name="20% - Accent4 9 2 2 2 2" xfId="16119"/>
    <cellStyle name="20% - Accent4 9 2 2 2 2 2" xfId="33740"/>
    <cellStyle name="20% - Accent4 9 2 2 2 3" xfId="26729"/>
    <cellStyle name="20% - Accent4 9 2 2 3" xfId="12443"/>
    <cellStyle name="20% - Accent4 9 2 2 3 2" xfId="30100"/>
    <cellStyle name="20% - Accent4 9 2 2 4" xfId="23868"/>
    <cellStyle name="20% - Accent4 9 2 3" xfId="5692"/>
    <cellStyle name="20% - Accent4 9 2 3 2" xfId="8989"/>
    <cellStyle name="20% - Accent4 9 2 3 2 2" xfId="16778"/>
    <cellStyle name="20% - Accent4 9 2 3 2 2 2" xfId="34400"/>
    <cellStyle name="20% - Accent4 9 2 3 2 3" xfId="27363"/>
    <cellStyle name="20% - Accent4 9 2 3 3" xfId="13542"/>
    <cellStyle name="20% - Accent4 9 2 3 3 2" xfId="31168"/>
    <cellStyle name="20% - Accent4 9 2 3 4" xfId="24502"/>
    <cellStyle name="20% - Accent4 9 2 4" xfId="6322"/>
    <cellStyle name="20% - Accent4 9 2 4 2" xfId="9529"/>
    <cellStyle name="20% - Accent4 9 2 4 2 2" xfId="17317"/>
    <cellStyle name="20% - Accent4 9 2 4 2 2 2" xfId="34940"/>
    <cellStyle name="20% - Accent4 9 2 4 2 3" xfId="27899"/>
    <cellStyle name="20% - Accent4 9 2 4 3" xfId="14105"/>
    <cellStyle name="20% - Accent4 9 2 4 3 2" xfId="31726"/>
    <cellStyle name="20% - Accent4 9 2 4 4" xfId="25038"/>
    <cellStyle name="20% - Accent4 9 2 5" xfId="6859"/>
    <cellStyle name="20% - Accent4 9 2 5 2" xfId="10066"/>
    <cellStyle name="20% - Accent4 9 2 5 2 2" xfId="17853"/>
    <cellStyle name="20% - Accent4 9 2 5 2 2 2" xfId="35476"/>
    <cellStyle name="20% - Accent4 9 2 5 2 3" xfId="28435"/>
    <cellStyle name="20% - Accent4 9 2 5 3" xfId="14641"/>
    <cellStyle name="20% - Accent4 9 2 5 3 2" xfId="32262"/>
    <cellStyle name="20% - Accent4 9 2 5 4" xfId="25575"/>
    <cellStyle name="20% - Accent4 9 2 6" xfId="7682"/>
    <cellStyle name="20% - Accent4 9 2 6 2" xfId="15473"/>
    <cellStyle name="20% - Accent4 9 2 6 2 2" xfId="33094"/>
    <cellStyle name="20% - Accent4 9 2 6 3" xfId="26101"/>
    <cellStyle name="20% - Accent4 9 2 7" xfId="11253"/>
    <cellStyle name="20% - Accent4 9 2 7 2" xfId="28967"/>
    <cellStyle name="20% - Accent4 9 2 8" xfId="22711"/>
    <cellStyle name="20% - Accent4 9 2 8 2" xfId="38907"/>
    <cellStyle name="20% - Accent4 9 2 9" xfId="23240"/>
    <cellStyle name="20% - Accent4 9 3" xfId="504"/>
    <cellStyle name="20% - Accent4 9 3 10" xfId="23241"/>
    <cellStyle name="20% - Accent4 9 3 11" xfId="51780"/>
    <cellStyle name="20% - Accent4 9 3 2" xfId="505"/>
    <cellStyle name="20% - Accent4 9 3 2 2" xfId="3722"/>
    <cellStyle name="20% - Accent4 9 3 2 2 2" xfId="8331"/>
    <cellStyle name="20% - Accent4 9 3 2 2 2 2" xfId="16121"/>
    <cellStyle name="20% - Accent4 9 3 2 2 2 2 2" xfId="33742"/>
    <cellStyle name="20% - Accent4 9 3 2 2 2 3" xfId="26731"/>
    <cellStyle name="20% - Accent4 9 3 2 2 3" xfId="12445"/>
    <cellStyle name="20% - Accent4 9 3 2 2 3 2" xfId="30102"/>
    <cellStyle name="20% - Accent4 9 3 2 2 4" xfId="23870"/>
    <cellStyle name="20% - Accent4 9 3 2 3" xfId="5694"/>
    <cellStyle name="20% - Accent4 9 3 2 3 2" xfId="8991"/>
    <cellStyle name="20% - Accent4 9 3 2 3 2 2" xfId="16780"/>
    <cellStyle name="20% - Accent4 9 3 2 3 2 2 2" xfId="34402"/>
    <cellStyle name="20% - Accent4 9 3 2 3 2 3" xfId="27365"/>
    <cellStyle name="20% - Accent4 9 3 2 3 3" xfId="13544"/>
    <cellStyle name="20% - Accent4 9 3 2 3 3 2" xfId="31170"/>
    <cellStyle name="20% - Accent4 9 3 2 3 4" xfId="24504"/>
    <cellStyle name="20% - Accent4 9 3 2 4" xfId="6324"/>
    <cellStyle name="20% - Accent4 9 3 2 4 2" xfId="9531"/>
    <cellStyle name="20% - Accent4 9 3 2 4 2 2" xfId="17319"/>
    <cellStyle name="20% - Accent4 9 3 2 4 2 2 2" xfId="34942"/>
    <cellStyle name="20% - Accent4 9 3 2 4 2 3" xfId="27901"/>
    <cellStyle name="20% - Accent4 9 3 2 4 3" xfId="14107"/>
    <cellStyle name="20% - Accent4 9 3 2 4 3 2" xfId="31728"/>
    <cellStyle name="20% - Accent4 9 3 2 4 4" xfId="25040"/>
    <cellStyle name="20% - Accent4 9 3 2 5" xfId="6861"/>
    <cellStyle name="20% - Accent4 9 3 2 5 2" xfId="10068"/>
    <cellStyle name="20% - Accent4 9 3 2 5 2 2" xfId="17855"/>
    <cellStyle name="20% - Accent4 9 3 2 5 2 2 2" xfId="35478"/>
    <cellStyle name="20% - Accent4 9 3 2 5 2 3" xfId="28437"/>
    <cellStyle name="20% - Accent4 9 3 2 5 3" xfId="14643"/>
    <cellStyle name="20% - Accent4 9 3 2 5 3 2" xfId="32264"/>
    <cellStyle name="20% - Accent4 9 3 2 5 4" xfId="25577"/>
    <cellStyle name="20% - Accent4 9 3 2 6" xfId="7684"/>
    <cellStyle name="20% - Accent4 9 3 2 6 2" xfId="15475"/>
    <cellStyle name="20% - Accent4 9 3 2 6 2 2" xfId="33096"/>
    <cellStyle name="20% - Accent4 9 3 2 6 3" xfId="26103"/>
    <cellStyle name="20% - Accent4 9 3 2 7" xfId="11255"/>
    <cellStyle name="20% - Accent4 9 3 2 7 2" xfId="28969"/>
    <cellStyle name="20% - Accent4 9 3 2 8" xfId="23242"/>
    <cellStyle name="20% - Accent4 9 3 2 9" xfId="51781"/>
    <cellStyle name="20% - Accent4 9 3 3" xfId="3723"/>
    <cellStyle name="20% - Accent4 9 3 3 2" xfId="5695"/>
    <cellStyle name="20% - Accent4 9 3 3 2 2" xfId="8992"/>
    <cellStyle name="20% - Accent4 9 3 3 2 2 2" xfId="16781"/>
    <cellStyle name="20% - Accent4 9 3 3 2 2 2 2" xfId="34403"/>
    <cellStyle name="20% - Accent4 9 3 3 2 2 3" xfId="27366"/>
    <cellStyle name="20% - Accent4 9 3 3 2 3" xfId="13545"/>
    <cellStyle name="20% - Accent4 9 3 3 2 3 2" xfId="31171"/>
    <cellStyle name="20% - Accent4 9 3 3 2 4" xfId="24505"/>
    <cellStyle name="20% - Accent4 9 3 3 3" xfId="6325"/>
    <cellStyle name="20% - Accent4 9 3 3 3 2" xfId="9532"/>
    <cellStyle name="20% - Accent4 9 3 3 3 2 2" xfId="17320"/>
    <cellStyle name="20% - Accent4 9 3 3 3 2 2 2" xfId="34943"/>
    <cellStyle name="20% - Accent4 9 3 3 3 2 3" xfId="27902"/>
    <cellStyle name="20% - Accent4 9 3 3 3 3" xfId="14108"/>
    <cellStyle name="20% - Accent4 9 3 3 3 3 2" xfId="31729"/>
    <cellStyle name="20% - Accent4 9 3 3 3 4" xfId="25041"/>
    <cellStyle name="20% - Accent4 9 3 3 4" xfId="6862"/>
    <cellStyle name="20% - Accent4 9 3 3 4 2" xfId="10069"/>
    <cellStyle name="20% - Accent4 9 3 3 4 2 2" xfId="17856"/>
    <cellStyle name="20% - Accent4 9 3 3 4 2 2 2" xfId="35479"/>
    <cellStyle name="20% - Accent4 9 3 3 4 2 3" xfId="28438"/>
    <cellStyle name="20% - Accent4 9 3 3 4 3" xfId="14644"/>
    <cellStyle name="20% - Accent4 9 3 3 4 3 2" xfId="32265"/>
    <cellStyle name="20% - Accent4 9 3 3 4 4" xfId="25578"/>
    <cellStyle name="20% - Accent4 9 3 3 5" xfId="8332"/>
    <cellStyle name="20% - Accent4 9 3 3 5 2" xfId="16122"/>
    <cellStyle name="20% - Accent4 9 3 3 5 2 2" xfId="33743"/>
    <cellStyle name="20% - Accent4 9 3 3 5 3" xfId="26732"/>
    <cellStyle name="20% - Accent4 9 3 3 6" xfId="12446"/>
    <cellStyle name="20% - Accent4 9 3 3 6 2" xfId="30103"/>
    <cellStyle name="20% - Accent4 9 3 3 7" xfId="23871"/>
    <cellStyle name="20% - Accent4 9 3 4" xfId="3721"/>
    <cellStyle name="20% - Accent4 9 3 4 2" xfId="8330"/>
    <cellStyle name="20% - Accent4 9 3 4 2 2" xfId="16120"/>
    <cellStyle name="20% - Accent4 9 3 4 2 2 2" xfId="33741"/>
    <cellStyle name="20% - Accent4 9 3 4 2 3" xfId="26730"/>
    <cellStyle name="20% - Accent4 9 3 4 3" xfId="12444"/>
    <cellStyle name="20% - Accent4 9 3 4 3 2" xfId="30101"/>
    <cellStyle name="20% - Accent4 9 3 4 4" xfId="23869"/>
    <cellStyle name="20% - Accent4 9 3 5" xfId="5693"/>
    <cellStyle name="20% - Accent4 9 3 5 2" xfId="8990"/>
    <cellStyle name="20% - Accent4 9 3 5 2 2" xfId="16779"/>
    <cellStyle name="20% - Accent4 9 3 5 2 2 2" xfId="34401"/>
    <cellStyle name="20% - Accent4 9 3 5 2 3" xfId="27364"/>
    <cellStyle name="20% - Accent4 9 3 5 3" xfId="13543"/>
    <cellStyle name="20% - Accent4 9 3 5 3 2" xfId="31169"/>
    <cellStyle name="20% - Accent4 9 3 5 4" xfId="24503"/>
    <cellStyle name="20% - Accent4 9 3 6" xfId="6323"/>
    <cellStyle name="20% - Accent4 9 3 6 2" xfId="9530"/>
    <cellStyle name="20% - Accent4 9 3 6 2 2" xfId="17318"/>
    <cellStyle name="20% - Accent4 9 3 6 2 2 2" xfId="34941"/>
    <cellStyle name="20% - Accent4 9 3 6 2 3" xfId="27900"/>
    <cellStyle name="20% - Accent4 9 3 6 3" xfId="14106"/>
    <cellStyle name="20% - Accent4 9 3 6 3 2" xfId="31727"/>
    <cellStyle name="20% - Accent4 9 3 6 4" xfId="25039"/>
    <cellStyle name="20% - Accent4 9 3 7" xfId="6860"/>
    <cellStyle name="20% - Accent4 9 3 7 2" xfId="10067"/>
    <cellStyle name="20% - Accent4 9 3 7 2 2" xfId="17854"/>
    <cellStyle name="20% - Accent4 9 3 7 2 2 2" xfId="35477"/>
    <cellStyle name="20% - Accent4 9 3 7 2 3" xfId="28436"/>
    <cellStyle name="20% - Accent4 9 3 7 3" xfId="14642"/>
    <cellStyle name="20% - Accent4 9 3 7 3 2" xfId="32263"/>
    <cellStyle name="20% - Accent4 9 3 7 4" xfId="25576"/>
    <cellStyle name="20% - Accent4 9 3 8" xfId="7683"/>
    <cellStyle name="20% - Accent4 9 3 8 2" xfId="15474"/>
    <cellStyle name="20% - Accent4 9 3 8 2 2" xfId="33095"/>
    <cellStyle name="20% - Accent4 9 3 8 3" xfId="26102"/>
    <cellStyle name="20% - Accent4 9 3 9" xfId="11254"/>
    <cellStyle name="20% - Accent4 9 3 9 2" xfId="28968"/>
    <cellStyle name="20% - Accent4 9 4" xfId="506"/>
    <cellStyle name="20% - Accent4 9 4 2" xfId="3724"/>
    <cellStyle name="20% - Accent4 9 4 2 2" xfId="8333"/>
    <cellStyle name="20% - Accent4 9 4 2 2 2" xfId="16123"/>
    <cellStyle name="20% - Accent4 9 4 2 2 2 2" xfId="33744"/>
    <cellStyle name="20% - Accent4 9 4 2 2 3" xfId="26733"/>
    <cellStyle name="20% - Accent4 9 4 2 3" xfId="12447"/>
    <cellStyle name="20% - Accent4 9 4 2 3 2" xfId="30104"/>
    <cellStyle name="20% - Accent4 9 4 2 4" xfId="23872"/>
    <cellStyle name="20% - Accent4 9 4 3" xfId="5696"/>
    <cellStyle name="20% - Accent4 9 4 3 2" xfId="8993"/>
    <cellStyle name="20% - Accent4 9 4 3 2 2" xfId="16782"/>
    <cellStyle name="20% - Accent4 9 4 3 2 2 2" xfId="34404"/>
    <cellStyle name="20% - Accent4 9 4 3 2 3" xfId="27367"/>
    <cellStyle name="20% - Accent4 9 4 3 3" xfId="13546"/>
    <cellStyle name="20% - Accent4 9 4 3 3 2" xfId="31172"/>
    <cellStyle name="20% - Accent4 9 4 3 4" xfId="24506"/>
    <cellStyle name="20% - Accent4 9 4 4" xfId="6326"/>
    <cellStyle name="20% - Accent4 9 4 4 2" xfId="9533"/>
    <cellStyle name="20% - Accent4 9 4 4 2 2" xfId="17321"/>
    <cellStyle name="20% - Accent4 9 4 4 2 2 2" xfId="34944"/>
    <cellStyle name="20% - Accent4 9 4 4 2 3" xfId="27903"/>
    <cellStyle name="20% - Accent4 9 4 4 3" xfId="14109"/>
    <cellStyle name="20% - Accent4 9 4 4 3 2" xfId="31730"/>
    <cellStyle name="20% - Accent4 9 4 4 4" xfId="25042"/>
    <cellStyle name="20% - Accent4 9 4 5" xfId="6863"/>
    <cellStyle name="20% - Accent4 9 4 5 2" xfId="10070"/>
    <cellStyle name="20% - Accent4 9 4 5 2 2" xfId="17857"/>
    <cellStyle name="20% - Accent4 9 4 5 2 2 2" xfId="35480"/>
    <cellStyle name="20% - Accent4 9 4 5 2 3" xfId="28439"/>
    <cellStyle name="20% - Accent4 9 4 5 3" xfId="14645"/>
    <cellStyle name="20% - Accent4 9 4 5 3 2" xfId="32266"/>
    <cellStyle name="20% - Accent4 9 4 5 4" xfId="25579"/>
    <cellStyle name="20% - Accent4 9 4 6" xfId="7685"/>
    <cellStyle name="20% - Accent4 9 4 6 2" xfId="15476"/>
    <cellStyle name="20% - Accent4 9 4 6 2 2" xfId="33097"/>
    <cellStyle name="20% - Accent4 9 4 6 3" xfId="26104"/>
    <cellStyle name="20% - Accent4 9 4 7" xfId="11256"/>
    <cellStyle name="20% - Accent4 9 4 7 2" xfId="28970"/>
    <cellStyle name="20% - Accent4 9 4 8" xfId="23243"/>
    <cellStyle name="20% - Accent4 9 4 9" xfId="51782"/>
    <cellStyle name="20% - Accent4 9 5" xfId="507"/>
    <cellStyle name="20% - Accent4 9 5 2" xfId="3725"/>
    <cellStyle name="20% - Accent4 9 5 2 2" xfId="8334"/>
    <cellStyle name="20% - Accent4 9 5 2 2 2" xfId="16124"/>
    <cellStyle name="20% - Accent4 9 5 2 2 2 2" xfId="33745"/>
    <cellStyle name="20% - Accent4 9 5 2 2 3" xfId="26734"/>
    <cellStyle name="20% - Accent4 9 5 2 3" xfId="12448"/>
    <cellStyle name="20% - Accent4 9 5 2 3 2" xfId="30105"/>
    <cellStyle name="20% - Accent4 9 5 2 4" xfId="23873"/>
    <cellStyle name="20% - Accent4 9 5 3" xfId="5697"/>
    <cellStyle name="20% - Accent4 9 5 3 2" xfId="8994"/>
    <cellStyle name="20% - Accent4 9 5 3 2 2" xfId="16783"/>
    <cellStyle name="20% - Accent4 9 5 3 2 2 2" xfId="34405"/>
    <cellStyle name="20% - Accent4 9 5 3 2 3" xfId="27368"/>
    <cellStyle name="20% - Accent4 9 5 3 3" xfId="13547"/>
    <cellStyle name="20% - Accent4 9 5 3 3 2" xfId="31173"/>
    <cellStyle name="20% - Accent4 9 5 3 4" xfId="24507"/>
    <cellStyle name="20% - Accent4 9 5 4" xfId="6327"/>
    <cellStyle name="20% - Accent4 9 5 4 2" xfId="9534"/>
    <cellStyle name="20% - Accent4 9 5 4 2 2" xfId="17322"/>
    <cellStyle name="20% - Accent4 9 5 4 2 2 2" xfId="34945"/>
    <cellStyle name="20% - Accent4 9 5 4 2 3" xfId="27904"/>
    <cellStyle name="20% - Accent4 9 5 4 3" xfId="14110"/>
    <cellStyle name="20% - Accent4 9 5 4 3 2" xfId="31731"/>
    <cellStyle name="20% - Accent4 9 5 4 4" xfId="25043"/>
    <cellStyle name="20% - Accent4 9 5 5" xfId="6864"/>
    <cellStyle name="20% - Accent4 9 5 5 2" xfId="10071"/>
    <cellStyle name="20% - Accent4 9 5 5 2 2" xfId="17858"/>
    <cellStyle name="20% - Accent4 9 5 5 2 2 2" xfId="35481"/>
    <cellStyle name="20% - Accent4 9 5 5 2 3" xfId="28440"/>
    <cellStyle name="20% - Accent4 9 5 5 3" xfId="14646"/>
    <cellStyle name="20% - Accent4 9 5 5 3 2" xfId="32267"/>
    <cellStyle name="20% - Accent4 9 5 5 4" xfId="25580"/>
    <cellStyle name="20% - Accent4 9 5 6" xfId="7686"/>
    <cellStyle name="20% - Accent4 9 5 6 2" xfId="15477"/>
    <cellStyle name="20% - Accent4 9 5 6 2 2" xfId="33098"/>
    <cellStyle name="20% - Accent4 9 5 6 3" xfId="26105"/>
    <cellStyle name="20% - Accent4 9 5 7" xfId="11257"/>
    <cellStyle name="20% - Accent4 9 5 7 2" xfId="28971"/>
    <cellStyle name="20% - Accent4 9 5 8" xfId="23244"/>
    <cellStyle name="20% - Accent4 9 5 9" xfId="51783"/>
    <cellStyle name="20% - Accent4 9 6" xfId="508"/>
    <cellStyle name="20% - Accent4 9 6 2" xfId="3726"/>
    <cellStyle name="20% - Accent4 9 6 2 2" xfId="8335"/>
    <cellStyle name="20% - Accent4 9 6 2 2 2" xfId="16125"/>
    <cellStyle name="20% - Accent4 9 6 2 2 2 2" xfId="33746"/>
    <cellStyle name="20% - Accent4 9 6 2 2 3" xfId="26735"/>
    <cellStyle name="20% - Accent4 9 6 2 3" xfId="12449"/>
    <cellStyle name="20% - Accent4 9 6 2 3 2" xfId="30106"/>
    <cellStyle name="20% - Accent4 9 6 2 4" xfId="23874"/>
    <cellStyle name="20% - Accent4 9 6 3" xfId="5698"/>
    <cellStyle name="20% - Accent4 9 6 3 2" xfId="8995"/>
    <cellStyle name="20% - Accent4 9 6 3 2 2" xfId="16784"/>
    <cellStyle name="20% - Accent4 9 6 3 2 2 2" xfId="34406"/>
    <cellStyle name="20% - Accent4 9 6 3 2 3" xfId="27369"/>
    <cellStyle name="20% - Accent4 9 6 3 3" xfId="13548"/>
    <cellStyle name="20% - Accent4 9 6 3 3 2" xfId="31174"/>
    <cellStyle name="20% - Accent4 9 6 3 4" xfId="24508"/>
    <cellStyle name="20% - Accent4 9 6 4" xfId="6328"/>
    <cellStyle name="20% - Accent4 9 6 4 2" xfId="9535"/>
    <cellStyle name="20% - Accent4 9 6 4 2 2" xfId="17323"/>
    <cellStyle name="20% - Accent4 9 6 4 2 2 2" xfId="34946"/>
    <cellStyle name="20% - Accent4 9 6 4 2 3" xfId="27905"/>
    <cellStyle name="20% - Accent4 9 6 4 3" xfId="14111"/>
    <cellStyle name="20% - Accent4 9 6 4 3 2" xfId="31732"/>
    <cellStyle name="20% - Accent4 9 6 4 4" xfId="25044"/>
    <cellStyle name="20% - Accent4 9 6 5" xfId="6865"/>
    <cellStyle name="20% - Accent4 9 6 5 2" xfId="10072"/>
    <cellStyle name="20% - Accent4 9 6 5 2 2" xfId="17859"/>
    <cellStyle name="20% - Accent4 9 6 5 2 2 2" xfId="35482"/>
    <cellStyle name="20% - Accent4 9 6 5 2 3" xfId="28441"/>
    <cellStyle name="20% - Accent4 9 6 5 3" xfId="14647"/>
    <cellStyle name="20% - Accent4 9 6 5 3 2" xfId="32268"/>
    <cellStyle name="20% - Accent4 9 6 5 4" xfId="25581"/>
    <cellStyle name="20% - Accent4 9 6 6" xfId="7687"/>
    <cellStyle name="20% - Accent4 9 6 6 2" xfId="15478"/>
    <cellStyle name="20% - Accent4 9 6 6 2 2" xfId="33099"/>
    <cellStyle name="20% - Accent4 9 6 6 3" xfId="26106"/>
    <cellStyle name="20% - Accent4 9 6 7" xfId="11258"/>
    <cellStyle name="20% - Accent4 9 6 7 2" xfId="28972"/>
    <cellStyle name="20% - Accent4 9 6 8" xfId="23245"/>
    <cellStyle name="20% - Accent4 9 6 9" xfId="51784"/>
    <cellStyle name="20% - Accent4 9 7" xfId="509"/>
    <cellStyle name="20% - Accent4 9 7 10" xfId="51785"/>
    <cellStyle name="20% - Accent4 9 7 2" xfId="510"/>
    <cellStyle name="20% - Accent4 9 7 2 2" xfId="8337"/>
    <cellStyle name="20% - Accent4 9 7 2 2 2" xfId="16127"/>
    <cellStyle name="20% - Accent4 9 7 2 2 2 2" xfId="33748"/>
    <cellStyle name="20% - Accent4 9 7 2 2 3" xfId="26737"/>
    <cellStyle name="20% - Accent4 9 7 2 3" xfId="12451"/>
    <cellStyle name="20% - Accent4 9 7 2 3 2" xfId="30108"/>
    <cellStyle name="20% - Accent4 9 7 2 4" xfId="23876"/>
    <cellStyle name="20% - Accent4 9 7 3" xfId="3727"/>
    <cellStyle name="20% - Accent4 9 7 3 2" xfId="8336"/>
    <cellStyle name="20% - Accent4 9 7 3 2 2" xfId="16126"/>
    <cellStyle name="20% - Accent4 9 7 3 2 2 2" xfId="33747"/>
    <cellStyle name="20% - Accent4 9 7 3 2 3" xfId="26736"/>
    <cellStyle name="20% - Accent4 9 7 3 3" xfId="12450"/>
    <cellStyle name="20% - Accent4 9 7 3 3 2" xfId="30107"/>
    <cellStyle name="20% - Accent4 9 7 3 4" xfId="23875"/>
    <cellStyle name="20% - Accent4 9 7 4" xfId="5699"/>
    <cellStyle name="20% - Accent4 9 7 4 2" xfId="8996"/>
    <cellStyle name="20% - Accent4 9 7 4 2 2" xfId="16785"/>
    <cellStyle name="20% - Accent4 9 7 4 2 2 2" xfId="34407"/>
    <cellStyle name="20% - Accent4 9 7 4 2 3" xfId="27370"/>
    <cellStyle name="20% - Accent4 9 7 4 3" xfId="13549"/>
    <cellStyle name="20% - Accent4 9 7 4 3 2" xfId="31175"/>
    <cellStyle name="20% - Accent4 9 7 4 4" xfId="24509"/>
    <cellStyle name="20% - Accent4 9 7 5" xfId="6329"/>
    <cellStyle name="20% - Accent4 9 7 5 2" xfId="9536"/>
    <cellStyle name="20% - Accent4 9 7 5 2 2" xfId="17324"/>
    <cellStyle name="20% - Accent4 9 7 5 2 2 2" xfId="34947"/>
    <cellStyle name="20% - Accent4 9 7 5 2 3" xfId="27906"/>
    <cellStyle name="20% - Accent4 9 7 5 3" xfId="14112"/>
    <cellStyle name="20% - Accent4 9 7 5 3 2" xfId="31733"/>
    <cellStyle name="20% - Accent4 9 7 5 4" xfId="25045"/>
    <cellStyle name="20% - Accent4 9 7 6" xfId="6866"/>
    <cellStyle name="20% - Accent4 9 7 6 2" xfId="10073"/>
    <cellStyle name="20% - Accent4 9 7 6 2 2" xfId="17860"/>
    <cellStyle name="20% - Accent4 9 7 6 2 2 2" xfId="35483"/>
    <cellStyle name="20% - Accent4 9 7 6 2 3" xfId="28442"/>
    <cellStyle name="20% - Accent4 9 7 6 3" xfId="14648"/>
    <cellStyle name="20% - Accent4 9 7 6 3 2" xfId="32269"/>
    <cellStyle name="20% - Accent4 9 7 6 4" xfId="25582"/>
    <cellStyle name="20% - Accent4 9 7 7" xfId="7688"/>
    <cellStyle name="20% - Accent4 9 7 7 2" xfId="15479"/>
    <cellStyle name="20% - Accent4 9 7 7 2 2" xfId="33100"/>
    <cellStyle name="20% - Accent4 9 7 7 3" xfId="26107"/>
    <cellStyle name="20% - Accent4 9 7 8" xfId="11259"/>
    <cellStyle name="20% - Accent4 9 7 8 2" xfId="28973"/>
    <cellStyle name="20% - Accent4 9 7 9" xfId="23246"/>
    <cellStyle name="20% - Accent4 9 8" xfId="3728"/>
    <cellStyle name="20% - Accent4 9 8 2" xfId="8338"/>
    <cellStyle name="20% - Accent4 9 8 2 2" xfId="16128"/>
    <cellStyle name="20% - Accent4 9 8 2 2 2" xfId="33749"/>
    <cellStyle name="20% - Accent4 9 8 2 3" xfId="26738"/>
    <cellStyle name="20% - Accent4 9 8 3" xfId="12452"/>
    <cellStyle name="20% - Accent4 9 8 3 2" xfId="30109"/>
    <cellStyle name="20% - Accent4 9 8 4" xfId="23877"/>
    <cellStyle name="20% - Accent4 9 9" xfId="3729"/>
    <cellStyle name="20% - Accent4 9 9 2" xfId="8339"/>
    <cellStyle name="20% - Accent4 9 9 2 2" xfId="16129"/>
    <cellStyle name="20% - Accent4 9 9 2 2 2" xfId="33750"/>
    <cellStyle name="20% - Accent4 9 9 2 3" xfId="26739"/>
    <cellStyle name="20% - Accent4 9 9 3" xfId="12453"/>
    <cellStyle name="20% - Accent4 9 9 3 2" xfId="30110"/>
    <cellStyle name="20% - Accent4 9 9 4" xfId="23878"/>
    <cellStyle name="20% - Accent5 10" xfId="7505"/>
    <cellStyle name="20% - Accent5 10 2" xfId="15298"/>
    <cellStyle name="20% - Accent5 10 2 2" xfId="32919"/>
    <cellStyle name="20% - Accent5 10 3" xfId="22064"/>
    <cellStyle name="20% - Accent5 10 4" xfId="25926"/>
    <cellStyle name="20% - Accent5 11" xfId="18864"/>
    <cellStyle name="20% - Accent5 11 2" xfId="36487"/>
    <cellStyle name="20% - Accent5 12" xfId="11260"/>
    <cellStyle name="20% - Accent5 12 2" xfId="28974"/>
    <cellStyle name="20% - Accent5 13" xfId="21922"/>
    <cellStyle name="20% - Accent5 13 2" xfId="38661"/>
    <cellStyle name="20% - Accent5 14" xfId="23062"/>
    <cellStyle name="20% - Accent5 15" xfId="51460"/>
    <cellStyle name="20% - Accent5 16" xfId="51473"/>
    <cellStyle name="20% - Accent5 17" xfId="51486"/>
    <cellStyle name="20% - Accent5 18" xfId="51786"/>
    <cellStyle name="20% - Accent5 2" xfId="13"/>
    <cellStyle name="20% - Accent5 2 10" xfId="512"/>
    <cellStyle name="20% - Accent5 2 11" xfId="513"/>
    <cellStyle name="20% - Accent5 2 12" xfId="514"/>
    <cellStyle name="20% - Accent5 2 13" xfId="515"/>
    <cellStyle name="20% - Accent5 2 14" xfId="516"/>
    <cellStyle name="20% - Accent5 2 15" xfId="3730"/>
    <cellStyle name="20% - Accent5 2 16" xfId="3731"/>
    <cellStyle name="20% - Accent5 2 17" xfId="3732"/>
    <cellStyle name="20% - Accent5 2 18" xfId="511"/>
    <cellStyle name="20% - Accent5 2 2" xfId="517"/>
    <cellStyle name="20% - Accent5 2 2 2" xfId="518"/>
    <cellStyle name="20% - Accent5 2 2 3" xfId="519"/>
    <cellStyle name="20% - Accent5 2 2 4" xfId="3733"/>
    <cellStyle name="20% - Accent5 2 2 5" xfId="3734"/>
    <cellStyle name="20% - Accent5 2 2_Sheet1" xfId="520"/>
    <cellStyle name="20% - Accent5 2 3" xfId="521"/>
    <cellStyle name="20% - Accent5 2 4" xfId="522"/>
    <cellStyle name="20% - Accent5 2 5" xfId="523"/>
    <cellStyle name="20% - Accent5 2 6" xfId="524"/>
    <cellStyle name="20% - Accent5 2 7" xfId="525"/>
    <cellStyle name="20% - Accent5 2 8" xfId="526"/>
    <cellStyle name="20% - Accent5 2 9" xfId="527"/>
    <cellStyle name="20% - Accent5 2_BallGrid" xfId="528"/>
    <cellStyle name="20% - Accent5 3" xfId="14"/>
    <cellStyle name="20% - Accent5 3 2" xfId="529"/>
    <cellStyle name="20% - Accent5 3 3" xfId="530"/>
    <cellStyle name="20% - Accent5 3 4" xfId="3735"/>
    <cellStyle name="20% - Accent5 4" xfId="15"/>
    <cellStyle name="20% - Accent5 4 2" xfId="531"/>
    <cellStyle name="20% - Accent5 4 3" xfId="532"/>
    <cellStyle name="20% - Accent5 4 4" xfId="3736"/>
    <cellStyle name="20% - Accent5 4 5" xfId="3737"/>
    <cellStyle name="20% - Accent5 5" xfId="533"/>
    <cellStyle name="20% - Accent5 5 10" xfId="22065"/>
    <cellStyle name="20% - Accent5 5 11" xfId="23247"/>
    <cellStyle name="20% - Accent5 5 12" xfId="51787"/>
    <cellStyle name="20% - Accent5 5 2" xfId="3739"/>
    <cellStyle name="20% - Accent5 5 2 2" xfId="8341"/>
    <cellStyle name="20% - Accent5 5 2 2 2" xfId="16131"/>
    <cellStyle name="20% - Accent5 5 2 2 2 2" xfId="33752"/>
    <cellStyle name="20% - Accent5 5 2 2 3" xfId="26741"/>
    <cellStyle name="20% - Accent5 5 2 3" xfId="12459"/>
    <cellStyle name="20% - Accent5 5 2 3 2" xfId="30116"/>
    <cellStyle name="20% - Accent5 5 2 4" xfId="23880"/>
    <cellStyle name="20% - Accent5 5 3" xfId="3740"/>
    <cellStyle name="20% - Accent5 5 4" xfId="3738"/>
    <cellStyle name="20% - Accent5 5 4 2" xfId="8340"/>
    <cellStyle name="20% - Accent5 5 4 2 2" xfId="16130"/>
    <cellStyle name="20% - Accent5 5 4 2 2 2" xfId="33751"/>
    <cellStyle name="20% - Accent5 5 4 2 3" xfId="26740"/>
    <cellStyle name="20% - Accent5 5 4 3" xfId="12458"/>
    <cellStyle name="20% - Accent5 5 4 3 2" xfId="30115"/>
    <cellStyle name="20% - Accent5 5 4 4" xfId="23879"/>
    <cellStyle name="20% - Accent5 5 5" xfId="5701"/>
    <cellStyle name="20% - Accent5 5 5 2" xfId="8998"/>
    <cellStyle name="20% - Accent5 5 5 2 2" xfId="16787"/>
    <cellStyle name="20% - Accent5 5 5 2 2 2" xfId="34409"/>
    <cellStyle name="20% - Accent5 5 5 2 3" xfId="27372"/>
    <cellStyle name="20% - Accent5 5 5 3" xfId="13551"/>
    <cellStyle name="20% - Accent5 5 5 3 2" xfId="31177"/>
    <cellStyle name="20% - Accent5 5 5 4" xfId="24511"/>
    <cellStyle name="20% - Accent5 5 6" xfId="6331"/>
    <cellStyle name="20% - Accent5 5 6 2" xfId="9538"/>
    <cellStyle name="20% - Accent5 5 6 2 2" xfId="17326"/>
    <cellStyle name="20% - Accent5 5 6 2 2 2" xfId="34949"/>
    <cellStyle name="20% - Accent5 5 6 2 3" xfId="27908"/>
    <cellStyle name="20% - Accent5 5 6 3" xfId="14114"/>
    <cellStyle name="20% - Accent5 5 6 3 2" xfId="31735"/>
    <cellStyle name="20% - Accent5 5 6 4" xfId="25047"/>
    <cellStyle name="20% - Accent5 5 7" xfId="6868"/>
    <cellStyle name="20% - Accent5 5 7 2" xfId="10075"/>
    <cellStyle name="20% - Accent5 5 7 2 2" xfId="17862"/>
    <cellStyle name="20% - Accent5 5 7 2 2 2" xfId="35485"/>
    <cellStyle name="20% - Accent5 5 7 2 3" xfId="28444"/>
    <cellStyle name="20% - Accent5 5 7 3" xfId="14650"/>
    <cellStyle name="20% - Accent5 5 7 3 2" xfId="32271"/>
    <cellStyle name="20% - Accent5 5 7 4" xfId="25584"/>
    <cellStyle name="20% - Accent5 5 8" xfId="7689"/>
    <cellStyle name="20% - Accent5 5 8 2" xfId="15480"/>
    <cellStyle name="20% - Accent5 5 8 2 2" xfId="33101"/>
    <cellStyle name="20% - Accent5 5 8 3" xfId="26108"/>
    <cellStyle name="20% - Accent5 5 9" xfId="11275"/>
    <cellStyle name="20% - Accent5 5 9 2" xfId="28989"/>
    <cellStyle name="20% - Accent5 6" xfId="3448"/>
    <cellStyle name="20% - Accent5 6 2" xfId="8070"/>
    <cellStyle name="20% - Accent5 6 2 2" xfId="15860"/>
    <cellStyle name="20% - Accent5 6 2 2 2" xfId="33481"/>
    <cellStyle name="20% - Accent5 6 2 3" xfId="26470"/>
    <cellStyle name="20% - Accent5 6 3" xfId="12175"/>
    <cellStyle name="20% - Accent5 6 3 2" xfId="29833"/>
    <cellStyle name="20% - Accent5 6 4" xfId="22066"/>
    <cellStyle name="20% - Accent5 6 5" xfId="23609"/>
    <cellStyle name="20% - Accent5 7" xfId="5700"/>
    <cellStyle name="20% - Accent5 7 2" xfId="8997"/>
    <cellStyle name="20% - Accent5 7 2 2" xfId="16786"/>
    <cellStyle name="20% - Accent5 7 2 2 2" xfId="34408"/>
    <cellStyle name="20% - Accent5 7 2 3" xfId="22712"/>
    <cellStyle name="20% - Accent5 7 2 3 2" xfId="38908"/>
    <cellStyle name="20% - Accent5 7 2 4" xfId="27371"/>
    <cellStyle name="20% - Accent5 7 3" xfId="13550"/>
    <cellStyle name="20% - Accent5 7 3 2" xfId="31176"/>
    <cellStyle name="20% - Accent5 7 4" xfId="22067"/>
    <cellStyle name="20% - Accent5 7 4 2" xfId="38754"/>
    <cellStyle name="20% - Accent5 7 5" xfId="24510"/>
    <cellStyle name="20% - Accent5 8" xfId="6330"/>
    <cellStyle name="20% - Accent5 8 2" xfId="9537"/>
    <cellStyle name="20% - Accent5 8 2 2" xfId="17325"/>
    <cellStyle name="20% - Accent5 8 2 2 2" xfId="34948"/>
    <cellStyle name="20% - Accent5 8 2 3" xfId="27907"/>
    <cellStyle name="20% - Accent5 8 3" xfId="14113"/>
    <cellStyle name="20% - Accent5 8 3 2" xfId="31734"/>
    <cellStyle name="20% - Accent5 8 4" xfId="22068"/>
    <cellStyle name="20% - Accent5 8 5" xfId="25046"/>
    <cellStyle name="20% - Accent5 9" xfId="6867"/>
    <cellStyle name="20% - Accent5 9 2" xfId="10074"/>
    <cellStyle name="20% - Accent5 9 2 2" xfId="17861"/>
    <cellStyle name="20% - Accent5 9 2 2 2" xfId="35484"/>
    <cellStyle name="20% - Accent5 9 2 3" xfId="28443"/>
    <cellStyle name="20% - Accent5 9 3" xfId="14649"/>
    <cellStyle name="20% - Accent5 9 3 2" xfId="32270"/>
    <cellStyle name="20% - Accent5 9 4" xfId="22676"/>
    <cellStyle name="20% - Accent5 9 4 2" xfId="38881"/>
    <cellStyle name="20% - Accent5 9 5" xfId="25583"/>
    <cellStyle name="20% - Accent6 10" xfId="7507"/>
    <cellStyle name="20% - Accent6 10 2" xfId="15300"/>
    <cellStyle name="20% - Accent6 10 2 2" xfId="32921"/>
    <cellStyle name="20% - Accent6 10 3" xfId="22070"/>
    <cellStyle name="20% - Accent6 10 3 2" xfId="38755"/>
    <cellStyle name="20% - Accent6 10 4" xfId="25928"/>
    <cellStyle name="20% - Accent6 11" xfId="18866"/>
    <cellStyle name="20% - Accent6 11 2" xfId="22071"/>
    <cellStyle name="20% - Accent6 11 2 2" xfId="38756"/>
    <cellStyle name="20% - Accent6 11 3" xfId="36489"/>
    <cellStyle name="20% - Accent6 12" xfId="11276"/>
    <cellStyle name="20% - Accent6 12 2" xfId="22073"/>
    <cellStyle name="20% - Accent6 12 2 2" xfId="38758"/>
    <cellStyle name="20% - Accent6 12 3" xfId="22072"/>
    <cellStyle name="20% - Accent6 12 3 2" xfId="38757"/>
    <cellStyle name="20% - Accent6 12 4" xfId="28990"/>
    <cellStyle name="20% - Accent6 13" xfId="22074"/>
    <cellStyle name="20% - Accent6 13 2" xfId="38759"/>
    <cellStyle name="20% - Accent6 14" xfId="22075"/>
    <cellStyle name="20% - Accent6 15" xfId="22678"/>
    <cellStyle name="20% - Accent6 15 2" xfId="38883"/>
    <cellStyle name="20% - Accent6 16" xfId="22069"/>
    <cellStyle name="20% - Accent6 17" xfId="21924"/>
    <cellStyle name="20% - Accent6 17 2" xfId="38663"/>
    <cellStyle name="20% - Accent6 18" xfId="23064"/>
    <cellStyle name="20% - Accent6 19" xfId="51462"/>
    <cellStyle name="20% - Accent6 2" xfId="16"/>
    <cellStyle name="20% - Accent6 2 10" xfId="535"/>
    <cellStyle name="20% - Accent6 2 11" xfId="536"/>
    <cellStyle name="20% - Accent6 2 12" xfId="537"/>
    <cellStyle name="20% - Accent6 2 13" xfId="538"/>
    <cellStyle name="20% - Accent6 2 14" xfId="539"/>
    <cellStyle name="20% - Accent6 2 15" xfId="3741"/>
    <cellStyle name="20% - Accent6 2 16" xfId="3742"/>
    <cellStyle name="20% - Accent6 2 17" xfId="3743"/>
    <cellStyle name="20% - Accent6 2 18" xfId="534"/>
    <cellStyle name="20% - Accent6 2 2" xfId="540"/>
    <cellStyle name="20% - Accent6 2 2 2" xfId="541"/>
    <cellStyle name="20% - Accent6 2 2 3" xfId="542"/>
    <cellStyle name="20% - Accent6 2 2 4" xfId="3744"/>
    <cellStyle name="20% - Accent6 2 2 5" xfId="3745"/>
    <cellStyle name="20% - Accent6 2 2_Sheet1" xfId="543"/>
    <cellStyle name="20% - Accent6 2 3" xfId="544"/>
    <cellStyle name="20% - Accent6 2 4" xfId="545"/>
    <cellStyle name="20% - Accent6 2 5" xfId="546"/>
    <cellStyle name="20% - Accent6 2 6" xfId="547"/>
    <cellStyle name="20% - Accent6 2 7" xfId="548"/>
    <cellStyle name="20% - Accent6 2 8" xfId="549"/>
    <cellStyle name="20% - Accent6 2 9" xfId="550"/>
    <cellStyle name="20% - Accent6 2_BallGrid" xfId="551"/>
    <cellStyle name="20% - Accent6 20" xfId="51475"/>
    <cellStyle name="20% - Accent6 21" xfId="51488"/>
    <cellStyle name="20% - Accent6 22" xfId="51788"/>
    <cellStyle name="20% - Accent6 3" xfId="17"/>
    <cellStyle name="20% - Accent6 3 2" xfId="552"/>
    <cellStyle name="20% - Accent6 3 3" xfId="553"/>
    <cellStyle name="20% - Accent6 3 4" xfId="3746"/>
    <cellStyle name="20% - Accent6 4" xfId="18"/>
    <cellStyle name="20% - Accent6 4 2" xfId="554"/>
    <cellStyle name="20% - Accent6 4 3" xfId="555"/>
    <cellStyle name="20% - Accent6 4 4" xfId="3747"/>
    <cellStyle name="20% - Accent6 4 5" xfId="3748"/>
    <cellStyle name="20% - Accent6 5" xfId="556"/>
    <cellStyle name="20% - Accent6 5 10" xfId="22076"/>
    <cellStyle name="20% - Accent6 5 11" xfId="23248"/>
    <cellStyle name="20% - Accent6 5 12" xfId="51789"/>
    <cellStyle name="20% - Accent6 5 2" xfId="3750"/>
    <cellStyle name="20% - Accent6 5 2 2" xfId="8343"/>
    <cellStyle name="20% - Accent6 5 2 2 2" xfId="16133"/>
    <cellStyle name="20% - Accent6 5 2 2 2 2" xfId="33754"/>
    <cellStyle name="20% - Accent6 5 2 2 3" xfId="26743"/>
    <cellStyle name="20% - Accent6 5 2 3" xfId="12470"/>
    <cellStyle name="20% - Accent6 5 2 3 2" xfId="30127"/>
    <cellStyle name="20% - Accent6 5 2 4" xfId="23882"/>
    <cellStyle name="20% - Accent6 5 3" xfId="3751"/>
    <cellStyle name="20% - Accent6 5 4" xfId="3749"/>
    <cellStyle name="20% - Accent6 5 4 2" xfId="8342"/>
    <cellStyle name="20% - Accent6 5 4 2 2" xfId="16132"/>
    <cellStyle name="20% - Accent6 5 4 2 2 2" xfId="33753"/>
    <cellStyle name="20% - Accent6 5 4 2 3" xfId="26742"/>
    <cellStyle name="20% - Accent6 5 4 3" xfId="12469"/>
    <cellStyle name="20% - Accent6 5 4 3 2" xfId="30126"/>
    <cellStyle name="20% - Accent6 5 4 4" xfId="23881"/>
    <cellStyle name="20% - Accent6 5 5" xfId="5703"/>
    <cellStyle name="20% - Accent6 5 5 2" xfId="9000"/>
    <cellStyle name="20% - Accent6 5 5 2 2" xfId="16789"/>
    <cellStyle name="20% - Accent6 5 5 2 2 2" xfId="34411"/>
    <cellStyle name="20% - Accent6 5 5 2 3" xfId="27374"/>
    <cellStyle name="20% - Accent6 5 5 3" xfId="13553"/>
    <cellStyle name="20% - Accent6 5 5 3 2" xfId="31179"/>
    <cellStyle name="20% - Accent6 5 5 4" xfId="24513"/>
    <cellStyle name="20% - Accent6 5 6" xfId="6333"/>
    <cellStyle name="20% - Accent6 5 6 2" xfId="9540"/>
    <cellStyle name="20% - Accent6 5 6 2 2" xfId="17328"/>
    <cellStyle name="20% - Accent6 5 6 2 2 2" xfId="34951"/>
    <cellStyle name="20% - Accent6 5 6 2 3" xfId="27910"/>
    <cellStyle name="20% - Accent6 5 6 3" xfId="14116"/>
    <cellStyle name="20% - Accent6 5 6 3 2" xfId="31737"/>
    <cellStyle name="20% - Accent6 5 6 4" xfId="25049"/>
    <cellStyle name="20% - Accent6 5 7" xfId="6870"/>
    <cellStyle name="20% - Accent6 5 7 2" xfId="10077"/>
    <cellStyle name="20% - Accent6 5 7 2 2" xfId="17864"/>
    <cellStyle name="20% - Accent6 5 7 2 2 2" xfId="35487"/>
    <cellStyle name="20% - Accent6 5 7 2 3" xfId="28446"/>
    <cellStyle name="20% - Accent6 5 7 3" xfId="14652"/>
    <cellStyle name="20% - Accent6 5 7 3 2" xfId="32273"/>
    <cellStyle name="20% - Accent6 5 7 4" xfId="25586"/>
    <cellStyle name="20% - Accent6 5 8" xfId="7690"/>
    <cellStyle name="20% - Accent6 5 8 2" xfId="15481"/>
    <cellStyle name="20% - Accent6 5 8 2 2" xfId="33102"/>
    <cellStyle name="20% - Accent6 5 8 3" xfId="26109"/>
    <cellStyle name="20% - Accent6 5 9" xfId="11301"/>
    <cellStyle name="20% - Accent6 5 9 2" xfId="29015"/>
    <cellStyle name="20% - Accent6 6" xfId="3450"/>
    <cellStyle name="20% - Accent6 6 2" xfId="8072"/>
    <cellStyle name="20% - Accent6 6 2 2" xfId="15862"/>
    <cellStyle name="20% - Accent6 6 2 2 2" xfId="33483"/>
    <cellStyle name="20% - Accent6 6 2 3" xfId="26472"/>
    <cellStyle name="20% - Accent6 6 3" xfId="12177"/>
    <cellStyle name="20% - Accent6 6 3 2" xfId="29835"/>
    <cellStyle name="20% - Accent6 6 4" xfId="22077"/>
    <cellStyle name="20% - Accent6 6 5" xfId="23611"/>
    <cellStyle name="20% - Accent6 7" xfId="5702"/>
    <cellStyle name="20% - Accent6 7 2" xfId="8999"/>
    <cellStyle name="20% - Accent6 7 2 2" xfId="16788"/>
    <cellStyle name="20% - Accent6 7 2 2 2" xfId="34410"/>
    <cellStyle name="20% - Accent6 7 2 3" xfId="22713"/>
    <cellStyle name="20% - Accent6 7 2 3 2" xfId="38909"/>
    <cellStyle name="20% - Accent6 7 2 4" xfId="27373"/>
    <cellStyle name="20% - Accent6 7 3" xfId="13552"/>
    <cellStyle name="20% - Accent6 7 3 2" xfId="31178"/>
    <cellStyle name="20% - Accent6 7 4" xfId="22078"/>
    <cellStyle name="20% - Accent6 7 4 2" xfId="38760"/>
    <cellStyle name="20% - Accent6 7 5" xfId="24512"/>
    <cellStyle name="20% - Accent6 8" xfId="6332"/>
    <cellStyle name="20% - Accent6 8 2" xfId="9539"/>
    <cellStyle name="20% - Accent6 8 2 2" xfId="17327"/>
    <cellStyle name="20% - Accent6 8 2 2 2" xfId="22715"/>
    <cellStyle name="20% - Accent6 8 2 2 2 2" xfId="38911"/>
    <cellStyle name="20% - Accent6 8 2 2 3" xfId="34950"/>
    <cellStyle name="20% - Accent6 8 2 3" xfId="22080"/>
    <cellStyle name="20% - Accent6 8 2 3 2" xfId="38762"/>
    <cellStyle name="20% - Accent6 8 2 4" xfId="27909"/>
    <cellStyle name="20% - Accent6 8 3" xfId="14115"/>
    <cellStyle name="20% - Accent6 8 3 2" xfId="22714"/>
    <cellStyle name="20% - Accent6 8 3 2 2" xfId="38910"/>
    <cellStyle name="20% - Accent6 8 3 3" xfId="31736"/>
    <cellStyle name="20% - Accent6 8 4" xfId="22079"/>
    <cellStyle name="20% - Accent6 8 4 2" xfId="38761"/>
    <cellStyle name="20% - Accent6 8 5" xfId="25048"/>
    <cellStyle name="20% - Accent6 9" xfId="6869"/>
    <cellStyle name="20% - Accent6 9 2" xfId="10076"/>
    <cellStyle name="20% - Accent6 9 2 2" xfId="17863"/>
    <cellStyle name="20% - Accent6 9 2 2 2" xfId="35486"/>
    <cellStyle name="20% - Accent6 9 2 3" xfId="22716"/>
    <cellStyle name="20% - Accent6 9 2 3 2" xfId="38912"/>
    <cellStyle name="20% - Accent6 9 2 4" xfId="28445"/>
    <cellStyle name="20% - Accent6 9 3" xfId="14651"/>
    <cellStyle name="20% - Accent6 9 3 2" xfId="32272"/>
    <cellStyle name="20% - Accent6 9 4" xfId="22081"/>
    <cellStyle name="20% - Accent6 9 4 2" xfId="38763"/>
    <cellStyle name="20% - Accent6 9 5" xfId="25585"/>
    <cellStyle name="20% - 强调文字颜色 1" xfId="164" builtinId="30" customBuiltin="1"/>
    <cellStyle name="20% - 强调文字颜色 2" xfId="168" builtinId="34" customBuiltin="1"/>
    <cellStyle name="20% - 强调文字颜色 3" xfId="172" builtinId="38" customBuiltin="1"/>
    <cellStyle name="20% - 强调文字颜色 4" xfId="176" builtinId="42" customBuiltin="1"/>
    <cellStyle name="20% - 强调文字颜色 5" xfId="180" builtinId="46" customBuiltin="1"/>
    <cellStyle name="20% - 强调文字颜色 6" xfId="184" builtinId="50" customBuiltin="1"/>
    <cellStyle name="40% - Accent1 10" xfId="557"/>
    <cellStyle name="40% - Accent1 10 2" xfId="558"/>
    <cellStyle name="40% - Accent1 10 3" xfId="559"/>
    <cellStyle name="40% - Accent1 10 3 2" xfId="8344"/>
    <cellStyle name="40% - Accent1 10 3 2 2" xfId="16134"/>
    <cellStyle name="40% - Accent1 10 3 2 2 2" xfId="33755"/>
    <cellStyle name="40% - Accent1 10 3 2 3" xfId="26744"/>
    <cellStyle name="40% - Accent1 10 3 3" xfId="12472"/>
    <cellStyle name="40% - Accent1 10 3 3 2" xfId="30129"/>
    <cellStyle name="40% - Accent1 10 3 4" xfId="23883"/>
    <cellStyle name="40% - Accent1 10 3 5" xfId="51790"/>
    <cellStyle name="40% - Accent1 10 4" xfId="7691"/>
    <cellStyle name="40% - Accent1 10 4 2" xfId="15482"/>
    <cellStyle name="40% - Accent1 10 4 2 2" xfId="33103"/>
    <cellStyle name="40% - Accent1 10 4 3" xfId="26110"/>
    <cellStyle name="40% - Accent1 10 5" xfId="11302"/>
    <cellStyle name="40% - Accent1 10 5 2" xfId="29016"/>
    <cellStyle name="40% - Accent1 10 6" xfId="22083"/>
    <cellStyle name="40% - Accent1 10 6 2" xfId="38764"/>
    <cellStyle name="40% - Accent1 10 7" xfId="23249"/>
    <cellStyle name="40% - Accent1 11" xfId="560"/>
    <cellStyle name="40% - Accent1 11 10" xfId="51791"/>
    <cellStyle name="40% - Accent1 11 2" xfId="3752"/>
    <cellStyle name="40% - Accent1 11 2 2" xfId="8345"/>
    <cellStyle name="40% - Accent1 11 2 2 2" xfId="16135"/>
    <cellStyle name="40% - Accent1 11 2 2 2 2" xfId="33756"/>
    <cellStyle name="40% - Accent1 11 2 2 3" xfId="26745"/>
    <cellStyle name="40% - Accent1 11 2 3" xfId="12473"/>
    <cellStyle name="40% - Accent1 11 2 3 2" xfId="30130"/>
    <cellStyle name="40% - Accent1 11 2 4" xfId="23884"/>
    <cellStyle name="40% - Accent1 11 3" xfId="5704"/>
    <cellStyle name="40% - Accent1 11 3 2" xfId="9001"/>
    <cellStyle name="40% - Accent1 11 3 2 2" xfId="16790"/>
    <cellStyle name="40% - Accent1 11 3 2 2 2" xfId="34412"/>
    <cellStyle name="40% - Accent1 11 3 2 3" xfId="27375"/>
    <cellStyle name="40% - Accent1 11 3 3" xfId="13554"/>
    <cellStyle name="40% - Accent1 11 3 3 2" xfId="31180"/>
    <cellStyle name="40% - Accent1 11 3 4" xfId="24514"/>
    <cellStyle name="40% - Accent1 11 4" xfId="6334"/>
    <cellStyle name="40% - Accent1 11 4 2" xfId="9541"/>
    <cellStyle name="40% - Accent1 11 4 2 2" xfId="17329"/>
    <cellStyle name="40% - Accent1 11 4 2 2 2" xfId="34952"/>
    <cellStyle name="40% - Accent1 11 4 2 3" xfId="27911"/>
    <cellStyle name="40% - Accent1 11 4 3" xfId="14117"/>
    <cellStyle name="40% - Accent1 11 4 3 2" xfId="31738"/>
    <cellStyle name="40% - Accent1 11 4 4" xfId="25050"/>
    <cellStyle name="40% - Accent1 11 5" xfId="6871"/>
    <cellStyle name="40% - Accent1 11 5 2" xfId="10078"/>
    <cellStyle name="40% - Accent1 11 5 2 2" xfId="17865"/>
    <cellStyle name="40% - Accent1 11 5 2 2 2" xfId="35488"/>
    <cellStyle name="40% - Accent1 11 5 2 3" xfId="28447"/>
    <cellStyle name="40% - Accent1 11 5 3" xfId="14653"/>
    <cellStyle name="40% - Accent1 11 5 3 2" xfId="32274"/>
    <cellStyle name="40% - Accent1 11 5 4" xfId="25587"/>
    <cellStyle name="40% - Accent1 11 6" xfId="7692"/>
    <cellStyle name="40% - Accent1 11 6 2" xfId="15483"/>
    <cellStyle name="40% - Accent1 11 6 2 2" xfId="33104"/>
    <cellStyle name="40% - Accent1 11 6 3" xfId="26111"/>
    <cellStyle name="40% - Accent1 11 7" xfId="11304"/>
    <cellStyle name="40% - Accent1 11 7 2" xfId="29018"/>
    <cellStyle name="40% - Accent1 11 8" xfId="22084"/>
    <cellStyle name="40% - Accent1 11 8 2" xfId="38765"/>
    <cellStyle name="40% - Accent1 11 9" xfId="23250"/>
    <cellStyle name="40% - Accent1 12" xfId="18857"/>
    <cellStyle name="40% - Accent1 12 2" xfId="22086"/>
    <cellStyle name="40% - Accent1 12 2 2" xfId="38767"/>
    <cellStyle name="40% - Accent1 12 3" xfId="22085"/>
    <cellStyle name="40% - Accent1 12 3 2" xfId="38766"/>
    <cellStyle name="40% - Accent1 12 4" xfId="36480"/>
    <cellStyle name="40% - Accent1 13" xfId="15285"/>
    <cellStyle name="40% - Accent1 13 2" xfId="22087"/>
    <cellStyle name="40% - Accent1 13 2 2" xfId="38768"/>
    <cellStyle name="40% - Accent1 13 3" xfId="32906"/>
    <cellStyle name="40% - Accent1 14" xfId="22088"/>
    <cellStyle name="40% - Accent1 15" xfId="22665"/>
    <cellStyle name="40% - Accent1 15 2" xfId="38874"/>
    <cellStyle name="40% - Accent1 16" xfId="22082"/>
    <cellStyle name="40% - Accent1 17" xfId="23055"/>
    <cellStyle name="40% - Accent1 18" xfId="51453"/>
    <cellStyle name="40% - Accent1 19" xfId="51466"/>
    <cellStyle name="40% - Accent1 2" xfId="19"/>
    <cellStyle name="40% - Accent1 2 10" xfId="562"/>
    <cellStyle name="40% - Accent1 2 11" xfId="563"/>
    <cellStyle name="40% - Accent1 2 12" xfId="564"/>
    <cellStyle name="40% - Accent1 2 13" xfId="565"/>
    <cellStyle name="40% - Accent1 2 14" xfId="566"/>
    <cellStyle name="40% - Accent1 2 15" xfId="3753"/>
    <cellStyle name="40% - Accent1 2 16" xfId="3754"/>
    <cellStyle name="40% - Accent1 2 17" xfId="3755"/>
    <cellStyle name="40% - Accent1 2 18" xfId="561"/>
    <cellStyle name="40% - Accent1 2 2" xfId="567"/>
    <cellStyle name="40% - Accent1 2 2 2" xfId="568"/>
    <cellStyle name="40% - Accent1 2 2 3" xfId="569"/>
    <cellStyle name="40% - Accent1 2 2 4" xfId="3756"/>
    <cellStyle name="40% - Accent1 2 2 5" xfId="3757"/>
    <cellStyle name="40% - Accent1 2 2_Sheet1" xfId="570"/>
    <cellStyle name="40% - Accent1 2 3" xfId="571"/>
    <cellStyle name="40% - Accent1 2 4" xfId="572"/>
    <cellStyle name="40% - Accent1 2 5" xfId="573"/>
    <cellStyle name="40% - Accent1 2 6" xfId="574"/>
    <cellStyle name="40% - Accent1 2 7" xfId="575"/>
    <cellStyle name="40% - Accent1 2 8" xfId="576"/>
    <cellStyle name="40% - Accent1 2 9" xfId="577"/>
    <cellStyle name="40% - Accent1 2_BallGrid" xfId="578"/>
    <cellStyle name="40% - Accent1 20" xfId="51479"/>
    <cellStyle name="40% - Accent1 3" xfId="20"/>
    <cellStyle name="40% - Accent1 3 10" xfId="579"/>
    <cellStyle name="40% - Accent1 3 2" xfId="580"/>
    <cellStyle name="40% - Accent1 3 3" xfId="581"/>
    <cellStyle name="40% - Accent1 3 4" xfId="582"/>
    <cellStyle name="40% - Accent1 3 5" xfId="583"/>
    <cellStyle name="40% - Accent1 3 6" xfId="584"/>
    <cellStyle name="40% - Accent1 3 7" xfId="3758"/>
    <cellStyle name="40% - Accent1 3 8" xfId="3759"/>
    <cellStyle name="40% - Accent1 3 9" xfId="3760"/>
    <cellStyle name="40% - Accent1 3_BallGrid" xfId="585"/>
    <cellStyle name="40% - Accent1 4" xfId="21"/>
    <cellStyle name="40% - Accent1 4 2" xfId="587"/>
    <cellStyle name="40% - Accent1 4 2 2" xfId="22828"/>
    <cellStyle name="40% - Accent1 4 3" xfId="588"/>
    <cellStyle name="40% - Accent1 4 3 2" xfId="22089"/>
    <cellStyle name="40% - Accent1 4 4" xfId="589"/>
    <cellStyle name="40% - Accent1 4 5" xfId="590"/>
    <cellStyle name="40% - Accent1 4 6" xfId="3761"/>
    <cellStyle name="40% - Accent1 4 7" xfId="3762"/>
    <cellStyle name="40% - Accent1 4 8" xfId="3763"/>
    <cellStyle name="40% - Accent1 4 9" xfId="586"/>
    <cellStyle name="40% - Accent1 5" xfId="591"/>
    <cellStyle name="40% - Accent1 5 10" xfId="21932"/>
    <cellStyle name="40% - Accent1 5 10 2" xfId="38671"/>
    <cellStyle name="40% - Accent1 5 11" xfId="23251"/>
    <cellStyle name="40% - Accent1 5 12" xfId="51792"/>
    <cellStyle name="40% - Accent1 5 2" xfId="3765"/>
    <cellStyle name="40% - Accent1 5 2 2" xfId="8347"/>
    <cellStyle name="40% - Accent1 5 2 2 2" xfId="16137"/>
    <cellStyle name="40% - Accent1 5 2 2 2 2" xfId="33758"/>
    <cellStyle name="40% - Accent1 5 2 2 3" xfId="26747"/>
    <cellStyle name="40% - Accent1 5 2 3" xfId="12481"/>
    <cellStyle name="40% - Accent1 5 2 3 2" xfId="30138"/>
    <cellStyle name="40% - Accent1 5 2 4" xfId="22829"/>
    <cellStyle name="40% - Accent1 5 2 4 2" xfId="38991"/>
    <cellStyle name="40% - Accent1 5 2 5" xfId="23886"/>
    <cellStyle name="40% - Accent1 5 3" xfId="3766"/>
    <cellStyle name="40% - Accent1 5 3 2" xfId="22090"/>
    <cellStyle name="40% - Accent1 5 4" xfId="3764"/>
    <cellStyle name="40% - Accent1 5 4 2" xfId="8346"/>
    <cellStyle name="40% - Accent1 5 4 2 2" xfId="16136"/>
    <cellStyle name="40% - Accent1 5 4 2 2 2" xfId="33757"/>
    <cellStyle name="40% - Accent1 5 4 2 3" xfId="26746"/>
    <cellStyle name="40% - Accent1 5 4 3" xfId="12480"/>
    <cellStyle name="40% - Accent1 5 4 3 2" xfId="30137"/>
    <cellStyle name="40% - Accent1 5 4 4" xfId="23885"/>
    <cellStyle name="40% - Accent1 5 5" xfId="5705"/>
    <cellStyle name="40% - Accent1 5 5 2" xfId="9002"/>
    <cellStyle name="40% - Accent1 5 5 2 2" xfId="16791"/>
    <cellStyle name="40% - Accent1 5 5 2 2 2" xfId="34413"/>
    <cellStyle name="40% - Accent1 5 5 2 3" xfId="27376"/>
    <cellStyle name="40% - Accent1 5 5 3" xfId="13555"/>
    <cellStyle name="40% - Accent1 5 5 3 2" xfId="31181"/>
    <cellStyle name="40% - Accent1 5 5 4" xfId="24515"/>
    <cellStyle name="40% - Accent1 5 6" xfId="6335"/>
    <cellStyle name="40% - Accent1 5 6 2" xfId="9542"/>
    <cellStyle name="40% - Accent1 5 6 2 2" xfId="17330"/>
    <cellStyle name="40% - Accent1 5 6 2 2 2" xfId="34953"/>
    <cellStyle name="40% - Accent1 5 6 2 3" xfId="27912"/>
    <cellStyle name="40% - Accent1 5 6 3" xfId="14118"/>
    <cellStyle name="40% - Accent1 5 6 3 2" xfId="31739"/>
    <cellStyle name="40% - Accent1 5 6 4" xfId="25051"/>
    <cellStyle name="40% - Accent1 5 7" xfId="6872"/>
    <cellStyle name="40% - Accent1 5 7 2" xfId="10079"/>
    <cellStyle name="40% - Accent1 5 7 2 2" xfId="17866"/>
    <cellStyle name="40% - Accent1 5 7 2 2 2" xfId="35489"/>
    <cellStyle name="40% - Accent1 5 7 2 3" xfId="28448"/>
    <cellStyle name="40% - Accent1 5 7 3" xfId="14654"/>
    <cellStyle name="40% - Accent1 5 7 3 2" xfId="32275"/>
    <cellStyle name="40% - Accent1 5 7 4" xfId="25588"/>
    <cellStyle name="40% - Accent1 5 8" xfId="7693"/>
    <cellStyle name="40% - Accent1 5 8 2" xfId="15484"/>
    <cellStyle name="40% - Accent1 5 8 2 2" xfId="33105"/>
    <cellStyle name="40% - Accent1 5 8 3" xfId="26112"/>
    <cellStyle name="40% - Accent1 5 9" xfId="11326"/>
    <cellStyle name="40% - Accent1 5 9 2" xfId="29038"/>
    <cellStyle name="40% - Accent1 6" xfId="592"/>
    <cellStyle name="40% - Accent1 6 10" xfId="51793"/>
    <cellStyle name="40% - Accent1 6 2" xfId="3767"/>
    <cellStyle name="40% - Accent1 6 2 2" xfId="8348"/>
    <cellStyle name="40% - Accent1 6 2 2 2" xfId="16138"/>
    <cellStyle name="40% - Accent1 6 2 2 2 2" xfId="33759"/>
    <cellStyle name="40% - Accent1 6 2 2 3" xfId="26748"/>
    <cellStyle name="40% - Accent1 6 2 3" xfId="12482"/>
    <cellStyle name="40% - Accent1 6 2 3 2" xfId="30139"/>
    <cellStyle name="40% - Accent1 6 2 4" xfId="22830"/>
    <cellStyle name="40% - Accent1 6 2 4 2" xfId="38992"/>
    <cellStyle name="40% - Accent1 6 2 5" xfId="23887"/>
    <cellStyle name="40% - Accent1 6 3" xfId="5706"/>
    <cellStyle name="40% - Accent1 6 3 2" xfId="9003"/>
    <cellStyle name="40% - Accent1 6 3 2 2" xfId="16792"/>
    <cellStyle name="40% - Accent1 6 3 2 2 2" xfId="34414"/>
    <cellStyle name="40% - Accent1 6 3 2 3" xfId="27377"/>
    <cellStyle name="40% - Accent1 6 3 3" xfId="13556"/>
    <cellStyle name="40% - Accent1 6 3 3 2" xfId="31182"/>
    <cellStyle name="40% - Accent1 6 3 4" xfId="22091"/>
    <cellStyle name="40% - Accent1 6 3 5" xfId="24516"/>
    <cellStyle name="40% - Accent1 6 4" xfId="6336"/>
    <cellStyle name="40% - Accent1 6 4 2" xfId="9543"/>
    <cellStyle name="40% - Accent1 6 4 2 2" xfId="17331"/>
    <cellStyle name="40% - Accent1 6 4 2 2 2" xfId="34954"/>
    <cellStyle name="40% - Accent1 6 4 2 3" xfId="27913"/>
    <cellStyle name="40% - Accent1 6 4 3" xfId="14119"/>
    <cellStyle name="40% - Accent1 6 4 3 2" xfId="31740"/>
    <cellStyle name="40% - Accent1 6 4 4" xfId="25052"/>
    <cellStyle name="40% - Accent1 6 5" xfId="6873"/>
    <cellStyle name="40% - Accent1 6 5 2" xfId="10080"/>
    <cellStyle name="40% - Accent1 6 5 2 2" xfId="17867"/>
    <cellStyle name="40% - Accent1 6 5 2 2 2" xfId="35490"/>
    <cellStyle name="40% - Accent1 6 5 2 3" xfId="28449"/>
    <cellStyle name="40% - Accent1 6 5 3" xfId="14655"/>
    <cellStyle name="40% - Accent1 6 5 3 2" xfId="32276"/>
    <cellStyle name="40% - Accent1 6 5 4" xfId="25589"/>
    <cellStyle name="40% - Accent1 6 6" xfId="7694"/>
    <cellStyle name="40% - Accent1 6 6 2" xfId="15485"/>
    <cellStyle name="40% - Accent1 6 6 2 2" xfId="33106"/>
    <cellStyle name="40% - Accent1 6 6 3" xfId="26113"/>
    <cellStyle name="40% - Accent1 6 7" xfId="11327"/>
    <cellStyle name="40% - Accent1 6 7 2" xfId="29039"/>
    <cellStyle name="40% - Accent1 6 8" xfId="21933"/>
    <cellStyle name="40% - Accent1 6 8 2" xfId="38672"/>
    <cellStyle name="40% - Accent1 6 9" xfId="23252"/>
    <cellStyle name="40% - Accent1 7" xfId="593"/>
    <cellStyle name="40% - Accent1 7 10" xfId="51794"/>
    <cellStyle name="40% - Accent1 7 2" xfId="3768"/>
    <cellStyle name="40% - Accent1 7 2 2" xfId="8349"/>
    <cellStyle name="40% - Accent1 7 2 2 2" xfId="16139"/>
    <cellStyle name="40% - Accent1 7 2 2 2 2" xfId="33760"/>
    <cellStyle name="40% - Accent1 7 2 2 3" xfId="26749"/>
    <cellStyle name="40% - Accent1 7 2 3" xfId="12483"/>
    <cellStyle name="40% - Accent1 7 2 3 2" xfId="30140"/>
    <cellStyle name="40% - Accent1 7 2 4" xfId="22717"/>
    <cellStyle name="40% - Accent1 7 2 4 2" xfId="38913"/>
    <cellStyle name="40% - Accent1 7 2 5" xfId="23888"/>
    <cellStyle name="40% - Accent1 7 3" xfId="5707"/>
    <cellStyle name="40% - Accent1 7 3 2" xfId="9004"/>
    <cellStyle name="40% - Accent1 7 3 2 2" xfId="16793"/>
    <cellStyle name="40% - Accent1 7 3 2 2 2" xfId="34415"/>
    <cellStyle name="40% - Accent1 7 3 2 3" xfId="27378"/>
    <cellStyle name="40% - Accent1 7 3 3" xfId="13557"/>
    <cellStyle name="40% - Accent1 7 3 3 2" xfId="31183"/>
    <cellStyle name="40% - Accent1 7 3 4" xfId="24517"/>
    <cellStyle name="40% - Accent1 7 4" xfId="6337"/>
    <cellStyle name="40% - Accent1 7 4 2" xfId="9544"/>
    <cellStyle name="40% - Accent1 7 4 2 2" xfId="17332"/>
    <cellStyle name="40% - Accent1 7 4 2 2 2" xfId="34955"/>
    <cellStyle name="40% - Accent1 7 4 2 3" xfId="27914"/>
    <cellStyle name="40% - Accent1 7 4 3" xfId="14120"/>
    <cellStyle name="40% - Accent1 7 4 3 2" xfId="31741"/>
    <cellStyle name="40% - Accent1 7 4 4" xfId="25053"/>
    <cellStyle name="40% - Accent1 7 5" xfId="6874"/>
    <cellStyle name="40% - Accent1 7 5 2" xfId="10081"/>
    <cellStyle name="40% - Accent1 7 5 2 2" xfId="17868"/>
    <cellStyle name="40% - Accent1 7 5 2 2 2" xfId="35491"/>
    <cellStyle name="40% - Accent1 7 5 2 3" xfId="28450"/>
    <cellStyle name="40% - Accent1 7 5 3" xfId="14656"/>
    <cellStyle name="40% - Accent1 7 5 3 2" xfId="32277"/>
    <cellStyle name="40% - Accent1 7 5 4" xfId="25590"/>
    <cellStyle name="40% - Accent1 7 6" xfId="7695"/>
    <cellStyle name="40% - Accent1 7 6 2" xfId="15486"/>
    <cellStyle name="40% - Accent1 7 6 2 2" xfId="33107"/>
    <cellStyle name="40% - Accent1 7 6 3" xfId="26114"/>
    <cellStyle name="40% - Accent1 7 7" xfId="11328"/>
    <cellStyle name="40% - Accent1 7 7 2" xfId="29040"/>
    <cellStyle name="40% - Accent1 7 8" xfId="22092"/>
    <cellStyle name="40% - Accent1 7 8 2" xfId="38769"/>
    <cellStyle name="40% - Accent1 7 9" xfId="23253"/>
    <cellStyle name="40% - Accent1 8" xfId="594"/>
    <cellStyle name="40% - Accent1 8 10" xfId="51795"/>
    <cellStyle name="40% - Accent1 8 2" xfId="3769"/>
    <cellStyle name="40% - Accent1 8 2 2" xfId="8350"/>
    <cellStyle name="40% - Accent1 8 2 2 2" xfId="16140"/>
    <cellStyle name="40% - Accent1 8 2 2 2 2" xfId="33761"/>
    <cellStyle name="40% - Accent1 8 2 2 3" xfId="22719"/>
    <cellStyle name="40% - Accent1 8 2 2 3 2" xfId="38915"/>
    <cellStyle name="40% - Accent1 8 2 2 4" xfId="26750"/>
    <cellStyle name="40% - Accent1 8 2 3" xfId="12484"/>
    <cellStyle name="40% - Accent1 8 2 3 2" xfId="30141"/>
    <cellStyle name="40% - Accent1 8 2 4" xfId="22094"/>
    <cellStyle name="40% - Accent1 8 2 4 2" xfId="38771"/>
    <cellStyle name="40% - Accent1 8 2 5" xfId="23889"/>
    <cellStyle name="40% - Accent1 8 3" xfId="5708"/>
    <cellStyle name="40% - Accent1 8 3 2" xfId="9005"/>
    <cellStyle name="40% - Accent1 8 3 2 2" xfId="16794"/>
    <cellStyle name="40% - Accent1 8 3 2 2 2" xfId="34416"/>
    <cellStyle name="40% - Accent1 8 3 2 3" xfId="27379"/>
    <cellStyle name="40% - Accent1 8 3 3" xfId="13558"/>
    <cellStyle name="40% - Accent1 8 3 3 2" xfId="31184"/>
    <cellStyle name="40% - Accent1 8 3 4" xfId="22718"/>
    <cellStyle name="40% - Accent1 8 3 4 2" xfId="38914"/>
    <cellStyle name="40% - Accent1 8 3 5" xfId="24518"/>
    <cellStyle name="40% - Accent1 8 4" xfId="6338"/>
    <cellStyle name="40% - Accent1 8 4 2" xfId="9545"/>
    <cellStyle name="40% - Accent1 8 4 2 2" xfId="17333"/>
    <cellStyle name="40% - Accent1 8 4 2 2 2" xfId="34956"/>
    <cellStyle name="40% - Accent1 8 4 2 3" xfId="27915"/>
    <cellStyle name="40% - Accent1 8 4 3" xfId="14121"/>
    <cellStyle name="40% - Accent1 8 4 3 2" xfId="31742"/>
    <cellStyle name="40% - Accent1 8 4 4" xfId="25054"/>
    <cellStyle name="40% - Accent1 8 5" xfId="6875"/>
    <cellStyle name="40% - Accent1 8 5 2" xfId="10082"/>
    <cellStyle name="40% - Accent1 8 5 2 2" xfId="17869"/>
    <cellStyle name="40% - Accent1 8 5 2 2 2" xfId="35492"/>
    <cellStyle name="40% - Accent1 8 5 2 3" xfId="28451"/>
    <cellStyle name="40% - Accent1 8 5 3" xfId="14657"/>
    <cellStyle name="40% - Accent1 8 5 3 2" xfId="32278"/>
    <cellStyle name="40% - Accent1 8 5 4" xfId="25591"/>
    <cellStyle name="40% - Accent1 8 6" xfId="7696"/>
    <cellStyle name="40% - Accent1 8 6 2" xfId="15487"/>
    <cellStyle name="40% - Accent1 8 6 2 2" xfId="33108"/>
    <cellStyle name="40% - Accent1 8 6 3" xfId="26115"/>
    <cellStyle name="40% - Accent1 8 7" xfId="11329"/>
    <cellStyle name="40% - Accent1 8 7 2" xfId="29041"/>
    <cellStyle name="40% - Accent1 8 8" xfId="22093"/>
    <cellStyle name="40% - Accent1 8 8 2" xfId="38770"/>
    <cellStyle name="40% - Accent1 8 9" xfId="23254"/>
    <cellStyle name="40% - Accent1 9" xfId="595"/>
    <cellStyle name="40% - Accent1 9 10" xfId="51796"/>
    <cellStyle name="40% - Accent1 9 2" xfId="3770"/>
    <cellStyle name="40% - Accent1 9 2 2" xfId="8351"/>
    <cellStyle name="40% - Accent1 9 2 2 2" xfId="16141"/>
    <cellStyle name="40% - Accent1 9 2 2 2 2" xfId="33762"/>
    <cellStyle name="40% - Accent1 9 2 2 3" xfId="26751"/>
    <cellStyle name="40% - Accent1 9 2 3" xfId="12485"/>
    <cellStyle name="40% - Accent1 9 2 3 2" xfId="30142"/>
    <cellStyle name="40% - Accent1 9 2 4" xfId="22720"/>
    <cellStyle name="40% - Accent1 9 2 4 2" xfId="38916"/>
    <cellStyle name="40% - Accent1 9 2 5" xfId="23890"/>
    <cellStyle name="40% - Accent1 9 3" xfId="5709"/>
    <cellStyle name="40% - Accent1 9 3 2" xfId="9006"/>
    <cellStyle name="40% - Accent1 9 3 2 2" xfId="16795"/>
    <cellStyle name="40% - Accent1 9 3 2 2 2" xfId="34417"/>
    <cellStyle name="40% - Accent1 9 3 2 3" xfId="27380"/>
    <cellStyle name="40% - Accent1 9 3 3" xfId="13559"/>
    <cellStyle name="40% - Accent1 9 3 3 2" xfId="31185"/>
    <cellStyle name="40% - Accent1 9 3 4" xfId="24519"/>
    <cellStyle name="40% - Accent1 9 4" xfId="6339"/>
    <cellStyle name="40% - Accent1 9 4 2" xfId="9546"/>
    <cellStyle name="40% - Accent1 9 4 2 2" xfId="17334"/>
    <cellStyle name="40% - Accent1 9 4 2 2 2" xfId="34957"/>
    <cellStyle name="40% - Accent1 9 4 2 3" xfId="27916"/>
    <cellStyle name="40% - Accent1 9 4 3" xfId="14122"/>
    <cellStyle name="40% - Accent1 9 4 3 2" xfId="31743"/>
    <cellStyle name="40% - Accent1 9 4 4" xfId="25055"/>
    <cellStyle name="40% - Accent1 9 5" xfId="6876"/>
    <cellStyle name="40% - Accent1 9 5 2" xfId="10083"/>
    <cellStyle name="40% - Accent1 9 5 2 2" xfId="17870"/>
    <cellStyle name="40% - Accent1 9 5 2 2 2" xfId="35493"/>
    <cellStyle name="40% - Accent1 9 5 2 3" xfId="28452"/>
    <cellStyle name="40% - Accent1 9 5 3" xfId="14658"/>
    <cellStyle name="40% - Accent1 9 5 3 2" xfId="32279"/>
    <cellStyle name="40% - Accent1 9 5 4" xfId="25592"/>
    <cellStyle name="40% - Accent1 9 6" xfId="7697"/>
    <cellStyle name="40% - Accent1 9 6 2" xfId="15488"/>
    <cellStyle name="40% - Accent1 9 6 2 2" xfId="33109"/>
    <cellStyle name="40% - Accent1 9 6 3" xfId="26116"/>
    <cellStyle name="40% - Accent1 9 7" xfId="11330"/>
    <cellStyle name="40% - Accent1 9 7 2" xfId="29042"/>
    <cellStyle name="40% - Accent1 9 8" xfId="22095"/>
    <cellStyle name="40% - Accent1 9 8 2" xfId="38772"/>
    <cellStyle name="40% - Accent1 9 9" xfId="23255"/>
    <cellStyle name="40% - Accent2 10" xfId="596"/>
    <cellStyle name="40% - Accent2 10 2" xfId="597"/>
    <cellStyle name="40% - Accent2 10 3" xfId="598"/>
    <cellStyle name="40% - Accent2 10 3 2" xfId="8352"/>
    <cellStyle name="40% - Accent2 10 3 2 2" xfId="16142"/>
    <cellStyle name="40% - Accent2 10 3 2 2 2" xfId="33763"/>
    <cellStyle name="40% - Accent2 10 3 2 3" xfId="26752"/>
    <cellStyle name="40% - Accent2 10 3 3" xfId="12486"/>
    <cellStyle name="40% - Accent2 10 3 3 2" xfId="30143"/>
    <cellStyle name="40% - Accent2 10 3 4" xfId="23891"/>
    <cellStyle name="40% - Accent2 10 3 5" xfId="51797"/>
    <cellStyle name="40% - Accent2 10 4" xfId="7698"/>
    <cellStyle name="40% - Accent2 10 4 2" xfId="15489"/>
    <cellStyle name="40% - Accent2 10 4 2 2" xfId="33110"/>
    <cellStyle name="40% - Accent2 10 4 3" xfId="26117"/>
    <cellStyle name="40% - Accent2 10 5" xfId="11331"/>
    <cellStyle name="40% - Accent2 10 5 2" xfId="29043"/>
    <cellStyle name="40% - Accent2 10 6" xfId="22096"/>
    <cellStyle name="40% - Accent2 10 7" xfId="23256"/>
    <cellStyle name="40% - Accent2 11" xfId="599"/>
    <cellStyle name="40% - Accent2 11 2" xfId="3771"/>
    <cellStyle name="40% - Accent2 11 2 2" xfId="8353"/>
    <cellStyle name="40% - Accent2 11 2 2 2" xfId="16143"/>
    <cellStyle name="40% - Accent2 11 2 2 2 2" xfId="33764"/>
    <cellStyle name="40% - Accent2 11 2 2 3" xfId="26753"/>
    <cellStyle name="40% - Accent2 11 2 3" xfId="12487"/>
    <cellStyle name="40% - Accent2 11 2 3 2" xfId="30144"/>
    <cellStyle name="40% - Accent2 11 2 4" xfId="23892"/>
    <cellStyle name="40% - Accent2 11 3" xfId="5710"/>
    <cellStyle name="40% - Accent2 11 3 2" xfId="9007"/>
    <cellStyle name="40% - Accent2 11 3 2 2" xfId="16796"/>
    <cellStyle name="40% - Accent2 11 3 2 2 2" xfId="34418"/>
    <cellStyle name="40% - Accent2 11 3 2 3" xfId="27381"/>
    <cellStyle name="40% - Accent2 11 3 3" xfId="13560"/>
    <cellStyle name="40% - Accent2 11 3 3 2" xfId="31186"/>
    <cellStyle name="40% - Accent2 11 3 4" xfId="24520"/>
    <cellStyle name="40% - Accent2 11 4" xfId="6340"/>
    <cellStyle name="40% - Accent2 11 4 2" xfId="9547"/>
    <cellStyle name="40% - Accent2 11 4 2 2" xfId="17335"/>
    <cellStyle name="40% - Accent2 11 4 2 2 2" xfId="34958"/>
    <cellStyle name="40% - Accent2 11 4 2 3" xfId="27917"/>
    <cellStyle name="40% - Accent2 11 4 3" xfId="14123"/>
    <cellStyle name="40% - Accent2 11 4 3 2" xfId="31744"/>
    <cellStyle name="40% - Accent2 11 4 4" xfId="25056"/>
    <cellStyle name="40% - Accent2 11 5" xfId="6877"/>
    <cellStyle name="40% - Accent2 11 5 2" xfId="10084"/>
    <cellStyle name="40% - Accent2 11 5 2 2" xfId="17871"/>
    <cellStyle name="40% - Accent2 11 5 2 2 2" xfId="35494"/>
    <cellStyle name="40% - Accent2 11 5 2 3" xfId="28453"/>
    <cellStyle name="40% - Accent2 11 5 3" xfId="14659"/>
    <cellStyle name="40% - Accent2 11 5 3 2" xfId="32280"/>
    <cellStyle name="40% - Accent2 11 5 4" xfId="25593"/>
    <cellStyle name="40% - Accent2 11 6" xfId="7699"/>
    <cellStyle name="40% - Accent2 11 6 2" xfId="15490"/>
    <cellStyle name="40% - Accent2 11 6 2 2" xfId="33111"/>
    <cellStyle name="40% - Accent2 11 6 3" xfId="26118"/>
    <cellStyle name="40% - Accent2 11 7" xfId="11332"/>
    <cellStyle name="40% - Accent2 11 7 2" xfId="29044"/>
    <cellStyle name="40% - Accent2 11 8" xfId="23257"/>
    <cellStyle name="40% - Accent2 11 9" xfId="51798"/>
    <cellStyle name="40% - Accent2 12" xfId="18859"/>
    <cellStyle name="40% - Accent2 12 2" xfId="36482"/>
    <cellStyle name="40% - Accent2 13" xfId="15287"/>
    <cellStyle name="40% - Accent2 13 2" xfId="32908"/>
    <cellStyle name="40% - Accent2 14" xfId="23057"/>
    <cellStyle name="40% - Accent2 15" xfId="51455"/>
    <cellStyle name="40% - Accent2 16" xfId="51468"/>
    <cellStyle name="40% - Accent2 17" xfId="51481"/>
    <cellStyle name="40% - Accent2 2" xfId="22"/>
    <cellStyle name="40% - Accent2 2 10" xfId="601"/>
    <cellStyle name="40% - Accent2 2 11" xfId="602"/>
    <cellStyle name="40% - Accent2 2 12" xfId="603"/>
    <cellStyle name="40% - Accent2 2 13" xfId="604"/>
    <cellStyle name="40% - Accent2 2 14" xfId="605"/>
    <cellStyle name="40% - Accent2 2 15" xfId="3772"/>
    <cellStyle name="40% - Accent2 2 16" xfId="3773"/>
    <cellStyle name="40% - Accent2 2 17" xfId="3774"/>
    <cellStyle name="40% - Accent2 2 18" xfId="600"/>
    <cellStyle name="40% - Accent2 2 2" xfId="606"/>
    <cellStyle name="40% - Accent2 2 2 2" xfId="607"/>
    <cellStyle name="40% - Accent2 2 2 3" xfId="608"/>
    <cellStyle name="40% - Accent2 2 2 4" xfId="3775"/>
    <cellStyle name="40% - Accent2 2 2 5" xfId="3776"/>
    <cellStyle name="40% - Accent2 2 2_Sheet1" xfId="609"/>
    <cellStyle name="40% - Accent2 2 3" xfId="610"/>
    <cellStyle name="40% - Accent2 2 4" xfId="611"/>
    <cellStyle name="40% - Accent2 2 5" xfId="612"/>
    <cellStyle name="40% - Accent2 2 6" xfId="613"/>
    <cellStyle name="40% - Accent2 2 7" xfId="614"/>
    <cellStyle name="40% - Accent2 2 8" xfId="615"/>
    <cellStyle name="40% - Accent2 2 9" xfId="616"/>
    <cellStyle name="40% - Accent2 2_BallGrid" xfId="617"/>
    <cellStyle name="40% - Accent2 3" xfId="23"/>
    <cellStyle name="40% - Accent2 3 10" xfId="618"/>
    <cellStyle name="40% - Accent2 3 2" xfId="619"/>
    <cellStyle name="40% - Accent2 3 3" xfId="620"/>
    <cellStyle name="40% - Accent2 3 4" xfId="621"/>
    <cellStyle name="40% - Accent2 3 5" xfId="622"/>
    <cellStyle name="40% - Accent2 3 6" xfId="623"/>
    <cellStyle name="40% - Accent2 3 7" xfId="3777"/>
    <cellStyle name="40% - Accent2 3 8" xfId="3778"/>
    <cellStyle name="40% - Accent2 3 9" xfId="3779"/>
    <cellStyle name="40% - Accent2 3_BallGrid" xfId="624"/>
    <cellStyle name="40% - Accent2 4" xfId="24"/>
    <cellStyle name="40% - Accent2 4 2" xfId="626"/>
    <cellStyle name="40% - Accent2 4 2 2" xfId="22831"/>
    <cellStyle name="40% - Accent2 4 3" xfId="627"/>
    <cellStyle name="40% - Accent2 4 3 2" xfId="22097"/>
    <cellStyle name="40% - Accent2 4 4" xfId="628"/>
    <cellStyle name="40% - Accent2 4 5" xfId="629"/>
    <cellStyle name="40% - Accent2 4 6" xfId="3780"/>
    <cellStyle name="40% - Accent2 4 7" xfId="3781"/>
    <cellStyle name="40% - Accent2 4 8" xfId="3782"/>
    <cellStyle name="40% - Accent2 4 9" xfId="625"/>
    <cellStyle name="40% - Accent2 5" xfId="630"/>
    <cellStyle name="40% - Accent2 5 10" xfId="21934"/>
    <cellStyle name="40% - Accent2 5 10 2" xfId="38673"/>
    <cellStyle name="40% - Accent2 5 11" xfId="23258"/>
    <cellStyle name="40% - Accent2 5 12" xfId="51799"/>
    <cellStyle name="40% - Accent2 5 2" xfId="3784"/>
    <cellStyle name="40% - Accent2 5 2 2" xfId="8355"/>
    <cellStyle name="40% - Accent2 5 2 2 2" xfId="16145"/>
    <cellStyle name="40% - Accent2 5 2 2 2 2" xfId="33766"/>
    <cellStyle name="40% - Accent2 5 2 2 3" xfId="26755"/>
    <cellStyle name="40% - Accent2 5 2 3" xfId="12497"/>
    <cellStyle name="40% - Accent2 5 2 3 2" xfId="30151"/>
    <cellStyle name="40% - Accent2 5 2 4" xfId="22832"/>
    <cellStyle name="40% - Accent2 5 2 4 2" xfId="38993"/>
    <cellStyle name="40% - Accent2 5 2 5" xfId="23894"/>
    <cellStyle name="40% - Accent2 5 3" xfId="3785"/>
    <cellStyle name="40% - Accent2 5 3 2" xfId="22098"/>
    <cellStyle name="40% - Accent2 5 4" xfId="3783"/>
    <cellStyle name="40% - Accent2 5 4 2" xfId="8354"/>
    <cellStyle name="40% - Accent2 5 4 2 2" xfId="16144"/>
    <cellStyle name="40% - Accent2 5 4 2 2 2" xfId="33765"/>
    <cellStyle name="40% - Accent2 5 4 2 3" xfId="26754"/>
    <cellStyle name="40% - Accent2 5 4 3" xfId="12496"/>
    <cellStyle name="40% - Accent2 5 4 3 2" xfId="30150"/>
    <cellStyle name="40% - Accent2 5 4 4" xfId="23893"/>
    <cellStyle name="40% - Accent2 5 5" xfId="5711"/>
    <cellStyle name="40% - Accent2 5 5 2" xfId="9008"/>
    <cellStyle name="40% - Accent2 5 5 2 2" xfId="16797"/>
    <cellStyle name="40% - Accent2 5 5 2 2 2" xfId="34419"/>
    <cellStyle name="40% - Accent2 5 5 2 3" xfId="27382"/>
    <cellStyle name="40% - Accent2 5 5 3" xfId="13561"/>
    <cellStyle name="40% - Accent2 5 5 3 2" xfId="31187"/>
    <cellStyle name="40% - Accent2 5 5 4" xfId="24521"/>
    <cellStyle name="40% - Accent2 5 6" xfId="6341"/>
    <cellStyle name="40% - Accent2 5 6 2" xfId="9548"/>
    <cellStyle name="40% - Accent2 5 6 2 2" xfId="17336"/>
    <cellStyle name="40% - Accent2 5 6 2 2 2" xfId="34959"/>
    <cellStyle name="40% - Accent2 5 6 2 3" xfId="27918"/>
    <cellStyle name="40% - Accent2 5 6 3" xfId="14124"/>
    <cellStyle name="40% - Accent2 5 6 3 2" xfId="31745"/>
    <cellStyle name="40% - Accent2 5 6 4" xfId="25057"/>
    <cellStyle name="40% - Accent2 5 7" xfId="6878"/>
    <cellStyle name="40% - Accent2 5 7 2" xfId="10085"/>
    <cellStyle name="40% - Accent2 5 7 2 2" xfId="17872"/>
    <cellStyle name="40% - Accent2 5 7 2 2 2" xfId="35495"/>
    <cellStyle name="40% - Accent2 5 7 2 3" xfId="28454"/>
    <cellStyle name="40% - Accent2 5 7 3" xfId="14660"/>
    <cellStyle name="40% - Accent2 5 7 3 2" xfId="32281"/>
    <cellStyle name="40% - Accent2 5 7 4" xfId="25594"/>
    <cellStyle name="40% - Accent2 5 8" xfId="7700"/>
    <cellStyle name="40% - Accent2 5 8 2" xfId="15491"/>
    <cellStyle name="40% - Accent2 5 8 2 2" xfId="33112"/>
    <cellStyle name="40% - Accent2 5 8 3" xfId="26119"/>
    <cellStyle name="40% - Accent2 5 9" xfId="11340"/>
    <cellStyle name="40% - Accent2 5 9 2" xfId="29049"/>
    <cellStyle name="40% - Accent2 6" xfId="631"/>
    <cellStyle name="40% - Accent2 6 10" xfId="51800"/>
    <cellStyle name="40% - Accent2 6 2" xfId="3786"/>
    <cellStyle name="40% - Accent2 6 2 2" xfId="8356"/>
    <cellStyle name="40% - Accent2 6 2 2 2" xfId="16146"/>
    <cellStyle name="40% - Accent2 6 2 2 2 2" xfId="33767"/>
    <cellStyle name="40% - Accent2 6 2 2 3" xfId="26756"/>
    <cellStyle name="40% - Accent2 6 2 3" xfId="12498"/>
    <cellStyle name="40% - Accent2 6 2 3 2" xfId="30152"/>
    <cellStyle name="40% - Accent2 6 2 4" xfId="22833"/>
    <cellStyle name="40% - Accent2 6 2 4 2" xfId="38994"/>
    <cellStyle name="40% - Accent2 6 2 5" xfId="23895"/>
    <cellStyle name="40% - Accent2 6 3" xfId="5712"/>
    <cellStyle name="40% - Accent2 6 3 2" xfId="9009"/>
    <cellStyle name="40% - Accent2 6 3 2 2" xfId="16798"/>
    <cellStyle name="40% - Accent2 6 3 2 2 2" xfId="34420"/>
    <cellStyle name="40% - Accent2 6 3 2 3" xfId="27383"/>
    <cellStyle name="40% - Accent2 6 3 3" xfId="13562"/>
    <cellStyle name="40% - Accent2 6 3 3 2" xfId="31188"/>
    <cellStyle name="40% - Accent2 6 3 4" xfId="22099"/>
    <cellStyle name="40% - Accent2 6 3 5" xfId="24522"/>
    <cellStyle name="40% - Accent2 6 4" xfId="6342"/>
    <cellStyle name="40% - Accent2 6 4 2" xfId="9549"/>
    <cellStyle name="40% - Accent2 6 4 2 2" xfId="17337"/>
    <cellStyle name="40% - Accent2 6 4 2 2 2" xfId="34960"/>
    <cellStyle name="40% - Accent2 6 4 2 3" xfId="27919"/>
    <cellStyle name="40% - Accent2 6 4 3" xfId="14125"/>
    <cellStyle name="40% - Accent2 6 4 3 2" xfId="31746"/>
    <cellStyle name="40% - Accent2 6 4 4" xfId="25058"/>
    <cellStyle name="40% - Accent2 6 5" xfId="6879"/>
    <cellStyle name="40% - Accent2 6 5 2" xfId="10086"/>
    <cellStyle name="40% - Accent2 6 5 2 2" xfId="17873"/>
    <cellStyle name="40% - Accent2 6 5 2 2 2" xfId="35496"/>
    <cellStyle name="40% - Accent2 6 5 2 3" xfId="28455"/>
    <cellStyle name="40% - Accent2 6 5 3" xfId="14661"/>
    <cellStyle name="40% - Accent2 6 5 3 2" xfId="32282"/>
    <cellStyle name="40% - Accent2 6 5 4" xfId="25595"/>
    <cellStyle name="40% - Accent2 6 6" xfId="7701"/>
    <cellStyle name="40% - Accent2 6 6 2" xfId="15492"/>
    <cellStyle name="40% - Accent2 6 6 2 2" xfId="33113"/>
    <cellStyle name="40% - Accent2 6 6 3" xfId="26120"/>
    <cellStyle name="40% - Accent2 6 7" xfId="11341"/>
    <cellStyle name="40% - Accent2 6 7 2" xfId="29050"/>
    <cellStyle name="40% - Accent2 6 8" xfId="21935"/>
    <cellStyle name="40% - Accent2 6 8 2" xfId="38674"/>
    <cellStyle name="40% - Accent2 6 9" xfId="23259"/>
    <cellStyle name="40% - Accent2 7" xfId="632"/>
    <cellStyle name="40% - Accent2 7 10" xfId="51801"/>
    <cellStyle name="40% - Accent2 7 2" xfId="3787"/>
    <cellStyle name="40% - Accent2 7 2 2" xfId="8357"/>
    <cellStyle name="40% - Accent2 7 2 2 2" xfId="16147"/>
    <cellStyle name="40% - Accent2 7 2 2 2 2" xfId="33768"/>
    <cellStyle name="40% - Accent2 7 2 2 3" xfId="26757"/>
    <cellStyle name="40% - Accent2 7 2 3" xfId="12499"/>
    <cellStyle name="40% - Accent2 7 2 3 2" xfId="30153"/>
    <cellStyle name="40% - Accent2 7 2 4" xfId="22721"/>
    <cellStyle name="40% - Accent2 7 2 4 2" xfId="38917"/>
    <cellStyle name="40% - Accent2 7 2 5" xfId="23896"/>
    <cellStyle name="40% - Accent2 7 3" xfId="5713"/>
    <cellStyle name="40% - Accent2 7 3 2" xfId="9010"/>
    <cellStyle name="40% - Accent2 7 3 2 2" xfId="16799"/>
    <cellStyle name="40% - Accent2 7 3 2 2 2" xfId="34421"/>
    <cellStyle name="40% - Accent2 7 3 2 3" xfId="27384"/>
    <cellStyle name="40% - Accent2 7 3 3" xfId="13563"/>
    <cellStyle name="40% - Accent2 7 3 3 2" xfId="31189"/>
    <cellStyle name="40% - Accent2 7 3 4" xfId="24523"/>
    <cellStyle name="40% - Accent2 7 4" xfId="6343"/>
    <cellStyle name="40% - Accent2 7 4 2" xfId="9550"/>
    <cellStyle name="40% - Accent2 7 4 2 2" xfId="17338"/>
    <cellStyle name="40% - Accent2 7 4 2 2 2" xfId="34961"/>
    <cellStyle name="40% - Accent2 7 4 2 3" xfId="27920"/>
    <cellStyle name="40% - Accent2 7 4 3" xfId="14126"/>
    <cellStyle name="40% - Accent2 7 4 3 2" xfId="31747"/>
    <cellStyle name="40% - Accent2 7 4 4" xfId="25059"/>
    <cellStyle name="40% - Accent2 7 5" xfId="6880"/>
    <cellStyle name="40% - Accent2 7 5 2" xfId="10087"/>
    <cellStyle name="40% - Accent2 7 5 2 2" xfId="17874"/>
    <cellStyle name="40% - Accent2 7 5 2 2 2" xfId="35497"/>
    <cellStyle name="40% - Accent2 7 5 2 3" xfId="28456"/>
    <cellStyle name="40% - Accent2 7 5 3" xfId="14662"/>
    <cellStyle name="40% - Accent2 7 5 3 2" xfId="32283"/>
    <cellStyle name="40% - Accent2 7 5 4" xfId="25596"/>
    <cellStyle name="40% - Accent2 7 6" xfId="7702"/>
    <cellStyle name="40% - Accent2 7 6 2" xfId="15493"/>
    <cellStyle name="40% - Accent2 7 6 2 2" xfId="33114"/>
    <cellStyle name="40% - Accent2 7 6 3" xfId="26121"/>
    <cellStyle name="40% - Accent2 7 7" xfId="11342"/>
    <cellStyle name="40% - Accent2 7 7 2" xfId="29051"/>
    <cellStyle name="40% - Accent2 7 8" xfId="22100"/>
    <cellStyle name="40% - Accent2 7 8 2" xfId="38773"/>
    <cellStyle name="40% - Accent2 7 9" xfId="23260"/>
    <cellStyle name="40% - Accent2 8" xfId="633"/>
    <cellStyle name="40% - Accent2 8 10" xfId="51802"/>
    <cellStyle name="40% - Accent2 8 2" xfId="3788"/>
    <cellStyle name="40% - Accent2 8 2 2" xfId="8358"/>
    <cellStyle name="40% - Accent2 8 2 2 2" xfId="16148"/>
    <cellStyle name="40% - Accent2 8 2 2 2 2" xfId="33769"/>
    <cellStyle name="40% - Accent2 8 2 2 3" xfId="26758"/>
    <cellStyle name="40% - Accent2 8 2 3" xfId="12500"/>
    <cellStyle name="40% - Accent2 8 2 3 2" xfId="30154"/>
    <cellStyle name="40% - Accent2 8 2 4" xfId="23897"/>
    <cellStyle name="40% - Accent2 8 3" xfId="5714"/>
    <cellStyle name="40% - Accent2 8 3 2" xfId="9011"/>
    <cellStyle name="40% - Accent2 8 3 2 2" xfId="16800"/>
    <cellStyle name="40% - Accent2 8 3 2 2 2" xfId="34422"/>
    <cellStyle name="40% - Accent2 8 3 2 3" xfId="27385"/>
    <cellStyle name="40% - Accent2 8 3 3" xfId="13564"/>
    <cellStyle name="40% - Accent2 8 3 3 2" xfId="31190"/>
    <cellStyle name="40% - Accent2 8 3 4" xfId="24524"/>
    <cellStyle name="40% - Accent2 8 4" xfId="6344"/>
    <cellStyle name="40% - Accent2 8 4 2" xfId="9551"/>
    <cellStyle name="40% - Accent2 8 4 2 2" xfId="17339"/>
    <cellStyle name="40% - Accent2 8 4 2 2 2" xfId="34962"/>
    <cellStyle name="40% - Accent2 8 4 2 3" xfId="27921"/>
    <cellStyle name="40% - Accent2 8 4 3" xfId="14127"/>
    <cellStyle name="40% - Accent2 8 4 3 2" xfId="31748"/>
    <cellStyle name="40% - Accent2 8 4 4" xfId="25060"/>
    <cellStyle name="40% - Accent2 8 5" xfId="6881"/>
    <cellStyle name="40% - Accent2 8 5 2" xfId="10088"/>
    <cellStyle name="40% - Accent2 8 5 2 2" xfId="17875"/>
    <cellStyle name="40% - Accent2 8 5 2 2 2" xfId="35498"/>
    <cellStyle name="40% - Accent2 8 5 2 3" xfId="28457"/>
    <cellStyle name="40% - Accent2 8 5 3" xfId="14663"/>
    <cellStyle name="40% - Accent2 8 5 3 2" xfId="32284"/>
    <cellStyle name="40% - Accent2 8 5 4" xfId="25597"/>
    <cellStyle name="40% - Accent2 8 6" xfId="7703"/>
    <cellStyle name="40% - Accent2 8 6 2" xfId="15494"/>
    <cellStyle name="40% - Accent2 8 6 2 2" xfId="33115"/>
    <cellStyle name="40% - Accent2 8 6 3" xfId="26122"/>
    <cellStyle name="40% - Accent2 8 7" xfId="11343"/>
    <cellStyle name="40% - Accent2 8 7 2" xfId="29052"/>
    <cellStyle name="40% - Accent2 8 8" xfId="22101"/>
    <cellStyle name="40% - Accent2 8 9" xfId="23261"/>
    <cellStyle name="40% - Accent2 9" xfId="634"/>
    <cellStyle name="40% - Accent2 9 10" xfId="51803"/>
    <cellStyle name="40% - Accent2 9 2" xfId="3789"/>
    <cellStyle name="40% - Accent2 9 2 2" xfId="8359"/>
    <cellStyle name="40% - Accent2 9 2 2 2" xfId="16149"/>
    <cellStyle name="40% - Accent2 9 2 2 2 2" xfId="33770"/>
    <cellStyle name="40% - Accent2 9 2 2 3" xfId="26759"/>
    <cellStyle name="40% - Accent2 9 2 3" xfId="12501"/>
    <cellStyle name="40% - Accent2 9 2 3 2" xfId="30155"/>
    <cellStyle name="40% - Accent2 9 2 4" xfId="23898"/>
    <cellStyle name="40% - Accent2 9 3" xfId="5715"/>
    <cellStyle name="40% - Accent2 9 3 2" xfId="9012"/>
    <cellStyle name="40% - Accent2 9 3 2 2" xfId="16801"/>
    <cellStyle name="40% - Accent2 9 3 2 2 2" xfId="34423"/>
    <cellStyle name="40% - Accent2 9 3 2 3" xfId="27386"/>
    <cellStyle name="40% - Accent2 9 3 3" xfId="13565"/>
    <cellStyle name="40% - Accent2 9 3 3 2" xfId="31191"/>
    <cellStyle name="40% - Accent2 9 3 4" xfId="24525"/>
    <cellStyle name="40% - Accent2 9 4" xfId="6345"/>
    <cellStyle name="40% - Accent2 9 4 2" xfId="9552"/>
    <cellStyle name="40% - Accent2 9 4 2 2" xfId="17340"/>
    <cellStyle name="40% - Accent2 9 4 2 2 2" xfId="34963"/>
    <cellStyle name="40% - Accent2 9 4 2 3" xfId="27922"/>
    <cellStyle name="40% - Accent2 9 4 3" xfId="14128"/>
    <cellStyle name="40% - Accent2 9 4 3 2" xfId="31749"/>
    <cellStyle name="40% - Accent2 9 4 4" xfId="25061"/>
    <cellStyle name="40% - Accent2 9 5" xfId="6882"/>
    <cellStyle name="40% - Accent2 9 5 2" xfId="10089"/>
    <cellStyle name="40% - Accent2 9 5 2 2" xfId="17876"/>
    <cellStyle name="40% - Accent2 9 5 2 2 2" xfId="35499"/>
    <cellStyle name="40% - Accent2 9 5 2 3" xfId="28458"/>
    <cellStyle name="40% - Accent2 9 5 3" xfId="14664"/>
    <cellStyle name="40% - Accent2 9 5 3 2" xfId="32285"/>
    <cellStyle name="40% - Accent2 9 5 4" xfId="25598"/>
    <cellStyle name="40% - Accent2 9 6" xfId="7704"/>
    <cellStyle name="40% - Accent2 9 6 2" xfId="15495"/>
    <cellStyle name="40% - Accent2 9 6 2 2" xfId="33116"/>
    <cellStyle name="40% - Accent2 9 6 3" xfId="26123"/>
    <cellStyle name="40% - Accent2 9 7" xfId="11344"/>
    <cellStyle name="40% - Accent2 9 7 2" xfId="29053"/>
    <cellStyle name="40% - Accent2 9 8" xfId="22668"/>
    <cellStyle name="40% - Accent2 9 8 2" xfId="38876"/>
    <cellStyle name="40% - Accent2 9 9" xfId="23262"/>
    <cellStyle name="40% - Accent3 10" xfId="635"/>
    <cellStyle name="40% - Accent3 10 2" xfId="636"/>
    <cellStyle name="40% - Accent3 10 3" xfId="637"/>
    <cellStyle name="40% - Accent3 10 3 2" xfId="8360"/>
    <cellStyle name="40% - Accent3 10 3 2 2" xfId="16150"/>
    <cellStyle name="40% - Accent3 10 3 2 2 2" xfId="33771"/>
    <cellStyle name="40% - Accent3 10 3 2 3" xfId="26760"/>
    <cellStyle name="40% - Accent3 10 3 3" xfId="12502"/>
    <cellStyle name="40% - Accent3 10 3 3 2" xfId="30156"/>
    <cellStyle name="40% - Accent3 10 3 4" xfId="23899"/>
    <cellStyle name="40% - Accent3 10 3 5" xfId="51804"/>
    <cellStyle name="40% - Accent3 10 4" xfId="7705"/>
    <cellStyle name="40% - Accent3 10 4 2" xfId="15496"/>
    <cellStyle name="40% - Accent3 10 4 2 2" xfId="33117"/>
    <cellStyle name="40% - Accent3 10 4 3" xfId="26124"/>
    <cellStyle name="40% - Accent3 10 5" xfId="11345"/>
    <cellStyle name="40% - Accent3 10 5 2" xfId="29054"/>
    <cellStyle name="40% - Accent3 10 6" xfId="22103"/>
    <cellStyle name="40% - Accent3 10 6 2" xfId="38774"/>
    <cellStyle name="40% - Accent3 10 7" xfId="23263"/>
    <cellStyle name="40% - Accent3 11" xfId="638"/>
    <cellStyle name="40% - Accent3 11 10" xfId="3790"/>
    <cellStyle name="40% - Accent3 11 10 2" xfId="8361"/>
    <cellStyle name="40% - Accent3 11 10 2 2" xfId="16151"/>
    <cellStyle name="40% - Accent3 11 10 2 2 2" xfId="33772"/>
    <cellStyle name="40% - Accent3 11 10 2 3" xfId="26761"/>
    <cellStyle name="40% - Accent3 11 10 3" xfId="12503"/>
    <cellStyle name="40% - Accent3 11 10 3 2" xfId="30157"/>
    <cellStyle name="40% - Accent3 11 10 4" xfId="23900"/>
    <cellStyle name="40% - Accent3 11 11" xfId="5716"/>
    <cellStyle name="40% - Accent3 11 11 2" xfId="9013"/>
    <cellStyle name="40% - Accent3 11 11 2 2" xfId="16802"/>
    <cellStyle name="40% - Accent3 11 11 2 2 2" xfId="34424"/>
    <cellStyle name="40% - Accent3 11 11 2 3" xfId="27387"/>
    <cellStyle name="40% - Accent3 11 11 3" xfId="13566"/>
    <cellStyle name="40% - Accent3 11 11 3 2" xfId="31192"/>
    <cellStyle name="40% - Accent3 11 11 4" xfId="24526"/>
    <cellStyle name="40% - Accent3 11 12" xfId="6346"/>
    <cellStyle name="40% - Accent3 11 12 2" xfId="9553"/>
    <cellStyle name="40% - Accent3 11 12 2 2" xfId="17341"/>
    <cellStyle name="40% - Accent3 11 12 2 2 2" xfId="34964"/>
    <cellStyle name="40% - Accent3 11 12 2 3" xfId="27923"/>
    <cellStyle name="40% - Accent3 11 12 3" xfId="14129"/>
    <cellStyle name="40% - Accent3 11 12 3 2" xfId="31750"/>
    <cellStyle name="40% - Accent3 11 12 4" xfId="25062"/>
    <cellStyle name="40% - Accent3 11 13" xfId="6883"/>
    <cellStyle name="40% - Accent3 11 13 2" xfId="10090"/>
    <cellStyle name="40% - Accent3 11 13 2 2" xfId="17877"/>
    <cellStyle name="40% - Accent3 11 13 2 2 2" xfId="35500"/>
    <cellStyle name="40% - Accent3 11 13 2 3" xfId="28459"/>
    <cellStyle name="40% - Accent3 11 13 3" xfId="14665"/>
    <cellStyle name="40% - Accent3 11 13 3 2" xfId="32286"/>
    <cellStyle name="40% - Accent3 11 13 4" xfId="25599"/>
    <cellStyle name="40% - Accent3 11 14" xfId="7706"/>
    <cellStyle name="40% - Accent3 11 14 2" xfId="15497"/>
    <cellStyle name="40% - Accent3 11 14 2 2" xfId="33118"/>
    <cellStyle name="40% - Accent3 11 14 3" xfId="26125"/>
    <cellStyle name="40% - Accent3 11 15" xfId="11346"/>
    <cellStyle name="40% - Accent3 11 15 2" xfId="29055"/>
    <cellStyle name="40% - Accent3 11 16" xfId="22104"/>
    <cellStyle name="40% - Accent3 11 16 2" xfId="38775"/>
    <cellStyle name="40% - Accent3 11 17" xfId="23264"/>
    <cellStyle name="40% - Accent3 11 18" xfId="51805"/>
    <cellStyle name="40% - Accent3 11 2" xfId="639"/>
    <cellStyle name="40% - Accent3 11 2 2" xfId="3791"/>
    <cellStyle name="40% - Accent3 11 2 2 2" xfId="8362"/>
    <cellStyle name="40% - Accent3 11 2 2 2 2" xfId="16152"/>
    <cellStyle name="40% - Accent3 11 2 2 2 2 2" xfId="33773"/>
    <cellStyle name="40% - Accent3 11 2 2 2 3" xfId="26762"/>
    <cellStyle name="40% - Accent3 11 2 2 3" xfId="12504"/>
    <cellStyle name="40% - Accent3 11 2 2 3 2" xfId="30158"/>
    <cellStyle name="40% - Accent3 11 2 2 4" xfId="23901"/>
    <cellStyle name="40% - Accent3 11 2 3" xfId="5717"/>
    <cellStyle name="40% - Accent3 11 2 3 2" xfId="9014"/>
    <cellStyle name="40% - Accent3 11 2 3 2 2" xfId="16803"/>
    <cellStyle name="40% - Accent3 11 2 3 2 2 2" xfId="34425"/>
    <cellStyle name="40% - Accent3 11 2 3 2 3" xfId="27388"/>
    <cellStyle name="40% - Accent3 11 2 3 3" xfId="13567"/>
    <cellStyle name="40% - Accent3 11 2 3 3 2" xfId="31193"/>
    <cellStyle name="40% - Accent3 11 2 3 4" xfId="24527"/>
    <cellStyle name="40% - Accent3 11 2 4" xfId="6347"/>
    <cellStyle name="40% - Accent3 11 2 4 2" xfId="9554"/>
    <cellStyle name="40% - Accent3 11 2 4 2 2" xfId="17342"/>
    <cellStyle name="40% - Accent3 11 2 4 2 2 2" xfId="34965"/>
    <cellStyle name="40% - Accent3 11 2 4 2 3" xfId="27924"/>
    <cellStyle name="40% - Accent3 11 2 4 3" xfId="14130"/>
    <cellStyle name="40% - Accent3 11 2 4 3 2" xfId="31751"/>
    <cellStyle name="40% - Accent3 11 2 4 4" xfId="25063"/>
    <cellStyle name="40% - Accent3 11 2 5" xfId="6884"/>
    <cellStyle name="40% - Accent3 11 2 5 2" xfId="10091"/>
    <cellStyle name="40% - Accent3 11 2 5 2 2" xfId="17878"/>
    <cellStyle name="40% - Accent3 11 2 5 2 2 2" xfId="35501"/>
    <cellStyle name="40% - Accent3 11 2 5 2 3" xfId="28460"/>
    <cellStyle name="40% - Accent3 11 2 5 3" xfId="14666"/>
    <cellStyle name="40% - Accent3 11 2 5 3 2" xfId="32287"/>
    <cellStyle name="40% - Accent3 11 2 5 4" xfId="25600"/>
    <cellStyle name="40% - Accent3 11 2 6" xfId="7707"/>
    <cellStyle name="40% - Accent3 11 2 6 2" xfId="15498"/>
    <cellStyle name="40% - Accent3 11 2 6 2 2" xfId="33119"/>
    <cellStyle name="40% - Accent3 11 2 6 3" xfId="26126"/>
    <cellStyle name="40% - Accent3 11 2 7" xfId="11347"/>
    <cellStyle name="40% - Accent3 11 2 7 2" xfId="29056"/>
    <cellStyle name="40% - Accent3 11 2 8" xfId="23265"/>
    <cellStyle name="40% - Accent3 11 2 9" xfId="51806"/>
    <cellStyle name="40% - Accent3 11 3" xfId="640"/>
    <cellStyle name="40% - Accent3 11 3 10" xfId="23266"/>
    <cellStyle name="40% - Accent3 11 3 11" xfId="51807"/>
    <cellStyle name="40% - Accent3 11 3 2" xfId="641"/>
    <cellStyle name="40% - Accent3 11 3 2 2" xfId="3793"/>
    <cellStyle name="40% - Accent3 11 3 2 2 2" xfId="8364"/>
    <cellStyle name="40% - Accent3 11 3 2 2 2 2" xfId="16154"/>
    <cellStyle name="40% - Accent3 11 3 2 2 2 2 2" xfId="33775"/>
    <cellStyle name="40% - Accent3 11 3 2 2 2 3" xfId="26764"/>
    <cellStyle name="40% - Accent3 11 3 2 2 3" xfId="12506"/>
    <cellStyle name="40% - Accent3 11 3 2 2 3 2" xfId="30160"/>
    <cellStyle name="40% - Accent3 11 3 2 2 4" xfId="23903"/>
    <cellStyle name="40% - Accent3 11 3 2 3" xfId="5719"/>
    <cellStyle name="40% - Accent3 11 3 2 3 2" xfId="9016"/>
    <cellStyle name="40% - Accent3 11 3 2 3 2 2" xfId="16805"/>
    <cellStyle name="40% - Accent3 11 3 2 3 2 2 2" xfId="34427"/>
    <cellStyle name="40% - Accent3 11 3 2 3 2 3" xfId="27390"/>
    <cellStyle name="40% - Accent3 11 3 2 3 3" xfId="13569"/>
    <cellStyle name="40% - Accent3 11 3 2 3 3 2" xfId="31195"/>
    <cellStyle name="40% - Accent3 11 3 2 3 4" xfId="24529"/>
    <cellStyle name="40% - Accent3 11 3 2 4" xfId="6349"/>
    <cellStyle name="40% - Accent3 11 3 2 4 2" xfId="9556"/>
    <cellStyle name="40% - Accent3 11 3 2 4 2 2" xfId="17344"/>
    <cellStyle name="40% - Accent3 11 3 2 4 2 2 2" xfId="34967"/>
    <cellStyle name="40% - Accent3 11 3 2 4 2 3" xfId="27926"/>
    <cellStyle name="40% - Accent3 11 3 2 4 3" xfId="14132"/>
    <cellStyle name="40% - Accent3 11 3 2 4 3 2" xfId="31753"/>
    <cellStyle name="40% - Accent3 11 3 2 4 4" xfId="25065"/>
    <cellStyle name="40% - Accent3 11 3 2 5" xfId="6886"/>
    <cellStyle name="40% - Accent3 11 3 2 5 2" xfId="10093"/>
    <cellStyle name="40% - Accent3 11 3 2 5 2 2" xfId="17880"/>
    <cellStyle name="40% - Accent3 11 3 2 5 2 2 2" xfId="35503"/>
    <cellStyle name="40% - Accent3 11 3 2 5 2 3" xfId="28462"/>
    <cellStyle name="40% - Accent3 11 3 2 5 3" xfId="14668"/>
    <cellStyle name="40% - Accent3 11 3 2 5 3 2" xfId="32289"/>
    <cellStyle name="40% - Accent3 11 3 2 5 4" xfId="25602"/>
    <cellStyle name="40% - Accent3 11 3 2 6" xfId="7709"/>
    <cellStyle name="40% - Accent3 11 3 2 6 2" xfId="15500"/>
    <cellStyle name="40% - Accent3 11 3 2 6 2 2" xfId="33121"/>
    <cellStyle name="40% - Accent3 11 3 2 6 3" xfId="26128"/>
    <cellStyle name="40% - Accent3 11 3 2 7" xfId="11349"/>
    <cellStyle name="40% - Accent3 11 3 2 7 2" xfId="29058"/>
    <cellStyle name="40% - Accent3 11 3 2 8" xfId="23267"/>
    <cellStyle name="40% - Accent3 11 3 2 9" xfId="51808"/>
    <cellStyle name="40% - Accent3 11 3 3" xfId="3794"/>
    <cellStyle name="40% - Accent3 11 3 3 2" xfId="5720"/>
    <cellStyle name="40% - Accent3 11 3 3 2 2" xfId="9017"/>
    <cellStyle name="40% - Accent3 11 3 3 2 2 2" xfId="16806"/>
    <cellStyle name="40% - Accent3 11 3 3 2 2 2 2" xfId="34428"/>
    <cellStyle name="40% - Accent3 11 3 3 2 2 3" xfId="27391"/>
    <cellStyle name="40% - Accent3 11 3 3 2 3" xfId="13570"/>
    <cellStyle name="40% - Accent3 11 3 3 2 3 2" xfId="31196"/>
    <cellStyle name="40% - Accent3 11 3 3 2 4" xfId="24530"/>
    <cellStyle name="40% - Accent3 11 3 3 3" xfId="6350"/>
    <cellStyle name="40% - Accent3 11 3 3 3 2" xfId="9557"/>
    <cellStyle name="40% - Accent3 11 3 3 3 2 2" xfId="17345"/>
    <cellStyle name="40% - Accent3 11 3 3 3 2 2 2" xfId="34968"/>
    <cellStyle name="40% - Accent3 11 3 3 3 2 3" xfId="27927"/>
    <cellStyle name="40% - Accent3 11 3 3 3 3" xfId="14133"/>
    <cellStyle name="40% - Accent3 11 3 3 3 3 2" xfId="31754"/>
    <cellStyle name="40% - Accent3 11 3 3 3 4" xfId="25066"/>
    <cellStyle name="40% - Accent3 11 3 3 4" xfId="6887"/>
    <cellStyle name="40% - Accent3 11 3 3 4 2" xfId="10094"/>
    <cellStyle name="40% - Accent3 11 3 3 4 2 2" xfId="17881"/>
    <cellStyle name="40% - Accent3 11 3 3 4 2 2 2" xfId="35504"/>
    <cellStyle name="40% - Accent3 11 3 3 4 2 3" xfId="28463"/>
    <cellStyle name="40% - Accent3 11 3 3 4 3" xfId="14669"/>
    <cellStyle name="40% - Accent3 11 3 3 4 3 2" xfId="32290"/>
    <cellStyle name="40% - Accent3 11 3 3 4 4" xfId="25603"/>
    <cellStyle name="40% - Accent3 11 3 3 5" xfId="8365"/>
    <cellStyle name="40% - Accent3 11 3 3 5 2" xfId="16155"/>
    <cellStyle name="40% - Accent3 11 3 3 5 2 2" xfId="33776"/>
    <cellStyle name="40% - Accent3 11 3 3 5 3" xfId="26765"/>
    <cellStyle name="40% - Accent3 11 3 3 6" xfId="12507"/>
    <cellStyle name="40% - Accent3 11 3 3 6 2" xfId="30161"/>
    <cellStyle name="40% - Accent3 11 3 3 7" xfId="23904"/>
    <cellStyle name="40% - Accent3 11 3 4" xfId="3792"/>
    <cellStyle name="40% - Accent3 11 3 4 2" xfId="8363"/>
    <cellStyle name="40% - Accent3 11 3 4 2 2" xfId="16153"/>
    <cellStyle name="40% - Accent3 11 3 4 2 2 2" xfId="33774"/>
    <cellStyle name="40% - Accent3 11 3 4 2 3" xfId="26763"/>
    <cellStyle name="40% - Accent3 11 3 4 3" xfId="12505"/>
    <cellStyle name="40% - Accent3 11 3 4 3 2" xfId="30159"/>
    <cellStyle name="40% - Accent3 11 3 4 4" xfId="23902"/>
    <cellStyle name="40% - Accent3 11 3 5" xfId="5718"/>
    <cellStyle name="40% - Accent3 11 3 5 2" xfId="9015"/>
    <cellStyle name="40% - Accent3 11 3 5 2 2" xfId="16804"/>
    <cellStyle name="40% - Accent3 11 3 5 2 2 2" xfId="34426"/>
    <cellStyle name="40% - Accent3 11 3 5 2 3" xfId="27389"/>
    <cellStyle name="40% - Accent3 11 3 5 3" xfId="13568"/>
    <cellStyle name="40% - Accent3 11 3 5 3 2" xfId="31194"/>
    <cellStyle name="40% - Accent3 11 3 5 4" xfId="24528"/>
    <cellStyle name="40% - Accent3 11 3 6" xfId="6348"/>
    <cellStyle name="40% - Accent3 11 3 6 2" xfId="9555"/>
    <cellStyle name="40% - Accent3 11 3 6 2 2" xfId="17343"/>
    <cellStyle name="40% - Accent3 11 3 6 2 2 2" xfId="34966"/>
    <cellStyle name="40% - Accent3 11 3 6 2 3" xfId="27925"/>
    <cellStyle name="40% - Accent3 11 3 6 3" xfId="14131"/>
    <cellStyle name="40% - Accent3 11 3 6 3 2" xfId="31752"/>
    <cellStyle name="40% - Accent3 11 3 6 4" xfId="25064"/>
    <cellStyle name="40% - Accent3 11 3 7" xfId="6885"/>
    <cellStyle name="40% - Accent3 11 3 7 2" xfId="10092"/>
    <cellStyle name="40% - Accent3 11 3 7 2 2" xfId="17879"/>
    <cellStyle name="40% - Accent3 11 3 7 2 2 2" xfId="35502"/>
    <cellStyle name="40% - Accent3 11 3 7 2 3" xfId="28461"/>
    <cellStyle name="40% - Accent3 11 3 7 3" xfId="14667"/>
    <cellStyle name="40% - Accent3 11 3 7 3 2" xfId="32288"/>
    <cellStyle name="40% - Accent3 11 3 7 4" xfId="25601"/>
    <cellStyle name="40% - Accent3 11 3 8" xfId="7708"/>
    <cellStyle name="40% - Accent3 11 3 8 2" xfId="15499"/>
    <cellStyle name="40% - Accent3 11 3 8 2 2" xfId="33120"/>
    <cellStyle name="40% - Accent3 11 3 8 3" xfId="26127"/>
    <cellStyle name="40% - Accent3 11 3 9" xfId="11348"/>
    <cellStyle name="40% - Accent3 11 3 9 2" xfId="29057"/>
    <cellStyle name="40% - Accent3 11 4" xfId="642"/>
    <cellStyle name="40% - Accent3 11 4 2" xfId="3795"/>
    <cellStyle name="40% - Accent3 11 4 2 2" xfId="8366"/>
    <cellStyle name="40% - Accent3 11 4 2 2 2" xfId="16156"/>
    <cellStyle name="40% - Accent3 11 4 2 2 2 2" xfId="33777"/>
    <cellStyle name="40% - Accent3 11 4 2 2 3" xfId="26766"/>
    <cellStyle name="40% - Accent3 11 4 2 3" xfId="12508"/>
    <cellStyle name="40% - Accent3 11 4 2 3 2" xfId="30162"/>
    <cellStyle name="40% - Accent3 11 4 2 4" xfId="23905"/>
    <cellStyle name="40% - Accent3 11 4 3" xfId="5721"/>
    <cellStyle name="40% - Accent3 11 4 3 2" xfId="9018"/>
    <cellStyle name="40% - Accent3 11 4 3 2 2" xfId="16807"/>
    <cellStyle name="40% - Accent3 11 4 3 2 2 2" xfId="34429"/>
    <cellStyle name="40% - Accent3 11 4 3 2 3" xfId="27392"/>
    <cellStyle name="40% - Accent3 11 4 3 3" xfId="13571"/>
    <cellStyle name="40% - Accent3 11 4 3 3 2" xfId="31197"/>
    <cellStyle name="40% - Accent3 11 4 3 4" xfId="24531"/>
    <cellStyle name="40% - Accent3 11 4 4" xfId="6351"/>
    <cellStyle name="40% - Accent3 11 4 4 2" xfId="9558"/>
    <cellStyle name="40% - Accent3 11 4 4 2 2" xfId="17346"/>
    <cellStyle name="40% - Accent3 11 4 4 2 2 2" xfId="34969"/>
    <cellStyle name="40% - Accent3 11 4 4 2 3" xfId="27928"/>
    <cellStyle name="40% - Accent3 11 4 4 3" xfId="14134"/>
    <cellStyle name="40% - Accent3 11 4 4 3 2" xfId="31755"/>
    <cellStyle name="40% - Accent3 11 4 4 4" xfId="25067"/>
    <cellStyle name="40% - Accent3 11 4 5" xfId="6888"/>
    <cellStyle name="40% - Accent3 11 4 5 2" xfId="10095"/>
    <cellStyle name="40% - Accent3 11 4 5 2 2" xfId="17882"/>
    <cellStyle name="40% - Accent3 11 4 5 2 2 2" xfId="35505"/>
    <cellStyle name="40% - Accent3 11 4 5 2 3" xfId="28464"/>
    <cellStyle name="40% - Accent3 11 4 5 3" xfId="14670"/>
    <cellStyle name="40% - Accent3 11 4 5 3 2" xfId="32291"/>
    <cellStyle name="40% - Accent3 11 4 5 4" xfId="25604"/>
    <cellStyle name="40% - Accent3 11 4 6" xfId="7710"/>
    <cellStyle name="40% - Accent3 11 4 6 2" xfId="15501"/>
    <cellStyle name="40% - Accent3 11 4 6 2 2" xfId="33122"/>
    <cellStyle name="40% - Accent3 11 4 6 3" xfId="26129"/>
    <cellStyle name="40% - Accent3 11 4 7" xfId="11350"/>
    <cellStyle name="40% - Accent3 11 4 7 2" xfId="29059"/>
    <cellStyle name="40% - Accent3 11 4 8" xfId="23268"/>
    <cellStyle name="40% - Accent3 11 4 9" xfId="51809"/>
    <cellStyle name="40% - Accent3 11 5" xfId="643"/>
    <cellStyle name="40% - Accent3 11 5 2" xfId="3796"/>
    <cellStyle name="40% - Accent3 11 5 2 2" xfId="8367"/>
    <cellStyle name="40% - Accent3 11 5 2 2 2" xfId="16157"/>
    <cellStyle name="40% - Accent3 11 5 2 2 2 2" xfId="33778"/>
    <cellStyle name="40% - Accent3 11 5 2 2 3" xfId="26767"/>
    <cellStyle name="40% - Accent3 11 5 2 3" xfId="12509"/>
    <cellStyle name="40% - Accent3 11 5 2 3 2" xfId="30163"/>
    <cellStyle name="40% - Accent3 11 5 2 4" xfId="23906"/>
    <cellStyle name="40% - Accent3 11 5 3" xfId="5722"/>
    <cellStyle name="40% - Accent3 11 5 3 2" xfId="9019"/>
    <cellStyle name="40% - Accent3 11 5 3 2 2" xfId="16808"/>
    <cellStyle name="40% - Accent3 11 5 3 2 2 2" xfId="34430"/>
    <cellStyle name="40% - Accent3 11 5 3 2 3" xfId="27393"/>
    <cellStyle name="40% - Accent3 11 5 3 3" xfId="13572"/>
    <cellStyle name="40% - Accent3 11 5 3 3 2" xfId="31198"/>
    <cellStyle name="40% - Accent3 11 5 3 4" xfId="24532"/>
    <cellStyle name="40% - Accent3 11 5 4" xfId="6352"/>
    <cellStyle name="40% - Accent3 11 5 4 2" xfId="9559"/>
    <cellStyle name="40% - Accent3 11 5 4 2 2" xfId="17347"/>
    <cellStyle name="40% - Accent3 11 5 4 2 2 2" xfId="34970"/>
    <cellStyle name="40% - Accent3 11 5 4 2 3" xfId="27929"/>
    <cellStyle name="40% - Accent3 11 5 4 3" xfId="14135"/>
    <cellStyle name="40% - Accent3 11 5 4 3 2" xfId="31756"/>
    <cellStyle name="40% - Accent3 11 5 4 4" xfId="25068"/>
    <cellStyle name="40% - Accent3 11 5 5" xfId="6889"/>
    <cellStyle name="40% - Accent3 11 5 5 2" xfId="10096"/>
    <cellStyle name="40% - Accent3 11 5 5 2 2" xfId="17883"/>
    <cellStyle name="40% - Accent3 11 5 5 2 2 2" xfId="35506"/>
    <cellStyle name="40% - Accent3 11 5 5 2 3" xfId="28465"/>
    <cellStyle name="40% - Accent3 11 5 5 3" xfId="14671"/>
    <cellStyle name="40% - Accent3 11 5 5 3 2" xfId="32292"/>
    <cellStyle name="40% - Accent3 11 5 5 4" xfId="25605"/>
    <cellStyle name="40% - Accent3 11 5 6" xfId="7711"/>
    <cellStyle name="40% - Accent3 11 5 6 2" xfId="15502"/>
    <cellStyle name="40% - Accent3 11 5 6 2 2" xfId="33123"/>
    <cellStyle name="40% - Accent3 11 5 6 3" xfId="26130"/>
    <cellStyle name="40% - Accent3 11 5 7" xfId="11351"/>
    <cellStyle name="40% - Accent3 11 5 7 2" xfId="29060"/>
    <cellStyle name="40% - Accent3 11 5 8" xfId="23269"/>
    <cellStyle name="40% - Accent3 11 5 9" xfId="51810"/>
    <cellStyle name="40% - Accent3 11 6" xfId="644"/>
    <cellStyle name="40% - Accent3 11 6 2" xfId="3797"/>
    <cellStyle name="40% - Accent3 11 6 2 2" xfId="8368"/>
    <cellStyle name="40% - Accent3 11 6 2 2 2" xfId="16158"/>
    <cellStyle name="40% - Accent3 11 6 2 2 2 2" xfId="33779"/>
    <cellStyle name="40% - Accent3 11 6 2 2 3" xfId="26768"/>
    <cellStyle name="40% - Accent3 11 6 2 3" xfId="12510"/>
    <cellStyle name="40% - Accent3 11 6 2 3 2" xfId="30164"/>
    <cellStyle name="40% - Accent3 11 6 2 4" xfId="23907"/>
    <cellStyle name="40% - Accent3 11 6 3" xfId="5723"/>
    <cellStyle name="40% - Accent3 11 6 3 2" xfId="9020"/>
    <cellStyle name="40% - Accent3 11 6 3 2 2" xfId="16809"/>
    <cellStyle name="40% - Accent3 11 6 3 2 2 2" xfId="34431"/>
    <cellStyle name="40% - Accent3 11 6 3 2 3" xfId="27394"/>
    <cellStyle name="40% - Accent3 11 6 3 3" xfId="13573"/>
    <cellStyle name="40% - Accent3 11 6 3 3 2" xfId="31199"/>
    <cellStyle name="40% - Accent3 11 6 3 4" xfId="24533"/>
    <cellStyle name="40% - Accent3 11 6 4" xfId="6353"/>
    <cellStyle name="40% - Accent3 11 6 4 2" xfId="9560"/>
    <cellStyle name="40% - Accent3 11 6 4 2 2" xfId="17348"/>
    <cellStyle name="40% - Accent3 11 6 4 2 2 2" xfId="34971"/>
    <cellStyle name="40% - Accent3 11 6 4 2 3" xfId="27930"/>
    <cellStyle name="40% - Accent3 11 6 4 3" xfId="14136"/>
    <cellStyle name="40% - Accent3 11 6 4 3 2" xfId="31757"/>
    <cellStyle name="40% - Accent3 11 6 4 4" xfId="25069"/>
    <cellStyle name="40% - Accent3 11 6 5" xfId="6890"/>
    <cellStyle name="40% - Accent3 11 6 5 2" xfId="10097"/>
    <cellStyle name="40% - Accent3 11 6 5 2 2" xfId="17884"/>
    <cellStyle name="40% - Accent3 11 6 5 2 2 2" xfId="35507"/>
    <cellStyle name="40% - Accent3 11 6 5 2 3" xfId="28466"/>
    <cellStyle name="40% - Accent3 11 6 5 3" xfId="14672"/>
    <cellStyle name="40% - Accent3 11 6 5 3 2" xfId="32293"/>
    <cellStyle name="40% - Accent3 11 6 5 4" xfId="25606"/>
    <cellStyle name="40% - Accent3 11 6 6" xfId="7712"/>
    <cellStyle name="40% - Accent3 11 6 6 2" xfId="15503"/>
    <cellStyle name="40% - Accent3 11 6 6 2 2" xfId="33124"/>
    <cellStyle name="40% - Accent3 11 6 6 3" xfId="26131"/>
    <cellStyle name="40% - Accent3 11 6 7" xfId="11352"/>
    <cellStyle name="40% - Accent3 11 6 7 2" xfId="29061"/>
    <cellStyle name="40% - Accent3 11 6 8" xfId="23270"/>
    <cellStyle name="40% - Accent3 11 6 9" xfId="51811"/>
    <cellStyle name="40% - Accent3 11 7" xfId="645"/>
    <cellStyle name="40% - Accent3 11 7 10" xfId="51812"/>
    <cellStyle name="40% - Accent3 11 7 2" xfId="646"/>
    <cellStyle name="40% - Accent3 11 7 2 2" xfId="8370"/>
    <cellStyle name="40% - Accent3 11 7 2 2 2" xfId="16160"/>
    <cellStyle name="40% - Accent3 11 7 2 2 2 2" xfId="33781"/>
    <cellStyle name="40% - Accent3 11 7 2 2 3" xfId="26770"/>
    <cellStyle name="40% - Accent3 11 7 2 3" xfId="12512"/>
    <cellStyle name="40% - Accent3 11 7 2 3 2" xfId="30166"/>
    <cellStyle name="40% - Accent3 11 7 2 4" xfId="23909"/>
    <cellStyle name="40% - Accent3 11 7 3" xfId="3798"/>
    <cellStyle name="40% - Accent3 11 7 3 2" xfId="8369"/>
    <cellStyle name="40% - Accent3 11 7 3 2 2" xfId="16159"/>
    <cellStyle name="40% - Accent3 11 7 3 2 2 2" xfId="33780"/>
    <cellStyle name="40% - Accent3 11 7 3 2 3" xfId="26769"/>
    <cellStyle name="40% - Accent3 11 7 3 3" xfId="12511"/>
    <cellStyle name="40% - Accent3 11 7 3 3 2" xfId="30165"/>
    <cellStyle name="40% - Accent3 11 7 3 4" xfId="23908"/>
    <cellStyle name="40% - Accent3 11 7 4" xfId="5724"/>
    <cellStyle name="40% - Accent3 11 7 4 2" xfId="9021"/>
    <cellStyle name="40% - Accent3 11 7 4 2 2" xfId="16810"/>
    <cellStyle name="40% - Accent3 11 7 4 2 2 2" xfId="34432"/>
    <cellStyle name="40% - Accent3 11 7 4 2 3" xfId="27395"/>
    <cellStyle name="40% - Accent3 11 7 4 3" xfId="13574"/>
    <cellStyle name="40% - Accent3 11 7 4 3 2" xfId="31200"/>
    <cellStyle name="40% - Accent3 11 7 4 4" xfId="24534"/>
    <cellStyle name="40% - Accent3 11 7 5" xfId="6354"/>
    <cellStyle name="40% - Accent3 11 7 5 2" xfId="9561"/>
    <cellStyle name="40% - Accent3 11 7 5 2 2" xfId="17349"/>
    <cellStyle name="40% - Accent3 11 7 5 2 2 2" xfId="34972"/>
    <cellStyle name="40% - Accent3 11 7 5 2 3" xfId="27931"/>
    <cellStyle name="40% - Accent3 11 7 5 3" xfId="14137"/>
    <cellStyle name="40% - Accent3 11 7 5 3 2" xfId="31758"/>
    <cellStyle name="40% - Accent3 11 7 5 4" xfId="25070"/>
    <cellStyle name="40% - Accent3 11 7 6" xfId="6891"/>
    <cellStyle name="40% - Accent3 11 7 6 2" xfId="10098"/>
    <cellStyle name="40% - Accent3 11 7 6 2 2" xfId="17885"/>
    <cellStyle name="40% - Accent3 11 7 6 2 2 2" xfId="35508"/>
    <cellStyle name="40% - Accent3 11 7 6 2 3" xfId="28467"/>
    <cellStyle name="40% - Accent3 11 7 6 3" xfId="14673"/>
    <cellStyle name="40% - Accent3 11 7 6 3 2" xfId="32294"/>
    <cellStyle name="40% - Accent3 11 7 6 4" xfId="25607"/>
    <cellStyle name="40% - Accent3 11 7 7" xfId="7713"/>
    <cellStyle name="40% - Accent3 11 7 7 2" xfId="15504"/>
    <cellStyle name="40% - Accent3 11 7 7 2 2" xfId="33125"/>
    <cellStyle name="40% - Accent3 11 7 7 3" xfId="26132"/>
    <cellStyle name="40% - Accent3 11 7 8" xfId="11353"/>
    <cellStyle name="40% - Accent3 11 7 8 2" xfId="29062"/>
    <cellStyle name="40% - Accent3 11 7 9" xfId="23271"/>
    <cellStyle name="40% - Accent3 11 8" xfId="3799"/>
    <cellStyle name="40% - Accent3 11 8 2" xfId="8371"/>
    <cellStyle name="40% - Accent3 11 8 2 2" xfId="16161"/>
    <cellStyle name="40% - Accent3 11 8 2 2 2" xfId="33782"/>
    <cellStyle name="40% - Accent3 11 8 2 3" xfId="26771"/>
    <cellStyle name="40% - Accent3 11 8 3" xfId="12513"/>
    <cellStyle name="40% - Accent3 11 8 3 2" xfId="30167"/>
    <cellStyle name="40% - Accent3 11 8 4" xfId="23910"/>
    <cellStyle name="40% - Accent3 11 9" xfId="3800"/>
    <cellStyle name="40% - Accent3 11 9 2" xfId="8372"/>
    <cellStyle name="40% - Accent3 11 9 2 2" xfId="16162"/>
    <cellStyle name="40% - Accent3 11 9 2 2 2" xfId="33783"/>
    <cellStyle name="40% - Accent3 11 9 2 3" xfId="26772"/>
    <cellStyle name="40% - Accent3 11 9 3" xfId="12514"/>
    <cellStyle name="40% - Accent3 11 9 3 2" xfId="30168"/>
    <cellStyle name="40% - Accent3 11 9 4" xfId="23911"/>
    <cellStyle name="40% - Accent3 12" xfId="647"/>
    <cellStyle name="40% - Accent3 12 2" xfId="3801"/>
    <cellStyle name="40% - Accent3 12 2 2" xfId="8373"/>
    <cellStyle name="40% - Accent3 12 2 2 2" xfId="16163"/>
    <cellStyle name="40% - Accent3 12 2 2 2 2" xfId="33784"/>
    <cellStyle name="40% - Accent3 12 2 2 3" xfId="26773"/>
    <cellStyle name="40% - Accent3 12 2 3" xfId="12515"/>
    <cellStyle name="40% - Accent3 12 2 3 2" xfId="30169"/>
    <cellStyle name="40% - Accent3 12 2 4" xfId="22106"/>
    <cellStyle name="40% - Accent3 12 2 4 2" xfId="38777"/>
    <cellStyle name="40% - Accent3 12 2 5" xfId="23912"/>
    <cellStyle name="40% - Accent3 12 3" xfId="7714"/>
    <cellStyle name="40% - Accent3 12 3 2" xfId="15505"/>
    <cellStyle name="40% - Accent3 12 3 2 2" xfId="33126"/>
    <cellStyle name="40% - Accent3 12 3 3" xfId="26133"/>
    <cellStyle name="40% - Accent3 12 4" xfId="11354"/>
    <cellStyle name="40% - Accent3 12 4 2" xfId="29063"/>
    <cellStyle name="40% - Accent3 12 5" xfId="22105"/>
    <cellStyle name="40% - Accent3 12 5 2" xfId="38776"/>
    <cellStyle name="40% - Accent3 12 6" xfId="23272"/>
    <cellStyle name="40% - Accent3 12 7" xfId="51813"/>
    <cellStyle name="40% - Accent3 13" xfId="18861"/>
    <cellStyle name="40% - Accent3 13 2" xfId="22107"/>
    <cellStyle name="40% - Accent3 13 2 2" xfId="38778"/>
    <cellStyle name="40% - Accent3 13 3" xfId="36484"/>
    <cellStyle name="40% - Accent3 14" xfId="15289"/>
    <cellStyle name="40% - Accent3 14 2" xfId="22108"/>
    <cellStyle name="40% - Accent3 14 3" xfId="32910"/>
    <cellStyle name="40% - Accent3 15" xfId="22670"/>
    <cellStyle name="40% - Accent3 15 2" xfId="38878"/>
    <cellStyle name="40% - Accent3 16" xfId="22102"/>
    <cellStyle name="40% - Accent3 17" xfId="23059"/>
    <cellStyle name="40% - Accent3 18" xfId="51457"/>
    <cellStyle name="40% - Accent3 19" xfId="51470"/>
    <cellStyle name="40% - Accent3 2" xfId="25"/>
    <cellStyle name="40% - Accent3 2 10" xfId="649"/>
    <cellStyle name="40% - Accent3 2 11" xfId="650"/>
    <cellStyle name="40% - Accent3 2 12" xfId="651"/>
    <cellStyle name="40% - Accent3 2 13" xfId="652"/>
    <cellStyle name="40% - Accent3 2 14" xfId="653"/>
    <cellStyle name="40% - Accent3 2 15" xfId="3802"/>
    <cellStyle name="40% - Accent3 2 16" xfId="3803"/>
    <cellStyle name="40% - Accent3 2 17" xfId="3804"/>
    <cellStyle name="40% - Accent3 2 18" xfId="648"/>
    <cellStyle name="40% - Accent3 2 2" xfId="654"/>
    <cellStyle name="40% - Accent3 2 2 2" xfId="655"/>
    <cellStyle name="40% - Accent3 2 2 3" xfId="656"/>
    <cellStyle name="40% - Accent3 2 2 4" xfId="3805"/>
    <cellStyle name="40% - Accent3 2 2 5" xfId="3806"/>
    <cellStyle name="40% - Accent3 2 2_Sheet1" xfId="657"/>
    <cellStyle name="40% - Accent3 2 3" xfId="658"/>
    <cellStyle name="40% - Accent3 2 4" xfId="659"/>
    <cellStyle name="40% - Accent3 2 5" xfId="660"/>
    <cellStyle name="40% - Accent3 2 6" xfId="661"/>
    <cellStyle name="40% - Accent3 2 7" xfId="662"/>
    <cellStyle name="40% - Accent3 2 8" xfId="663"/>
    <cellStyle name="40% - Accent3 2 9" xfId="664"/>
    <cellStyle name="40% - Accent3 2_BallGrid" xfId="665"/>
    <cellStyle name="40% - Accent3 20" xfId="51483"/>
    <cellStyle name="40% - Accent3 3" xfId="26"/>
    <cellStyle name="40% - Accent3 3 10" xfId="666"/>
    <cellStyle name="40% - Accent3 3 2" xfId="667"/>
    <cellStyle name="40% - Accent3 3 3" xfId="668"/>
    <cellStyle name="40% - Accent3 3 4" xfId="669"/>
    <cellStyle name="40% - Accent3 3 5" xfId="670"/>
    <cellStyle name="40% - Accent3 3 6" xfId="671"/>
    <cellStyle name="40% - Accent3 3 7" xfId="3807"/>
    <cellStyle name="40% - Accent3 3 8" xfId="3808"/>
    <cellStyle name="40% - Accent3 3 9" xfId="3809"/>
    <cellStyle name="40% - Accent3 3_BallGrid" xfId="672"/>
    <cellStyle name="40% - Accent3 4" xfId="27"/>
    <cellStyle name="40% - Accent3 4 2" xfId="674"/>
    <cellStyle name="40% - Accent3 4 2 2" xfId="22834"/>
    <cellStyle name="40% - Accent3 4 3" xfId="675"/>
    <cellStyle name="40% - Accent3 4 3 2" xfId="22109"/>
    <cellStyle name="40% - Accent3 4 4" xfId="676"/>
    <cellStyle name="40% - Accent3 4 5" xfId="677"/>
    <cellStyle name="40% - Accent3 4 6" xfId="3810"/>
    <cellStyle name="40% - Accent3 4 7" xfId="3811"/>
    <cellStyle name="40% - Accent3 4 8" xfId="3812"/>
    <cellStyle name="40% - Accent3 4 9" xfId="673"/>
    <cellStyle name="40% - Accent3 5" xfId="678"/>
    <cellStyle name="40% - Accent3 5 10" xfId="3814"/>
    <cellStyle name="40% - Accent3 5 10 2" xfId="8375"/>
    <cellStyle name="40% - Accent3 5 10 2 2" xfId="16165"/>
    <cellStyle name="40% - Accent3 5 10 2 2 2" xfId="33786"/>
    <cellStyle name="40% - Accent3 5 10 2 3" xfId="26775"/>
    <cellStyle name="40% - Accent3 5 10 3" xfId="12520"/>
    <cellStyle name="40% - Accent3 5 10 3 2" xfId="30174"/>
    <cellStyle name="40% - Accent3 5 10 4" xfId="23914"/>
    <cellStyle name="40% - Accent3 5 11" xfId="3813"/>
    <cellStyle name="40% - Accent3 5 11 2" xfId="8374"/>
    <cellStyle name="40% - Accent3 5 11 2 2" xfId="16164"/>
    <cellStyle name="40% - Accent3 5 11 2 2 2" xfId="33785"/>
    <cellStyle name="40% - Accent3 5 11 2 3" xfId="26774"/>
    <cellStyle name="40% - Accent3 5 11 3" xfId="12519"/>
    <cellStyle name="40% - Accent3 5 11 3 2" xfId="30173"/>
    <cellStyle name="40% - Accent3 5 11 4" xfId="23913"/>
    <cellStyle name="40% - Accent3 5 12" xfId="5725"/>
    <cellStyle name="40% - Accent3 5 12 2" xfId="9022"/>
    <cellStyle name="40% - Accent3 5 12 2 2" xfId="16811"/>
    <cellStyle name="40% - Accent3 5 12 2 2 2" xfId="34433"/>
    <cellStyle name="40% - Accent3 5 12 2 3" xfId="27396"/>
    <cellStyle name="40% - Accent3 5 12 3" xfId="13575"/>
    <cellStyle name="40% - Accent3 5 12 3 2" xfId="31201"/>
    <cellStyle name="40% - Accent3 5 12 4" xfId="24535"/>
    <cellStyle name="40% - Accent3 5 13" xfId="6355"/>
    <cellStyle name="40% - Accent3 5 13 2" xfId="9562"/>
    <cellStyle name="40% - Accent3 5 13 2 2" xfId="17350"/>
    <cellStyle name="40% - Accent3 5 13 2 2 2" xfId="34973"/>
    <cellStyle name="40% - Accent3 5 13 2 3" xfId="27932"/>
    <cellStyle name="40% - Accent3 5 13 3" xfId="14138"/>
    <cellStyle name="40% - Accent3 5 13 3 2" xfId="31759"/>
    <cellStyle name="40% - Accent3 5 13 4" xfId="25071"/>
    <cellStyle name="40% - Accent3 5 14" xfId="6892"/>
    <cellStyle name="40% - Accent3 5 14 2" xfId="10099"/>
    <cellStyle name="40% - Accent3 5 14 2 2" xfId="17886"/>
    <cellStyle name="40% - Accent3 5 14 2 2 2" xfId="35509"/>
    <cellStyle name="40% - Accent3 5 14 2 3" xfId="28468"/>
    <cellStyle name="40% - Accent3 5 14 3" xfId="14674"/>
    <cellStyle name="40% - Accent3 5 14 3 2" xfId="32295"/>
    <cellStyle name="40% - Accent3 5 14 4" xfId="25608"/>
    <cellStyle name="40% - Accent3 5 15" xfId="7715"/>
    <cellStyle name="40% - Accent3 5 15 2" xfId="15506"/>
    <cellStyle name="40% - Accent3 5 15 2 2" xfId="33127"/>
    <cellStyle name="40% - Accent3 5 15 3" xfId="26134"/>
    <cellStyle name="40% - Accent3 5 16" xfId="11373"/>
    <cellStyle name="40% - Accent3 5 16 2" xfId="29081"/>
    <cellStyle name="40% - Accent3 5 17" xfId="21936"/>
    <cellStyle name="40% - Accent3 5 17 2" xfId="38675"/>
    <cellStyle name="40% - Accent3 5 18" xfId="23273"/>
    <cellStyle name="40% - Accent3 5 19" xfId="51814"/>
    <cellStyle name="40% - Accent3 5 2" xfId="679"/>
    <cellStyle name="40% - Accent3 5 2 10" xfId="51815"/>
    <cellStyle name="40% - Accent3 5 2 2" xfId="3815"/>
    <cellStyle name="40% - Accent3 5 2 2 2" xfId="8376"/>
    <cellStyle name="40% - Accent3 5 2 2 2 2" xfId="16166"/>
    <cellStyle name="40% - Accent3 5 2 2 2 2 2" xfId="33787"/>
    <cellStyle name="40% - Accent3 5 2 2 2 3" xfId="26776"/>
    <cellStyle name="40% - Accent3 5 2 2 3" xfId="12521"/>
    <cellStyle name="40% - Accent3 5 2 2 3 2" xfId="30175"/>
    <cellStyle name="40% - Accent3 5 2 2 4" xfId="23915"/>
    <cellStyle name="40% - Accent3 5 2 3" xfId="5726"/>
    <cellStyle name="40% - Accent3 5 2 3 2" xfId="9023"/>
    <cellStyle name="40% - Accent3 5 2 3 2 2" xfId="16812"/>
    <cellStyle name="40% - Accent3 5 2 3 2 2 2" xfId="34434"/>
    <cellStyle name="40% - Accent3 5 2 3 2 3" xfId="27397"/>
    <cellStyle name="40% - Accent3 5 2 3 3" xfId="13576"/>
    <cellStyle name="40% - Accent3 5 2 3 3 2" xfId="31202"/>
    <cellStyle name="40% - Accent3 5 2 3 4" xfId="24536"/>
    <cellStyle name="40% - Accent3 5 2 4" xfId="6356"/>
    <cellStyle name="40% - Accent3 5 2 4 2" xfId="9563"/>
    <cellStyle name="40% - Accent3 5 2 4 2 2" xfId="17351"/>
    <cellStyle name="40% - Accent3 5 2 4 2 2 2" xfId="34974"/>
    <cellStyle name="40% - Accent3 5 2 4 2 3" xfId="27933"/>
    <cellStyle name="40% - Accent3 5 2 4 3" xfId="14139"/>
    <cellStyle name="40% - Accent3 5 2 4 3 2" xfId="31760"/>
    <cellStyle name="40% - Accent3 5 2 4 4" xfId="25072"/>
    <cellStyle name="40% - Accent3 5 2 5" xfId="6893"/>
    <cellStyle name="40% - Accent3 5 2 5 2" xfId="10100"/>
    <cellStyle name="40% - Accent3 5 2 5 2 2" xfId="17887"/>
    <cellStyle name="40% - Accent3 5 2 5 2 2 2" xfId="35510"/>
    <cellStyle name="40% - Accent3 5 2 5 2 3" xfId="28469"/>
    <cellStyle name="40% - Accent3 5 2 5 3" xfId="14675"/>
    <cellStyle name="40% - Accent3 5 2 5 3 2" xfId="32296"/>
    <cellStyle name="40% - Accent3 5 2 5 4" xfId="25609"/>
    <cellStyle name="40% - Accent3 5 2 6" xfId="7716"/>
    <cellStyle name="40% - Accent3 5 2 6 2" xfId="15507"/>
    <cellStyle name="40% - Accent3 5 2 6 2 2" xfId="33128"/>
    <cellStyle name="40% - Accent3 5 2 6 3" xfId="26135"/>
    <cellStyle name="40% - Accent3 5 2 7" xfId="11374"/>
    <cellStyle name="40% - Accent3 5 2 7 2" xfId="29082"/>
    <cellStyle name="40% - Accent3 5 2 8" xfId="22835"/>
    <cellStyle name="40% - Accent3 5 2 8 2" xfId="38995"/>
    <cellStyle name="40% - Accent3 5 2 9" xfId="23274"/>
    <cellStyle name="40% - Accent3 5 3" xfId="680"/>
    <cellStyle name="40% - Accent3 5 3 10" xfId="22110"/>
    <cellStyle name="40% - Accent3 5 3 11" xfId="23275"/>
    <cellStyle name="40% - Accent3 5 3 12" xfId="51816"/>
    <cellStyle name="40% - Accent3 5 3 2" xfId="681"/>
    <cellStyle name="40% - Accent3 5 3 2 2" xfId="3817"/>
    <cellStyle name="40% - Accent3 5 3 2 2 2" xfId="8378"/>
    <cellStyle name="40% - Accent3 5 3 2 2 2 2" xfId="16168"/>
    <cellStyle name="40% - Accent3 5 3 2 2 2 2 2" xfId="33789"/>
    <cellStyle name="40% - Accent3 5 3 2 2 2 3" xfId="26778"/>
    <cellStyle name="40% - Accent3 5 3 2 2 3" xfId="12523"/>
    <cellStyle name="40% - Accent3 5 3 2 2 3 2" xfId="30177"/>
    <cellStyle name="40% - Accent3 5 3 2 2 4" xfId="23917"/>
    <cellStyle name="40% - Accent3 5 3 2 3" xfId="5728"/>
    <cellStyle name="40% - Accent3 5 3 2 3 2" xfId="9025"/>
    <cellStyle name="40% - Accent3 5 3 2 3 2 2" xfId="16814"/>
    <cellStyle name="40% - Accent3 5 3 2 3 2 2 2" xfId="34436"/>
    <cellStyle name="40% - Accent3 5 3 2 3 2 3" xfId="27399"/>
    <cellStyle name="40% - Accent3 5 3 2 3 3" xfId="13578"/>
    <cellStyle name="40% - Accent3 5 3 2 3 3 2" xfId="31204"/>
    <cellStyle name="40% - Accent3 5 3 2 3 4" xfId="24538"/>
    <cellStyle name="40% - Accent3 5 3 2 4" xfId="6358"/>
    <cellStyle name="40% - Accent3 5 3 2 4 2" xfId="9565"/>
    <cellStyle name="40% - Accent3 5 3 2 4 2 2" xfId="17353"/>
    <cellStyle name="40% - Accent3 5 3 2 4 2 2 2" xfId="34976"/>
    <cellStyle name="40% - Accent3 5 3 2 4 2 3" xfId="27935"/>
    <cellStyle name="40% - Accent3 5 3 2 4 3" xfId="14141"/>
    <cellStyle name="40% - Accent3 5 3 2 4 3 2" xfId="31762"/>
    <cellStyle name="40% - Accent3 5 3 2 4 4" xfId="25074"/>
    <cellStyle name="40% - Accent3 5 3 2 5" xfId="6895"/>
    <cellStyle name="40% - Accent3 5 3 2 5 2" xfId="10102"/>
    <cellStyle name="40% - Accent3 5 3 2 5 2 2" xfId="17889"/>
    <cellStyle name="40% - Accent3 5 3 2 5 2 2 2" xfId="35512"/>
    <cellStyle name="40% - Accent3 5 3 2 5 2 3" xfId="28471"/>
    <cellStyle name="40% - Accent3 5 3 2 5 3" xfId="14677"/>
    <cellStyle name="40% - Accent3 5 3 2 5 3 2" xfId="32298"/>
    <cellStyle name="40% - Accent3 5 3 2 5 4" xfId="25611"/>
    <cellStyle name="40% - Accent3 5 3 2 6" xfId="7718"/>
    <cellStyle name="40% - Accent3 5 3 2 6 2" xfId="15509"/>
    <cellStyle name="40% - Accent3 5 3 2 6 2 2" xfId="33130"/>
    <cellStyle name="40% - Accent3 5 3 2 6 3" xfId="26137"/>
    <cellStyle name="40% - Accent3 5 3 2 7" xfId="11376"/>
    <cellStyle name="40% - Accent3 5 3 2 7 2" xfId="29084"/>
    <cellStyle name="40% - Accent3 5 3 2 8" xfId="23276"/>
    <cellStyle name="40% - Accent3 5 3 2 9" xfId="51817"/>
    <cellStyle name="40% - Accent3 5 3 3" xfId="3818"/>
    <cellStyle name="40% - Accent3 5 3 3 2" xfId="5729"/>
    <cellStyle name="40% - Accent3 5 3 3 2 2" xfId="9026"/>
    <cellStyle name="40% - Accent3 5 3 3 2 2 2" xfId="16815"/>
    <cellStyle name="40% - Accent3 5 3 3 2 2 2 2" xfId="34437"/>
    <cellStyle name="40% - Accent3 5 3 3 2 2 3" xfId="27400"/>
    <cellStyle name="40% - Accent3 5 3 3 2 3" xfId="13579"/>
    <cellStyle name="40% - Accent3 5 3 3 2 3 2" xfId="31205"/>
    <cellStyle name="40% - Accent3 5 3 3 2 4" xfId="24539"/>
    <cellStyle name="40% - Accent3 5 3 3 3" xfId="6359"/>
    <cellStyle name="40% - Accent3 5 3 3 3 2" xfId="9566"/>
    <cellStyle name="40% - Accent3 5 3 3 3 2 2" xfId="17354"/>
    <cellStyle name="40% - Accent3 5 3 3 3 2 2 2" xfId="34977"/>
    <cellStyle name="40% - Accent3 5 3 3 3 2 3" xfId="27936"/>
    <cellStyle name="40% - Accent3 5 3 3 3 3" xfId="14142"/>
    <cellStyle name="40% - Accent3 5 3 3 3 3 2" xfId="31763"/>
    <cellStyle name="40% - Accent3 5 3 3 3 4" xfId="25075"/>
    <cellStyle name="40% - Accent3 5 3 3 4" xfId="6896"/>
    <cellStyle name="40% - Accent3 5 3 3 4 2" xfId="10103"/>
    <cellStyle name="40% - Accent3 5 3 3 4 2 2" xfId="17890"/>
    <cellStyle name="40% - Accent3 5 3 3 4 2 2 2" xfId="35513"/>
    <cellStyle name="40% - Accent3 5 3 3 4 2 3" xfId="28472"/>
    <cellStyle name="40% - Accent3 5 3 3 4 3" xfId="14678"/>
    <cellStyle name="40% - Accent3 5 3 3 4 3 2" xfId="32299"/>
    <cellStyle name="40% - Accent3 5 3 3 4 4" xfId="25612"/>
    <cellStyle name="40% - Accent3 5 3 3 5" xfId="8379"/>
    <cellStyle name="40% - Accent3 5 3 3 5 2" xfId="16169"/>
    <cellStyle name="40% - Accent3 5 3 3 5 2 2" xfId="33790"/>
    <cellStyle name="40% - Accent3 5 3 3 5 3" xfId="26779"/>
    <cellStyle name="40% - Accent3 5 3 3 6" xfId="12524"/>
    <cellStyle name="40% - Accent3 5 3 3 6 2" xfId="30178"/>
    <cellStyle name="40% - Accent3 5 3 3 7" xfId="23918"/>
    <cellStyle name="40% - Accent3 5 3 4" xfId="3816"/>
    <cellStyle name="40% - Accent3 5 3 4 2" xfId="8377"/>
    <cellStyle name="40% - Accent3 5 3 4 2 2" xfId="16167"/>
    <cellStyle name="40% - Accent3 5 3 4 2 2 2" xfId="33788"/>
    <cellStyle name="40% - Accent3 5 3 4 2 3" xfId="26777"/>
    <cellStyle name="40% - Accent3 5 3 4 3" xfId="12522"/>
    <cellStyle name="40% - Accent3 5 3 4 3 2" xfId="30176"/>
    <cellStyle name="40% - Accent3 5 3 4 4" xfId="23916"/>
    <cellStyle name="40% - Accent3 5 3 5" xfId="5727"/>
    <cellStyle name="40% - Accent3 5 3 5 2" xfId="9024"/>
    <cellStyle name="40% - Accent3 5 3 5 2 2" xfId="16813"/>
    <cellStyle name="40% - Accent3 5 3 5 2 2 2" xfId="34435"/>
    <cellStyle name="40% - Accent3 5 3 5 2 3" xfId="27398"/>
    <cellStyle name="40% - Accent3 5 3 5 3" xfId="13577"/>
    <cellStyle name="40% - Accent3 5 3 5 3 2" xfId="31203"/>
    <cellStyle name="40% - Accent3 5 3 5 4" xfId="24537"/>
    <cellStyle name="40% - Accent3 5 3 6" xfId="6357"/>
    <cellStyle name="40% - Accent3 5 3 6 2" xfId="9564"/>
    <cellStyle name="40% - Accent3 5 3 6 2 2" xfId="17352"/>
    <cellStyle name="40% - Accent3 5 3 6 2 2 2" xfId="34975"/>
    <cellStyle name="40% - Accent3 5 3 6 2 3" xfId="27934"/>
    <cellStyle name="40% - Accent3 5 3 6 3" xfId="14140"/>
    <cellStyle name="40% - Accent3 5 3 6 3 2" xfId="31761"/>
    <cellStyle name="40% - Accent3 5 3 6 4" xfId="25073"/>
    <cellStyle name="40% - Accent3 5 3 7" xfId="6894"/>
    <cellStyle name="40% - Accent3 5 3 7 2" xfId="10101"/>
    <cellStyle name="40% - Accent3 5 3 7 2 2" xfId="17888"/>
    <cellStyle name="40% - Accent3 5 3 7 2 2 2" xfId="35511"/>
    <cellStyle name="40% - Accent3 5 3 7 2 3" xfId="28470"/>
    <cellStyle name="40% - Accent3 5 3 7 3" xfId="14676"/>
    <cellStyle name="40% - Accent3 5 3 7 3 2" xfId="32297"/>
    <cellStyle name="40% - Accent3 5 3 7 4" xfId="25610"/>
    <cellStyle name="40% - Accent3 5 3 8" xfId="7717"/>
    <cellStyle name="40% - Accent3 5 3 8 2" xfId="15508"/>
    <cellStyle name="40% - Accent3 5 3 8 2 2" xfId="33129"/>
    <cellStyle name="40% - Accent3 5 3 8 3" xfId="26136"/>
    <cellStyle name="40% - Accent3 5 3 9" xfId="11375"/>
    <cellStyle name="40% - Accent3 5 3 9 2" xfId="29083"/>
    <cellStyle name="40% - Accent3 5 4" xfId="682"/>
    <cellStyle name="40% - Accent3 5 4 10" xfId="52884"/>
    <cellStyle name="40% - Accent3 5 4 2" xfId="3819"/>
    <cellStyle name="40% - Accent3 5 4 2 2" xfId="8380"/>
    <cellStyle name="40% - Accent3 5 4 2 2 2" xfId="16170"/>
    <cellStyle name="40% - Accent3 5 4 2 2 2 2" xfId="33791"/>
    <cellStyle name="40% - Accent3 5 4 2 2 3" xfId="26780"/>
    <cellStyle name="40% - Accent3 5 4 2 3" xfId="12525"/>
    <cellStyle name="40% - Accent3 5 4 2 3 2" xfId="30179"/>
    <cellStyle name="40% - Accent3 5 4 2 4" xfId="23919"/>
    <cellStyle name="40% - Accent3 5 4 3" xfId="5730"/>
    <cellStyle name="40% - Accent3 5 4 3 2" xfId="9027"/>
    <cellStyle name="40% - Accent3 5 4 3 2 2" xfId="16816"/>
    <cellStyle name="40% - Accent3 5 4 3 2 2 2" xfId="34438"/>
    <cellStyle name="40% - Accent3 5 4 3 2 3" xfId="27401"/>
    <cellStyle name="40% - Accent3 5 4 3 3" xfId="13580"/>
    <cellStyle name="40% - Accent3 5 4 3 3 2" xfId="31206"/>
    <cellStyle name="40% - Accent3 5 4 3 4" xfId="24540"/>
    <cellStyle name="40% - Accent3 5 4 4" xfId="6360"/>
    <cellStyle name="40% - Accent3 5 4 4 2" xfId="9567"/>
    <cellStyle name="40% - Accent3 5 4 4 2 2" xfId="17355"/>
    <cellStyle name="40% - Accent3 5 4 4 2 2 2" xfId="34978"/>
    <cellStyle name="40% - Accent3 5 4 4 2 3" xfId="27937"/>
    <cellStyle name="40% - Accent3 5 4 4 3" xfId="14143"/>
    <cellStyle name="40% - Accent3 5 4 4 3 2" xfId="31764"/>
    <cellStyle name="40% - Accent3 5 4 4 4" xfId="25076"/>
    <cellStyle name="40% - Accent3 5 4 5" xfId="6897"/>
    <cellStyle name="40% - Accent3 5 4 5 2" xfId="10104"/>
    <cellStyle name="40% - Accent3 5 4 5 2 2" xfId="17891"/>
    <cellStyle name="40% - Accent3 5 4 5 2 2 2" xfId="35514"/>
    <cellStyle name="40% - Accent3 5 4 5 2 3" xfId="28473"/>
    <cellStyle name="40% - Accent3 5 4 5 3" xfId="14679"/>
    <cellStyle name="40% - Accent3 5 4 5 3 2" xfId="32300"/>
    <cellStyle name="40% - Accent3 5 4 5 4" xfId="25613"/>
    <cellStyle name="40% - Accent3 5 4 6" xfId="7719"/>
    <cellStyle name="40% - Accent3 5 4 6 2" xfId="15510"/>
    <cellStyle name="40% - Accent3 5 4 6 2 2" xfId="33131"/>
    <cellStyle name="40% - Accent3 5 4 6 3" xfId="26138"/>
    <cellStyle name="40% - Accent3 5 4 7" xfId="11377"/>
    <cellStyle name="40% - Accent3 5 4 7 2" xfId="29085"/>
    <cellStyle name="40% - Accent3 5 4 8" xfId="23277"/>
    <cellStyle name="40% - Accent3 5 4 9" xfId="51818"/>
    <cellStyle name="40% - Accent3 5 5" xfId="683"/>
    <cellStyle name="40% - Accent3 5 5 2" xfId="3820"/>
    <cellStyle name="40% - Accent3 5 5 2 2" xfId="8381"/>
    <cellStyle name="40% - Accent3 5 5 2 2 2" xfId="16171"/>
    <cellStyle name="40% - Accent3 5 5 2 2 2 2" xfId="33792"/>
    <cellStyle name="40% - Accent3 5 5 2 2 3" xfId="26781"/>
    <cellStyle name="40% - Accent3 5 5 2 3" xfId="12526"/>
    <cellStyle name="40% - Accent3 5 5 2 3 2" xfId="30180"/>
    <cellStyle name="40% - Accent3 5 5 2 4" xfId="23920"/>
    <cellStyle name="40% - Accent3 5 5 3" xfId="5731"/>
    <cellStyle name="40% - Accent3 5 5 3 2" xfId="9028"/>
    <cellStyle name="40% - Accent3 5 5 3 2 2" xfId="16817"/>
    <cellStyle name="40% - Accent3 5 5 3 2 2 2" xfId="34439"/>
    <cellStyle name="40% - Accent3 5 5 3 2 3" xfId="27402"/>
    <cellStyle name="40% - Accent3 5 5 3 3" xfId="13581"/>
    <cellStyle name="40% - Accent3 5 5 3 3 2" xfId="31207"/>
    <cellStyle name="40% - Accent3 5 5 3 4" xfId="24541"/>
    <cellStyle name="40% - Accent3 5 5 4" xfId="6361"/>
    <cellStyle name="40% - Accent3 5 5 4 2" xfId="9568"/>
    <cellStyle name="40% - Accent3 5 5 4 2 2" xfId="17356"/>
    <cellStyle name="40% - Accent3 5 5 4 2 2 2" xfId="34979"/>
    <cellStyle name="40% - Accent3 5 5 4 2 3" xfId="27938"/>
    <cellStyle name="40% - Accent3 5 5 4 3" xfId="14144"/>
    <cellStyle name="40% - Accent3 5 5 4 3 2" xfId="31765"/>
    <cellStyle name="40% - Accent3 5 5 4 4" xfId="25077"/>
    <cellStyle name="40% - Accent3 5 5 5" xfId="6898"/>
    <cellStyle name="40% - Accent3 5 5 5 2" xfId="10105"/>
    <cellStyle name="40% - Accent3 5 5 5 2 2" xfId="17892"/>
    <cellStyle name="40% - Accent3 5 5 5 2 2 2" xfId="35515"/>
    <cellStyle name="40% - Accent3 5 5 5 2 3" xfId="28474"/>
    <cellStyle name="40% - Accent3 5 5 5 3" xfId="14680"/>
    <cellStyle name="40% - Accent3 5 5 5 3 2" xfId="32301"/>
    <cellStyle name="40% - Accent3 5 5 5 4" xfId="25614"/>
    <cellStyle name="40% - Accent3 5 5 6" xfId="7720"/>
    <cellStyle name="40% - Accent3 5 5 6 2" xfId="15511"/>
    <cellStyle name="40% - Accent3 5 5 6 2 2" xfId="33132"/>
    <cellStyle name="40% - Accent3 5 5 6 3" xfId="26139"/>
    <cellStyle name="40% - Accent3 5 5 7" xfId="11378"/>
    <cellStyle name="40% - Accent3 5 5 7 2" xfId="29086"/>
    <cellStyle name="40% - Accent3 5 5 8" xfId="23278"/>
    <cellStyle name="40% - Accent3 5 5 9" xfId="51819"/>
    <cellStyle name="40% - Accent3 5 6" xfId="684"/>
    <cellStyle name="40% - Accent3 5 6 2" xfId="3821"/>
    <cellStyle name="40% - Accent3 5 6 2 2" xfId="8382"/>
    <cellStyle name="40% - Accent3 5 6 2 2 2" xfId="16172"/>
    <cellStyle name="40% - Accent3 5 6 2 2 2 2" xfId="33793"/>
    <cellStyle name="40% - Accent3 5 6 2 2 3" xfId="26782"/>
    <cellStyle name="40% - Accent3 5 6 2 3" xfId="12527"/>
    <cellStyle name="40% - Accent3 5 6 2 3 2" xfId="30181"/>
    <cellStyle name="40% - Accent3 5 6 2 4" xfId="23921"/>
    <cellStyle name="40% - Accent3 5 6 3" xfId="5732"/>
    <cellStyle name="40% - Accent3 5 6 3 2" xfId="9029"/>
    <cellStyle name="40% - Accent3 5 6 3 2 2" xfId="16818"/>
    <cellStyle name="40% - Accent3 5 6 3 2 2 2" xfId="34440"/>
    <cellStyle name="40% - Accent3 5 6 3 2 3" xfId="27403"/>
    <cellStyle name="40% - Accent3 5 6 3 3" xfId="13582"/>
    <cellStyle name="40% - Accent3 5 6 3 3 2" xfId="31208"/>
    <cellStyle name="40% - Accent3 5 6 3 4" xfId="24542"/>
    <cellStyle name="40% - Accent3 5 6 4" xfId="6362"/>
    <cellStyle name="40% - Accent3 5 6 4 2" xfId="9569"/>
    <cellStyle name="40% - Accent3 5 6 4 2 2" xfId="17357"/>
    <cellStyle name="40% - Accent3 5 6 4 2 2 2" xfId="34980"/>
    <cellStyle name="40% - Accent3 5 6 4 2 3" xfId="27939"/>
    <cellStyle name="40% - Accent3 5 6 4 3" xfId="14145"/>
    <cellStyle name="40% - Accent3 5 6 4 3 2" xfId="31766"/>
    <cellStyle name="40% - Accent3 5 6 4 4" xfId="25078"/>
    <cellStyle name="40% - Accent3 5 6 5" xfId="6899"/>
    <cellStyle name="40% - Accent3 5 6 5 2" xfId="10106"/>
    <cellStyle name="40% - Accent3 5 6 5 2 2" xfId="17893"/>
    <cellStyle name="40% - Accent3 5 6 5 2 2 2" xfId="35516"/>
    <cellStyle name="40% - Accent3 5 6 5 2 3" xfId="28475"/>
    <cellStyle name="40% - Accent3 5 6 5 3" xfId="14681"/>
    <cellStyle name="40% - Accent3 5 6 5 3 2" xfId="32302"/>
    <cellStyle name="40% - Accent3 5 6 5 4" xfId="25615"/>
    <cellStyle name="40% - Accent3 5 6 6" xfId="7721"/>
    <cellStyle name="40% - Accent3 5 6 6 2" xfId="15512"/>
    <cellStyle name="40% - Accent3 5 6 6 2 2" xfId="33133"/>
    <cellStyle name="40% - Accent3 5 6 6 3" xfId="26140"/>
    <cellStyle name="40% - Accent3 5 6 7" xfId="11379"/>
    <cellStyle name="40% - Accent3 5 6 7 2" xfId="29087"/>
    <cellStyle name="40% - Accent3 5 6 8" xfId="23279"/>
    <cellStyle name="40% - Accent3 5 6 9" xfId="51820"/>
    <cellStyle name="40% - Accent3 5 7" xfId="685"/>
    <cellStyle name="40% - Accent3 5 7 10" xfId="51821"/>
    <cellStyle name="40% - Accent3 5 7 2" xfId="686"/>
    <cellStyle name="40% - Accent3 5 7 2 2" xfId="8384"/>
    <cellStyle name="40% - Accent3 5 7 2 2 2" xfId="16174"/>
    <cellStyle name="40% - Accent3 5 7 2 2 2 2" xfId="33795"/>
    <cellStyle name="40% - Accent3 5 7 2 2 3" xfId="26784"/>
    <cellStyle name="40% - Accent3 5 7 2 3" xfId="12529"/>
    <cellStyle name="40% - Accent3 5 7 2 3 2" xfId="30183"/>
    <cellStyle name="40% - Accent3 5 7 2 4" xfId="23923"/>
    <cellStyle name="40% - Accent3 5 7 3" xfId="3822"/>
    <cellStyle name="40% - Accent3 5 7 3 2" xfId="8383"/>
    <cellStyle name="40% - Accent3 5 7 3 2 2" xfId="16173"/>
    <cellStyle name="40% - Accent3 5 7 3 2 2 2" xfId="33794"/>
    <cellStyle name="40% - Accent3 5 7 3 2 3" xfId="26783"/>
    <cellStyle name="40% - Accent3 5 7 3 3" xfId="12528"/>
    <cellStyle name="40% - Accent3 5 7 3 3 2" xfId="30182"/>
    <cellStyle name="40% - Accent3 5 7 3 4" xfId="23922"/>
    <cellStyle name="40% - Accent3 5 7 4" xfId="5733"/>
    <cellStyle name="40% - Accent3 5 7 4 2" xfId="9030"/>
    <cellStyle name="40% - Accent3 5 7 4 2 2" xfId="16819"/>
    <cellStyle name="40% - Accent3 5 7 4 2 2 2" xfId="34441"/>
    <cellStyle name="40% - Accent3 5 7 4 2 3" xfId="27404"/>
    <cellStyle name="40% - Accent3 5 7 4 3" xfId="13583"/>
    <cellStyle name="40% - Accent3 5 7 4 3 2" xfId="31209"/>
    <cellStyle name="40% - Accent3 5 7 4 4" xfId="24543"/>
    <cellStyle name="40% - Accent3 5 7 5" xfId="6363"/>
    <cellStyle name="40% - Accent3 5 7 5 2" xfId="9570"/>
    <cellStyle name="40% - Accent3 5 7 5 2 2" xfId="17358"/>
    <cellStyle name="40% - Accent3 5 7 5 2 2 2" xfId="34981"/>
    <cellStyle name="40% - Accent3 5 7 5 2 3" xfId="27940"/>
    <cellStyle name="40% - Accent3 5 7 5 3" xfId="14146"/>
    <cellStyle name="40% - Accent3 5 7 5 3 2" xfId="31767"/>
    <cellStyle name="40% - Accent3 5 7 5 4" xfId="25079"/>
    <cellStyle name="40% - Accent3 5 7 6" xfId="6900"/>
    <cellStyle name="40% - Accent3 5 7 6 2" xfId="10107"/>
    <cellStyle name="40% - Accent3 5 7 6 2 2" xfId="17894"/>
    <cellStyle name="40% - Accent3 5 7 6 2 2 2" xfId="35517"/>
    <cellStyle name="40% - Accent3 5 7 6 2 3" xfId="28476"/>
    <cellStyle name="40% - Accent3 5 7 6 3" xfId="14682"/>
    <cellStyle name="40% - Accent3 5 7 6 3 2" xfId="32303"/>
    <cellStyle name="40% - Accent3 5 7 6 4" xfId="25616"/>
    <cellStyle name="40% - Accent3 5 7 7" xfId="7722"/>
    <cellStyle name="40% - Accent3 5 7 7 2" xfId="15513"/>
    <cellStyle name="40% - Accent3 5 7 7 2 2" xfId="33134"/>
    <cellStyle name="40% - Accent3 5 7 7 3" xfId="26141"/>
    <cellStyle name="40% - Accent3 5 7 8" xfId="11380"/>
    <cellStyle name="40% - Accent3 5 7 8 2" xfId="29088"/>
    <cellStyle name="40% - Accent3 5 7 9" xfId="23280"/>
    <cellStyle name="40% - Accent3 5 8" xfId="3823"/>
    <cellStyle name="40% - Accent3 5 8 2" xfId="8385"/>
    <cellStyle name="40% - Accent3 5 8 2 2" xfId="16175"/>
    <cellStyle name="40% - Accent3 5 8 2 2 2" xfId="33796"/>
    <cellStyle name="40% - Accent3 5 8 2 3" xfId="26785"/>
    <cellStyle name="40% - Accent3 5 8 3" xfId="12530"/>
    <cellStyle name="40% - Accent3 5 8 3 2" xfId="30184"/>
    <cellStyle name="40% - Accent3 5 8 4" xfId="23924"/>
    <cellStyle name="40% - Accent3 5 9" xfId="3824"/>
    <cellStyle name="40% - Accent3 6" xfId="687"/>
    <cellStyle name="40% - Accent3 6 10" xfId="3825"/>
    <cellStyle name="40% - Accent3 6 10 2" xfId="8386"/>
    <cellStyle name="40% - Accent3 6 10 2 2" xfId="16176"/>
    <cellStyle name="40% - Accent3 6 10 2 2 2" xfId="33797"/>
    <cellStyle name="40% - Accent3 6 10 2 3" xfId="26786"/>
    <cellStyle name="40% - Accent3 6 10 3" xfId="12532"/>
    <cellStyle name="40% - Accent3 6 10 3 2" xfId="30186"/>
    <cellStyle name="40% - Accent3 6 10 4" xfId="23925"/>
    <cellStyle name="40% - Accent3 6 11" xfId="5734"/>
    <cellStyle name="40% - Accent3 6 11 2" xfId="9031"/>
    <cellStyle name="40% - Accent3 6 11 2 2" xfId="16820"/>
    <cellStyle name="40% - Accent3 6 11 2 2 2" xfId="34442"/>
    <cellStyle name="40% - Accent3 6 11 2 3" xfId="27405"/>
    <cellStyle name="40% - Accent3 6 11 3" xfId="13584"/>
    <cellStyle name="40% - Accent3 6 11 3 2" xfId="31210"/>
    <cellStyle name="40% - Accent3 6 11 4" xfId="24544"/>
    <cellStyle name="40% - Accent3 6 12" xfId="6364"/>
    <cellStyle name="40% - Accent3 6 12 2" xfId="9571"/>
    <cellStyle name="40% - Accent3 6 12 2 2" xfId="17359"/>
    <cellStyle name="40% - Accent3 6 12 2 2 2" xfId="34982"/>
    <cellStyle name="40% - Accent3 6 12 2 3" xfId="27941"/>
    <cellStyle name="40% - Accent3 6 12 3" xfId="14147"/>
    <cellStyle name="40% - Accent3 6 12 3 2" xfId="31768"/>
    <cellStyle name="40% - Accent3 6 12 4" xfId="25080"/>
    <cellStyle name="40% - Accent3 6 13" xfId="6901"/>
    <cellStyle name="40% - Accent3 6 13 2" xfId="10108"/>
    <cellStyle name="40% - Accent3 6 13 2 2" xfId="17895"/>
    <cellStyle name="40% - Accent3 6 13 2 2 2" xfId="35518"/>
    <cellStyle name="40% - Accent3 6 13 2 3" xfId="28477"/>
    <cellStyle name="40% - Accent3 6 13 3" xfId="14683"/>
    <cellStyle name="40% - Accent3 6 13 3 2" xfId="32304"/>
    <cellStyle name="40% - Accent3 6 13 4" xfId="25617"/>
    <cellStyle name="40% - Accent3 6 14" xfId="7723"/>
    <cellStyle name="40% - Accent3 6 14 2" xfId="15514"/>
    <cellStyle name="40% - Accent3 6 14 2 2" xfId="33135"/>
    <cellStyle name="40% - Accent3 6 14 3" xfId="26142"/>
    <cellStyle name="40% - Accent3 6 15" xfId="11381"/>
    <cellStyle name="40% - Accent3 6 15 2" xfId="29089"/>
    <cellStyle name="40% - Accent3 6 16" xfId="21937"/>
    <cellStyle name="40% - Accent3 6 16 2" xfId="38676"/>
    <cellStyle name="40% - Accent3 6 17" xfId="23281"/>
    <cellStyle name="40% - Accent3 6 18" xfId="51822"/>
    <cellStyle name="40% - Accent3 6 2" xfId="688"/>
    <cellStyle name="40% - Accent3 6 2 10" xfId="51823"/>
    <cellStyle name="40% - Accent3 6 2 2" xfId="3826"/>
    <cellStyle name="40% - Accent3 6 2 2 2" xfId="8387"/>
    <cellStyle name="40% - Accent3 6 2 2 2 2" xfId="16177"/>
    <cellStyle name="40% - Accent3 6 2 2 2 2 2" xfId="33798"/>
    <cellStyle name="40% - Accent3 6 2 2 2 3" xfId="26787"/>
    <cellStyle name="40% - Accent3 6 2 2 3" xfId="12533"/>
    <cellStyle name="40% - Accent3 6 2 2 3 2" xfId="30187"/>
    <cellStyle name="40% - Accent3 6 2 2 4" xfId="23926"/>
    <cellStyle name="40% - Accent3 6 2 3" xfId="5735"/>
    <cellStyle name="40% - Accent3 6 2 3 2" xfId="9032"/>
    <cellStyle name="40% - Accent3 6 2 3 2 2" xfId="16821"/>
    <cellStyle name="40% - Accent3 6 2 3 2 2 2" xfId="34443"/>
    <cellStyle name="40% - Accent3 6 2 3 2 3" xfId="27406"/>
    <cellStyle name="40% - Accent3 6 2 3 3" xfId="13585"/>
    <cellStyle name="40% - Accent3 6 2 3 3 2" xfId="31211"/>
    <cellStyle name="40% - Accent3 6 2 3 4" xfId="24545"/>
    <cellStyle name="40% - Accent3 6 2 4" xfId="6365"/>
    <cellStyle name="40% - Accent3 6 2 4 2" xfId="9572"/>
    <cellStyle name="40% - Accent3 6 2 4 2 2" xfId="17360"/>
    <cellStyle name="40% - Accent3 6 2 4 2 2 2" xfId="34983"/>
    <cellStyle name="40% - Accent3 6 2 4 2 3" xfId="27942"/>
    <cellStyle name="40% - Accent3 6 2 4 3" xfId="14148"/>
    <cellStyle name="40% - Accent3 6 2 4 3 2" xfId="31769"/>
    <cellStyle name="40% - Accent3 6 2 4 4" xfId="25081"/>
    <cellStyle name="40% - Accent3 6 2 5" xfId="6902"/>
    <cellStyle name="40% - Accent3 6 2 5 2" xfId="10109"/>
    <cellStyle name="40% - Accent3 6 2 5 2 2" xfId="17896"/>
    <cellStyle name="40% - Accent3 6 2 5 2 2 2" xfId="35519"/>
    <cellStyle name="40% - Accent3 6 2 5 2 3" xfId="28478"/>
    <cellStyle name="40% - Accent3 6 2 5 3" xfId="14684"/>
    <cellStyle name="40% - Accent3 6 2 5 3 2" xfId="32305"/>
    <cellStyle name="40% - Accent3 6 2 5 4" xfId="25618"/>
    <cellStyle name="40% - Accent3 6 2 6" xfId="7724"/>
    <cellStyle name="40% - Accent3 6 2 6 2" xfId="15515"/>
    <cellStyle name="40% - Accent3 6 2 6 2 2" xfId="33136"/>
    <cellStyle name="40% - Accent3 6 2 6 3" xfId="26143"/>
    <cellStyle name="40% - Accent3 6 2 7" xfId="11382"/>
    <cellStyle name="40% - Accent3 6 2 7 2" xfId="29090"/>
    <cellStyle name="40% - Accent3 6 2 8" xfId="22836"/>
    <cellStyle name="40% - Accent3 6 2 8 2" xfId="38996"/>
    <cellStyle name="40% - Accent3 6 2 9" xfId="23282"/>
    <cellStyle name="40% - Accent3 6 3" xfId="689"/>
    <cellStyle name="40% - Accent3 6 3 10" xfId="22111"/>
    <cellStyle name="40% - Accent3 6 3 11" xfId="23283"/>
    <cellStyle name="40% - Accent3 6 3 12" xfId="51824"/>
    <cellStyle name="40% - Accent3 6 3 2" xfId="690"/>
    <cellStyle name="40% - Accent3 6 3 2 2" xfId="3828"/>
    <cellStyle name="40% - Accent3 6 3 2 2 2" xfId="8389"/>
    <cellStyle name="40% - Accent3 6 3 2 2 2 2" xfId="16179"/>
    <cellStyle name="40% - Accent3 6 3 2 2 2 2 2" xfId="33800"/>
    <cellStyle name="40% - Accent3 6 3 2 2 2 3" xfId="26789"/>
    <cellStyle name="40% - Accent3 6 3 2 2 3" xfId="12535"/>
    <cellStyle name="40% - Accent3 6 3 2 2 3 2" xfId="30189"/>
    <cellStyle name="40% - Accent3 6 3 2 2 4" xfId="23928"/>
    <cellStyle name="40% - Accent3 6 3 2 3" xfId="5737"/>
    <cellStyle name="40% - Accent3 6 3 2 3 2" xfId="9034"/>
    <cellStyle name="40% - Accent3 6 3 2 3 2 2" xfId="16823"/>
    <cellStyle name="40% - Accent3 6 3 2 3 2 2 2" xfId="34445"/>
    <cellStyle name="40% - Accent3 6 3 2 3 2 3" xfId="27408"/>
    <cellStyle name="40% - Accent3 6 3 2 3 3" xfId="13587"/>
    <cellStyle name="40% - Accent3 6 3 2 3 3 2" xfId="31213"/>
    <cellStyle name="40% - Accent3 6 3 2 3 4" xfId="24547"/>
    <cellStyle name="40% - Accent3 6 3 2 4" xfId="6367"/>
    <cellStyle name="40% - Accent3 6 3 2 4 2" xfId="9574"/>
    <cellStyle name="40% - Accent3 6 3 2 4 2 2" xfId="17362"/>
    <cellStyle name="40% - Accent3 6 3 2 4 2 2 2" xfId="34985"/>
    <cellStyle name="40% - Accent3 6 3 2 4 2 3" xfId="27944"/>
    <cellStyle name="40% - Accent3 6 3 2 4 3" xfId="14150"/>
    <cellStyle name="40% - Accent3 6 3 2 4 3 2" xfId="31771"/>
    <cellStyle name="40% - Accent3 6 3 2 4 4" xfId="25083"/>
    <cellStyle name="40% - Accent3 6 3 2 5" xfId="6904"/>
    <cellStyle name="40% - Accent3 6 3 2 5 2" xfId="10111"/>
    <cellStyle name="40% - Accent3 6 3 2 5 2 2" xfId="17898"/>
    <cellStyle name="40% - Accent3 6 3 2 5 2 2 2" xfId="35521"/>
    <cellStyle name="40% - Accent3 6 3 2 5 2 3" xfId="28480"/>
    <cellStyle name="40% - Accent3 6 3 2 5 3" xfId="14686"/>
    <cellStyle name="40% - Accent3 6 3 2 5 3 2" xfId="32307"/>
    <cellStyle name="40% - Accent3 6 3 2 5 4" xfId="25620"/>
    <cellStyle name="40% - Accent3 6 3 2 6" xfId="7726"/>
    <cellStyle name="40% - Accent3 6 3 2 6 2" xfId="15517"/>
    <cellStyle name="40% - Accent3 6 3 2 6 2 2" xfId="33138"/>
    <cellStyle name="40% - Accent3 6 3 2 6 3" xfId="26145"/>
    <cellStyle name="40% - Accent3 6 3 2 7" xfId="11384"/>
    <cellStyle name="40% - Accent3 6 3 2 7 2" xfId="29092"/>
    <cellStyle name="40% - Accent3 6 3 2 8" xfId="23284"/>
    <cellStyle name="40% - Accent3 6 3 2 9" xfId="51825"/>
    <cellStyle name="40% - Accent3 6 3 3" xfId="3829"/>
    <cellStyle name="40% - Accent3 6 3 3 2" xfId="5738"/>
    <cellStyle name="40% - Accent3 6 3 3 2 2" xfId="9035"/>
    <cellStyle name="40% - Accent3 6 3 3 2 2 2" xfId="16824"/>
    <cellStyle name="40% - Accent3 6 3 3 2 2 2 2" xfId="34446"/>
    <cellStyle name="40% - Accent3 6 3 3 2 2 3" xfId="27409"/>
    <cellStyle name="40% - Accent3 6 3 3 2 3" xfId="13588"/>
    <cellStyle name="40% - Accent3 6 3 3 2 3 2" xfId="31214"/>
    <cellStyle name="40% - Accent3 6 3 3 2 4" xfId="24548"/>
    <cellStyle name="40% - Accent3 6 3 3 3" xfId="6368"/>
    <cellStyle name="40% - Accent3 6 3 3 3 2" xfId="9575"/>
    <cellStyle name="40% - Accent3 6 3 3 3 2 2" xfId="17363"/>
    <cellStyle name="40% - Accent3 6 3 3 3 2 2 2" xfId="34986"/>
    <cellStyle name="40% - Accent3 6 3 3 3 2 3" xfId="27945"/>
    <cellStyle name="40% - Accent3 6 3 3 3 3" xfId="14151"/>
    <cellStyle name="40% - Accent3 6 3 3 3 3 2" xfId="31772"/>
    <cellStyle name="40% - Accent3 6 3 3 3 4" xfId="25084"/>
    <cellStyle name="40% - Accent3 6 3 3 4" xfId="6905"/>
    <cellStyle name="40% - Accent3 6 3 3 4 2" xfId="10112"/>
    <cellStyle name="40% - Accent3 6 3 3 4 2 2" xfId="17899"/>
    <cellStyle name="40% - Accent3 6 3 3 4 2 2 2" xfId="35522"/>
    <cellStyle name="40% - Accent3 6 3 3 4 2 3" xfId="28481"/>
    <cellStyle name="40% - Accent3 6 3 3 4 3" xfId="14687"/>
    <cellStyle name="40% - Accent3 6 3 3 4 3 2" xfId="32308"/>
    <cellStyle name="40% - Accent3 6 3 3 4 4" xfId="25621"/>
    <cellStyle name="40% - Accent3 6 3 3 5" xfId="8390"/>
    <cellStyle name="40% - Accent3 6 3 3 5 2" xfId="16180"/>
    <cellStyle name="40% - Accent3 6 3 3 5 2 2" xfId="33801"/>
    <cellStyle name="40% - Accent3 6 3 3 5 3" xfId="26790"/>
    <cellStyle name="40% - Accent3 6 3 3 6" xfId="12536"/>
    <cellStyle name="40% - Accent3 6 3 3 6 2" xfId="30190"/>
    <cellStyle name="40% - Accent3 6 3 3 7" xfId="23929"/>
    <cellStyle name="40% - Accent3 6 3 4" xfId="3827"/>
    <cellStyle name="40% - Accent3 6 3 4 2" xfId="8388"/>
    <cellStyle name="40% - Accent3 6 3 4 2 2" xfId="16178"/>
    <cellStyle name="40% - Accent3 6 3 4 2 2 2" xfId="33799"/>
    <cellStyle name="40% - Accent3 6 3 4 2 3" xfId="26788"/>
    <cellStyle name="40% - Accent3 6 3 4 3" xfId="12534"/>
    <cellStyle name="40% - Accent3 6 3 4 3 2" xfId="30188"/>
    <cellStyle name="40% - Accent3 6 3 4 4" xfId="23927"/>
    <cellStyle name="40% - Accent3 6 3 5" xfId="5736"/>
    <cellStyle name="40% - Accent3 6 3 5 2" xfId="9033"/>
    <cellStyle name="40% - Accent3 6 3 5 2 2" xfId="16822"/>
    <cellStyle name="40% - Accent3 6 3 5 2 2 2" xfId="34444"/>
    <cellStyle name="40% - Accent3 6 3 5 2 3" xfId="27407"/>
    <cellStyle name="40% - Accent3 6 3 5 3" xfId="13586"/>
    <cellStyle name="40% - Accent3 6 3 5 3 2" xfId="31212"/>
    <cellStyle name="40% - Accent3 6 3 5 4" xfId="24546"/>
    <cellStyle name="40% - Accent3 6 3 6" xfId="6366"/>
    <cellStyle name="40% - Accent3 6 3 6 2" xfId="9573"/>
    <cellStyle name="40% - Accent3 6 3 6 2 2" xfId="17361"/>
    <cellStyle name="40% - Accent3 6 3 6 2 2 2" xfId="34984"/>
    <cellStyle name="40% - Accent3 6 3 6 2 3" xfId="27943"/>
    <cellStyle name="40% - Accent3 6 3 6 3" xfId="14149"/>
    <cellStyle name="40% - Accent3 6 3 6 3 2" xfId="31770"/>
    <cellStyle name="40% - Accent3 6 3 6 4" xfId="25082"/>
    <cellStyle name="40% - Accent3 6 3 7" xfId="6903"/>
    <cellStyle name="40% - Accent3 6 3 7 2" xfId="10110"/>
    <cellStyle name="40% - Accent3 6 3 7 2 2" xfId="17897"/>
    <cellStyle name="40% - Accent3 6 3 7 2 2 2" xfId="35520"/>
    <cellStyle name="40% - Accent3 6 3 7 2 3" xfId="28479"/>
    <cellStyle name="40% - Accent3 6 3 7 3" xfId="14685"/>
    <cellStyle name="40% - Accent3 6 3 7 3 2" xfId="32306"/>
    <cellStyle name="40% - Accent3 6 3 7 4" xfId="25619"/>
    <cellStyle name="40% - Accent3 6 3 8" xfId="7725"/>
    <cellStyle name="40% - Accent3 6 3 8 2" xfId="15516"/>
    <cellStyle name="40% - Accent3 6 3 8 2 2" xfId="33137"/>
    <cellStyle name="40% - Accent3 6 3 8 3" xfId="26144"/>
    <cellStyle name="40% - Accent3 6 3 9" xfId="11383"/>
    <cellStyle name="40% - Accent3 6 3 9 2" xfId="29091"/>
    <cellStyle name="40% - Accent3 6 4" xfId="691"/>
    <cellStyle name="40% - Accent3 6 4 10" xfId="52885"/>
    <cellStyle name="40% - Accent3 6 4 2" xfId="3830"/>
    <cellStyle name="40% - Accent3 6 4 2 2" xfId="8391"/>
    <cellStyle name="40% - Accent3 6 4 2 2 2" xfId="16181"/>
    <cellStyle name="40% - Accent3 6 4 2 2 2 2" xfId="33802"/>
    <cellStyle name="40% - Accent3 6 4 2 2 3" xfId="26791"/>
    <cellStyle name="40% - Accent3 6 4 2 3" xfId="12537"/>
    <cellStyle name="40% - Accent3 6 4 2 3 2" xfId="30191"/>
    <cellStyle name="40% - Accent3 6 4 2 4" xfId="23930"/>
    <cellStyle name="40% - Accent3 6 4 3" xfId="5739"/>
    <cellStyle name="40% - Accent3 6 4 3 2" xfId="9036"/>
    <cellStyle name="40% - Accent3 6 4 3 2 2" xfId="16825"/>
    <cellStyle name="40% - Accent3 6 4 3 2 2 2" xfId="34447"/>
    <cellStyle name="40% - Accent3 6 4 3 2 3" xfId="27410"/>
    <cellStyle name="40% - Accent3 6 4 3 3" xfId="13589"/>
    <cellStyle name="40% - Accent3 6 4 3 3 2" xfId="31215"/>
    <cellStyle name="40% - Accent3 6 4 3 4" xfId="24549"/>
    <cellStyle name="40% - Accent3 6 4 4" xfId="6369"/>
    <cellStyle name="40% - Accent3 6 4 4 2" xfId="9576"/>
    <cellStyle name="40% - Accent3 6 4 4 2 2" xfId="17364"/>
    <cellStyle name="40% - Accent3 6 4 4 2 2 2" xfId="34987"/>
    <cellStyle name="40% - Accent3 6 4 4 2 3" xfId="27946"/>
    <cellStyle name="40% - Accent3 6 4 4 3" xfId="14152"/>
    <cellStyle name="40% - Accent3 6 4 4 3 2" xfId="31773"/>
    <cellStyle name="40% - Accent3 6 4 4 4" xfId="25085"/>
    <cellStyle name="40% - Accent3 6 4 5" xfId="6906"/>
    <cellStyle name="40% - Accent3 6 4 5 2" xfId="10113"/>
    <cellStyle name="40% - Accent3 6 4 5 2 2" xfId="17900"/>
    <cellStyle name="40% - Accent3 6 4 5 2 2 2" xfId="35523"/>
    <cellStyle name="40% - Accent3 6 4 5 2 3" xfId="28482"/>
    <cellStyle name="40% - Accent3 6 4 5 3" xfId="14688"/>
    <cellStyle name="40% - Accent3 6 4 5 3 2" xfId="32309"/>
    <cellStyle name="40% - Accent3 6 4 5 4" xfId="25622"/>
    <cellStyle name="40% - Accent3 6 4 6" xfId="7727"/>
    <cellStyle name="40% - Accent3 6 4 6 2" xfId="15518"/>
    <cellStyle name="40% - Accent3 6 4 6 2 2" xfId="33139"/>
    <cellStyle name="40% - Accent3 6 4 6 3" xfId="26146"/>
    <cellStyle name="40% - Accent3 6 4 7" xfId="11385"/>
    <cellStyle name="40% - Accent3 6 4 7 2" xfId="29093"/>
    <cellStyle name="40% - Accent3 6 4 8" xfId="23285"/>
    <cellStyle name="40% - Accent3 6 4 9" xfId="51826"/>
    <cellStyle name="40% - Accent3 6 5" xfId="692"/>
    <cellStyle name="40% - Accent3 6 5 2" xfId="3831"/>
    <cellStyle name="40% - Accent3 6 5 2 2" xfId="8392"/>
    <cellStyle name="40% - Accent3 6 5 2 2 2" xfId="16182"/>
    <cellStyle name="40% - Accent3 6 5 2 2 2 2" xfId="33803"/>
    <cellStyle name="40% - Accent3 6 5 2 2 3" xfId="26792"/>
    <cellStyle name="40% - Accent3 6 5 2 3" xfId="12538"/>
    <cellStyle name="40% - Accent3 6 5 2 3 2" xfId="30192"/>
    <cellStyle name="40% - Accent3 6 5 2 4" xfId="23931"/>
    <cellStyle name="40% - Accent3 6 5 3" xfId="5740"/>
    <cellStyle name="40% - Accent3 6 5 3 2" xfId="9037"/>
    <cellStyle name="40% - Accent3 6 5 3 2 2" xfId="16826"/>
    <cellStyle name="40% - Accent3 6 5 3 2 2 2" xfId="34448"/>
    <cellStyle name="40% - Accent3 6 5 3 2 3" xfId="27411"/>
    <cellStyle name="40% - Accent3 6 5 3 3" xfId="13590"/>
    <cellStyle name="40% - Accent3 6 5 3 3 2" xfId="31216"/>
    <cellStyle name="40% - Accent3 6 5 3 4" xfId="24550"/>
    <cellStyle name="40% - Accent3 6 5 4" xfId="6370"/>
    <cellStyle name="40% - Accent3 6 5 4 2" xfId="9577"/>
    <cellStyle name="40% - Accent3 6 5 4 2 2" xfId="17365"/>
    <cellStyle name="40% - Accent3 6 5 4 2 2 2" xfId="34988"/>
    <cellStyle name="40% - Accent3 6 5 4 2 3" xfId="27947"/>
    <cellStyle name="40% - Accent3 6 5 4 3" xfId="14153"/>
    <cellStyle name="40% - Accent3 6 5 4 3 2" xfId="31774"/>
    <cellStyle name="40% - Accent3 6 5 4 4" xfId="25086"/>
    <cellStyle name="40% - Accent3 6 5 5" xfId="6907"/>
    <cellStyle name="40% - Accent3 6 5 5 2" xfId="10114"/>
    <cellStyle name="40% - Accent3 6 5 5 2 2" xfId="17901"/>
    <cellStyle name="40% - Accent3 6 5 5 2 2 2" xfId="35524"/>
    <cellStyle name="40% - Accent3 6 5 5 2 3" xfId="28483"/>
    <cellStyle name="40% - Accent3 6 5 5 3" xfId="14689"/>
    <cellStyle name="40% - Accent3 6 5 5 3 2" xfId="32310"/>
    <cellStyle name="40% - Accent3 6 5 5 4" xfId="25623"/>
    <cellStyle name="40% - Accent3 6 5 6" xfId="7728"/>
    <cellStyle name="40% - Accent3 6 5 6 2" xfId="15519"/>
    <cellStyle name="40% - Accent3 6 5 6 2 2" xfId="33140"/>
    <cellStyle name="40% - Accent3 6 5 6 3" xfId="26147"/>
    <cellStyle name="40% - Accent3 6 5 7" xfId="11386"/>
    <cellStyle name="40% - Accent3 6 5 7 2" xfId="29094"/>
    <cellStyle name="40% - Accent3 6 5 8" xfId="23286"/>
    <cellStyle name="40% - Accent3 6 5 9" xfId="51827"/>
    <cellStyle name="40% - Accent3 6 6" xfId="693"/>
    <cellStyle name="40% - Accent3 6 6 2" xfId="3832"/>
    <cellStyle name="40% - Accent3 6 6 2 2" xfId="8393"/>
    <cellStyle name="40% - Accent3 6 6 2 2 2" xfId="16183"/>
    <cellStyle name="40% - Accent3 6 6 2 2 2 2" xfId="33804"/>
    <cellStyle name="40% - Accent3 6 6 2 2 3" xfId="26793"/>
    <cellStyle name="40% - Accent3 6 6 2 3" xfId="12539"/>
    <cellStyle name="40% - Accent3 6 6 2 3 2" xfId="30193"/>
    <cellStyle name="40% - Accent3 6 6 2 4" xfId="23932"/>
    <cellStyle name="40% - Accent3 6 6 3" xfId="5741"/>
    <cellStyle name="40% - Accent3 6 6 3 2" xfId="9038"/>
    <cellStyle name="40% - Accent3 6 6 3 2 2" xfId="16827"/>
    <cellStyle name="40% - Accent3 6 6 3 2 2 2" xfId="34449"/>
    <cellStyle name="40% - Accent3 6 6 3 2 3" xfId="27412"/>
    <cellStyle name="40% - Accent3 6 6 3 3" xfId="13591"/>
    <cellStyle name="40% - Accent3 6 6 3 3 2" xfId="31217"/>
    <cellStyle name="40% - Accent3 6 6 3 4" xfId="24551"/>
    <cellStyle name="40% - Accent3 6 6 4" xfId="6371"/>
    <cellStyle name="40% - Accent3 6 6 4 2" xfId="9578"/>
    <cellStyle name="40% - Accent3 6 6 4 2 2" xfId="17366"/>
    <cellStyle name="40% - Accent3 6 6 4 2 2 2" xfId="34989"/>
    <cellStyle name="40% - Accent3 6 6 4 2 3" xfId="27948"/>
    <cellStyle name="40% - Accent3 6 6 4 3" xfId="14154"/>
    <cellStyle name="40% - Accent3 6 6 4 3 2" xfId="31775"/>
    <cellStyle name="40% - Accent3 6 6 4 4" xfId="25087"/>
    <cellStyle name="40% - Accent3 6 6 5" xfId="6908"/>
    <cellStyle name="40% - Accent3 6 6 5 2" xfId="10115"/>
    <cellStyle name="40% - Accent3 6 6 5 2 2" xfId="17902"/>
    <cellStyle name="40% - Accent3 6 6 5 2 2 2" xfId="35525"/>
    <cellStyle name="40% - Accent3 6 6 5 2 3" xfId="28484"/>
    <cellStyle name="40% - Accent3 6 6 5 3" xfId="14690"/>
    <cellStyle name="40% - Accent3 6 6 5 3 2" xfId="32311"/>
    <cellStyle name="40% - Accent3 6 6 5 4" xfId="25624"/>
    <cellStyle name="40% - Accent3 6 6 6" xfId="7729"/>
    <cellStyle name="40% - Accent3 6 6 6 2" xfId="15520"/>
    <cellStyle name="40% - Accent3 6 6 6 2 2" xfId="33141"/>
    <cellStyle name="40% - Accent3 6 6 6 3" xfId="26148"/>
    <cellStyle name="40% - Accent3 6 6 7" xfId="11387"/>
    <cellStyle name="40% - Accent3 6 6 7 2" xfId="29095"/>
    <cellStyle name="40% - Accent3 6 6 8" xfId="23287"/>
    <cellStyle name="40% - Accent3 6 6 9" xfId="51828"/>
    <cellStyle name="40% - Accent3 6 7" xfId="694"/>
    <cellStyle name="40% - Accent3 6 7 10" xfId="51829"/>
    <cellStyle name="40% - Accent3 6 7 2" xfId="695"/>
    <cellStyle name="40% - Accent3 6 7 2 2" xfId="8395"/>
    <cellStyle name="40% - Accent3 6 7 2 2 2" xfId="16185"/>
    <cellStyle name="40% - Accent3 6 7 2 2 2 2" xfId="33806"/>
    <cellStyle name="40% - Accent3 6 7 2 2 3" xfId="26795"/>
    <cellStyle name="40% - Accent3 6 7 2 3" xfId="12541"/>
    <cellStyle name="40% - Accent3 6 7 2 3 2" xfId="30195"/>
    <cellStyle name="40% - Accent3 6 7 2 4" xfId="23934"/>
    <cellStyle name="40% - Accent3 6 7 3" xfId="3833"/>
    <cellStyle name="40% - Accent3 6 7 3 2" xfId="8394"/>
    <cellStyle name="40% - Accent3 6 7 3 2 2" xfId="16184"/>
    <cellStyle name="40% - Accent3 6 7 3 2 2 2" xfId="33805"/>
    <cellStyle name="40% - Accent3 6 7 3 2 3" xfId="26794"/>
    <cellStyle name="40% - Accent3 6 7 3 3" xfId="12540"/>
    <cellStyle name="40% - Accent3 6 7 3 3 2" xfId="30194"/>
    <cellStyle name="40% - Accent3 6 7 3 4" xfId="23933"/>
    <cellStyle name="40% - Accent3 6 7 4" xfId="5742"/>
    <cellStyle name="40% - Accent3 6 7 4 2" xfId="9039"/>
    <cellStyle name="40% - Accent3 6 7 4 2 2" xfId="16828"/>
    <cellStyle name="40% - Accent3 6 7 4 2 2 2" xfId="34450"/>
    <cellStyle name="40% - Accent3 6 7 4 2 3" xfId="27413"/>
    <cellStyle name="40% - Accent3 6 7 4 3" xfId="13592"/>
    <cellStyle name="40% - Accent3 6 7 4 3 2" xfId="31218"/>
    <cellStyle name="40% - Accent3 6 7 4 4" xfId="24552"/>
    <cellStyle name="40% - Accent3 6 7 5" xfId="6372"/>
    <cellStyle name="40% - Accent3 6 7 5 2" xfId="9579"/>
    <cellStyle name="40% - Accent3 6 7 5 2 2" xfId="17367"/>
    <cellStyle name="40% - Accent3 6 7 5 2 2 2" xfId="34990"/>
    <cellStyle name="40% - Accent3 6 7 5 2 3" xfId="27949"/>
    <cellStyle name="40% - Accent3 6 7 5 3" xfId="14155"/>
    <cellStyle name="40% - Accent3 6 7 5 3 2" xfId="31776"/>
    <cellStyle name="40% - Accent3 6 7 5 4" xfId="25088"/>
    <cellStyle name="40% - Accent3 6 7 6" xfId="6909"/>
    <cellStyle name="40% - Accent3 6 7 6 2" xfId="10116"/>
    <cellStyle name="40% - Accent3 6 7 6 2 2" xfId="17903"/>
    <cellStyle name="40% - Accent3 6 7 6 2 2 2" xfId="35526"/>
    <cellStyle name="40% - Accent3 6 7 6 2 3" xfId="28485"/>
    <cellStyle name="40% - Accent3 6 7 6 3" xfId="14691"/>
    <cellStyle name="40% - Accent3 6 7 6 3 2" xfId="32312"/>
    <cellStyle name="40% - Accent3 6 7 6 4" xfId="25625"/>
    <cellStyle name="40% - Accent3 6 7 7" xfId="7730"/>
    <cellStyle name="40% - Accent3 6 7 7 2" xfId="15521"/>
    <cellStyle name="40% - Accent3 6 7 7 2 2" xfId="33142"/>
    <cellStyle name="40% - Accent3 6 7 7 3" xfId="26149"/>
    <cellStyle name="40% - Accent3 6 7 8" xfId="11388"/>
    <cellStyle name="40% - Accent3 6 7 8 2" xfId="29096"/>
    <cellStyle name="40% - Accent3 6 7 9" xfId="23288"/>
    <cellStyle name="40% - Accent3 6 8" xfId="3834"/>
    <cellStyle name="40% - Accent3 6 8 2" xfId="8396"/>
    <cellStyle name="40% - Accent3 6 8 2 2" xfId="16186"/>
    <cellStyle name="40% - Accent3 6 8 2 2 2" xfId="33807"/>
    <cellStyle name="40% - Accent3 6 8 2 3" xfId="26796"/>
    <cellStyle name="40% - Accent3 6 8 3" xfId="12542"/>
    <cellStyle name="40% - Accent3 6 8 3 2" xfId="30196"/>
    <cellStyle name="40% - Accent3 6 8 4" xfId="23935"/>
    <cellStyle name="40% - Accent3 6 9" xfId="3835"/>
    <cellStyle name="40% - Accent3 6 9 2" xfId="8397"/>
    <cellStyle name="40% - Accent3 6 9 2 2" xfId="16187"/>
    <cellStyle name="40% - Accent3 6 9 2 2 2" xfId="33808"/>
    <cellStyle name="40% - Accent3 6 9 2 3" xfId="26797"/>
    <cellStyle name="40% - Accent3 6 9 3" xfId="12543"/>
    <cellStyle name="40% - Accent3 6 9 3 2" xfId="30197"/>
    <cellStyle name="40% - Accent3 6 9 4" xfId="23936"/>
    <cellStyle name="40% - Accent3 7" xfId="696"/>
    <cellStyle name="40% - Accent3 7 10" xfId="3836"/>
    <cellStyle name="40% - Accent3 7 10 2" xfId="8398"/>
    <cellStyle name="40% - Accent3 7 10 2 2" xfId="16188"/>
    <cellStyle name="40% - Accent3 7 10 2 2 2" xfId="33809"/>
    <cellStyle name="40% - Accent3 7 10 2 3" xfId="26798"/>
    <cellStyle name="40% - Accent3 7 10 3" xfId="12544"/>
    <cellStyle name="40% - Accent3 7 10 3 2" xfId="30198"/>
    <cellStyle name="40% - Accent3 7 10 4" xfId="23937"/>
    <cellStyle name="40% - Accent3 7 11" xfId="5743"/>
    <cellStyle name="40% - Accent3 7 11 2" xfId="9040"/>
    <cellStyle name="40% - Accent3 7 11 2 2" xfId="16829"/>
    <cellStyle name="40% - Accent3 7 11 2 2 2" xfId="34451"/>
    <cellStyle name="40% - Accent3 7 11 2 3" xfId="27414"/>
    <cellStyle name="40% - Accent3 7 11 3" xfId="13593"/>
    <cellStyle name="40% - Accent3 7 11 3 2" xfId="31219"/>
    <cellStyle name="40% - Accent3 7 11 4" xfId="24553"/>
    <cellStyle name="40% - Accent3 7 12" xfId="6373"/>
    <cellStyle name="40% - Accent3 7 12 2" xfId="9580"/>
    <cellStyle name="40% - Accent3 7 12 2 2" xfId="17368"/>
    <cellStyle name="40% - Accent3 7 12 2 2 2" xfId="34991"/>
    <cellStyle name="40% - Accent3 7 12 2 3" xfId="27950"/>
    <cellStyle name="40% - Accent3 7 12 3" xfId="14156"/>
    <cellStyle name="40% - Accent3 7 12 3 2" xfId="31777"/>
    <cellStyle name="40% - Accent3 7 12 4" xfId="25089"/>
    <cellStyle name="40% - Accent3 7 13" xfId="6910"/>
    <cellStyle name="40% - Accent3 7 13 2" xfId="10117"/>
    <cellStyle name="40% - Accent3 7 13 2 2" xfId="17904"/>
    <cellStyle name="40% - Accent3 7 13 2 2 2" xfId="35527"/>
    <cellStyle name="40% - Accent3 7 13 2 3" xfId="28486"/>
    <cellStyle name="40% - Accent3 7 13 3" xfId="14692"/>
    <cellStyle name="40% - Accent3 7 13 3 2" xfId="32313"/>
    <cellStyle name="40% - Accent3 7 13 4" xfId="25626"/>
    <cellStyle name="40% - Accent3 7 14" xfId="7731"/>
    <cellStyle name="40% - Accent3 7 14 2" xfId="15522"/>
    <cellStyle name="40% - Accent3 7 14 2 2" xfId="33143"/>
    <cellStyle name="40% - Accent3 7 14 3" xfId="26150"/>
    <cellStyle name="40% - Accent3 7 15" xfId="11389"/>
    <cellStyle name="40% - Accent3 7 15 2" xfId="29097"/>
    <cellStyle name="40% - Accent3 7 16" xfId="22112"/>
    <cellStyle name="40% - Accent3 7 16 2" xfId="38779"/>
    <cellStyle name="40% - Accent3 7 17" xfId="23289"/>
    <cellStyle name="40% - Accent3 7 18" xfId="51830"/>
    <cellStyle name="40% - Accent3 7 2" xfId="697"/>
    <cellStyle name="40% - Accent3 7 2 10" xfId="51831"/>
    <cellStyle name="40% - Accent3 7 2 2" xfId="3837"/>
    <cellStyle name="40% - Accent3 7 2 2 2" xfId="8399"/>
    <cellStyle name="40% - Accent3 7 2 2 2 2" xfId="16189"/>
    <cellStyle name="40% - Accent3 7 2 2 2 2 2" xfId="33810"/>
    <cellStyle name="40% - Accent3 7 2 2 2 3" xfId="26799"/>
    <cellStyle name="40% - Accent3 7 2 2 3" xfId="12545"/>
    <cellStyle name="40% - Accent3 7 2 2 3 2" xfId="30199"/>
    <cellStyle name="40% - Accent3 7 2 2 4" xfId="23938"/>
    <cellStyle name="40% - Accent3 7 2 3" xfId="5744"/>
    <cellStyle name="40% - Accent3 7 2 3 2" xfId="9041"/>
    <cellStyle name="40% - Accent3 7 2 3 2 2" xfId="16830"/>
    <cellStyle name="40% - Accent3 7 2 3 2 2 2" xfId="34452"/>
    <cellStyle name="40% - Accent3 7 2 3 2 3" xfId="27415"/>
    <cellStyle name="40% - Accent3 7 2 3 3" xfId="13594"/>
    <cellStyle name="40% - Accent3 7 2 3 3 2" xfId="31220"/>
    <cellStyle name="40% - Accent3 7 2 3 4" xfId="24554"/>
    <cellStyle name="40% - Accent3 7 2 4" xfId="6374"/>
    <cellStyle name="40% - Accent3 7 2 4 2" xfId="9581"/>
    <cellStyle name="40% - Accent3 7 2 4 2 2" xfId="17369"/>
    <cellStyle name="40% - Accent3 7 2 4 2 2 2" xfId="34992"/>
    <cellStyle name="40% - Accent3 7 2 4 2 3" xfId="27951"/>
    <cellStyle name="40% - Accent3 7 2 4 3" xfId="14157"/>
    <cellStyle name="40% - Accent3 7 2 4 3 2" xfId="31778"/>
    <cellStyle name="40% - Accent3 7 2 4 4" xfId="25090"/>
    <cellStyle name="40% - Accent3 7 2 5" xfId="6911"/>
    <cellStyle name="40% - Accent3 7 2 5 2" xfId="10118"/>
    <cellStyle name="40% - Accent3 7 2 5 2 2" xfId="17905"/>
    <cellStyle name="40% - Accent3 7 2 5 2 2 2" xfId="35528"/>
    <cellStyle name="40% - Accent3 7 2 5 2 3" xfId="28487"/>
    <cellStyle name="40% - Accent3 7 2 5 3" xfId="14693"/>
    <cellStyle name="40% - Accent3 7 2 5 3 2" xfId="32314"/>
    <cellStyle name="40% - Accent3 7 2 5 4" xfId="25627"/>
    <cellStyle name="40% - Accent3 7 2 6" xfId="7732"/>
    <cellStyle name="40% - Accent3 7 2 6 2" xfId="15523"/>
    <cellStyle name="40% - Accent3 7 2 6 2 2" xfId="33144"/>
    <cellStyle name="40% - Accent3 7 2 6 3" xfId="26151"/>
    <cellStyle name="40% - Accent3 7 2 7" xfId="11390"/>
    <cellStyle name="40% - Accent3 7 2 7 2" xfId="29098"/>
    <cellStyle name="40% - Accent3 7 2 8" xfId="22722"/>
    <cellStyle name="40% - Accent3 7 2 8 2" xfId="38918"/>
    <cellStyle name="40% - Accent3 7 2 9" xfId="23290"/>
    <cellStyle name="40% - Accent3 7 3" xfId="698"/>
    <cellStyle name="40% - Accent3 7 3 10" xfId="23291"/>
    <cellStyle name="40% - Accent3 7 3 11" xfId="51832"/>
    <cellStyle name="40% - Accent3 7 3 2" xfId="699"/>
    <cellStyle name="40% - Accent3 7 3 2 2" xfId="3839"/>
    <cellStyle name="40% - Accent3 7 3 2 2 2" xfId="8401"/>
    <cellStyle name="40% - Accent3 7 3 2 2 2 2" xfId="16191"/>
    <cellStyle name="40% - Accent3 7 3 2 2 2 2 2" xfId="33812"/>
    <cellStyle name="40% - Accent3 7 3 2 2 2 3" xfId="26801"/>
    <cellStyle name="40% - Accent3 7 3 2 2 3" xfId="12547"/>
    <cellStyle name="40% - Accent3 7 3 2 2 3 2" xfId="30201"/>
    <cellStyle name="40% - Accent3 7 3 2 2 4" xfId="23940"/>
    <cellStyle name="40% - Accent3 7 3 2 3" xfId="5746"/>
    <cellStyle name="40% - Accent3 7 3 2 3 2" xfId="9043"/>
    <cellStyle name="40% - Accent3 7 3 2 3 2 2" xfId="16832"/>
    <cellStyle name="40% - Accent3 7 3 2 3 2 2 2" xfId="34454"/>
    <cellStyle name="40% - Accent3 7 3 2 3 2 3" xfId="27417"/>
    <cellStyle name="40% - Accent3 7 3 2 3 3" xfId="13596"/>
    <cellStyle name="40% - Accent3 7 3 2 3 3 2" xfId="31222"/>
    <cellStyle name="40% - Accent3 7 3 2 3 4" xfId="24556"/>
    <cellStyle name="40% - Accent3 7 3 2 4" xfId="6376"/>
    <cellStyle name="40% - Accent3 7 3 2 4 2" xfId="9583"/>
    <cellStyle name="40% - Accent3 7 3 2 4 2 2" xfId="17371"/>
    <cellStyle name="40% - Accent3 7 3 2 4 2 2 2" xfId="34994"/>
    <cellStyle name="40% - Accent3 7 3 2 4 2 3" xfId="27953"/>
    <cellStyle name="40% - Accent3 7 3 2 4 3" xfId="14159"/>
    <cellStyle name="40% - Accent3 7 3 2 4 3 2" xfId="31780"/>
    <cellStyle name="40% - Accent3 7 3 2 4 4" xfId="25092"/>
    <cellStyle name="40% - Accent3 7 3 2 5" xfId="6913"/>
    <cellStyle name="40% - Accent3 7 3 2 5 2" xfId="10120"/>
    <cellStyle name="40% - Accent3 7 3 2 5 2 2" xfId="17907"/>
    <cellStyle name="40% - Accent3 7 3 2 5 2 2 2" xfId="35530"/>
    <cellStyle name="40% - Accent3 7 3 2 5 2 3" xfId="28489"/>
    <cellStyle name="40% - Accent3 7 3 2 5 3" xfId="14695"/>
    <cellStyle name="40% - Accent3 7 3 2 5 3 2" xfId="32316"/>
    <cellStyle name="40% - Accent3 7 3 2 5 4" xfId="25629"/>
    <cellStyle name="40% - Accent3 7 3 2 6" xfId="7734"/>
    <cellStyle name="40% - Accent3 7 3 2 6 2" xfId="15525"/>
    <cellStyle name="40% - Accent3 7 3 2 6 2 2" xfId="33146"/>
    <cellStyle name="40% - Accent3 7 3 2 6 3" xfId="26153"/>
    <cellStyle name="40% - Accent3 7 3 2 7" xfId="11392"/>
    <cellStyle name="40% - Accent3 7 3 2 7 2" xfId="29100"/>
    <cellStyle name="40% - Accent3 7 3 2 8" xfId="23292"/>
    <cellStyle name="40% - Accent3 7 3 2 9" xfId="51833"/>
    <cellStyle name="40% - Accent3 7 3 3" xfId="3840"/>
    <cellStyle name="40% - Accent3 7 3 3 2" xfId="5747"/>
    <cellStyle name="40% - Accent3 7 3 3 2 2" xfId="9044"/>
    <cellStyle name="40% - Accent3 7 3 3 2 2 2" xfId="16833"/>
    <cellStyle name="40% - Accent3 7 3 3 2 2 2 2" xfId="34455"/>
    <cellStyle name="40% - Accent3 7 3 3 2 2 3" xfId="27418"/>
    <cellStyle name="40% - Accent3 7 3 3 2 3" xfId="13597"/>
    <cellStyle name="40% - Accent3 7 3 3 2 3 2" xfId="31223"/>
    <cellStyle name="40% - Accent3 7 3 3 2 4" xfId="24557"/>
    <cellStyle name="40% - Accent3 7 3 3 3" xfId="6377"/>
    <cellStyle name="40% - Accent3 7 3 3 3 2" xfId="9584"/>
    <cellStyle name="40% - Accent3 7 3 3 3 2 2" xfId="17372"/>
    <cellStyle name="40% - Accent3 7 3 3 3 2 2 2" xfId="34995"/>
    <cellStyle name="40% - Accent3 7 3 3 3 2 3" xfId="27954"/>
    <cellStyle name="40% - Accent3 7 3 3 3 3" xfId="14160"/>
    <cellStyle name="40% - Accent3 7 3 3 3 3 2" xfId="31781"/>
    <cellStyle name="40% - Accent3 7 3 3 3 4" xfId="25093"/>
    <cellStyle name="40% - Accent3 7 3 3 4" xfId="6914"/>
    <cellStyle name="40% - Accent3 7 3 3 4 2" xfId="10121"/>
    <cellStyle name="40% - Accent3 7 3 3 4 2 2" xfId="17908"/>
    <cellStyle name="40% - Accent3 7 3 3 4 2 2 2" xfId="35531"/>
    <cellStyle name="40% - Accent3 7 3 3 4 2 3" xfId="28490"/>
    <cellStyle name="40% - Accent3 7 3 3 4 3" xfId="14696"/>
    <cellStyle name="40% - Accent3 7 3 3 4 3 2" xfId="32317"/>
    <cellStyle name="40% - Accent3 7 3 3 4 4" xfId="25630"/>
    <cellStyle name="40% - Accent3 7 3 3 5" xfId="8402"/>
    <cellStyle name="40% - Accent3 7 3 3 5 2" xfId="16192"/>
    <cellStyle name="40% - Accent3 7 3 3 5 2 2" xfId="33813"/>
    <cellStyle name="40% - Accent3 7 3 3 5 3" xfId="26802"/>
    <cellStyle name="40% - Accent3 7 3 3 6" xfId="12548"/>
    <cellStyle name="40% - Accent3 7 3 3 6 2" xfId="30202"/>
    <cellStyle name="40% - Accent3 7 3 3 7" xfId="23941"/>
    <cellStyle name="40% - Accent3 7 3 4" xfId="3838"/>
    <cellStyle name="40% - Accent3 7 3 4 2" xfId="8400"/>
    <cellStyle name="40% - Accent3 7 3 4 2 2" xfId="16190"/>
    <cellStyle name="40% - Accent3 7 3 4 2 2 2" xfId="33811"/>
    <cellStyle name="40% - Accent3 7 3 4 2 3" xfId="26800"/>
    <cellStyle name="40% - Accent3 7 3 4 3" xfId="12546"/>
    <cellStyle name="40% - Accent3 7 3 4 3 2" xfId="30200"/>
    <cellStyle name="40% - Accent3 7 3 4 4" xfId="23939"/>
    <cellStyle name="40% - Accent3 7 3 5" xfId="5745"/>
    <cellStyle name="40% - Accent3 7 3 5 2" xfId="9042"/>
    <cellStyle name="40% - Accent3 7 3 5 2 2" xfId="16831"/>
    <cellStyle name="40% - Accent3 7 3 5 2 2 2" xfId="34453"/>
    <cellStyle name="40% - Accent3 7 3 5 2 3" xfId="27416"/>
    <cellStyle name="40% - Accent3 7 3 5 3" xfId="13595"/>
    <cellStyle name="40% - Accent3 7 3 5 3 2" xfId="31221"/>
    <cellStyle name="40% - Accent3 7 3 5 4" xfId="24555"/>
    <cellStyle name="40% - Accent3 7 3 6" xfId="6375"/>
    <cellStyle name="40% - Accent3 7 3 6 2" xfId="9582"/>
    <cellStyle name="40% - Accent3 7 3 6 2 2" xfId="17370"/>
    <cellStyle name="40% - Accent3 7 3 6 2 2 2" xfId="34993"/>
    <cellStyle name="40% - Accent3 7 3 6 2 3" xfId="27952"/>
    <cellStyle name="40% - Accent3 7 3 6 3" xfId="14158"/>
    <cellStyle name="40% - Accent3 7 3 6 3 2" xfId="31779"/>
    <cellStyle name="40% - Accent3 7 3 6 4" xfId="25091"/>
    <cellStyle name="40% - Accent3 7 3 7" xfId="6912"/>
    <cellStyle name="40% - Accent3 7 3 7 2" xfId="10119"/>
    <cellStyle name="40% - Accent3 7 3 7 2 2" xfId="17906"/>
    <cellStyle name="40% - Accent3 7 3 7 2 2 2" xfId="35529"/>
    <cellStyle name="40% - Accent3 7 3 7 2 3" xfId="28488"/>
    <cellStyle name="40% - Accent3 7 3 7 3" xfId="14694"/>
    <cellStyle name="40% - Accent3 7 3 7 3 2" xfId="32315"/>
    <cellStyle name="40% - Accent3 7 3 7 4" xfId="25628"/>
    <cellStyle name="40% - Accent3 7 3 8" xfId="7733"/>
    <cellStyle name="40% - Accent3 7 3 8 2" xfId="15524"/>
    <cellStyle name="40% - Accent3 7 3 8 2 2" xfId="33145"/>
    <cellStyle name="40% - Accent3 7 3 8 3" xfId="26152"/>
    <cellStyle name="40% - Accent3 7 3 9" xfId="11391"/>
    <cellStyle name="40% - Accent3 7 3 9 2" xfId="29099"/>
    <cellStyle name="40% - Accent3 7 4" xfId="700"/>
    <cellStyle name="40% - Accent3 7 4 2" xfId="3841"/>
    <cellStyle name="40% - Accent3 7 4 2 2" xfId="8403"/>
    <cellStyle name="40% - Accent3 7 4 2 2 2" xfId="16193"/>
    <cellStyle name="40% - Accent3 7 4 2 2 2 2" xfId="33814"/>
    <cellStyle name="40% - Accent3 7 4 2 2 3" xfId="26803"/>
    <cellStyle name="40% - Accent3 7 4 2 3" xfId="12549"/>
    <cellStyle name="40% - Accent3 7 4 2 3 2" xfId="30203"/>
    <cellStyle name="40% - Accent3 7 4 2 4" xfId="23942"/>
    <cellStyle name="40% - Accent3 7 4 3" xfId="5748"/>
    <cellStyle name="40% - Accent3 7 4 3 2" xfId="9045"/>
    <cellStyle name="40% - Accent3 7 4 3 2 2" xfId="16834"/>
    <cellStyle name="40% - Accent3 7 4 3 2 2 2" xfId="34456"/>
    <cellStyle name="40% - Accent3 7 4 3 2 3" xfId="27419"/>
    <cellStyle name="40% - Accent3 7 4 3 3" xfId="13598"/>
    <cellStyle name="40% - Accent3 7 4 3 3 2" xfId="31224"/>
    <cellStyle name="40% - Accent3 7 4 3 4" xfId="24558"/>
    <cellStyle name="40% - Accent3 7 4 4" xfId="6378"/>
    <cellStyle name="40% - Accent3 7 4 4 2" xfId="9585"/>
    <cellStyle name="40% - Accent3 7 4 4 2 2" xfId="17373"/>
    <cellStyle name="40% - Accent3 7 4 4 2 2 2" xfId="34996"/>
    <cellStyle name="40% - Accent3 7 4 4 2 3" xfId="27955"/>
    <cellStyle name="40% - Accent3 7 4 4 3" xfId="14161"/>
    <cellStyle name="40% - Accent3 7 4 4 3 2" xfId="31782"/>
    <cellStyle name="40% - Accent3 7 4 4 4" xfId="25094"/>
    <cellStyle name="40% - Accent3 7 4 5" xfId="6915"/>
    <cellStyle name="40% - Accent3 7 4 5 2" xfId="10122"/>
    <cellStyle name="40% - Accent3 7 4 5 2 2" xfId="17909"/>
    <cellStyle name="40% - Accent3 7 4 5 2 2 2" xfId="35532"/>
    <cellStyle name="40% - Accent3 7 4 5 2 3" xfId="28491"/>
    <cellStyle name="40% - Accent3 7 4 5 3" xfId="14697"/>
    <cellStyle name="40% - Accent3 7 4 5 3 2" xfId="32318"/>
    <cellStyle name="40% - Accent3 7 4 5 4" xfId="25631"/>
    <cellStyle name="40% - Accent3 7 4 6" xfId="7735"/>
    <cellStyle name="40% - Accent3 7 4 6 2" xfId="15526"/>
    <cellStyle name="40% - Accent3 7 4 6 2 2" xfId="33147"/>
    <cellStyle name="40% - Accent3 7 4 6 3" xfId="26154"/>
    <cellStyle name="40% - Accent3 7 4 7" xfId="11393"/>
    <cellStyle name="40% - Accent3 7 4 7 2" xfId="29101"/>
    <cellStyle name="40% - Accent3 7 4 8" xfId="23293"/>
    <cellStyle name="40% - Accent3 7 4 9" xfId="51834"/>
    <cellStyle name="40% - Accent3 7 5" xfId="701"/>
    <cellStyle name="40% - Accent3 7 5 2" xfId="3842"/>
    <cellStyle name="40% - Accent3 7 5 2 2" xfId="8404"/>
    <cellStyle name="40% - Accent3 7 5 2 2 2" xfId="16194"/>
    <cellStyle name="40% - Accent3 7 5 2 2 2 2" xfId="33815"/>
    <cellStyle name="40% - Accent3 7 5 2 2 3" xfId="26804"/>
    <cellStyle name="40% - Accent3 7 5 2 3" xfId="12550"/>
    <cellStyle name="40% - Accent3 7 5 2 3 2" xfId="30204"/>
    <cellStyle name="40% - Accent3 7 5 2 4" xfId="23943"/>
    <cellStyle name="40% - Accent3 7 5 3" xfId="5749"/>
    <cellStyle name="40% - Accent3 7 5 3 2" xfId="9046"/>
    <cellStyle name="40% - Accent3 7 5 3 2 2" xfId="16835"/>
    <cellStyle name="40% - Accent3 7 5 3 2 2 2" xfId="34457"/>
    <cellStyle name="40% - Accent3 7 5 3 2 3" xfId="27420"/>
    <cellStyle name="40% - Accent3 7 5 3 3" xfId="13599"/>
    <cellStyle name="40% - Accent3 7 5 3 3 2" xfId="31225"/>
    <cellStyle name="40% - Accent3 7 5 3 4" xfId="24559"/>
    <cellStyle name="40% - Accent3 7 5 4" xfId="6379"/>
    <cellStyle name="40% - Accent3 7 5 4 2" xfId="9586"/>
    <cellStyle name="40% - Accent3 7 5 4 2 2" xfId="17374"/>
    <cellStyle name="40% - Accent3 7 5 4 2 2 2" xfId="34997"/>
    <cellStyle name="40% - Accent3 7 5 4 2 3" xfId="27956"/>
    <cellStyle name="40% - Accent3 7 5 4 3" xfId="14162"/>
    <cellStyle name="40% - Accent3 7 5 4 3 2" xfId="31783"/>
    <cellStyle name="40% - Accent3 7 5 4 4" xfId="25095"/>
    <cellStyle name="40% - Accent3 7 5 5" xfId="6916"/>
    <cellStyle name="40% - Accent3 7 5 5 2" xfId="10123"/>
    <cellStyle name="40% - Accent3 7 5 5 2 2" xfId="17910"/>
    <cellStyle name="40% - Accent3 7 5 5 2 2 2" xfId="35533"/>
    <cellStyle name="40% - Accent3 7 5 5 2 3" xfId="28492"/>
    <cellStyle name="40% - Accent3 7 5 5 3" xfId="14698"/>
    <cellStyle name="40% - Accent3 7 5 5 3 2" xfId="32319"/>
    <cellStyle name="40% - Accent3 7 5 5 4" xfId="25632"/>
    <cellStyle name="40% - Accent3 7 5 6" xfId="7736"/>
    <cellStyle name="40% - Accent3 7 5 6 2" xfId="15527"/>
    <cellStyle name="40% - Accent3 7 5 6 2 2" xfId="33148"/>
    <cellStyle name="40% - Accent3 7 5 6 3" xfId="26155"/>
    <cellStyle name="40% - Accent3 7 5 7" xfId="11394"/>
    <cellStyle name="40% - Accent3 7 5 7 2" xfId="29102"/>
    <cellStyle name="40% - Accent3 7 5 8" xfId="23294"/>
    <cellStyle name="40% - Accent3 7 5 9" xfId="51835"/>
    <cellStyle name="40% - Accent3 7 6" xfId="702"/>
    <cellStyle name="40% - Accent3 7 6 2" xfId="3843"/>
    <cellStyle name="40% - Accent3 7 6 2 2" xfId="8405"/>
    <cellStyle name="40% - Accent3 7 6 2 2 2" xfId="16195"/>
    <cellStyle name="40% - Accent3 7 6 2 2 2 2" xfId="33816"/>
    <cellStyle name="40% - Accent3 7 6 2 2 3" xfId="26805"/>
    <cellStyle name="40% - Accent3 7 6 2 3" xfId="12551"/>
    <cellStyle name="40% - Accent3 7 6 2 3 2" xfId="30205"/>
    <cellStyle name="40% - Accent3 7 6 2 4" xfId="23944"/>
    <cellStyle name="40% - Accent3 7 6 3" xfId="5750"/>
    <cellStyle name="40% - Accent3 7 6 3 2" xfId="9047"/>
    <cellStyle name="40% - Accent3 7 6 3 2 2" xfId="16836"/>
    <cellStyle name="40% - Accent3 7 6 3 2 2 2" xfId="34458"/>
    <cellStyle name="40% - Accent3 7 6 3 2 3" xfId="27421"/>
    <cellStyle name="40% - Accent3 7 6 3 3" xfId="13600"/>
    <cellStyle name="40% - Accent3 7 6 3 3 2" xfId="31226"/>
    <cellStyle name="40% - Accent3 7 6 3 4" xfId="24560"/>
    <cellStyle name="40% - Accent3 7 6 4" xfId="6380"/>
    <cellStyle name="40% - Accent3 7 6 4 2" xfId="9587"/>
    <cellStyle name="40% - Accent3 7 6 4 2 2" xfId="17375"/>
    <cellStyle name="40% - Accent3 7 6 4 2 2 2" xfId="34998"/>
    <cellStyle name="40% - Accent3 7 6 4 2 3" xfId="27957"/>
    <cellStyle name="40% - Accent3 7 6 4 3" xfId="14163"/>
    <cellStyle name="40% - Accent3 7 6 4 3 2" xfId="31784"/>
    <cellStyle name="40% - Accent3 7 6 4 4" xfId="25096"/>
    <cellStyle name="40% - Accent3 7 6 5" xfId="6917"/>
    <cellStyle name="40% - Accent3 7 6 5 2" xfId="10124"/>
    <cellStyle name="40% - Accent3 7 6 5 2 2" xfId="17911"/>
    <cellStyle name="40% - Accent3 7 6 5 2 2 2" xfId="35534"/>
    <cellStyle name="40% - Accent3 7 6 5 2 3" xfId="28493"/>
    <cellStyle name="40% - Accent3 7 6 5 3" xfId="14699"/>
    <cellStyle name="40% - Accent3 7 6 5 3 2" xfId="32320"/>
    <cellStyle name="40% - Accent3 7 6 5 4" xfId="25633"/>
    <cellStyle name="40% - Accent3 7 6 6" xfId="7737"/>
    <cellStyle name="40% - Accent3 7 6 6 2" xfId="15528"/>
    <cellStyle name="40% - Accent3 7 6 6 2 2" xfId="33149"/>
    <cellStyle name="40% - Accent3 7 6 6 3" xfId="26156"/>
    <cellStyle name="40% - Accent3 7 6 7" xfId="11395"/>
    <cellStyle name="40% - Accent3 7 6 7 2" xfId="29103"/>
    <cellStyle name="40% - Accent3 7 6 8" xfId="23295"/>
    <cellStyle name="40% - Accent3 7 6 9" xfId="51836"/>
    <cellStyle name="40% - Accent3 7 7" xfId="703"/>
    <cellStyle name="40% - Accent3 7 7 10" xfId="51837"/>
    <cellStyle name="40% - Accent3 7 7 2" xfId="704"/>
    <cellStyle name="40% - Accent3 7 7 2 2" xfId="8407"/>
    <cellStyle name="40% - Accent3 7 7 2 2 2" xfId="16197"/>
    <cellStyle name="40% - Accent3 7 7 2 2 2 2" xfId="33818"/>
    <cellStyle name="40% - Accent3 7 7 2 2 3" xfId="26807"/>
    <cellStyle name="40% - Accent3 7 7 2 3" xfId="12553"/>
    <cellStyle name="40% - Accent3 7 7 2 3 2" xfId="30207"/>
    <cellStyle name="40% - Accent3 7 7 2 4" xfId="23946"/>
    <cellStyle name="40% - Accent3 7 7 3" xfId="3844"/>
    <cellStyle name="40% - Accent3 7 7 3 2" xfId="8406"/>
    <cellStyle name="40% - Accent3 7 7 3 2 2" xfId="16196"/>
    <cellStyle name="40% - Accent3 7 7 3 2 2 2" xfId="33817"/>
    <cellStyle name="40% - Accent3 7 7 3 2 3" xfId="26806"/>
    <cellStyle name="40% - Accent3 7 7 3 3" xfId="12552"/>
    <cellStyle name="40% - Accent3 7 7 3 3 2" xfId="30206"/>
    <cellStyle name="40% - Accent3 7 7 3 4" xfId="23945"/>
    <cellStyle name="40% - Accent3 7 7 4" xfId="5751"/>
    <cellStyle name="40% - Accent3 7 7 4 2" xfId="9048"/>
    <cellStyle name="40% - Accent3 7 7 4 2 2" xfId="16837"/>
    <cellStyle name="40% - Accent3 7 7 4 2 2 2" xfId="34459"/>
    <cellStyle name="40% - Accent3 7 7 4 2 3" xfId="27422"/>
    <cellStyle name="40% - Accent3 7 7 4 3" xfId="13601"/>
    <cellStyle name="40% - Accent3 7 7 4 3 2" xfId="31227"/>
    <cellStyle name="40% - Accent3 7 7 4 4" xfId="24561"/>
    <cellStyle name="40% - Accent3 7 7 5" xfId="6381"/>
    <cellStyle name="40% - Accent3 7 7 5 2" xfId="9588"/>
    <cellStyle name="40% - Accent3 7 7 5 2 2" xfId="17376"/>
    <cellStyle name="40% - Accent3 7 7 5 2 2 2" xfId="34999"/>
    <cellStyle name="40% - Accent3 7 7 5 2 3" xfId="27958"/>
    <cellStyle name="40% - Accent3 7 7 5 3" xfId="14164"/>
    <cellStyle name="40% - Accent3 7 7 5 3 2" xfId="31785"/>
    <cellStyle name="40% - Accent3 7 7 5 4" xfId="25097"/>
    <cellStyle name="40% - Accent3 7 7 6" xfId="6918"/>
    <cellStyle name="40% - Accent3 7 7 6 2" xfId="10125"/>
    <cellStyle name="40% - Accent3 7 7 6 2 2" xfId="17912"/>
    <cellStyle name="40% - Accent3 7 7 6 2 2 2" xfId="35535"/>
    <cellStyle name="40% - Accent3 7 7 6 2 3" xfId="28494"/>
    <cellStyle name="40% - Accent3 7 7 6 3" xfId="14700"/>
    <cellStyle name="40% - Accent3 7 7 6 3 2" xfId="32321"/>
    <cellStyle name="40% - Accent3 7 7 6 4" xfId="25634"/>
    <cellStyle name="40% - Accent3 7 7 7" xfId="7738"/>
    <cellStyle name="40% - Accent3 7 7 7 2" xfId="15529"/>
    <cellStyle name="40% - Accent3 7 7 7 2 2" xfId="33150"/>
    <cellStyle name="40% - Accent3 7 7 7 3" xfId="26157"/>
    <cellStyle name="40% - Accent3 7 7 8" xfId="11396"/>
    <cellStyle name="40% - Accent3 7 7 8 2" xfId="29104"/>
    <cellStyle name="40% - Accent3 7 7 9" xfId="23296"/>
    <cellStyle name="40% - Accent3 7 8" xfId="3845"/>
    <cellStyle name="40% - Accent3 7 8 2" xfId="8408"/>
    <cellStyle name="40% - Accent3 7 8 2 2" xfId="16198"/>
    <cellStyle name="40% - Accent3 7 8 2 2 2" xfId="33819"/>
    <cellStyle name="40% - Accent3 7 8 2 3" xfId="26808"/>
    <cellStyle name="40% - Accent3 7 8 3" xfId="12554"/>
    <cellStyle name="40% - Accent3 7 8 3 2" xfId="30208"/>
    <cellStyle name="40% - Accent3 7 8 4" xfId="23947"/>
    <cellStyle name="40% - Accent3 7 9" xfId="3846"/>
    <cellStyle name="40% - Accent3 7 9 2" xfId="8409"/>
    <cellStyle name="40% - Accent3 7 9 2 2" xfId="16199"/>
    <cellStyle name="40% - Accent3 7 9 2 2 2" xfId="33820"/>
    <cellStyle name="40% - Accent3 7 9 2 3" xfId="26809"/>
    <cellStyle name="40% - Accent3 7 9 3" xfId="12555"/>
    <cellStyle name="40% - Accent3 7 9 3 2" xfId="30209"/>
    <cellStyle name="40% - Accent3 7 9 4" xfId="23948"/>
    <cellStyle name="40% - Accent3 8" xfId="705"/>
    <cellStyle name="40% - Accent3 8 10" xfId="3847"/>
    <cellStyle name="40% - Accent3 8 10 2" xfId="8410"/>
    <cellStyle name="40% - Accent3 8 10 2 2" xfId="16200"/>
    <cellStyle name="40% - Accent3 8 10 2 2 2" xfId="33821"/>
    <cellStyle name="40% - Accent3 8 10 2 3" xfId="26810"/>
    <cellStyle name="40% - Accent3 8 10 3" xfId="12556"/>
    <cellStyle name="40% - Accent3 8 10 3 2" xfId="30210"/>
    <cellStyle name="40% - Accent3 8 10 4" xfId="23949"/>
    <cellStyle name="40% - Accent3 8 11" xfId="5752"/>
    <cellStyle name="40% - Accent3 8 11 2" xfId="9049"/>
    <cellStyle name="40% - Accent3 8 11 2 2" xfId="16838"/>
    <cellStyle name="40% - Accent3 8 11 2 2 2" xfId="34460"/>
    <cellStyle name="40% - Accent3 8 11 2 3" xfId="27423"/>
    <cellStyle name="40% - Accent3 8 11 3" xfId="13602"/>
    <cellStyle name="40% - Accent3 8 11 3 2" xfId="31228"/>
    <cellStyle name="40% - Accent3 8 11 4" xfId="24562"/>
    <cellStyle name="40% - Accent3 8 12" xfId="6382"/>
    <cellStyle name="40% - Accent3 8 12 2" xfId="9589"/>
    <cellStyle name="40% - Accent3 8 12 2 2" xfId="17377"/>
    <cellStyle name="40% - Accent3 8 12 2 2 2" xfId="35000"/>
    <cellStyle name="40% - Accent3 8 12 2 3" xfId="27959"/>
    <cellStyle name="40% - Accent3 8 12 3" xfId="14165"/>
    <cellStyle name="40% - Accent3 8 12 3 2" xfId="31786"/>
    <cellStyle name="40% - Accent3 8 12 4" xfId="25098"/>
    <cellStyle name="40% - Accent3 8 13" xfId="6919"/>
    <cellStyle name="40% - Accent3 8 13 2" xfId="10126"/>
    <cellStyle name="40% - Accent3 8 13 2 2" xfId="17913"/>
    <cellStyle name="40% - Accent3 8 13 2 2 2" xfId="35536"/>
    <cellStyle name="40% - Accent3 8 13 2 3" xfId="28495"/>
    <cellStyle name="40% - Accent3 8 13 3" xfId="14701"/>
    <cellStyle name="40% - Accent3 8 13 3 2" xfId="32322"/>
    <cellStyle name="40% - Accent3 8 13 4" xfId="25635"/>
    <cellStyle name="40% - Accent3 8 14" xfId="7739"/>
    <cellStyle name="40% - Accent3 8 14 2" xfId="15530"/>
    <cellStyle name="40% - Accent3 8 14 2 2" xfId="33151"/>
    <cellStyle name="40% - Accent3 8 14 3" xfId="26158"/>
    <cellStyle name="40% - Accent3 8 15" xfId="11397"/>
    <cellStyle name="40% - Accent3 8 15 2" xfId="29105"/>
    <cellStyle name="40% - Accent3 8 16" xfId="22113"/>
    <cellStyle name="40% - Accent3 8 16 2" xfId="38780"/>
    <cellStyle name="40% - Accent3 8 17" xfId="23297"/>
    <cellStyle name="40% - Accent3 8 18" xfId="51838"/>
    <cellStyle name="40% - Accent3 8 2" xfId="706"/>
    <cellStyle name="40% - Accent3 8 2 10" xfId="51839"/>
    <cellStyle name="40% - Accent3 8 2 2" xfId="3848"/>
    <cellStyle name="40% - Accent3 8 2 2 2" xfId="8411"/>
    <cellStyle name="40% - Accent3 8 2 2 2 2" xfId="16201"/>
    <cellStyle name="40% - Accent3 8 2 2 2 2 2" xfId="33822"/>
    <cellStyle name="40% - Accent3 8 2 2 2 3" xfId="26811"/>
    <cellStyle name="40% - Accent3 8 2 2 3" xfId="12557"/>
    <cellStyle name="40% - Accent3 8 2 2 3 2" xfId="30211"/>
    <cellStyle name="40% - Accent3 8 2 2 4" xfId="22724"/>
    <cellStyle name="40% - Accent3 8 2 2 4 2" xfId="38920"/>
    <cellStyle name="40% - Accent3 8 2 2 5" xfId="23950"/>
    <cellStyle name="40% - Accent3 8 2 3" xfId="5753"/>
    <cellStyle name="40% - Accent3 8 2 3 2" xfId="9050"/>
    <cellStyle name="40% - Accent3 8 2 3 2 2" xfId="16839"/>
    <cellStyle name="40% - Accent3 8 2 3 2 2 2" xfId="34461"/>
    <cellStyle name="40% - Accent3 8 2 3 2 3" xfId="27424"/>
    <cellStyle name="40% - Accent3 8 2 3 3" xfId="13603"/>
    <cellStyle name="40% - Accent3 8 2 3 3 2" xfId="31229"/>
    <cellStyle name="40% - Accent3 8 2 3 4" xfId="24563"/>
    <cellStyle name="40% - Accent3 8 2 4" xfId="6383"/>
    <cellStyle name="40% - Accent3 8 2 4 2" xfId="9590"/>
    <cellStyle name="40% - Accent3 8 2 4 2 2" xfId="17378"/>
    <cellStyle name="40% - Accent3 8 2 4 2 2 2" xfId="35001"/>
    <cellStyle name="40% - Accent3 8 2 4 2 3" xfId="27960"/>
    <cellStyle name="40% - Accent3 8 2 4 3" xfId="14166"/>
    <cellStyle name="40% - Accent3 8 2 4 3 2" xfId="31787"/>
    <cellStyle name="40% - Accent3 8 2 4 4" xfId="25099"/>
    <cellStyle name="40% - Accent3 8 2 5" xfId="6920"/>
    <cellStyle name="40% - Accent3 8 2 5 2" xfId="10127"/>
    <cellStyle name="40% - Accent3 8 2 5 2 2" xfId="17914"/>
    <cellStyle name="40% - Accent3 8 2 5 2 2 2" xfId="35537"/>
    <cellStyle name="40% - Accent3 8 2 5 2 3" xfId="28496"/>
    <cellStyle name="40% - Accent3 8 2 5 3" xfId="14702"/>
    <cellStyle name="40% - Accent3 8 2 5 3 2" xfId="32323"/>
    <cellStyle name="40% - Accent3 8 2 5 4" xfId="25636"/>
    <cellStyle name="40% - Accent3 8 2 6" xfId="7740"/>
    <cellStyle name="40% - Accent3 8 2 6 2" xfId="15531"/>
    <cellStyle name="40% - Accent3 8 2 6 2 2" xfId="33152"/>
    <cellStyle name="40% - Accent3 8 2 6 3" xfId="26159"/>
    <cellStyle name="40% - Accent3 8 2 7" xfId="11398"/>
    <cellStyle name="40% - Accent3 8 2 7 2" xfId="29106"/>
    <cellStyle name="40% - Accent3 8 2 8" xfId="22114"/>
    <cellStyle name="40% - Accent3 8 2 8 2" xfId="38781"/>
    <cellStyle name="40% - Accent3 8 2 9" xfId="23298"/>
    <cellStyle name="40% - Accent3 8 3" xfId="707"/>
    <cellStyle name="40% - Accent3 8 3 10" xfId="22723"/>
    <cellStyle name="40% - Accent3 8 3 10 2" xfId="38919"/>
    <cellStyle name="40% - Accent3 8 3 11" xfId="23299"/>
    <cellStyle name="40% - Accent3 8 3 12" xfId="51840"/>
    <cellStyle name="40% - Accent3 8 3 2" xfId="708"/>
    <cellStyle name="40% - Accent3 8 3 2 2" xfId="3850"/>
    <cellStyle name="40% - Accent3 8 3 2 2 2" xfId="8413"/>
    <cellStyle name="40% - Accent3 8 3 2 2 2 2" xfId="16203"/>
    <cellStyle name="40% - Accent3 8 3 2 2 2 2 2" xfId="33824"/>
    <cellStyle name="40% - Accent3 8 3 2 2 2 3" xfId="26813"/>
    <cellStyle name="40% - Accent3 8 3 2 2 3" xfId="12559"/>
    <cellStyle name="40% - Accent3 8 3 2 2 3 2" xfId="30213"/>
    <cellStyle name="40% - Accent3 8 3 2 2 4" xfId="23952"/>
    <cellStyle name="40% - Accent3 8 3 2 3" xfId="5755"/>
    <cellStyle name="40% - Accent3 8 3 2 3 2" xfId="9052"/>
    <cellStyle name="40% - Accent3 8 3 2 3 2 2" xfId="16841"/>
    <cellStyle name="40% - Accent3 8 3 2 3 2 2 2" xfId="34463"/>
    <cellStyle name="40% - Accent3 8 3 2 3 2 3" xfId="27426"/>
    <cellStyle name="40% - Accent3 8 3 2 3 3" xfId="13605"/>
    <cellStyle name="40% - Accent3 8 3 2 3 3 2" xfId="31231"/>
    <cellStyle name="40% - Accent3 8 3 2 3 4" xfId="24565"/>
    <cellStyle name="40% - Accent3 8 3 2 4" xfId="6385"/>
    <cellStyle name="40% - Accent3 8 3 2 4 2" xfId="9592"/>
    <cellStyle name="40% - Accent3 8 3 2 4 2 2" xfId="17380"/>
    <cellStyle name="40% - Accent3 8 3 2 4 2 2 2" xfId="35003"/>
    <cellStyle name="40% - Accent3 8 3 2 4 2 3" xfId="27962"/>
    <cellStyle name="40% - Accent3 8 3 2 4 3" xfId="14168"/>
    <cellStyle name="40% - Accent3 8 3 2 4 3 2" xfId="31789"/>
    <cellStyle name="40% - Accent3 8 3 2 4 4" xfId="25101"/>
    <cellStyle name="40% - Accent3 8 3 2 5" xfId="6922"/>
    <cellStyle name="40% - Accent3 8 3 2 5 2" xfId="10129"/>
    <cellStyle name="40% - Accent3 8 3 2 5 2 2" xfId="17916"/>
    <cellStyle name="40% - Accent3 8 3 2 5 2 2 2" xfId="35539"/>
    <cellStyle name="40% - Accent3 8 3 2 5 2 3" xfId="28498"/>
    <cellStyle name="40% - Accent3 8 3 2 5 3" xfId="14704"/>
    <cellStyle name="40% - Accent3 8 3 2 5 3 2" xfId="32325"/>
    <cellStyle name="40% - Accent3 8 3 2 5 4" xfId="25638"/>
    <cellStyle name="40% - Accent3 8 3 2 6" xfId="7742"/>
    <cellStyle name="40% - Accent3 8 3 2 6 2" xfId="15533"/>
    <cellStyle name="40% - Accent3 8 3 2 6 2 2" xfId="33154"/>
    <cellStyle name="40% - Accent3 8 3 2 6 3" xfId="26161"/>
    <cellStyle name="40% - Accent3 8 3 2 7" xfId="11400"/>
    <cellStyle name="40% - Accent3 8 3 2 7 2" xfId="29108"/>
    <cellStyle name="40% - Accent3 8 3 2 8" xfId="23300"/>
    <cellStyle name="40% - Accent3 8 3 2 9" xfId="51841"/>
    <cellStyle name="40% - Accent3 8 3 3" xfId="3851"/>
    <cellStyle name="40% - Accent3 8 3 3 2" xfId="5756"/>
    <cellStyle name="40% - Accent3 8 3 3 2 2" xfId="9053"/>
    <cellStyle name="40% - Accent3 8 3 3 2 2 2" xfId="16842"/>
    <cellStyle name="40% - Accent3 8 3 3 2 2 2 2" xfId="34464"/>
    <cellStyle name="40% - Accent3 8 3 3 2 2 3" xfId="27427"/>
    <cellStyle name="40% - Accent3 8 3 3 2 3" xfId="13606"/>
    <cellStyle name="40% - Accent3 8 3 3 2 3 2" xfId="31232"/>
    <cellStyle name="40% - Accent3 8 3 3 2 4" xfId="24566"/>
    <cellStyle name="40% - Accent3 8 3 3 3" xfId="6386"/>
    <cellStyle name="40% - Accent3 8 3 3 3 2" xfId="9593"/>
    <cellStyle name="40% - Accent3 8 3 3 3 2 2" xfId="17381"/>
    <cellStyle name="40% - Accent3 8 3 3 3 2 2 2" xfId="35004"/>
    <cellStyle name="40% - Accent3 8 3 3 3 2 3" xfId="27963"/>
    <cellStyle name="40% - Accent3 8 3 3 3 3" xfId="14169"/>
    <cellStyle name="40% - Accent3 8 3 3 3 3 2" xfId="31790"/>
    <cellStyle name="40% - Accent3 8 3 3 3 4" xfId="25102"/>
    <cellStyle name="40% - Accent3 8 3 3 4" xfId="6923"/>
    <cellStyle name="40% - Accent3 8 3 3 4 2" xfId="10130"/>
    <cellStyle name="40% - Accent3 8 3 3 4 2 2" xfId="17917"/>
    <cellStyle name="40% - Accent3 8 3 3 4 2 2 2" xfId="35540"/>
    <cellStyle name="40% - Accent3 8 3 3 4 2 3" xfId="28499"/>
    <cellStyle name="40% - Accent3 8 3 3 4 3" xfId="14705"/>
    <cellStyle name="40% - Accent3 8 3 3 4 3 2" xfId="32326"/>
    <cellStyle name="40% - Accent3 8 3 3 4 4" xfId="25639"/>
    <cellStyle name="40% - Accent3 8 3 3 5" xfId="8414"/>
    <cellStyle name="40% - Accent3 8 3 3 5 2" xfId="16204"/>
    <cellStyle name="40% - Accent3 8 3 3 5 2 2" xfId="33825"/>
    <cellStyle name="40% - Accent3 8 3 3 5 3" xfId="26814"/>
    <cellStyle name="40% - Accent3 8 3 3 6" xfId="12560"/>
    <cellStyle name="40% - Accent3 8 3 3 6 2" xfId="30214"/>
    <cellStyle name="40% - Accent3 8 3 3 7" xfId="23953"/>
    <cellStyle name="40% - Accent3 8 3 4" xfId="3849"/>
    <cellStyle name="40% - Accent3 8 3 4 2" xfId="8412"/>
    <cellStyle name="40% - Accent3 8 3 4 2 2" xfId="16202"/>
    <cellStyle name="40% - Accent3 8 3 4 2 2 2" xfId="33823"/>
    <cellStyle name="40% - Accent3 8 3 4 2 3" xfId="26812"/>
    <cellStyle name="40% - Accent3 8 3 4 3" xfId="12558"/>
    <cellStyle name="40% - Accent3 8 3 4 3 2" xfId="30212"/>
    <cellStyle name="40% - Accent3 8 3 4 4" xfId="23951"/>
    <cellStyle name="40% - Accent3 8 3 5" xfId="5754"/>
    <cellStyle name="40% - Accent3 8 3 5 2" xfId="9051"/>
    <cellStyle name="40% - Accent3 8 3 5 2 2" xfId="16840"/>
    <cellStyle name="40% - Accent3 8 3 5 2 2 2" xfId="34462"/>
    <cellStyle name="40% - Accent3 8 3 5 2 3" xfId="27425"/>
    <cellStyle name="40% - Accent3 8 3 5 3" xfId="13604"/>
    <cellStyle name="40% - Accent3 8 3 5 3 2" xfId="31230"/>
    <cellStyle name="40% - Accent3 8 3 5 4" xfId="24564"/>
    <cellStyle name="40% - Accent3 8 3 6" xfId="6384"/>
    <cellStyle name="40% - Accent3 8 3 6 2" xfId="9591"/>
    <cellStyle name="40% - Accent3 8 3 6 2 2" xfId="17379"/>
    <cellStyle name="40% - Accent3 8 3 6 2 2 2" xfId="35002"/>
    <cellStyle name="40% - Accent3 8 3 6 2 3" xfId="27961"/>
    <cellStyle name="40% - Accent3 8 3 6 3" xfId="14167"/>
    <cellStyle name="40% - Accent3 8 3 6 3 2" xfId="31788"/>
    <cellStyle name="40% - Accent3 8 3 6 4" xfId="25100"/>
    <cellStyle name="40% - Accent3 8 3 7" xfId="6921"/>
    <cellStyle name="40% - Accent3 8 3 7 2" xfId="10128"/>
    <cellStyle name="40% - Accent3 8 3 7 2 2" xfId="17915"/>
    <cellStyle name="40% - Accent3 8 3 7 2 2 2" xfId="35538"/>
    <cellStyle name="40% - Accent3 8 3 7 2 3" xfId="28497"/>
    <cellStyle name="40% - Accent3 8 3 7 3" xfId="14703"/>
    <cellStyle name="40% - Accent3 8 3 7 3 2" xfId="32324"/>
    <cellStyle name="40% - Accent3 8 3 7 4" xfId="25637"/>
    <cellStyle name="40% - Accent3 8 3 8" xfId="7741"/>
    <cellStyle name="40% - Accent3 8 3 8 2" xfId="15532"/>
    <cellStyle name="40% - Accent3 8 3 8 2 2" xfId="33153"/>
    <cellStyle name="40% - Accent3 8 3 8 3" xfId="26160"/>
    <cellStyle name="40% - Accent3 8 3 9" xfId="11399"/>
    <cellStyle name="40% - Accent3 8 3 9 2" xfId="29107"/>
    <cellStyle name="40% - Accent3 8 4" xfId="709"/>
    <cellStyle name="40% - Accent3 8 4 2" xfId="3852"/>
    <cellStyle name="40% - Accent3 8 4 2 2" xfId="8415"/>
    <cellStyle name="40% - Accent3 8 4 2 2 2" xfId="16205"/>
    <cellStyle name="40% - Accent3 8 4 2 2 2 2" xfId="33826"/>
    <cellStyle name="40% - Accent3 8 4 2 2 3" xfId="26815"/>
    <cellStyle name="40% - Accent3 8 4 2 3" xfId="12561"/>
    <cellStyle name="40% - Accent3 8 4 2 3 2" xfId="30215"/>
    <cellStyle name="40% - Accent3 8 4 2 4" xfId="23954"/>
    <cellStyle name="40% - Accent3 8 4 3" xfId="5757"/>
    <cellStyle name="40% - Accent3 8 4 3 2" xfId="9054"/>
    <cellStyle name="40% - Accent3 8 4 3 2 2" xfId="16843"/>
    <cellStyle name="40% - Accent3 8 4 3 2 2 2" xfId="34465"/>
    <cellStyle name="40% - Accent3 8 4 3 2 3" xfId="27428"/>
    <cellStyle name="40% - Accent3 8 4 3 3" xfId="13607"/>
    <cellStyle name="40% - Accent3 8 4 3 3 2" xfId="31233"/>
    <cellStyle name="40% - Accent3 8 4 3 4" xfId="24567"/>
    <cellStyle name="40% - Accent3 8 4 4" xfId="6387"/>
    <cellStyle name="40% - Accent3 8 4 4 2" xfId="9594"/>
    <cellStyle name="40% - Accent3 8 4 4 2 2" xfId="17382"/>
    <cellStyle name="40% - Accent3 8 4 4 2 2 2" xfId="35005"/>
    <cellStyle name="40% - Accent3 8 4 4 2 3" xfId="27964"/>
    <cellStyle name="40% - Accent3 8 4 4 3" xfId="14170"/>
    <cellStyle name="40% - Accent3 8 4 4 3 2" xfId="31791"/>
    <cellStyle name="40% - Accent3 8 4 4 4" xfId="25103"/>
    <cellStyle name="40% - Accent3 8 4 5" xfId="6924"/>
    <cellStyle name="40% - Accent3 8 4 5 2" xfId="10131"/>
    <cellStyle name="40% - Accent3 8 4 5 2 2" xfId="17918"/>
    <cellStyle name="40% - Accent3 8 4 5 2 2 2" xfId="35541"/>
    <cellStyle name="40% - Accent3 8 4 5 2 3" xfId="28500"/>
    <cellStyle name="40% - Accent3 8 4 5 3" xfId="14706"/>
    <cellStyle name="40% - Accent3 8 4 5 3 2" xfId="32327"/>
    <cellStyle name="40% - Accent3 8 4 5 4" xfId="25640"/>
    <cellStyle name="40% - Accent3 8 4 6" xfId="7743"/>
    <cellStyle name="40% - Accent3 8 4 6 2" xfId="15534"/>
    <cellStyle name="40% - Accent3 8 4 6 2 2" xfId="33155"/>
    <cellStyle name="40% - Accent3 8 4 6 3" xfId="26162"/>
    <cellStyle name="40% - Accent3 8 4 7" xfId="11401"/>
    <cellStyle name="40% - Accent3 8 4 7 2" xfId="29109"/>
    <cellStyle name="40% - Accent3 8 4 8" xfId="23301"/>
    <cellStyle name="40% - Accent3 8 4 9" xfId="51842"/>
    <cellStyle name="40% - Accent3 8 5" xfId="710"/>
    <cellStyle name="40% - Accent3 8 5 2" xfId="3853"/>
    <cellStyle name="40% - Accent3 8 5 2 2" xfId="8416"/>
    <cellStyle name="40% - Accent3 8 5 2 2 2" xfId="16206"/>
    <cellStyle name="40% - Accent3 8 5 2 2 2 2" xfId="33827"/>
    <cellStyle name="40% - Accent3 8 5 2 2 3" xfId="26816"/>
    <cellStyle name="40% - Accent3 8 5 2 3" xfId="12562"/>
    <cellStyle name="40% - Accent3 8 5 2 3 2" xfId="30216"/>
    <cellStyle name="40% - Accent3 8 5 2 4" xfId="23955"/>
    <cellStyle name="40% - Accent3 8 5 3" xfId="5758"/>
    <cellStyle name="40% - Accent3 8 5 3 2" xfId="9055"/>
    <cellStyle name="40% - Accent3 8 5 3 2 2" xfId="16844"/>
    <cellStyle name="40% - Accent3 8 5 3 2 2 2" xfId="34466"/>
    <cellStyle name="40% - Accent3 8 5 3 2 3" xfId="27429"/>
    <cellStyle name="40% - Accent3 8 5 3 3" xfId="13608"/>
    <cellStyle name="40% - Accent3 8 5 3 3 2" xfId="31234"/>
    <cellStyle name="40% - Accent3 8 5 3 4" xfId="24568"/>
    <cellStyle name="40% - Accent3 8 5 4" xfId="6388"/>
    <cellStyle name="40% - Accent3 8 5 4 2" xfId="9595"/>
    <cellStyle name="40% - Accent3 8 5 4 2 2" xfId="17383"/>
    <cellStyle name="40% - Accent3 8 5 4 2 2 2" xfId="35006"/>
    <cellStyle name="40% - Accent3 8 5 4 2 3" xfId="27965"/>
    <cellStyle name="40% - Accent3 8 5 4 3" xfId="14171"/>
    <cellStyle name="40% - Accent3 8 5 4 3 2" xfId="31792"/>
    <cellStyle name="40% - Accent3 8 5 4 4" xfId="25104"/>
    <cellStyle name="40% - Accent3 8 5 5" xfId="6925"/>
    <cellStyle name="40% - Accent3 8 5 5 2" xfId="10132"/>
    <cellStyle name="40% - Accent3 8 5 5 2 2" xfId="17919"/>
    <cellStyle name="40% - Accent3 8 5 5 2 2 2" xfId="35542"/>
    <cellStyle name="40% - Accent3 8 5 5 2 3" xfId="28501"/>
    <cellStyle name="40% - Accent3 8 5 5 3" xfId="14707"/>
    <cellStyle name="40% - Accent3 8 5 5 3 2" xfId="32328"/>
    <cellStyle name="40% - Accent3 8 5 5 4" xfId="25641"/>
    <cellStyle name="40% - Accent3 8 5 6" xfId="7744"/>
    <cellStyle name="40% - Accent3 8 5 6 2" xfId="15535"/>
    <cellStyle name="40% - Accent3 8 5 6 2 2" xfId="33156"/>
    <cellStyle name="40% - Accent3 8 5 6 3" xfId="26163"/>
    <cellStyle name="40% - Accent3 8 5 7" xfId="11402"/>
    <cellStyle name="40% - Accent3 8 5 7 2" xfId="29110"/>
    <cellStyle name="40% - Accent3 8 5 8" xfId="23302"/>
    <cellStyle name="40% - Accent3 8 5 9" xfId="51843"/>
    <cellStyle name="40% - Accent3 8 6" xfId="711"/>
    <cellStyle name="40% - Accent3 8 6 2" xfId="3854"/>
    <cellStyle name="40% - Accent3 8 6 2 2" xfId="8417"/>
    <cellStyle name="40% - Accent3 8 6 2 2 2" xfId="16207"/>
    <cellStyle name="40% - Accent3 8 6 2 2 2 2" xfId="33828"/>
    <cellStyle name="40% - Accent3 8 6 2 2 3" xfId="26817"/>
    <cellStyle name="40% - Accent3 8 6 2 3" xfId="12563"/>
    <cellStyle name="40% - Accent3 8 6 2 3 2" xfId="30217"/>
    <cellStyle name="40% - Accent3 8 6 2 4" xfId="23956"/>
    <cellStyle name="40% - Accent3 8 6 3" xfId="5759"/>
    <cellStyle name="40% - Accent3 8 6 3 2" xfId="9056"/>
    <cellStyle name="40% - Accent3 8 6 3 2 2" xfId="16845"/>
    <cellStyle name="40% - Accent3 8 6 3 2 2 2" xfId="34467"/>
    <cellStyle name="40% - Accent3 8 6 3 2 3" xfId="27430"/>
    <cellStyle name="40% - Accent3 8 6 3 3" xfId="13609"/>
    <cellStyle name="40% - Accent3 8 6 3 3 2" xfId="31235"/>
    <cellStyle name="40% - Accent3 8 6 3 4" xfId="24569"/>
    <cellStyle name="40% - Accent3 8 6 4" xfId="6389"/>
    <cellStyle name="40% - Accent3 8 6 4 2" xfId="9596"/>
    <cellStyle name="40% - Accent3 8 6 4 2 2" xfId="17384"/>
    <cellStyle name="40% - Accent3 8 6 4 2 2 2" xfId="35007"/>
    <cellStyle name="40% - Accent3 8 6 4 2 3" xfId="27966"/>
    <cellStyle name="40% - Accent3 8 6 4 3" xfId="14172"/>
    <cellStyle name="40% - Accent3 8 6 4 3 2" xfId="31793"/>
    <cellStyle name="40% - Accent3 8 6 4 4" xfId="25105"/>
    <cellStyle name="40% - Accent3 8 6 5" xfId="6926"/>
    <cellStyle name="40% - Accent3 8 6 5 2" xfId="10133"/>
    <cellStyle name="40% - Accent3 8 6 5 2 2" xfId="17920"/>
    <cellStyle name="40% - Accent3 8 6 5 2 2 2" xfId="35543"/>
    <cellStyle name="40% - Accent3 8 6 5 2 3" xfId="28502"/>
    <cellStyle name="40% - Accent3 8 6 5 3" xfId="14708"/>
    <cellStyle name="40% - Accent3 8 6 5 3 2" xfId="32329"/>
    <cellStyle name="40% - Accent3 8 6 5 4" xfId="25642"/>
    <cellStyle name="40% - Accent3 8 6 6" xfId="7745"/>
    <cellStyle name="40% - Accent3 8 6 6 2" xfId="15536"/>
    <cellStyle name="40% - Accent3 8 6 6 2 2" xfId="33157"/>
    <cellStyle name="40% - Accent3 8 6 6 3" xfId="26164"/>
    <cellStyle name="40% - Accent3 8 6 7" xfId="11403"/>
    <cellStyle name="40% - Accent3 8 6 7 2" xfId="29111"/>
    <cellStyle name="40% - Accent3 8 6 8" xfId="23303"/>
    <cellStyle name="40% - Accent3 8 6 9" xfId="51844"/>
    <cellStyle name="40% - Accent3 8 7" xfId="712"/>
    <cellStyle name="40% - Accent3 8 7 10" xfId="51845"/>
    <cellStyle name="40% - Accent3 8 7 2" xfId="713"/>
    <cellStyle name="40% - Accent3 8 7 2 2" xfId="8419"/>
    <cellStyle name="40% - Accent3 8 7 2 2 2" xfId="16209"/>
    <cellStyle name="40% - Accent3 8 7 2 2 2 2" xfId="33830"/>
    <cellStyle name="40% - Accent3 8 7 2 2 3" xfId="26819"/>
    <cellStyle name="40% - Accent3 8 7 2 3" xfId="12565"/>
    <cellStyle name="40% - Accent3 8 7 2 3 2" xfId="30219"/>
    <cellStyle name="40% - Accent3 8 7 2 4" xfId="23958"/>
    <cellStyle name="40% - Accent3 8 7 3" xfId="3855"/>
    <cellStyle name="40% - Accent3 8 7 3 2" xfId="8418"/>
    <cellStyle name="40% - Accent3 8 7 3 2 2" xfId="16208"/>
    <cellStyle name="40% - Accent3 8 7 3 2 2 2" xfId="33829"/>
    <cellStyle name="40% - Accent3 8 7 3 2 3" xfId="26818"/>
    <cellStyle name="40% - Accent3 8 7 3 3" xfId="12564"/>
    <cellStyle name="40% - Accent3 8 7 3 3 2" xfId="30218"/>
    <cellStyle name="40% - Accent3 8 7 3 4" xfId="23957"/>
    <cellStyle name="40% - Accent3 8 7 4" xfId="5760"/>
    <cellStyle name="40% - Accent3 8 7 4 2" xfId="9057"/>
    <cellStyle name="40% - Accent3 8 7 4 2 2" xfId="16846"/>
    <cellStyle name="40% - Accent3 8 7 4 2 2 2" xfId="34468"/>
    <cellStyle name="40% - Accent3 8 7 4 2 3" xfId="27431"/>
    <cellStyle name="40% - Accent3 8 7 4 3" xfId="13610"/>
    <cellStyle name="40% - Accent3 8 7 4 3 2" xfId="31236"/>
    <cellStyle name="40% - Accent3 8 7 4 4" xfId="24570"/>
    <cellStyle name="40% - Accent3 8 7 5" xfId="6390"/>
    <cellStyle name="40% - Accent3 8 7 5 2" xfId="9597"/>
    <cellStyle name="40% - Accent3 8 7 5 2 2" xfId="17385"/>
    <cellStyle name="40% - Accent3 8 7 5 2 2 2" xfId="35008"/>
    <cellStyle name="40% - Accent3 8 7 5 2 3" xfId="27967"/>
    <cellStyle name="40% - Accent3 8 7 5 3" xfId="14173"/>
    <cellStyle name="40% - Accent3 8 7 5 3 2" xfId="31794"/>
    <cellStyle name="40% - Accent3 8 7 5 4" xfId="25106"/>
    <cellStyle name="40% - Accent3 8 7 6" xfId="6927"/>
    <cellStyle name="40% - Accent3 8 7 6 2" xfId="10134"/>
    <cellStyle name="40% - Accent3 8 7 6 2 2" xfId="17921"/>
    <cellStyle name="40% - Accent3 8 7 6 2 2 2" xfId="35544"/>
    <cellStyle name="40% - Accent3 8 7 6 2 3" xfId="28503"/>
    <cellStyle name="40% - Accent3 8 7 6 3" xfId="14709"/>
    <cellStyle name="40% - Accent3 8 7 6 3 2" xfId="32330"/>
    <cellStyle name="40% - Accent3 8 7 6 4" xfId="25643"/>
    <cellStyle name="40% - Accent3 8 7 7" xfId="7746"/>
    <cellStyle name="40% - Accent3 8 7 7 2" xfId="15537"/>
    <cellStyle name="40% - Accent3 8 7 7 2 2" xfId="33158"/>
    <cellStyle name="40% - Accent3 8 7 7 3" xfId="26165"/>
    <cellStyle name="40% - Accent3 8 7 8" xfId="11404"/>
    <cellStyle name="40% - Accent3 8 7 8 2" xfId="29112"/>
    <cellStyle name="40% - Accent3 8 7 9" xfId="23304"/>
    <cellStyle name="40% - Accent3 8 8" xfId="3856"/>
    <cellStyle name="40% - Accent3 8 8 2" xfId="8420"/>
    <cellStyle name="40% - Accent3 8 8 2 2" xfId="16210"/>
    <cellStyle name="40% - Accent3 8 8 2 2 2" xfId="33831"/>
    <cellStyle name="40% - Accent3 8 8 2 3" xfId="26820"/>
    <cellStyle name="40% - Accent3 8 8 3" xfId="12566"/>
    <cellStyle name="40% - Accent3 8 8 3 2" xfId="30220"/>
    <cellStyle name="40% - Accent3 8 8 4" xfId="23959"/>
    <cellStyle name="40% - Accent3 8 9" xfId="3857"/>
    <cellStyle name="40% - Accent3 8 9 2" xfId="8421"/>
    <cellStyle name="40% - Accent3 8 9 2 2" xfId="16211"/>
    <cellStyle name="40% - Accent3 8 9 2 2 2" xfId="33832"/>
    <cellStyle name="40% - Accent3 8 9 2 3" xfId="26821"/>
    <cellStyle name="40% - Accent3 8 9 3" xfId="12567"/>
    <cellStyle name="40% - Accent3 8 9 3 2" xfId="30221"/>
    <cellStyle name="40% - Accent3 8 9 4" xfId="23960"/>
    <cellStyle name="40% - Accent3 9" xfId="714"/>
    <cellStyle name="40% - Accent3 9 10" xfId="3858"/>
    <cellStyle name="40% - Accent3 9 10 2" xfId="8422"/>
    <cellStyle name="40% - Accent3 9 10 2 2" xfId="16212"/>
    <cellStyle name="40% - Accent3 9 10 2 2 2" xfId="33833"/>
    <cellStyle name="40% - Accent3 9 10 2 3" xfId="26822"/>
    <cellStyle name="40% - Accent3 9 10 3" xfId="12568"/>
    <cellStyle name="40% - Accent3 9 10 3 2" xfId="30222"/>
    <cellStyle name="40% - Accent3 9 10 4" xfId="23961"/>
    <cellStyle name="40% - Accent3 9 11" xfId="5761"/>
    <cellStyle name="40% - Accent3 9 11 2" xfId="9058"/>
    <cellStyle name="40% - Accent3 9 11 2 2" xfId="16847"/>
    <cellStyle name="40% - Accent3 9 11 2 2 2" xfId="34469"/>
    <cellStyle name="40% - Accent3 9 11 2 3" xfId="27432"/>
    <cellStyle name="40% - Accent3 9 11 3" xfId="13611"/>
    <cellStyle name="40% - Accent3 9 11 3 2" xfId="31237"/>
    <cellStyle name="40% - Accent3 9 11 4" xfId="24571"/>
    <cellStyle name="40% - Accent3 9 12" xfId="6391"/>
    <cellStyle name="40% - Accent3 9 12 2" xfId="9598"/>
    <cellStyle name="40% - Accent3 9 12 2 2" xfId="17386"/>
    <cellStyle name="40% - Accent3 9 12 2 2 2" xfId="35009"/>
    <cellStyle name="40% - Accent3 9 12 2 3" xfId="27968"/>
    <cellStyle name="40% - Accent3 9 12 3" xfId="14174"/>
    <cellStyle name="40% - Accent3 9 12 3 2" xfId="31795"/>
    <cellStyle name="40% - Accent3 9 12 4" xfId="25107"/>
    <cellStyle name="40% - Accent3 9 13" xfId="6928"/>
    <cellStyle name="40% - Accent3 9 13 2" xfId="10135"/>
    <cellStyle name="40% - Accent3 9 13 2 2" xfId="17922"/>
    <cellStyle name="40% - Accent3 9 13 2 2 2" xfId="35545"/>
    <cellStyle name="40% - Accent3 9 13 2 3" xfId="28504"/>
    <cellStyle name="40% - Accent3 9 13 3" xfId="14710"/>
    <cellStyle name="40% - Accent3 9 13 3 2" xfId="32331"/>
    <cellStyle name="40% - Accent3 9 13 4" xfId="25644"/>
    <cellStyle name="40% - Accent3 9 14" xfId="7747"/>
    <cellStyle name="40% - Accent3 9 14 2" xfId="15538"/>
    <cellStyle name="40% - Accent3 9 14 2 2" xfId="33159"/>
    <cellStyle name="40% - Accent3 9 14 3" xfId="26166"/>
    <cellStyle name="40% - Accent3 9 15" xfId="11405"/>
    <cellStyle name="40% - Accent3 9 15 2" xfId="29113"/>
    <cellStyle name="40% - Accent3 9 16" xfId="22115"/>
    <cellStyle name="40% - Accent3 9 16 2" xfId="38782"/>
    <cellStyle name="40% - Accent3 9 17" xfId="23305"/>
    <cellStyle name="40% - Accent3 9 18" xfId="51846"/>
    <cellStyle name="40% - Accent3 9 2" xfId="715"/>
    <cellStyle name="40% - Accent3 9 2 10" xfId="51847"/>
    <cellStyle name="40% - Accent3 9 2 2" xfId="3859"/>
    <cellStyle name="40% - Accent3 9 2 2 2" xfId="8423"/>
    <cellStyle name="40% - Accent3 9 2 2 2 2" xfId="16213"/>
    <cellStyle name="40% - Accent3 9 2 2 2 2 2" xfId="33834"/>
    <cellStyle name="40% - Accent3 9 2 2 2 3" xfId="26823"/>
    <cellStyle name="40% - Accent3 9 2 2 3" xfId="12569"/>
    <cellStyle name="40% - Accent3 9 2 2 3 2" xfId="30223"/>
    <cellStyle name="40% - Accent3 9 2 2 4" xfId="23962"/>
    <cellStyle name="40% - Accent3 9 2 3" xfId="5762"/>
    <cellStyle name="40% - Accent3 9 2 3 2" xfId="9059"/>
    <cellStyle name="40% - Accent3 9 2 3 2 2" xfId="16848"/>
    <cellStyle name="40% - Accent3 9 2 3 2 2 2" xfId="34470"/>
    <cellStyle name="40% - Accent3 9 2 3 2 3" xfId="27433"/>
    <cellStyle name="40% - Accent3 9 2 3 3" xfId="13612"/>
    <cellStyle name="40% - Accent3 9 2 3 3 2" xfId="31238"/>
    <cellStyle name="40% - Accent3 9 2 3 4" xfId="24572"/>
    <cellStyle name="40% - Accent3 9 2 4" xfId="6392"/>
    <cellStyle name="40% - Accent3 9 2 4 2" xfId="9599"/>
    <cellStyle name="40% - Accent3 9 2 4 2 2" xfId="17387"/>
    <cellStyle name="40% - Accent3 9 2 4 2 2 2" xfId="35010"/>
    <cellStyle name="40% - Accent3 9 2 4 2 3" xfId="27969"/>
    <cellStyle name="40% - Accent3 9 2 4 3" xfId="14175"/>
    <cellStyle name="40% - Accent3 9 2 4 3 2" xfId="31796"/>
    <cellStyle name="40% - Accent3 9 2 4 4" xfId="25108"/>
    <cellStyle name="40% - Accent3 9 2 5" xfId="6929"/>
    <cellStyle name="40% - Accent3 9 2 5 2" xfId="10136"/>
    <cellStyle name="40% - Accent3 9 2 5 2 2" xfId="17923"/>
    <cellStyle name="40% - Accent3 9 2 5 2 2 2" xfId="35546"/>
    <cellStyle name="40% - Accent3 9 2 5 2 3" xfId="28505"/>
    <cellStyle name="40% - Accent3 9 2 5 3" xfId="14711"/>
    <cellStyle name="40% - Accent3 9 2 5 3 2" xfId="32332"/>
    <cellStyle name="40% - Accent3 9 2 5 4" xfId="25645"/>
    <cellStyle name="40% - Accent3 9 2 6" xfId="7748"/>
    <cellStyle name="40% - Accent3 9 2 6 2" xfId="15539"/>
    <cellStyle name="40% - Accent3 9 2 6 2 2" xfId="33160"/>
    <cellStyle name="40% - Accent3 9 2 6 3" xfId="26167"/>
    <cellStyle name="40% - Accent3 9 2 7" xfId="11406"/>
    <cellStyle name="40% - Accent3 9 2 7 2" xfId="29114"/>
    <cellStyle name="40% - Accent3 9 2 8" xfId="22725"/>
    <cellStyle name="40% - Accent3 9 2 8 2" xfId="38921"/>
    <cellStyle name="40% - Accent3 9 2 9" xfId="23306"/>
    <cellStyle name="40% - Accent3 9 3" xfId="716"/>
    <cellStyle name="40% - Accent3 9 3 10" xfId="23307"/>
    <cellStyle name="40% - Accent3 9 3 11" xfId="51848"/>
    <cellStyle name="40% - Accent3 9 3 2" xfId="717"/>
    <cellStyle name="40% - Accent3 9 3 2 2" xfId="3861"/>
    <cellStyle name="40% - Accent3 9 3 2 2 2" xfId="8425"/>
    <cellStyle name="40% - Accent3 9 3 2 2 2 2" xfId="16215"/>
    <cellStyle name="40% - Accent3 9 3 2 2 2 2 2" xfId="33836"/>
    <cellStyle name="40% - Accent3 9 3 2 2 2 3" xfId="26825"/>
    <cellStyle name="40% - Accent3 9 3 2 2 3" xfId="12571"/>
    <cellStyle name="40% - Accent3 9 3 2 2 3 2" xfId="30225"/>
    <cellStyle name="40% - Accent3 9 3 2 2 4" xfId="23964"/>
    <cellStyle name="40% - Accent3 9 3 2 3" xfId="5764"/>
    <cellStyle name="40% - Accent3 9 3 2 3 2" xfId="9061"/>
    <cellStyle name="40% - Accent3 9 3 2 3 2 2" xfId="16850"/>
    <cellStyle name="40% - Accent3 9 3 2 3 2 2 2" xfId="34472"/>
    <cellStyle name="40% - Accent3 9 3 2 3 2 3" xfId="27435"/>
    <cellStyle name="40% - Accent3 9 3 2 3 3" xfId="13614"/>
    <cellStyle name="40% - Accent3 9 3 2 3 3 2" xfId="31240"/>
    <cellStyle name="40% - Accent3 9 3 2 3 4" xfId="24574"/>
    <cellStyle name="40% - Accent3 9 3 2 4" xfId="6394"/>
    <cellStyle name="40% - Accent3 9 3 2 4 2" xfId="9601"/>
    <cellStyle name="40% - Accent3 9 3 2 4 2 2" xfId="17389"/>
    <cellStyle name="40% - Accent3 9 3 2 4 2 2 2" xfId="35012"/>
    <cellStyle name="40% - Accent3 9 3 2 4 2 3" xfId="27971"/>
    <cellStyle name="40% - Accent3 9 3 2 4 3" xfId="14177"/>
    <cellStyle name="40% - Accent3 9 3 2 4 3 2" xfId="31798"/>
    <cellStyle name="40% - Accent3 9 3 2 4 4" xfId="25110"/>
    <cellStyle name="40% - Accent3 9 3 2 5" xfId="6931"/>
    <cellStyle name="40% - Accent3 9 3 2 5 2" xfId="10138"/>
    <cellStyle name="40% - Accent3 9 3 2 5 2 2" xfId="17925"/>
    <cellStyle name="40% - Accent3 9 3 2 5 2 2 2" xfId="35548"/>
    <cellStyle name="40% - Accent3 9 3 2 5 2 3" xfId="28507"/>
    <cellStyle name="40% - Accent3 9 3 2 5 3" xfId="14713"/>
    <cellStyle name="40% - Accent3 9 3 2 5 3 2" xfId="32334"/>
    <cellStyle name="40% - Accent3 9 3 2 5 4" xfId="25647"/>
    <cellStyle name="40% - Accent3 9 3 2 6" xfId="7750"/>
    <cellStyle name="40% - Accent3 9 3 2 6 2" xfId="15541"/>
    <cellStyle name="40% - Accent3 9 3 2 6 2 2" xfId="33162"/>
    <cellStyle name="40% - Accent3 9 3 2 6 3" xfId="26169"/>
    <cellStyle name="40% - Accent3 9 3 2 7" xfId="11408"/>
    <cellStyle name="40% - Accent3 9 3 2 7 2" xfId="29116"/>
    <cellStyle name="40% - Accent3 9 3 2 8" xfId="23308"/>
    <cellStyle name="40% - Accent3 9 3 2 9" xfId="51849"/>
    <cellStyle name="40% - Accent3 9 3 3" xfId="3862"/>
    <cellStyle name="40% - Accent3 9 3 3 2" xfId="5765"/>
    <cellStyle name="40% - Accent3 9 3 3 2 2" xfId="9062"/>
    <cellStyle name="40% - Accent3 9 3 3 2 2 2" xfId="16851"/>
    <cellStyle name="40% - Accent3 9 3 3 2 2 2 2" xfId="34473"/>
    <cellStyle name="40% - Accent3 9 3 3 2 2 3" xfId="27436"/>
    <cellStyle name="40% - Accent3 9 3 3 2 3" xfId="13615"/>
    <cellStyle name="40% - Accent3 9 3 3 2 3 2" xfId="31241"/>
    <cellStyle name="40% - Accent3 9 3 3 2 4" xfId="24575"/>
    <cellStyle name="40% - Accent3 9 3 3 3" xfId="6395"/>
    <cellStyle name="40% - Accent3 9 3 3 3 2" xfId="9602"/>
    <cellStyle name="40% - Accent3 9 3 3 3 2 2" xfId="17390"/>
    <cellStyle name="40% - Accent3 9 3 3 3 2 2 2" xfId="35013"/>
    <cellStyle name="40% - Accent3 9 3 3 3 2 3" xfId="27972"/>
    <cellStyle name="40% - Accent3 9 3 3 3 3" xfId="14178"/>
    <cellStyle name="40% - Accent3 9 3 3 3 3 2" xfId="31799"/>
    <cellStyle name="40% - Accent3 9 3 3 3 4" xfId="25111"/>
    <cellStyle name="40% - Accent3 9 3 3 4" xfId="6932"/>
    <cellStyle name="40% - Accent3 9 3 3 4 2" xfId="10139"/>
    <cellStyle name="40% - Accent3 9 3 3 4 2 2" xfId="17926"/>
    <cellStyle name="40% - Accent3 9 3 3 4 2 2 2" xfId="35549"/>
    <cellStyle name="40% - Accent3 9 3 3 4 2 3" xfId="28508"/>
    <cellStyle name="40% - Accent3 9 3 3 4 3" xfId="14714"/>
    <cellStyle name="40% - Accent3 9 3 3 4 3 2" xfId="32335"/>
    <cellStyle name="40% - Accent3 9 3 3 4 4" xfId="25648"/>
    <cellStyle name="40% - Accent3 9 3 3 5" xfId="8426"/>
    <cellStyle name="40% - Accent3 9 3 3 5 2" xfId="16216"/>
    <cellStyle name="40% - Accent3 9 3 3 5 2 2" xfId="33837"/>
    <cellStyle name="40% - Accent3 9 3 3 5 3" xfId="26826"/>
    <cellStyle name="40% - Accent3 9 3 3 6" xfId="12572"/>
    <cellStyle name="40% - Accent3 9 3 3 6 2" xfId="30226"/>
    <cellStyle name="40% - Accent3 9 3 3 7" xfId="23965"/>
    <cellStyle name="40% - Accent3 9 3 4" xfId="3860"/>
    <cellStyle name="40% - Accent3 9 3 4 2" xfId="8424"/>
    <cellStyle name="40% - Accent3 9 3 4 2 2" xfId="16214"/>
    <cellStyle name="40% - Accent3 9 3 4 2 2 2" xfId="33835"/>
    <cellStyle name="40% - Accent3 9 3 4 2 3" xfId="26824"/>
    <cellStyle name="40% - Accent3 9 3 4 3" xfId="12570"/>
    <cellStyle name="40% - Accent3 9 3 4 3 2" xfId="30224"/>
    <cellStyle name="40% - Accent3 9 3 4 4" xfId="23963"/>
    <cellStyle name="40% - Accent3 9 3 5" xfId="5763"/>
    <cellStyle name="40% - Accent3 9 3 5 2" xfId="9060"/>
    <cellStyle name="40% - Accent3 9 3 5 2 2" xfId="16849"/>
    <cellStyle name="40% - Accent3 9 3 5 2 2 2" xfId="34471"/>
    <cellStyle name="40% - Accent3 9 3 5 2 3" xfId="27434"/>
    <cellStyle name="40% - Accent3 9 3 5 3" xfId="13613"/>
    <cellStyle name="40% - Accent3 9 3 5 3 2" xfId="31239"/>
    <cellStyle name="40% - Accent3 9 3 5 4" xfId="24573"/>
    <cellStyle name="40% - Accent3 9 3 6" xfId="6393"/>
    <cellStyle name="40% - Accent3 9 3 6 2" xfId="9600"/>
    <cellStyle name="40% - Accent3 9 3 6 2 2" xfId="17388"/>
    <cellStyle name="40% - Accent3 9 3 6 2 2 2" xfId="35011"/>
    <cellStyle name="40% - Accent3 9 3 6 2 3" xfId="27970"/>
    <cellStyle name="40% - Accent3 9 3 6 3" xfId="14176"/>
    <cellStyle name="40% - Accent3 9 3 6 3 2" xfId="31797"/>
    <cellStyle name="40% - Accent3 9 3 6 4" xfId="25109"/>
    <cellStyle name="40% - Accent3 9 3 7" xfId="6930"/>
    <cellStyle name="40% - Accent3 9 3 7 2" xfId="10137"/>
    <cellStyle name="40% - Accent3 9 3 7 2 2" xfId="17924"/>
    <cellStyle name="40% - Accent3 9 3 7 2 2 2" xfId="35547"/>
    <cellStyle name="40% - Accent3 9 3 7 2 3" xfId="28506"/>
    <cellStyle name="40% - Accent3 9 3 7 3" xfId="14712"/>
    <cellStyle name="40% - Accent3 9 3 7 3 2" xfId="32333"/>
    <cellStyle name="40% - Accent3 9 3 7 4" xfId="25646"/>
    <cellStyle name="40% - Accent3 9 3 8" xfId="7749"/>
    <cellStyle name="40% - Accent3 9 3 8 2" xfId="15540"/>
    <cellStyle name="40% - Accent3 9 3 8 2 2" xfId="33161"/>
    <cellStyle name="40% - Accent3 9 3 8 3" xfId="26168"/>
    <cellStyle name="40% - Accent3 9 3 9" xfId="11407"/>
    <cellStyle name="40% - Accent3 9 3 9 2" xfId="29115"/>
    <cellStyle name="40% - Accent3 9 4" xfId="718"/>
    <cellStyle name="40% - Accent3 9 4 2" xfId="3863"/>
    <cellStyle name="40% - Accent3 9 4 2 2" xfId="8427"/>
    <cellStyle name="40% - Accent3 9 4 2 2 2" xfId="16217"/>
    <cellStyle name="40% - Accent3 9 4 2 2 2 2" xfId="33838"/>
    <cellStyle name="40% - Accent3 9 4 2 2 3" xfId="26827"/>
    <cellStyle name="40% - Accent3 9 4 2 3" xfId="12573"/>
    <cellStyle name="40% - Accent3 9 4 2 3 2" xfId="30227"/>
    <cellStyle name="40% - Accent3 9 4 2 4" xfId="23966"/>
    <cellStyle name="40% - Accent3 9 4 3" xfId="5766"/>
    <cellStyle name="40% - Accent3 9 4 3 2" xfId="9063"/>
    <cellStyle name="40% - Accent3 9 4 3 2 2" xfId="16852"/>
    <cellStyle name="40% - Accent3 9 4 3 2 2 2" xfId="34474"/>
    <cellStyle name="40% - Accent3 9 4 3 2 3" xfId="27437"/>
    <cellStyle name="40% - Accent3 9 4 3 3" xfId="13616"/>
    <cellStyle name="40% - Accent3 9 4 3 3 2" xfId="31242"/>
    <cellStyle name="40% - Accent3 9 4 3 4" xfId="24576"/>
    <cellStyle name="40% - Accent3 9 4 4" xfId="6396"/>
    <cellStyle name="40% - Accent3 9 4 4 2" xfId="9603"/>
    <cellStyle name="40% - Accent3 9 4 4 2 2" xfId="17391"/>
    <cellStyle name="40% - Accent3 9 4 4 2 2 2" xfId="35014"/>
    <cellStyle name="40% - Accent3 9 4 4 2 3" xfId="27973"/>
    <cellStyle name="40% - Accent3 9 4 4 3" xfId="14179"/>
    <cellStyle name="40% - Accent3 9 4 4 3 2" xfId="31800"/>
    <cellStyle name="40% - Accent3 9 4 4 4" xfId="25112"/>
    <cellStyle name="40% - Accent3 9 4 5" xfId="6933"/>
    <cellStyle name="40% - Accent3 9 4 5 2" xfId="10140"/>
    <cellStyle name="40% - Accent3 9 4 5 2 2" xfId="17927"/>
    <cellStyle name="40% - Accent3 9 4 5 2 2 2" xfId="35550"/>
    <cellStyle name="40% - Accent3 9 4 5 2 3" xfId="28509"/>
    <cellStyle name="40% - Accent3 9 4 5 3" xfId="14715"/>
    <cellStyle name="40% - Accent3 9 4 5 3 2" xfId="32336"/>
    <cellStyle name="40% - Accent3 9 4 5 4" xfId="25649"/>
    <cellStyle name="40% - Accent3 9 4 6" xfId="7751"/>
    <cellStyle name="40% - Accent3 9 4 6 2" xfId="15542"/>
    <cellStyle name="40% - Accent3 9 4 6 2 2" xfId="33163"/>
    <cellStyle name="40% - Accent3 9 4 6 3" xfId="26170"/>
    <cellStyle name="40% - Accent3 9 4 7" xfId="11409"/>
    <cellStyle name="40% - Accent3 9 4 7 2" xfId="29117"/>
    <cellStyle name="40% - Accent3 9 4 8" xfId="23309"/>
    <cellStyle name="40% - Accent3 9 4 9" xfId="51850"/>
    <cellStyle name="40% - Accent3 9 5" xfId="719"/>
    <cellStyle name="40% - Accent3 9 5 2" xfId="3864"/>
    <cellStyle name="40% - Accent3 9 5 2 2" xfId="8428"/>
    <cellStyle name="40% - Accent3 9 5 2 2 2" xfId="16218"/>
    <cellStyle name="40% - Accent3 9 5 2 2 2 2" xfId="33839"/>
    <cellStyle name="40% - Accent3 9 5 2 2 3" xfId="26828"/>
    <cellStyle name="40% - Accent3 9 5 2 3" xfId="12574"/>
    <cellStyle name="40% - Accent3 9 5 2 3 2" xfId="30228"/>
    <cellStyle name="40% - Accent3 9 5 2 4" xfId="23967"/>
    <cellStyle name="40% - Accent3 9 5 3" xfId="5767"/>
    <cellStyle name="40% - Accent3 9 5 3 2" xfId="9064"/>
    <cellStyle name="40% - Accent3 9 5 3 2 2" xfId="16853"/>
    <cellStyle name="40% - Accent3 9 5 3 2 2 2" xfId="34475"/>
    <cellStyle name="40% - Accent3 9 5 3 2 3" xfId="27438"/>
    <cellStyle name="40% - Accent3 9 5 3 3" xfId="13617"/>
    <cellStyle name="40% - Accent3 9 5 3 3 2" xfId="31243"/>
    <cellStyle name="40% - Accent3 9 5 3 4" xfId="24577"/>
    <cellStyle name="40% - Accent3 9 5 4" xfId="6397"/>
    <cellStyle name="40% - Accent3 9 5 4 2" xfId="9604"/>
    <cellStyle name="40% - Accent3 9 5 4 2 2" xfId="17392"/>
    <cellStyle name="40% - Accent3 9 5 4 2 2 2" xfId="35015"/>
    <cellStyle name="40% - Accent3 9 5 4 2 3" xfId="27974"/>
    <cellStyle name="40% - Accent3 9 5 4 3" xfId="14180"/>
    <cellStyle name="40% - Accent3 9 5 4 3 2" xfId="31801"/>
    <cellStyle name="40% - Accent3 9 5 4 4" xfId="25113"/>
    <cellStyle name="40% - Accent3 9 5 5" xfId="6934"/>
    <cellStyle name="40% - Accent3 9 5 5 2" xfId="10141"/>
    <cellStyle name="40% - Accent3 9 5 5 2 2" xfId="17928"/>
    <cellStyle name="40% - Accent3 9 5 5 2 2 2" xfId="35551"/>
    <cellStyle name="40% - Accent3 9 5 5 2 3" xfId="28510"/>
    <cellStyle name="40% - Accent3 9 5 5 3" xfId="14716"/>
    <cellStyle name="40% - Accent3 9 5 5 3 2" xfId="32337"/>
    <cellStyle name="40% - Accent3 9 5 5 4" xfId="25650"/>
    <cellStyle name="40% - Accent3 9 5 6" xfId="7752"/>
    <cellStyle name="40% - Accent3 9 5 6 2" xfId="15543"/>
    <cellStyle name="40% - Accent3 9 5 6 2 2" xfId="33164"/>
    <cellStyle name="40% - Accent3 9 5 6 3" xfId="26171"/>
    <cellStyle name="40% - Accent3 9 5 7" xfId="11410"/>
    <cellStyle name="40% - Accent3 9 5 7 2" xfId="29118"/>
    <cellStyle name="40% - Accent3 9 5 8" xfId="23310"/>
    <cellStyle name="40% - Accent3 9 5 9" xfId="51851"/>
    <cellStyle name="40% - Accent3 9 6" xfId="720"/>
    <cellStyle name="40% - Accent3 9 6 2" xfId="3865"/>
    <cellStyle name="40% - Accent3 9 6 2 2" xfId="8429"/>
    <cellStyle name="40% - Accent3 9 6 2 2 2" xfId="16219"/>
    <cellStyle name="40% - Accent3 9 6 2 2 2 2" xfId="33840"/>
    <cellStyle name="40% - Accent3 9 6 2 2 3" xfId="26829"/>
    <cellStyle name="40% - Accent3 9 6 2 3" xfId="12575"/>
    <cellStyle name="40% - Accent3 9 6 2 3 2" xfId="30229"/>
    <cellStyle name="40% - Accent3 9 6 2 4" xfId="23968"/>
    <cellStyle name="40% - Accent3 9 6 3" xfId="5768"/>
    <cellStyle name="40% - Accent3 9 6 3 2" xfId="9065"/>
    <cellStyle name="40% - Accent3 9 6 3 2 2" xfId="16854"/>
    <cellStyle name="40% - Accent3 9 6 3 2 2 2" xfId="34476"/>
    <cellStyle name="40% - Accent3 9 6 3 2 3" xfId="27439"/>
    <cellStyle name="40% - Accent3 9 6 3 3" xfId="13618"/>
    <cellStyle name="40% - Accent3 9 6 3 3 2" xfId="31244"/>
    <cellStyle name="40% - Accent3 9 6 3 4" xfId="24578"/>
    <cellStyle name="40% - Accent3 9 6 4" xfId="6398"/>
    <cellStyle name="40% - Accent3 9 6 4 2" xfId="9605"/>
    <cellStyle name="40% - Accent3 9 6 4 2 2" xfId="17393"/>
    <cellStyle name="40% - Accent3 9 6 4 2 2 2" xfId="35016"/>
    <cellStyle name="40% - Accent3 9 6 4 2 3" xfId="27975"/>
    <cellStyle name="40% - Accent3 9 6 4 3" xfId="14181"/>
    <cellStyle name="40% - Accent3 9 6 4 3 2" xfId="31802"/>
    <cellStyle name="40% - Accent3 9 6 4 4" xfId="25114"/>
    <cellStyle name="40% - Accent3 9 6 5" xfId="6935"/>
    <cellStyle name="40% - Accent3 9 6 5 2" xfId="10142"/>
    <cellStyle name="40% - Accent3 9 6 5 2 2" xfId="17929"/>
    <cellStyle name="40% - Accent3 9 6 5 2 2 2" xfId="35552"/>
    <cellStyle name="40% - Accent3 9 6 5 2 3" xfId="28511"/>
    <cellStyle name="40% - Accent3 9 6 5 3" xfId="14717"/>
    <cellStyle name="40% - Accent3 9 6 5 3 2" xfId="32338"/>
    <cellStyle name="40% - Accent3 9 6 5 4" xfId="25651"/>
    <cellStyle name="40% - Accent3 9 6 6" xfId="7753"/>
    <cellStyle name="40% - Accent3 9 6 6 2" xfId="15544"/>
    <cellStyle name="40% - Accent3 9 6 6 2 2" xfId="33165"/>
    <cellStyle name="40% - Accent3 9 6 6 3" xfId="26172"/>
    <cellStyle name="40% - Accent3 9 6 7" xfId="11411"/>
    <cellStyle name="40% - Accent3 9 6 7 2" xfId="29119"/>
    <cellStyle name="40% - Accent3 9 6 8" xfId="23311"/>
    <cellStyle name="40% - Accent3 9 6 9" xfId="51852"/>
    <cellStyle name="40% - Accent3 9 7" xfId="721"/>
    <cellStyle name="40% - Accent3 9 7 10" xfId="51853"/>
    <cellStyle name="40% - Accent3 9 7 2" xfId="722"/>
    <cellStyle name="40% - Accent3 9 7 2 2" xfId="8431"/>
    <cellStyle name="40% - Accent3 9 7 2 2 2" xfId="16221"/>
    <cellStyle name="40% - Accent3 9 7 2 2 2 2" xfId="33842"/>
    <cellStyle name="40% - Accent3 9 7 2 2 3" xfId="26831"/>
    <cellStyle name="40% - Accent3 9 7 2 3" xfId="12577"/>
    <cellStyle name="40% - Accent3 9 7 2 3 2" xfId="30231"/>
    <cellStyle name="40% - Accent3 9 7 2 4" xfId="23970"/>
    <cellStyle name="40% - Accent3 9 7 3" xfId="3866"/>
    <cellStyle name="40% - Accent3 9 7 3 2" xfId="8430"/>
    <cellStyle name="40% - Accent3 9 7 3 2 2" xfId="16220"/>
    <cellStyle name="40% - Accent3 9 7 3 2 2 2" xfId="33841"/>
    <cellStyle name="40% - Accent3 9 7 3 2 3" xfId="26830"/>
    <cellStyle name="40% - Accent3 9 7 3 3" xfId="12576"/>
    <cellStyle name="40% - Accent3 9 7 3 3 2" xfId="30230"/>
    <cellStyle name="40% - Accent3 9 7 3 4" xfId="23969"/>
    <cellStyle name="40% - Accent3 9 7 4" xfId="5769"/>
    <cellStyle name="40% - Accent3 9 7 4 2" xfId="9066"/>
    <cellStyle name="40% - Accent3 9 7 4 2 2" xfId="16855"/>
    <cellStyle name="40% - Accent3 9 7 4 2 2 2" xfId="34477"/>
    <cellStyle name="40% - Accent3 9 7 4 2 3" xfId="27440"/>
    <cellStyle name="40% - Accent3 9 7 4 3" xfId="13619"/>
    <cellStyle name="40% - Accent3 9 7 4 3 2" xfId="31245"/>
    <cellStyle name="40% - Accent3 9 7 4 4" xfId="24579"/>
    <cellStyle name="40% - Accent3 9 7 5" xfId="6399"/>
    <cellStyle name="40% - Accent3 9 7 5 2" xfId="9606"/>
    <cellStyle name="40% - Accent3 9 7 5 2 2" xfId="17394"/>
    <cellStyle name="40% - Accent3 9 7 5 2 2 2" xfId="35017"/>
    <cellStyle name="40% - Accent3 9 7 5 2 3" xfId="27976"/>
    <cellStyle name="40% - Accent3 9 7 5 3" xfId="14182"/>
    <cellStyle name="40% - Accent3 9 7 5 3 2" xfId="31803"/>
    <cellStyle name="40% - Accent3 9 7 5 4" xfId="25115"/>
    <cellStyle name="40% - Accent3 9 7 6" xfId="6936"/>
    <cellStyle name="40% - Accent3 9 7 6 2" xfId="10143"/>
    <cellStyle name="40% - Accent3 9 7 6 2 2" xfId="17930"/>
    <cellStyle name="40% - Accent3 9 7 6 2 2 2" xfId="35553"/>
    <cellStyle name="40% - Accent3 9 7 6 2 3" xfId="28512"/>
    <cellStyle name="40% - Accent3 9 7 6 3" xfId="14718"/>
    <cellStyle name="40% - Accent3 9 7 6 3 2" xfId="32339"/>
    <cellStyle name="40% - Accent3 9 7 6 4" xfId="25652"/>
    <cellStyle name="40% - Accent3 9 7 7" xfId="7754"/>
    <cellStyle name="40% - Accent3 9 7 7 2" xfId="15545"/>
    <cellStyle name="40% - Accent3 9 7 7 2 2" xfId="33166"/>
    <cellStyle name="40% - Accent3 9 7 7 3" xfId="26173"/>
    <cellStyle name="40% - Accent3 9 7 8" xfId="11412"/>
    <cellStyle name="40% - Accent3 9 7 8 2" xfId="29120"/>
    <cellStyle name="40% - Accent3 9 7 9" xfId="23312"/>
    <cellStyle name="40% - Accent3 9 8" xfId="3867"/>
    <cellStyle name="40% - Accent3 9 8 2" xfId="8432"/>
    <cellStyle name="40% - Accent3 9 8 2 2" xfId="16222"/>
    <cellStyle name="40% - Accent3 9 8 2 2 2" xfId="33843"/>
    <cellStyle name="40% - Accent3 9 8 2 3" xfId="26832"/>
    <cellStyle name="40% - Accent3 9 8 3" xfId="12578"/>
    <cellStyle name="40% - Accent3 9 8 3 2" xfId="30232"/>
    <cellStyle name="40% - Accent3 9 8 4" xfId="23971"/>
    <cellStyle name="40% - Accent3 9 9" xfId="3868"/>
    <cellStyle name="40% - Accent3 9 9 2" xfId="8433"/>
    <cellStyle name="40% - Accent3 9 9 2 2" xfId="16223"/>
    <cellStyle name="40% - Accent3 9 9 2 2 2" xfId="33844"/>
    <cellStyle name="40% - Accent3 9 9 2 3" xfId="26833"/>
    <cellStyle name="40% - Accent3 9 9 3" xfId="12579"/>
    <cellStyle name="40% - Accent3 9 9 3 2" xfId="30233"/>
    <cellStyle name="40% - Accent3 9 9 4" xfId="23972"/>
    <cellStyle name="40% - Accent4 10" xfId="723"/>
    <cellStyle name="40% - Accent4 10 2" xfId="724"/>
    <cellStyle name="40% - Accent4 10 3" xfId="725"/>
    <cellStyle name="40% - Accent4 10 3 2" xfId="8434"/>
    <cellStyle name="40% - Accent4 10 3 2 2" xfId="16224"/>
    <cellStyle name="40% - Accent4 10 3 2 2 2" xfId="33845"/>
    <cellStyle name="40% - Accent4 10 3 2 3" xfId="26834"/>
    <cellStyle name="40% - Accent4 10 3 3" xfId="12580"/>
    <cellStyle name="40% - Accent4 10 3 3 2" xfId="30234"/>
    <cellStyle name="40% - Accent4 10 3 4" xfId="23973"/>
    <cellStyle name="40% - Accent4 10 3 5" xfId="51854"/>
    <cellStyle name="40% - Accent4 10 4" xfId="7755"/>
    <cellStyle name="40% - Accent4 10 4 2" xfId="15546"/>
    <cellStyle name="40% - Accent4 10 4 2 2" xfId="33167"/>
    <cellStyle name="40% - Accent4 10 4 3" xfId="26174"/>
    <cellStyle name="40% - Accent4 10 5" xfId="11413"/>
    <cellStyle name="40% - Accent4 10 5 2" xfId="29121"/>
    <cellStyle name="40% - Accent4 10 6" xfId="22117"/>
    <cellStyle name="40% - Accent4 10 6 2" xfId="38783"/>
    <cellStyle name="40% - Accent4 10 7" xfId="23313"/>
    <cellStyle name="40% - Accent4 11" xfId="726"/>
    <cellStyle name="40% - Accent4 11 10" xfId="51855"/>
    <cellStyle name="40% - Accent4 11 2" xfId="3869"/>
    <cellStyle name="40% - Accent4 11 2 2" xfId="8435"/>
    <cellStyle name="40% - Accent4 11 2 2 2" xfId="16225"/>
    <cellStyle name="40% - Accent4 11 2 2 2 2" xfId="33846"/>
    <cellStyle name="40% - Accent4 11 2 2 3" xfId="26835"/>
    <cellStyle name="40% - Accent4 11 2 3" xfId="12581"/>
    <cellStyle name="40% - Accent4 11 2 3 2" xfId="30235"/>
    <cellStyle name="40% - Accent4 11 2 4" xfId="23974"/>
    <cellStyle name="40% - Accent4 11 3" xfId="5770"/>
    <cellStyle name="40% - Accent4 11 3 2" xfId="9067"/>
    <cellStyle name="40% - Accent4 11 3 2 2" xfId="16856"/>
    <cellStyle name="40% - Accent4 11 3 2 2 2" xfId="34478"/>
    <cellStyle name="40% - Accent4 11 3 2 3" xfId="27441"/>
    <cellStyle name="40% - Accent4 11 3 3" xfId="13620"/>
    <cellStyle name="40% - Accent4 11 3 3 2" xfId="31246"/>
    <cellStyle name="40% - Accent4 11 3 4" xfId="24580"/>
    <cellStyle name="40% - Accent4 11 4" xfId="6400"/>
    <cellStyle name="40% - Accent4 11 4 2" xfId="9607"/>
    <cellStyle name="40% - Accent4 11 4 2 2" xfId="17395"/>
    <cellStyle name="40% - Accent4 11 4 2 2 2" xfId="35018"/>
    <cellStyle name="40% - Accent4 11 4 2 3" xfId="27977"/>
    <cellStyle name="40% - Accent4 11 4 3" xfId="14183"/>
    <cellStyle name="40% - Accent4 11 4 3 2" xfId="31804"/>
    <cellStyle name="40% - Accent4 11 4 4" xfId="25116"/>
    <cellStyle name="40% - Accent4 11 5" xfId="6937"/>
    <cellStyle name="40% - Accent4 11 5 2" xfId="10144"/>
    <cellStyle name="40% - Accent4 11 5 2 2" xfId="17931"/>
    <cellStyle name="40% - Accent4 11 5 2 2 2" xfId="35554"/>
    <cellStyle name="40% - Accent4 11 5 2 3" xfId="28513"/>
    <cellStyle name="40% - Accent4 11 5 3" xfId="14719"/>
    <cellStyle name="40% - Accent4 11 5 3 2" xfId="32340"/>
    <cellStyle name="40% - Accent4 11 5 4" xfId="25653"/>
    <cellStyle name="40% - Accent4 11 6" xfId="7756"/>
    <cellStyle name="40% - Accent4 11 6 2" xfId="15547"/>
    <cellStyle name="40% - Accent4 11 6 2 2" xfId="33168"/>
    <cellStyle name="40% - Accent4 11 6 3" xfId="26175"/>
    <cellStyle name="40% - Accent4 11 7" xfId="11414"/>
    <cellStyle name="40% - Accent4 11 7 2" xfId="29122"/>
    <cellStyle name="40% - Accent4 11 8" xfId="22118"/>
    <cellStyle name="40% - Accent4 11 8 2" xfId="38784"/>
    <cellStyle name="40% - Accent4 11 9" xfId="23314"/>
    <cellStyle name="40% - Accent4 12" xfId="18863"/>
    <cellStyle name="40% - Accent4 12 2" xfId="22120"/>
    <cellStyle name="40% - Accent4 12 2 2" xfId="38786"/>
    <cellStyle name="40% - Accent4 12 3" xfId="22119"/>
    <cellStyle name="40% - Accent4 12 3 2" xfId="38785"/>
    <cellStyle name="40% - Accent4 12 4" xfId="36486"/>
    <cellStyle name="40% - Accent4 13" xfId="15291"/>
    <cellStyle name="40% - Accent4 13 2" xfId="22121"/>
    <cellStyle name="40% - Accent4 13 2 2" xfId="38787"/>
    <cellStyle name="40% - Accent4 13 3" xfId="32912"/>
    <cellStyle name="40% - Accent4 14" xfId="22122"/>
    <cellStyle name="40% - Accent4 15" xfId="22674"/>
    <cellStyle name="40% - Accent4 15 2" xfId="38880"/>
    <cellStyle name="40% - Accent4 16" xfId="22116"/>
    <cellStyle name="40% - Accent4 17" xfId="23061"/>
    <cellStyle name="40% - Accent4 18" xfId="51459"/>
    <cellStyle name="40% - Accent4 19" xfId="51472"/>
    <cellStyle name="40% - Accent4 2" xfId="28"/>
    <cellStyle name="40% - Accent4 2 10" xfId="728"/>
    <cellStyle name="40% - Accent4 2 11" xfId="729"/>
    <cellStyle name="40% - Accent4 2 12" xfId="730"/>
    <cellStyle name="40% - Accent4 2 13" xfId="731"/>
    <cellStyle name="40% - Accent4 2 14" xfId="732"/>
    <cellStyle name="40% - Accent4 2 15" xfId="3870"/>
    <cellStyle name="40% - Accent4 2 16" xfId="3871"/>
    <cellStyle name="40% - Accent4 2 17" xfId="3872"/>
    <cellStyle name="40% - Accent4 2 18" xfId="727"/>
    <cellStyle name="40% - Accent4 2 2" xfId="733"/>
    <cellStyle name="40% - Accent4 2 2 2" xfId="734"/>
    <cellStyle name="40% - Accent4 2 2 3" xfId="735"/>
    <cellStyle name="40% - Accent4 2 2 4" xfId="3873"/>
    <cellStyle name="40% - Accent4 2 2 5" xfId="3874"/>
    <cellStyle name="40% - Accent4 2 2_Sheet1" xfId="736"/>
    <cellStyle name="40% - Accent4 2 3" xfId="737"/>
    <cellStyle name="40% - Accent4 2 4" xfId="738"/>
    <cellStyle name="40% - Accent4 2 5" xfId="739"/>
    <cellStyle name="40% - Accent4 2 6" xfId="740"/>
    <cellStyle name="40% - Accent4 2 7" xfId="741"/>
    <cellStyle name="40% - Accent4 2 8" xfId="742"/>
    <cellStyle name="40% - Accent4 2 9" xfId="743"/>
    <cellStyle name="40% - Accent4 2_BallGrid" xfId="744"/>
    <cellStyle name="40% - Accent4 20" xfId="51485"/>
    <cellStyle name="40% - Accent4 3" xfId="29"/>
    <cellStyle name="40% - Accent4 3 10" xfId="745"/>
    <cellStyle name="40% - Accent4 3 2" xfId="746"/>
    <cellStyle name="40% - Accent4 3 3" xfId="747"/>
    <cellStyle name="40% - Accent4 3 4" xfId="748"/>
    <cellStyle name="40% - Accent4 3 5" xfId="749"/>
    <cellStyle name="40% - Accent4 3 6" xfId="750"/>
    <cellStyle name="40% - Accent4 3 7" xfId="3875"/>
    <cellStyle name="40% - Accent4 3 8" xfId="3876"/>
    <cellStyle name="40% - Accent4 3 9" xfId="3877"/>
    <cellStyle name="40% - Accent4 3_BallGrid" xfId="751"/>
    <cellStyle name="40% - Accent4 4" xfId="30"/>
    <cellStyle name="40% - Accent4 4 2" xfId="753"/>
    <cellStyle name="40% - Accent4 4 2 2" xfId="22837"/>
    <cellStyle name="40% - Accent4 4 3" xfId="754"/>
    <cellStyle name="40% - Accent4 4 3 2" xfId="22123"/>
    <cellStyle name="40% - Accent4 4 4" xfId="755"/>
    <cellStyle name="40% - Accent4 4 5" xfId="756"/>
    <cellStyle name="40% - Accent4 4 6" xfId="3878"/>
    <cellStyle name="40% - Accent4 4 7" xfId="3879"/>
    <cellStyle name="40% - Accent4 4 8" xfId="3880"/>
    <cellStyle name="40% - Accent4 4 9" xfId="752"/>
    <cellStyle name="40% - Accent4 5" xfId="757"/>
    <cellStyle name="40% - Accent4 5 10" xfId="21938"/>
    <cellStyle name="40% - Accent4 5 10 2" xfId="38677"/>
    <cellStyle name="40% - Accent4 5 11" xfId="23315"/>
    <cellStyle name="40% - Accent4 5 12" xfId="51856"/>
    <cellStyle name="40% - Accent4 5 2" xfId="3882"/>
    <cellStyle name="40% - Accent4 5 2 2" xfId="8437"/>
    <cellStyle name="40% - Accent4 5 2 2 2" xfId="16227"/>
    <cellStyle name="40% - Accent4 5 2 2 2 2" xfId="33848"/>
    <cellStyle name="40% - Accent4 5 2 2 3" xfId="26837"/>
    <cellStyle name="40% - Accent4 5 2 3" xfId="12584"/>
    <cellStyle name="40% - Accent4 5 2 3 2" xfId="30237"/>
    <cellStyle name="40% - Accent4 5 2 4" xfId="22838"/>
    <cellStyle name="40% - Accent4 5 2 4 2" xfId="38997"/>
    <cellStyle name="40% - Accent4 5 2 5" xfId="23976"/>
    <cellStyle name="40% - Accent4 5 3" xfId="3883"/>
    <cellStyle name="40% - Accent4 5 3 2" xfId="22124"/>
    <cellStyle name="40% - Accent4 5 4" xfId="3881"/>
    <cellStyle name="40% - Accent4 5 4 2" xfId="8436"/>
    <cellStyle name="40% - Accent4 5 4 2 2" xfId="16226"/>
    <cellStyle name="40% - Accent4 5 4 2 2 2" xfId="33847"/>
    <cellStyle name="40% - Accent4 5 4 2 3" xfId="26836"/>
    <cellStyle name="40% - Accent4 5 4 3" xfId="12583"/>
    <cellStyle name="40% - Accent4 5 4 3 2" xfId="30236"/>
    <cellStyle name="40% - Accent4 5 4 4" xfId="23975"/>
    <cellStyle name="40% - Accent4 5 5" xfId="5771"/>
    <cellStyle name="40% - Accent4 5 5 2" xfId="9068"/>
    <cellStyle name="40% - Accent4 5 5 2 2" xfId="16857"/>
    <cellStyle name="40% - Accent4 5 5 2 2 2" xfId="34479"/>
    <cellStyle name="40% - Accent4 5 5 2 3" xfId="27442"/>
    <cellStyle name="40% - Accent4 5 5 3" xfId="13621"/>
    <cellStyle name="40% - Accent4 5 5 3 2" xfId="31247"/>
    <cellStyle name="40% - Accent4 5 5 4" xfId="24581"/>
    <cellStyle name="40% - Accent4 5 6" xfId="6401"/>
    <cellStyle name="40% - Accent4 5 6 2" xfId="9608"/>
    <cellStyle name="40% - Accent4 5 6 2 2" xfId="17396"/>
    <cellStyle name="40% - Accent4 5 6 2 2 2" xfId="35019"/>
    <cellStyle name="40% - Accent4 5 6 2 3" xfId="27978"/>
    <cellStyle name="40% - Accent4 5 6 3" xfId="14184"/>
    <cellStyle name="40% - Accent4 5 6 3 2" xfId="31805"/>
    <cellStyle name="40% - Accent4 5 6 4" xfId="25117"/>
    <cellStyle name="40% - Accent4 5 7" xfId="6938"/>
    <cellStyle name="40% - Accent4 5 7 2" xfId="10145"/>
    <cellStyle name="40% - Accent4 5 7 2 2" xfId="17932"/>
    <cellStyle name="40% - Accent4 5 7 2 2 2" xfId="35555"/>
    <cellStyle name="40% - Accent4 5 7 2 3" xfId="28514"/>
    <cellStyle name="40% - Accent4 5 7 3" xfId="14720"/>
    <cellStyle name="40% - Accent4 5 7 3 2" xfId="32341"/>
    <cellStyle name="40% - Accent4 5 7 4" xfId="25654"/>
    <cellStyle name="40% - Accent4 5 8" xfId="7757"/>
    <cellStyle name="40% - Accent4 5 8 2" xfId="15548"/>
    <cellStyle name="40% - Accent4 5 8 2 2" xfId="33169"/>
    <cellStyle name="40% - Accent4 5 8 3" xfId="26176"/>
    <cellStyle name="40% - Accent4 5 9" xfId="11422"/>
    <cellStyle name="40% - Accent4 5 9 2" xfId="29129"/>
    <cellStyle name="40% - Accent4 6" xfId="758"/>
    <cellStyle name="40% - Accent4 6 10" xfId="51857"/>
    <cellStyle name="40% - Accent4 6 2" xfId="3884"/>
    <cellStyle name="40% - Accent4 6 2 2" xfId="8438"/>
    <cellStyle name="40% - Accent4 6 2 2 2" xfId="16228"/>
    <cellStyle name="40% - Accent4 6 2 2 2 2" xfId="33849"/>
    <cellStyle name="40% - Accent4 6 2 2 3" xfId="26838"/>
    <cellStyle name="40% - Accent4 6 2 3" xfId="12585"/>
    <cellStyle name="40% - Accent4 6 2 3 2" xfId="30238"/>
    <cellStyle name="40% - Accent4 6 2 4" xfId="22839"/>
    <cellStyle name="40% - Accent4 6 2 4 2" xfId="38998"/>
    <cellStyle name="40% - Accent4 6 2 5" xfId="23977"/>
    <cellStyle name="40% - Accent4 6 3" xfId="5772"/>
    <cellStyle name="40% - Accent4 6 3 2" xfId="9069"/>
    <cellStyle name="40% - Accent4 6 3 2 2" xfId="16858"/>
    <cellStyle name="40% - Accent4 6 3 2 2 2" xfId="34480"/>
    <cellStyle name="40% - Accent4 6 3 2 3" xfId="27443"/>
    <cellStyle name="40% - Accent4 6 3 3" xfId="13622"/>
    <cellStyle name="40% - Accent4 6 3 3 2" xfId="31248"/>
    <cellStyle name="40% - Accent4 6 3 4" xfId="22125"/>
    <cellStyle name="40% - Accent4 6 3 5" xfId="24582"/>
    <cellStyle name="40% - Accent4 6 4" xfId="6402"/>
    <cellStyle name="40% - Accent4 6 4 2" xfId="9609"/>
    <cellStyle name="40% - Accent4 6 4 2 2" xfId="17397"/>
    <cellStyle name="40% - Accent4 6 4 2 2 2" xfId="35020"/>
    <cellStyle name="40% - Accent4 6 4 2 3" xfId="27979"/>
    <cellStyle name="40% - Accent4 6 4 3" xfId="14185"/>
    <cellStyle name="40% - Accent4 6 4 3 2" xfId="31806"/>
    <cellStyle name="40% - Accent4 6 4 4" xfId="25118"/>
    <cellStyle name="40% - Accent4 6 5" xfId="6939"/>
    <cellStyle name="40% - Accent4 6 5 2" xfId="10146"/>
    <cellStyle name="40% - Accent4 6 5 2 2" xfId="17933"/>
    <cellStyle name="40% - Accent4 6 5 2 2 2" xfId="35556"/>
    <cellStyle name="40% - Accent4 6 5 2 3" xfId="28515"/>
    <cellStyle name="40% - Accent4 6 5 3" xfId="14721"/>
    <cellStyle name="40% - Accent4 6 5 3 2" xfId="32342"/>
    <cellStyle name="40% - Accent4 6 5 4" xfId="25655"/>
    <cellStyle name="40% - Accent4 6 6" xfId="7758"/>
    <cellStyle name="40% - Accent4 6 6 2" xfId="15549"/>
    <cellStyle name="40% - Accent4 6 6 2 2" xfId="33170"/>
    <cellStyle name="40% - Accent4 6 6 3" xfId="26177"/>
    <cellStyle name="40% - Accent4 6 7" xfId="11423"/>
    <cellStyle name="40% - Accent4 6 7 2" xfId="29130"/>
    <cellStyle name="40% - Accent4 6 8" xfId="21939"/>
    <cellStyle name="40% - Accent4 6 8 2" xfId="38678"/>
    <cellStyle name="40% - Accent4 6 9" xfId="23316"/>
    <cellStyle name="40% - Accent4 7" xfId="759"/>
    <cellStyle name="40% - Accent4 7 10" xfId="51858"/>
    <cellStyle name="40% - Accent4 7 2" xfId="3885"/>
    <cellStyle name="40% - Accent4 7 2 2" xfId="8439"/>
    <cellStyle name="40% - Accent4 7 2 2 2" xfId="16229"/>
    <cellStyle name="40% - Accent4 7 2 2 2 2" xfId="33850"/>
    <cellStyle name="40% - Accent4 7 2 2 3" xfId="26839"/>
    <cellStyle name="40% - Accent4 7 2 3" xfId="12586"/>
    <cellStyle name="40% - Accent4 7 2 3 2" xfId="30239"/>
    <cellStyle name="40% - Accent4 7 2 4" xfId="22726"/>
    <cellStyle name="40% - Accent4 7 2 4 2" xfId="38922"/>
    <cellStyle name="40% - Accent4 7 2 5" xfId="23978"/>
    <cellStyle name="40% - Accent4 7 3" xfId="5773"/>
    <cellStyle name="40% - Accent4 7 3 2" xfId="9070"/>
    <cellStyle name="40% - Accent4 7 3 2 2" xfId="16859"/>
    <cellStyle name="40% - Accent4 7 3 2 2 2" xfId="34481"/>
    <cellStyle name="40% - Accent4 7 3 2 3" xfId="27444"/>
    <cellStyle name="40% - Accent4 7 3 3" xfId="13623"/>
    <cellStyle name="40% - Accent4 7 3 3 2" xfId="31249"/>
    <cellStyle name="40% - Accent4 7 3 4" xfId="24583"/>
    <cellStyle name="40% - Accent4 7 4" xfId="6403"/>
    <cellStyle name="40% - Accent4 7 4 2" xfId="9610"/>
    <cellStyle name="40% - Accent4 7 4 2 2" xfId="17398"/>
    <cellStyle name="40% - Accent4 7 4 2 2 2" xfId="35021"/>
    <cellStyle name="40% - Accent4 7 4 2 3" xfId="27980"/>
    <cellStyle name="40% - Accent4 7 4 3" xfId="14186"/>
    <cellStyle name="40% - Accent4 7 4 3 2" xfId="31807"/>
    <cellStyle name="40% - Accent4 7 4 4" xfId="25119"/>
    <cellStyle name="40% - Accent4 7 5" xfId="6940"/>
    <cellStyle name="40% - Accent4 7 5 2" xfId="10147"/>
    <cellStyle name="40% - Accent4 7 5 2 2" xfId="17934"/>
    <cellStyle name="40% - Accent4 7 5 2 2 2" xfId="35557"/>
    <cellStyle name="40% - Accent4 7 5 2 3" xfId="28516"/>
    <cellStyle name="40% - Accent4 7 5 3" xfId="14722"/>
    <cellStyle name="40% - Accent4 7 5 3 2" xfId="32343"/>
    <cellStyle name="40% - Accent4 7 5 4" xfId="25656"/>
    <cellStyle name="40% - Accent4 7 6" xfId="7759"/>
    <cellStyle name="40% - Accent4 7 6 2" xfId="15550"/>
    <cellStyle name="40% - Accent4 7 6 2 2" xfId="33171"/>
    <cellStyle name="40% - Accent4 7 6 3" xfId="26178"/>
    <cellStyle name="40% - Accent4 7 7" xfId="11424"/>
    <cellStyle name="40% - Accent4 7 7 2" xfId="29131"/>
    <cellStyle name="40% - Accent4 7 8" xfId="22126"/>
    <cellStyle name="40% - Accent4 7 8 2" xfId="38788"/>
    <cellStyle name="40% - Accent4 7 9" xfId="23317"/>
    <cellStyle name="40% - Accent4 8" xfId="760"/>
    <cellStyle name="40% - Accent4 8 10" xfId="51859"/>
    <cellStyle name="40% - Accent4 8 2" xfId="3886"/>
    <cellStyle name="40% - Accent4 8 2 2" xfId="8440"/>
    <cellStyle name="40% - Accent4 8 2 2 2" xfId="16230"/>
    <cellStyle name="40% - Accent4 8 2 2 2 2" xfId="33851"/>
    <cellStyle name="40% - Accent4 8 2 2 3" xfId="22728"/>
    <cellStyle name="40% - Accent4 8 2 2 3 2" xfId="38924"/>
    <cellStyle name="40% - Accent4 8 2 2 4" xfId="26840"/>
    <cellStyle name="40% - Accent4 8 2 3" xfId="12587"/>
    <cellStyle name="40% - Accent4 8 2 3 2" xfId="30240"/>
    <cellStyle name="40% - Accent4 8 2 4" xfId="22128"/>
    <cellStyle name="40% - Accent4 8 2 4 2" xfId="38790"/>
    <cellStyle name="40% - Accent4 8 2 5" xfId="23979"/>
    <cellStyle name="40% - Accent4 8 3" xfId="5774"/>
    <cellStyle name="40% - Accent4 8 3 2" xfId="9071"/>
    <cellStyle name="40% - Accent4 8 3 2 2" xfId="16860"/>
    <cellStyle name="40% - Accent4 8 3 2 2 2" xfId="34482"/>
    <cellStyle name="40% - Accent4 8 3 2 3" xfId="27445"/>
    <cellStyle name="40% - Accent4 8 3 3" xfId="13624"/>
    <cellStyle name="40% - Accent4 8 3 3 2" xfId="31250"/>
    <cellStyle name="40% - Accent4 8 3 4" xfId="22727"/>
    <cellStyle name="40% - Accent4 8 3 4 2" xfId="38923"/>
    <cellStyle name="40% - Accent4 8 3 5" xfId="24584"/>
    <cellStyle name="40% - Accent4 8 4" xfId="6404"/>
    <cellStyle name="40% - Accent4 8 4 2" xfId="9611"/>
    <cellStyle name="40% - Accent4 8 4 2 2" xfId="17399"/>
    <cellStyle name="40% - Accent4 8 4 2 2 2" xfId="35022"/>
    <cellStyle name="40% - Accent4 8 4 2 3" xfId="27981"/>
    <cellStyle name="40% - Accent4 8 4 3" xfId="14187"/>
    <cellStyle name="40% - Accent4 8 4 3 2" xfId="31808"/>
    <cellStyle name="40% - Accent4 8 4 4" xfId="25120"/>
    <cellStyle name="40% - Accent4 8 5" xfId="6941"/>
    <cellStyle name="40% - Accent4 8 5 2" xfId="10148"/>
    <cellStyle name="40% - Accent4 8 5 2 2" xfId="17935"/>
    <cellStyle name="40% - Accent4 8 5 2 2 2" xfId="35558"/>
    <cellStyle name="40% - Accent4 8 5 2 3" xfId="28517"/>
    <cellStyle name="40% - Accent4 8 5 3" xfId="14723"/>
    <cellStyle name="40% - Accent4 8 5 3 2" xfId="32344"/>
    <cellStyle name="40% - Accent4 8 5 4" xfId="25657"/>
    <cellStyle name="40% - Accent4 8 6" xfId="7760"/>
    <cellStyle name="40% - Accent4 8 6 2" xfId="15551"/>
    <cellStyle name="40% - Accent4 8 6 2 2" xfId="33172"/>
    <cellStyle name="40% - Accent4 8 6 3" xfId="26179"/>
    <cellStyle name="40% - Accent4 8 7" xfId="11425"/>
    <cellStyle name="40% - Accent4 8 7 2" xfId="29132"/>
    <cellStyle name="40% - Accent4 8 8" xfId="22127"/>
    <cellStyle name="40% - Accent4 8 8 2" xfId="38789"/>
    <cellStyle name="40% - Accent4 8 9" xfId="23318"/>
    <cellStyle name="40% - Accent4 9" xfId="761"/>
    <cellStyle name="40% - Accent4 9 10" xfId="51860"/>
    <cellStyle name="40% - Accent4 9 2" xfId="3887"/>
    <cellStyle name="40% - Accent4 9 2 2" xfId="8441"/>
    <cellStyle name="40% - Accent4 9 2 2 2" xfId="16231"/>
    <cellStyle name="40% - Accent4 9 2 2 2 2" xfId="33852"/>
    <cellStyle name="40% - Accent4 9 2 2 3" xfId="26841"/>
    <cellStyle name="40% - Accent4 9 2 3" xfId="12588"/>
    <cellStyle name="40% - Accent4 9 2 3 2" xfId="30241"/>
    <cellStyle name="40% - Accent4 9 2 4" xfId="22729"/>
    <cellStyle name="40% - Accent4 9 2 4 2" xfId="38925"/>
    <cellStyle name="40% - Accent4 9 2 5" xfId="23980"/>
    <cellStyle name="40% - Accent4 9 3" xfId="5775"/>
    <cellStyle name="40% - Accent4 9 3 2" xfId="9072"/>
    <cellStyle name="40% - Accent4 9 3 2 2" xfId="16861"/>
    <cellStyle name="40% - Accent4 9 3 2 2 2" xfId="34483"/>
    <cellStyle name="40% - Accent4 9 3 2 3" xfId="27446"/>
    <cellStyle name="40% - Accent4 9 3 3" xfId="13625"/>
    <cellStyle name="40% - Accent4 9 3 3 2" xfId="31251"/>
    <cellStyle name="40% - Accent4 9 3 4" xfId="24585"/>
    <cellStyle name="40% - Accent4 9 4" xfId="6405"/>
    <cellStyle name="40% - Accent4 9 4 2" xfId="9612"/>
    <cellStyle name="40% - Accent4 9 4 2 2" xfId="17400"/>
    <cellStyle name="40% - Accent4 9 4 2 2 2" xfId="35023"/>
    <cellStyle name="40% - Accent4 9 4 2 3" xfId="27982"/>
    <cellStyle name="40% - Accent4 9 4 3" xfId="14188"/>
    <cellStyle name="40% - Accent4 9 4 3 2" xfId="31809"/>
    <cellStyle name="40% - Accent4 9 4 4" xfId="25121"/>
    <cellStyle name="40% - Accent4 9 5" xfId="6942"/>
    <cellStyle name="40% - Accent4 9 5 2" xfId="10149"/>
    <cellStyle name="40% - Accent4 9 5 2 2" xfId="17936"/>
    <cellStyle name="40% - Accent4 9 5 2 2 2" xfId="35559"/>
    <cellStyle name="40% - Accent4 9 5 2 3" xfId="28518"/>
    <cellStyle name="40% - Accent4 9 5 3" xfId="14724"/>
    <cellStyle name="40% - Accent4 9 5 3 2" xfId="32345"/>
    <cellStyle name="40% - Accent4 9 5 4" xfId="25658"/>
    <cellStyle name="40% - Accent4 9 6" xfId="7761"/>
    <cellStyle name="40% - Accent4 9 6 2" xfId="15552"/>
    <cellStyle name="40% - Accent4 9 6 2 2" xfId="33173"/>
    <cellStyle name="40% - Accent4 9 6 3" xfId="26180"/>
    <cellStyle name="40% - Accent4 9 7" xfId="11426"/>
    <cellStyle name="40% - Accent4 9 7 2" xfId="29133"/>
    <cellStyle name="40% - Accent4 9 8" xfId="22129"/>
    <cellStyle name="40% - Accent4 9 8 2" xfId="38791"/>
    <cellStyle name="40% - Accent4 9 9" xfId="23319"/>
    <cellStyle name="40% - Accent5 10" xfId="7506"/>
    <cellStyle name="40% - Accent5 10 2" xfId="15299"/>
    <cellStyle name="40% - Accent5 10 2 2" xfId="32920"/>
    <cellStyle name="40% - Accent5 10 3" xfId="22130"/>
    <cellStyle name="40% - Accent5 10 4" xfId="25927"/>
    <cellStyle name="40% - Accent5 11" xfId="18865"/>
    <cellStyle name="40% - Accent5 11 2" xfId="36488"/>
    <cellStyle name="40% - Accent5 12" xfId="11427"/>
    <cellStyle name="40% - Accent5 12 2" xfId="29134"/>
    <cellStyle name="40% - Accent5 13" xfId="21923"/>
    <cellStyle name="40% - Accent5 13 2" xfId="38662"/>
    <cellStyle name="40% - Accent5 14" xfId="23063"/>
    <cellStyle name="40% - Accent5 15" xfId="51461"/>
    <cellStyle name="40% - Accent5 16" xfId="51474"/>
    <cellStyle name="40% - Accent5 17" xfId="51487"/>
    <cellStyle name="40% - Accent5 18" xfId="51861"/>
    <cellStyle name="40% - Accent5 2" xfId="31"/>
    <cellStyle name="40% - Accent5 2 10" xfId="763"/>
    <cellStyle name="40% - Accent5 2 11" xfId="764"/>
    <cellStyle name="40% - Accent5 2 12" xfId="765"/>
    <cellStyle name="40% - Accent5 2 13" xfId="766"/>
    <cellStyle name="40% - Accent5 2 14" xfId="767"/>
    <cellStyle name="40% - Accent5 2 15" xfId="3888"/>
    <cellStyle name="40% - Accent5 2 16" xfId="3889"/>
    <cellStyle name="40% - Accent5 2 17" xfId="3890"/>
    <cellStyle name="40% - Accent5 2 18" xfId="762"/>
    <cellStyle name="40% - Accent5 2 2" xfId="768"/>
    <cellStyle name="40% - Accent5 2 2 2" xfId="769"/>
    <cellStyle name="40% - Accent5 2 2 3" xfId="770"/>
    <cellStyle name="40% - Accent5 2 2 4" xfId="3891"/>
    <cellStyle name="40% - Accent5 2 2 5" xfId="3892"/>
    <cellStyle name="40% - Accent5 2 2_Sheet1" xfId="771"/>
    <cellStyle name="40% - Accent5 2 3" xfId="772"/>
    <cellStyle name="40% - Accent5 2 4" xfId="773"/>
    <cellStyle name="40% - Accent5 2 5" xfId="774"/>
    <cellStyle name="40% - Accent5 2 6" xfId="775"/>
    <cellStyle name="40% - Accent5 2 7" xfId="776"/>
    <cellStyle name="40% - Accent5 2 8" xfId="777"/>
    <cellStyle name="40% - Accent5 2 9" xfId="778"/>
    <cellStyle name="40% - Accent5 2_BallGrid" xfId="779"/>
    <cellStyle name="40% - Accent5 3" xfId="32"/>
    <cellStyle name="40% - Accent5 3 2" xfId="780"/>
    <cellStyle name="40% - Accent5 3 3" xfId="781"/>
    <cellStyle name="40% - Accent5 3 4" xfId="3893"/>
    <cellStyle name="40% - Accent5 4" xfId="33"/>
    <cellStyle name="40% - Accent5 4 2" xfId="782"/>
    <cellStyle name="40% - Accent5 4 3" xfId="783"/>
    <cellStyle name="40% - Accent5 4 4" xfId="3894"/>
    <cellStyle name="40% - Accent5 4 5" xfId="3895"/>
    <cellStyle name="40% - Accent5 5" xfId="784"/>
    <cellStyle name="40% - Accent5 5 10" xfId="22131"/>
    <cellStyle name="40% - Accent5 5 11" xfId="23320"/>
    <cellStyle name="40% - Accent5 5 12" xfId="51862"/>
    <cellStyle name="40% - Accent5 5 2" xfId="3897"/>
    <cellStyle name="40% - Accent5 5 2 2" xfId="8443"/>
    <cellStyle name="40% - Accent5 5 2 2 2" xfId="16233"/>
    <cellStyle name="40% - Accent5 5 2 2 2 2" xfId="33854"/>
    <cellStyle name="40% - Accent5 5 2 2 3" xfId="26843"/>
    <cellStyle name="40% - Accent5 5 2 3" xfId="12590"/>
    <cellStyle name="40% - Accent5 5 2 3 2" xfId="30243"/>
    <cellStyle name="40% - Accent5 5 2 4" xfId="23982"/>
    <cellStyle name="40% - Accent5 5 3" xfId="3898"/>
    <cellStyle name="40% - Accent5 5 4" xfId="3896"/>
    <cellStyle name="40% - Accent5 5 4 2" xfId="8442"/>
    <cellStyle name="40% - Accent5 5 4 2 2" xfId="16232"/>
    <cellStyle name="40% - Accent5 5 4 2 2 2" xfId="33853"/>
    <cellStyle name="40% - Accent5 5 4 2 3" xfId="26842"/>
    <cellStyle name="40% - Accent5 5 4 3" xfId="12589"/>
    <cellStyle name="40% - Accent5 5 4 3 2" xfId="30242"/>
    <cellStyle name="40% - Accent5 5 4 4" xfId="23981"/>
    <cellStyle name="40% - Accent5 5 5" xfId="5777"/>
    <cellStyle name="40% - Accent5 5 5 2" xfId="9074"/>
    <cellStyle name="40% - Accent5 5 5 2 2" xfId="16863"/>
    <cellStyle name="40% - Accent5 5 5 2 2 2" xfId="34485"/>
    <cellStyle name="40% - Accent5 5 5 2 3" xfId="27448"/>
    <cellStyle name="40% - Accent5 5 5 3" xfId="13627"/>
    <cellStyle name="40% - Accent5 5 5 3 2" xfId="31253"/>
    <cellStyle name="40% - Accent5 5 5 4" xfId="24587"/>
    <cellStyle name="40% - Accent5 5 6" xfId="6407"/>
    <cellStyle name="40% - Accent5 5 6 2" xfId="9614"/>
    <cellStyle name="40% - Accent5 5 6 2 2" xfId="17402"/>
    <cellStyle name="40% - Accent5 5 6 2 2 2" xfId="35025"/>
    <cellStyle name="40% - Accent5 5 6 2 3" xfId="27984"/>
    <cellStyle name="40% - Accent5 5 6 3" xfId="14190"/>
    <cellStyle name="40% - Accent5 5 6 3 2" xfId="31811"/>
    <cellStyle name="40% - Accent5 5 6 4" xfId="25123"/>
    <cellStyle name="40% - Accent5 5 7" xfId="6944"/>
    <cellStyle name="40% - Accent5 5 7 2" xfId="10151"/>
    <cellStyle name="40% - Accent5 5 7 2 2" xfId="17938"/>
    <cellStyle name="40% - Accent5 5 7 2 2 2" xfId="35561"/>
    <cellStyle name="40% - Accent5 5 7 2 3" xfId="28520"/>
    <cellStyle name="40% - Accent5 5 7 3" xfId="14726"/>
    <cellStyle name="40% - Accent5 5 7 3 2" xfId="32347"/>
    <cellStyle name="40% - Accent5 5 7 4" xfId="25660"/>
    <cellStyle name="40% - Accent5 5 8" xfId="7762"/>
    <cellStyle name="40% - Accent5 5 8 2" xfId="15553"/>
    <cellStyle name="40% - Accent5 5 8 2 2" xfId="33174"/>
    <cellStyle name="40% - Accent5 5 8 3" xfId="26181"/>
    <cellStyle name="40% - Accent5 5 9" xfId="11428"/>
    <cellStyle name="40% - Accent5 5 9 2" xfId="29135"/>
    <cellStyle name="40% - Accent5 6" xfId="3449"/>
    <cellStyle name="40% - Accent5 6 2" xfId="8071"/>
    <cellStyle name="40% - Accent5 6 2 2" xfId="15861"/>
    <cellStyle name="40% - Accent5 6 2 2 2" xfId="33482"/>
    <cellStyle name="40% - Accent5 6 2 3" xfId="26471"/>
    <cellStyle name="40% - Accent5 6 3" xfId="12176"/>
    <cellStyle name="40% - Accent5 6 3 2" xfId="29834"/>
    <cellStyle name="40% - Accent5 6 4" xfId="22132"/>
    <cellStyle name="40% - Accent5 6 5" xfId="23610"/>
    <cellStyle name="40% - Accent5 7" xfId="5776"/>
    <cellStyle name="40% - Accent5 7 2" xfId="9073"/>
    <cellStyle name="40% - Accent5 7 2 2" xfId="16862"/>
    <cellStyle name="40% - Accent5 7 2 2 2" xfId="34484"/>
    <cellStyle name="40% - Accent5 7 2 3" xfId="22730"/>
    <cellStyle name="40% - Accent5 7 2 3 2" xfId="38926"/>
    <cellStyle name="40% - Accent5 7 2 4" xfId="27447"/>
    <cellStyle name="40% - Accent5 7 3" xfId="13626"/>
    <cellStyle name="40% - Accent5 7 3 2" xfId="31252"/>
    <cellStyle name="40% - Accent5 7 4" xfId="22133"/>
    <cellStyle name="40% - Accent5 7 4 2" xfId="38792"/>
    <cellStyle name="40% - Accent5 7 5" xfId="24586"/>
    <cellStyle name="40% - Accent5 8" xfId="6406"/>
    <cellStyle name="40% - Accent5 8 2" xfId="9613"/>
    <cellStyle name="40% - Accent5 8 2 2" xfId="17401"/>
    <cellStyle name="40% - Accent5 8 2 2 2" xfId="35024"/>
    <cellStyle name="40% - Accent5 8 2 3" xfId="27983"/>
    <cellStyle name="40% - Accent5 8 3" xfId="14189"/>
    <cellStyle name="40% - Accent5 8 3 2" xfId="31810"/>
    <cellStyle name="40% - Accent5 8 4" xfId="22134"/>
    <cellStyle name="40% - Accent5 8 5" xfId="25122"/>
    <cellStyle name="40% - Accent5 9" xfId="6943"/>
    <cellStyle name="40% - Accent5 9 2" xfId="10150"/>
    <cellStyle name="40% - Accent5 9 2 2" xfId="17937"/>
    <cellStyle name="40% - Accent5 9 2 2 2" xfId="35560"/>
    <cellStyle name="40% - Accent5 9 2 3" xfId="28519"/>
    <cellStyle name="40% - Accent5 9 3" xfId="14725"/>
    <cellStyle name="40% - Accent5 9 3 2" xfId="32346"/>
    <cellStyle name="40% - Accent5 9 4" xfId="22677"/>
    <cellStyle name="40% - Accent5 9 4 2" xfId="38882"/>
    <cellStyle name="40% - Accent5 9 5" xfId="25659"/>
    <cellStyle name="40% - Accent6 10" xfId="785"/>
    <cellStyle name="40% - Accent6 10 2" xfId="786"/>
    <cellStyle name="40% - Accent6 10 3" xfId="787"/>
    <cellStyle name="40% - Accent6 10 3 2" xfId="8444"/>
    <cellStyle name="40% - Accent6 10 3 2 2" xfId="16234"/>
    <cellStyle name="40% - Accent6 10 3 2 2 2" xfId="33855"/>
    <cellStyle name="40% - Accent6 10 3 2 3" xfId="26844"/>
    <cellStyle name="40% - Accent6 10 3 3" xfId="12591"/>
    <cellStyle name="40% - Accent6 10 3 3 2" xfId="30244"/>
    <cellStyle name="40% - Accent6 10 3 4" xfId="23983"/>
    <cellStyle name="40% - Accent6 10 3 5" xfId="51863"/>
    <cellStyle name="40% - Accent6 10 4" xfId="7763"/>
    <cellStyle name="40% - Accent6 10 4 2" xfId="15554"/>
    <cellStyle name="40% - Accent6 10 4 2 2" xfId="33175"/>
    <cellStyle name="40% - Accent6 10 4 3" xfId="26182"/>
    <cellStyle name="40% - Accent6 10 5" xfId="11429"/>
    <cellStyle name="40% - Accent6 10 5 2" xfId="29136"/>
    <cellStyle name="40% - Accent6 10 6" xfId="22136"/>
    <cellStyle name="40% - Accent6 10 6 2" xfId="38793"/>
    <cellStyle name="40% - Accent6 10 7" xfId="23321"/>
    <cellStyle name="40% - Accent6 11" xfId="788"/>
    <cellStyle name="40% - Accent6 11 10" xfId="51864"/>
    <cellStyle name="40% - Accent6 11 2" xfId="3899"/>
    <cellStyle name="40% - Accent6 11 2 2" xfId="8445"/>
    <cellStyle name="40% - Accent6 11 2 2 2" xfId="16235"/>
    <cellStyle name="40% - Accent6 11 2 2 2 2" xfId="33856"/>
    <cellStyle name="40% - Accent6 11 2 2 3" xfId="26845"/>
    <cellStyle name="40% - Accent6 11 2 3" xfId="12592"/>
    <cellStyle name="40% - Accent6 11 2 3 2" xfId="30245"/>
    <cellStyle name="40% - Accent6 11 2 4" xfId="23984"/>
    <cellStyle name="40% - Accent6 11 3" xfId="5778"/>
    <cellStyle name="40% - Accent6 11 3 2" xfId="9075"/>
    <cellStyle name="40% - Accent6 11 3 2 2" xfId="16864"/>
    <cellStyle name="40% - Accent6 11 3 2 2 2" xfId="34486"/>
    <cellStyle name="40% - Accent6 11 3 2 3" xfId="27449"/>
    <cellStyle name="40% - Accent6 11 3 3" xfId="13628"/>
    <cellStyle name="40% - Accent6 11 3 3 2" xfId="31254"/>
    <cellStyle name="40% - Accent6 11 3 4" xfId="24588"/>
    <cellStyle name="40% - Accent6 11 4" xfId="6408"/>
    <cellStyle name="40% - Accent6 11 4 2" xfId="9615"/>
    <cellStyle name="40% - Accent6 11 4 2 2" xfId="17403"/>
    <cellStyle name="40% - Accent6 11 4 2 2 2" xfId="35026"/>
    <cellStyle name="40% - Accent6 11 4 2 3" xfId="27985"/>
    <cellStyle name="40% - Accent6 11 4 3" xfId="14191"/>
    <cellStyle name="40% - Accent6 11 4 3 2" xfId="31812"/>
    <cellStyle name="40% - Accent6 11 4 4" xfId="25124"/>
    <cellStyle name="40% - Accent6 11 5" xfId="6945"/>
    <cellStyle name="40% - Accent6 11 5 2" xfId="10152"/>
    <cellStyle name="40% - Accent6 11 5 2 2" xfId="17939"/>
    <cellStyle name="40% - Accent6 11 5 2 2 2" xfId="35562"/>
    <cellStyle name="40% - Accent6 11 5 2 3" xfId="28521"/>
    <cellStyle name="40% - Accent6 11 5 3" xfId="14727"/>
    <cellStyle name="40% - Accent6 11 5 3 2" xfId="32348"/>
    <cellStyle name="40% - Accent6 11 5 4" xfId="25661"/>
    <cellStyle name="40% - Accent6 11 6" xfId="7764"/>
    <cellStyle name="40% - Accent6 11 6 2" xfId="15555"/>
    <cellStyle name="40% - Accent6 11 6 2 2" xfId="33176"/>
    <cellStyle name="40% - Accent6 11 6 3" xfId="26183"/>
    <cellStyle name="40% - Accent6 11 7" xfId="11430"/>
    <cellStyle name="40% - Accent6 11 7 2" xfId="29137"/>
    <cellStyle name="40% - Accent6 11 8" xfId="22137"/>
    <cellStyle name="40% - Accent6 11 8 2" xfId="38794"/>
    <cellStyle name="40% - Accent6 11 9" xfId="23322"/>
    <cellStyle name="40% - Accent6 12" xfId="18867"/>
    <cellStyle name="40% - Accent6 12 2" xfId="22139"/>
    <cellStyle name="40% - Accent6 12 2 2" xfId="38796"/>
    <cellStyle name="40% - Accent6 12 3" xfId="22138"/>
    <cellStyle name="40% - Accent6 12 3 2" xfId="38795"/>
    <cellStyle name="40% - Accent6 12 4" xfId="36490"/>
    <cellStyle name="40% - Accent6 13" xfId="15294"/>
    <cellStyle name="40% - Accent6 13 2" xfId="22140"/>
    <cellStyle name="40% - Accent6 13 2 2" xfId="38797"/>
    <cellStyle name="40% - Accent6 13 3" xfId="32915"/>
    <cellStyle name="40% - Accent6 14" xfId="22141"/>
    <cellStyle name="40% - Accent6 15" xfId="22679"/>
    <cellStyle name="40% - Accent6 15 2" xfId="38884"/>
    <cellStyle name="40% - Accent6 16" xfId="22135"/>
    <cellStyle name="40% - Accent6 17" xfId="23065"/>
    <cellStyle name="40% - Accent6 18" xfId="51463"/>
    <cellStyle name="40% - Accent6 19" xfId="51476"/>
    <cellStyle name="40% - Accent6 2" xfId="34"/>
    <cellStyle name="40% - Accent6 2 10" xfId="790"/>
    <cellStyle name="40% - Accent6 2 11" xfId="791"/>
    <cellStyle name="40% - Accent6 2 12" xfId="792"/>
    <cellStyle name="40% - Accent6 2 13" xfId="793"/>
    <cellStyle name="40% - Accent6 2 14" xfId="794"/>
    <cellStyle name="40% - Accent6 2 15" xfId="3900"/>
    <cellStyle name="40% - Accent6 2 16" xfId="3901"/>
    <cellStyle name="40% - Accent6 2 17" xfId="3902"/>
    <cellStyle name="40% - Accent6 2 18" xfId="789"/>
    <cellStyle name="40% - Accent6 2 2" xfId="795"/>
    <cellStyle name="40% - Accent6 2 2 2" xfId="796"/>
    <cellStyle name="40% - Accent6 2 2 3" xfId="797"/>
    <cellStyle name="40% - Accent6 2 2 4" xfId="3903"/>
    <cellStyle name="40% - Accent6 2 2 5" xfId="3904"/>
    <cellStyle name="40% - Accent6 2 2_Sheet1" xfId="798"/>
    <cellStyle name="40% - Accent6 2 3" xfId="799"/>
    <cellStyle name="40% - Accent6 2 4" xfId="800"/>
    <cellStyle name="40% - Accent6 2 5" xfId="801"/>
    <cellStyle name="40% - Accent6 2 6" xfId="802"/>
    <cellStyle name="40% - Accent6 2 7" xfId="803"/>
    <cellStyle name="40% - Accent6 2 8" xfId="804"/>
    <cellStyle name="40% - Accent6 2 9" xfId="805"/>
    <cellStyle name="40% - Accent6 2_BallGrid" xfId="806"/>
    <cellStyle name="40% - Accent6 20" xfId="51489"/>
    <cellStyle name="40% - Accent6 3" xfId="35"/>
    <cellStyle name="40% - Accent6 3 10" xfId="807"/>
    <cellStyle name="40% - Accent6 3 2" xfId="808"/>
    <cellStyle name="40% - Accent6 3 3" xfId="809"/>
    <cellStyle name="40% - Accent6 3 4" xfId="810"/>
    <cellStyle name="40% - Accent6 3 5" xfId="811"/>
    <cellStyle name="40% - Accent6 3 6" xfId="812"/>
    <cellStyle name="40% - Accent6 3 7" xfId="3905"/>
    <cellStyle name="40% - Accent6 3 8" xfId="3906"/>
    <cellStyle name="40% - Accent6 3 9" xfId="3907"/>
    <cellStyle name="40% - Accent6 3_BallGrid" xfId="813"/>
    <cellStyle name="40% - Accent6 4" xfId="36"/>
    <cellStyle name="40% - Accent6 4 2" xfId="815"/>
    <cellStyle name="40% - Accent6 4 2 2" xfId="22841"/>
    <cellStyle name="40% - Accent6 4 3" xfId="816"/>
    <cellStyle name="40% - Accent6 4 3 2" xfId="22142"/>
    <cellStyle name="40% - Accent6 4 4" xfId="817"/>
    <cellStyle name="40% - Accent6 4 5" xfId="818"/>
    <cellStyle name="40% - Accent6 4 6" xfId="3908"/>
    <cellStyle name="40% - Accent6 4 7" xfId="3909"/>
    <cellStyle name="40% - Accent6 4 8" xfId="3910"/>
    <cellStyle name="40% - Accent6 4 9" xfId="814"/>
    <cellStyle name="40% - Accent6 5" xfId="819"/>
    <cellStyle name="40% - Accent6 5 10" xfId="21940"/>
    <cellStyle name="40% - Accent6 5 10 2" xfId="38679"/>
    <cellStyle name="40% - Accent6 5 11" xfId="23323"/>
    <cellStyle name="40% - Accent6 5 12" xfId="51865"/>
    <cellStyle name="40% - Accent6 5 2" xfId="3912"/>
    <cellStyle name="40% - Accent6 5 2 2" xfId="8447"/>
    <cellStyle name="40% - Accent6 5 2 2 2" xfId="16237"/>
    <cellStyle name="40% - Accent6 5 2 2 2 2" xfId="33858"/>
    <cellStyle name="40% - Accent6 5 2 2 3" xfId="26847"/>
    <cellStyle name="40% - Accent6 5 2 3" xfId="12595"/>
    <cellStyle name="40% - Accent6 5 2 3 2" xfId="30248"/>
    <cellStyle name="40% - Accent6 5 2 4" xfId="22842"/>
    <cellStyle name="40% - Accent6 5 2 4 2" xfId="39000"/>
    <cellStyle name="40% - Accent6 5 2 5" xfId="23986"/>
    <cellStyle name="40% - Accent6 5 3" xfId="3913"/>
    <cellStyle name="40% - Accent6 5 3 2" xfId="22143"/>
    <cellStyle name="40% - Accent6 5 4" xfId="3911"/>
    <cellStyle name="40% - Accent6 5 4 2" xfId="8446"/>
    <cellStyle name="40% - Accent6 5 4 2 2" xfId="16236"/>
    <cellStyle name="40% - Accent6 5 4 2 2 2" xfId="33857"/>
    <cellStyle name="40% - Accent6 5 4 2 3" xfId="26846"/>
    <cellStyle name="40% - Accent6 5 4 3" xfId="12594"/>
    <cellStyle name="40% - Accent6 5 4 3 2" xfId="30247"/>
    <cellStyle name="40% - Accent6 5 4 4" xfId="23985"/>
    <cellStyle name="40% - Accent6 5 5" xfId="5779"/>
    <cellStyle name="40% - Accent6 5 5 2" xfId="9076"/>
    <cellStyle name="40% - Accent6 5 5 2 2" xfId="16865"/>
    <cellStyle name="40% - Accent6 5 5 2 2 2" xfId="34487"/>
    <cellStyle name="40% - Accent6 5 5 2 3" xfId="27450"/>
    <cellStyle name="40% - Accent6 5 5 3" xfId="13629"/>
    <cellStyle name="40% - Accent6 5 5 3 2" xfId="31255"/>
    <cellStyle name="40% - Accent6 5 5 4" xfId="24589"/>
    <cellStyle name="40% - Accent6 5 6" xfId="6409"/>
    <cellStyle name="40% - Accent6 5 6 2" xfId="9616"/>
    <cellStyle name="40% - Accent6 5 6 2 2" xfId="17404"/>
    <cellStyle name="40% - Accent6 5 6 2 2 2" xfId="35027"/>
    <cellStyle name="40% - Accent6 5 6 2 3" xfId="27986"/>
    <cellStyle name="40% - Accent6 5 6 3" xfId="14192"/>
    <cellStyle name="40% - Accent6 5 6 3 2" xfId="31813"/>
    <cellStyle name="40% - Accent6 5 6 4" xfId="25125"/>
    <cellStyle name="40% - Accent6 5 7" xfId="6946"/>
    <cellStyle name="40% - Accent6 5 7 2" xfId="10153"/>
    <cellStyle name="40% - Accent6 5 7 2 2" xfId="17940"/>
    <cellStyle name="40% - Accent6 5 7 2 2 2" xfId="35563"/>
    <cellStyle name="40% - Accent6 5 7 2 3" xfId="28522"/>
    <cellStyle name="40% - Accent6 5 7 3" xfId="14728"/>
    <cellStyle name="40% - Accent6 5 7 3 2" xfId="32349"/>
    <cellStyle name="40% - Accent6 5 7 4" xfId="25662"/>
    <cellStyle name="40% - Accent6 5 8" xfId="7765"/>
    <cellStyle name="40% - Accent6 5 8 2" xfId="15556"/>
    <cellStyle name="40% - Accent6 5 8 2 2" xfId="33177"/>
    <cellStyle name="40% - Accent6 5 8 3" xfId="26184"/>
    <cellStyle name="40% - Accent6 5 9" xfId="11434"/>
    <cellStyle name="40% - Accent6 5 9 2" xfId="29140"/>
    <cellStyle name="40% - Accent6 6" xfId="820"/>
    <cellStyle name="40% - Accent6 6 10" xfId="51866"/>
    <cellStyle name="40% - Accent6 6 2" xfId="3914"/>
    <cellStyle name="40% - Accent6 6 2 2" xfId="8448"/>
    <cellStyle name="40% - Accent6 6 2 2 2" xfId="16238"/>
    <cellStyle name="40% - Accent6 6 2 2 2 2" xfId="33859"/>
    <cellStyle name="40% - Accent6 6 2 2 3" xfId="26848"/>
    <cellStyle name="40% - Accent6 6 2 3" xfId="12596"/>
    <cellStyle name="40% - Accent6 6 2 3 2" xfId="30249"/>
    <cellStyle name="40% - Accent6 6 2 4" xfId="22843"/>
    <cellStyle name="40% - Accent6 6 2 4 2" xfId="39001"/>
    <cellStyle name="40% - Accent6 6 2 5" xfId="23987"/>
    <cellStyle name="40% - Accent6 6 3" xfId="5780"/>
    <cellStyle name="40% - Accent6 6 3 2" xfId="9077"/>
    <cellStyle name="40% - Accent6 6 3 2 2" xfId="16866"/>
    <cellStyle name="40% - Accent6 6 3 2 2 2" xfId="34488"/>
    <cellStyle name="40% - Accent6 6 3 2 3" xfId="27451"/>
    <cellStyle name="40% - Accent6 6 3 3" xfId="13630"/>
    <cellStyle name="40% - Accent6 6 3 3 2" xfId="31256"/>
    <cellStyle name="40% - Accent6 6 3 4" xfId="22144"/>
    <cellStyle name="40% - Accent6 6 3 5" xfId="24590"/>
    <cellStyle name="40% - Accent6 6 4" xfId="6410"/>
    <cellStyle name="40% - Accent6 6 4 2" xfId="9617"/>
    <cellStyle name="40% - Accent6 6 4 2 2" xfId="17405"/>
    <cellStyle name="40% - Accent6 6 4 2 2 2" xfId="35028"/>
    <cellStyle name="40% - Accent6 6 4 2 3" xfId="27987"/>
    <cellStyle name="40% - Accent6 6 4 3" xfId="14193"/>
    <cellStyle name="40% - Accent6 6 4 3 2" xfId="31814"/>
    <cellStyle name="40% - Accent6 6 4 4" xfId="25126"/>
    <cellStyle name="40% - Accent6 6 5" xfId="6947"/>
    <cellStyle name="40% - Accent6 6 5 2" xfId="10154"/>
    <cellStyle name="40% - Accent6 6 5 2 2" xfId="17941"/>
    <cellStyle name="40% - Accent6 6 5 2 2 2" xfId="35564"/>
    <cellStyle name="40% - Accent6 6 5 2 3" xfId="28523"/>
    <cellStyle name="40% - Accent6 6 5 3" xfId="14729"/>
    <cellStyle name="40% - Accent6 6 5 3 2" xfId="32350"/>
    <cellStyle name="40% - Accent6 6 5 4" xfId="25663"/>
    <cellStyle name="40% - Accent6 6 6" xfId="7766"/>
    <cellStyle name="40% - Accent6 6 6 2" xfId="15557"/>
    <cellStyle name="40% - Accent6 6 6 2 2" xfId="33178"/>
    <cellStyle name="40% - Accent6 6 6 3" xfId="26185"/>
    <cellStyle name="40% - Accent6 6 7" xfId="11435"/>
    <cellStyle name="40% - Accent6 6 7 2" xfId="29141"/>
    <cellStyle name="40% - Accent6 6 8" xfId="21941"/>
    <cellStyle name="40% - Accent6 6 8 2" xfId="38680"/>
    <cellStyle name="40% - Accent6 6 9" xfId="23324"/>
    <cellStyle name="40% - Accent6 7" xfId="821"/>
    <cellStyle name="40% - Accent6 7 10" xfId="51867"/>
    <cellStyle name="40% - Accent6 7 2" xfId="3915"/>
    <cellStyle name="40% - Accent6 7 2 2" xfId="8449"/>
    <cellStyle name="40% - Accent6 7 2 2 2" xfId="16239"/>
    <cellStyle name="40% - Accent6 7 2 2 2 2" xfId="33860"/>
    <cellStyle name="40% - Accent6 7 2 2 3" xfId="26849"/>
    <cellStyle name="40% - Accent6 7 2 3" xfId="12597"/>
    <cellStyle name="40% - Accent6 7 2 3 2" xfId="30250"/>
    <cellStyle name="40% - Accent6 7 2 4" xfId="22731"/>
    <cellStyle name="40% - Accent6 7 2 4 2" xfId="38927"/>
    <cellStyle name="40% - Accent6 7 2 5" xfId="23988"/>
    <cellStyle name="40% - Accent6 7 3" xfId="5781"/>
    <cellStyle name="40% - Accent6 7 3 2" xfId="9078"/>
    <cellStyle name="40% - Accent6 7 3 2 2" xfId="16867"/>
    <cellStyle name="40% - Accent6 7 3 2 2 2" xfId="34489"/>
    <cellStyle name="40% - Accent6 7 3 2 3" xfId="27452"/>
    <cellStyle name="40% - Accent6 7 3 3" xfId="13631"/>
    <cellStyle name="40% - Accent6 7 3 3 2" xfId="31257"/>
    <cellStyle name="40% - Accent6 7 3 4" xfId="24591"/>
    <cellStyle name="40% - Accent6 7 4" xfId="6411"/>
    <cellStyle name="40% - Accent6 7 4 2" xfId="9618"/>
    <cellStyle name="40% - Accent6 7 4 2 2" xfId="17406"/>
    <cellStyle name="40% - Accent6 7 4 2 2 2" xfId="35029"/>
    <cellStyle name="40% - Accent6 7 4 2 3" xfId="27988"/>
    <cellStyle name="40% - Accent6 7 4 3" xfId="14194"/>
    <cellStyle name="40% - Accent6 7 4 3 2" xfId="31815"/>
    <cellStyle name="40% - Accent6 7 4 4" xfId="25127"/>
    <cellStyle name="40% - Accent6 7 5" xfId="6948"/>
    <cellStyle name="40% - Accent6 7 5 2" xfId="10155"/>
    <cellStyle name="40% - Accent6 7 5 2 2" xfId="17942"/>
    <cellStyle name="40% - Accent6 7 5 2 2 2" xfId="35565"/>
    <cellStyle name="40% - Accent6 7 5 2 3" xfId="28524"/>
    <cellStyle name="40% - Accent6 7 5 3" xfId="14730"/>
    <cellStyle name="40% - Accent6 7 5 3 2" xfId="32351"/>
    <cellStyle name="40% - Accent6 7 5 4" xfId="25664"/>
    <cellStyle name="40% - Accent6 7 6" xfId="7767"/>
    <cellStyle name="40% - Accent6 7 6 2" xfId="15558"/>
    <cellStyle name="40% - Accent6 7 6 2 2" xfId="33179"/>
    <cellStyle name="40% - Accent6 7 6 3" xfId="26186"/>
    <cellStyle name="40% - Accent6 7 7" xfId="11436"/>
    <cellStyle name="40% - Accent6 7 7 2" xfId="29142"/>
    <cellStyle name="40% - Accent6 7 8" xfId="22145"/>
    <cellStyle name="40% - Accent6 7 8 2" xfId="38798"/>
    <cellStyle name="40% - Accent6 7 9" xfId="23325"/>
    <cellStyle name="40% - Accent6 8" xfId="822"/>
    <cellStyle name="40% - Accent6 8 10" xfId="51868"/>
    <cellStyle name="40% - Accent6 8 2" xfId="3916"/>
    <cellStyle name="40% - Accent6 8 2 2" xfId="8450"/>
    <cellStyle name="40% - Accent6 8 2 2 2" xfId="16240"/>
    <cellStyle name="40% - Accent6 8 2 2 2 2" xfId="33861"/>
    <cellStyle name="40% - Accent6 8 2 2 3" xfId="22733"/>
    <cellStyle name="40% - Accent6 8 2 2 3 2" xfId="38929"/>
    <cellStyle name="40% - Accent6 8 2 2 4" xfId="26850"/>
    <cellStyle name="40% - Accent6 8 2 3" xfId="12598"/>
    <cellStyle name="40% - Accent6 8 2 3 2" xfId="30251"/>
    <cellStyle name="40% - Accent6 8 2 4" xfId="22147"/>
    <cellStyle name="40% - Accent6 8 2 4 2" xfId="38800"/>
    <cellStyle name="40% - Accent6 8 2 5" xfId="23989"/>
    <cellStyle name="40% - Accent6 8 3" xfId="5782"/>
    <cellStyle name="40% - Accent6 8 3 2" xfId="9079"/>
    <cellStyle name="40% - Accent6 8 3 2 2" xfId="16868"/>
    <cellStyle name="40% - Accent6 8 3 2 2 2" xfId="34490"/>
    <cellStyle name="40% - Accent6 8 3 2 3" xfId="27453"/>
    <cellStyle name="40% - Accent6 8 3 3" xfId="13632"/>
    <cellStyle name="40% - Accent6 8 3 3 2" xfId="31258"/>
    <cellStyle name="40% - Accent6 8 3 4" xfId="22732"/>
    <cellStyle name="40% - Accent6 8 3 4 2" xfId="38928"/>
    <cellStyle name="40% - Accent6 8 3 5" xfId="24592"/>
    <cellStyle name="40% - Accent6 8 4" xfId="6412"/>
    <cellStyle name="40% - Accent6 8 4 2" xfId="9619"/>
    <cellStyle name="40% - Accent6 8 4 2 2" xfId="17407"/>
    <cellStyle name="40% - Accent6 8 4 2 2 2" xfId="35030"/>
    <cellStyle name="40% - Accent6 8 4 2 3" xfId="27989"/>
    <cellStyle name="40% - Accent6 8 4 3" xfId="14195"/>
    <cellStyle name="40% - Accent6 8 4 3 2" xfId="31816"/>
    <cellStyle name="40% - Accent6 8 4 4" xfId="25128"/>
    <cellStyle name="40% - Accent6 8 5" xfId="6949"/>
    <cellStyle name="40% - Accent6 8 5 2" xfId="10156"/>
    <cellStyle name="40% - Accent6 8 5 2 2" xfId="17943"/>
    <cellStyle name="40% - Accent6 8 5 2 2 2" xfId="35566"/>
    <cellStyle name="40% - Accent6 8 5 2 3" xfId="28525"/>
    <cellStyle name="40% - Accent6 8 5 3" xfId="14731"/>
    <cellStyle name="40% - Accent6 8 5 3 2" xfId="32352"/>
    <cellStyle name="40% - Accent6 8 5 4" xfId="25665"/>
    <cellStyle name="40% - Accent6 8 6" xfId="7768"/>
    <cellStyle name="40% - Accent6 8 6 2" xfId="15559"/>
    <cellStyle name="40% - Accent6 8 6 2 2" xfId="33180"/>
    <cellStyle name="40% - Accent6 8 6 3" xfId="26187"/>
    <cellStyle name="40% - Accent6 8 7" xfId="11437"/>
    <cellStyle name="40% - Accent6 8 7 2" xfId="29143"/>
    <cellStyle name="40% - Accent6 8 8" xfId="22146"/>
    <cellStyle name="40% - Accent6 8 8 2" xfId="38799"/>
    <cellStyle name="40% - Accent6 8 9" xfId="23326"/>
    <cellStyle name="40% - Accent6 9" xfId="823"/>
    <cellStyle name="40% - Accent6 9 10" xfId="51869"/>
    <cellStyle name="40% - Accent6 9 2" xfId="3917"/>
    <cellStyle name="40% - Accent6 9 2 2" xfId="8451"/>
    <cellStyle name="40% - Accent6 9 2 2 2" xfId="16241"/>
    <cellStyle name="40% - Accent6 9 2 2 2 2" xfId="33862"/>
    <cellStyle name="40% - Accent6 9 2 2 3" xfId="26851"/>
    <cellStyle name="40% - Accent6 9 2 3" xfId="12599"/>
    <cellStyle name="40% - Accent6 9 2 3 2" xfId="30252"/>
    <cellStyle name="40% - Accent6 9 2 4" xfId="22734"/>
    <cellStyle name="40% - Accent6 9 2 4 2" xfId="38930"/>
    <cellStyle name="40% - Accent6 9 2 5" xfId="23990"/>
    <cellStyle name="40% - Accent6 9 3" xfId="5783"/>
    <cellStyle name="40% - Accent6 9 3 2" xfId="9080"/>
    <cellStyle name="40% - Accent6 9 3 2 2" xfId="16869"/>
    <cellStyle name="40% - Accent6 9 3 2 2 2" xfId="34491"/>
    <cellStyle name="40% - Accent6 9 3 2 3" xfId="27454"/>
    <cellStyle name="40% - Accent6 9 3 3" xfId="13633"/>
    <cellStyle name="40% - Accent6 9 3 3 2" xfId="31259"/>
    <cellStyle name="40% - Accent6 9 3 4" xfId="24593"/>
    <cellStyle name="40% - Accent6 9 4" xfId="6413"/>
    <cellStyle name="40% - Accent6 9 4 2" xfId="9620"/>
    <cellStyle name="40% - Accent6 9 4 2 2" xfId="17408"/>
    <cellStyle name="40% - Accent6 9 4 2 2 2" xfId="35031"/>
    <cellStyle name="40% - Accent6 9 4 2 3" xfId="27990"/>
    <cellStyle name="40% - Accent6 9 4 3" xfId="14196"/>
    <cellStyle name="40% - Accent6 9 4 3 2" xfId="31817"/>
    <cellStyle name="40% - Accent6 9 4 4" xfId="25129"/>
    <cellStyle name="40% - Accent6 9 5" xfId="6950"/>
    <cellStyle name="40% - Accent6 9 5 2" xfId="10157"/>
    <cellStyle name="40% - Accent6 9 5 2 2" xfId="17944"/>
    <cellStyle name="40% - Accent6 9 5 2 2 2" xfId="35567"/>
    <cellStyle name="40% - Accent6 9 5 2 3" xfId="28526"/>
    <cellStyle name="40% - Accent6 9 5 3" xfId="14732"/>
    <cellStyle name="40% - Accent6 9 5 3 2" xfId="32353"/>
    <cellStyle name="40% - Accent6 9 5 4" xfId="25666"/>
    <cellStyle name="40% - Accent6 9 6" xfId="7769"/>
    <cellStyle name="40% - Accent6 9 6 2" xfId="15560"/>
    <cellStyle name="40% - Accent6 9 6 2 2" xfId="33181"/>
    <cellStyle name="40% - Accent6 9 6 3" xfId="26188"/>
    <cellStyle name="40% - Accent6 9 7" xfId="11438"/>
    <cellStyle name="40% - Accent6 9 7 2" xfId="29144"/>
    <cellStyle name="40% - Accent6 9 8" xfId="22148"/>
    <cellStyle name="40% - Accent6 9 8 2" xfId="38801"/>
    <cellStyle name="40% - Accent6 9 9" xfId="23327"/>
    <cellStyle name="40% - 强调文字颜色 1" xfId="165" builtinId="31" customBuiltin="1"/>
    <cellStyle name="40% - 强调文字颜色 2" xfId="169" builtinId="35" customBuiltin="1"/>
    <cellStyle name="40% - 强调文字颜色 3" xfId="173" builtinId="39" customBuiltin="1"/>
    <cellStyle name="40% - 强调文字颜色 4" xfId="177" builtinId="43" customBuiltin="1"/>
    <cellStyle name="40% - 强调文字颜色 5" xfId="181" builtinId="47" customBuiltin="1"/>
    <cellStyle name="40% - 强调文字颜色 6" xfId="185" builtinId="51" customBuiltin="1"/>
    <cellStyle name="60% - Accent1 10" xfId="824"/>
    <cellStyle name="60% - Accent1 10 2" xfId="825"/>
    <cellStyle name="60% - Accent1 10 3" xfId="826"/>
    <cellStyle name="60% - Accent1 10 4" xfId="22150"/>
    <cellStyle name="60% - Accent1 11" xfId="827"/>
    <cellStyle name="60% - Accent1 11 2" xfId="22151"/>
    <cellStyle name="60% - Accent1 12" xfId="22152"/>
    <cellStyle name="60% - Accent1 12 2" xfId="22153"/>
    <cellStyle name="60% - Accent1 13" xfId="22154"/>
    <cellStyle name="60% - Accent1 14" xfId="22155"/>
    <cellStyle name="60% - Accent1 15" xfId="22666"/>
    <cellStyle name="60% - Accent1 16" xfId="22149"/>
    <cellStyle name="60% - Accent1 2" xfId="37"/>
    <cellStyle name="60% - Accent1 2 10" xfId="829"/>
    <cellStyle name="60% - Accent1 2 11" xfId="830"/>
    <cellStyle name="60% - Accent1 2 12" xfId="831"/>
    <cellStyle name="60% - Accent1 2 13" xfId="832"/>
    <cellStyle name="60% - Accent1 2 14" xfId="833"/>
    <cellStyle name="60% - Accent1 2 15" xfId="3918"/>
    <cellStyle name="60% - Accent1 2 16" xfId="3919"/>
    <cellStyle name="60% - Accent1 2 17" xfId="3920"/>
    <cellStyle name="60% - Accent1 2 18" xfId="828"/>
    <cellStyle name="60% - Accent1 2 2" xfId="834"/>
    <cellStyle name="60% - Accent1 2 2 2" xfId="835"/>
    <cellStyle name="60% - Accent1 2 2 3" xfId="836"/>
    <cellStyle name="60% - Accent1 2 2 4" xfId="3921"/>
    <cellStyle name="60% - Accent1 2 2 5" xfId="3922"/>
    <cellStyle name="60% - Accent1 2 2_Sheet1" xfId="837"/>
    <cellStyle name="60% - Accent1 2 3" xfId="838"/>
    <cellStyle name="60% - Accent1 2 4" xfId="839"/>
    <cellStyle name="60% - Accent1 2 5" xfId="840"/>
    <cellStyle name="60% - Accent1 2 6" xfId="841"/>
    <cellStyle name="60% - Accent1 2 7" xfId="842"/>
    <cellStyle name="60% - Accent1 2 8" xfId="843"/>
    <cellStyle name="60% - Accent1 2 9" xfId="844"/>
    <cellStyle name="60% - Accent1 2_BallGrid" xfId="845"/>
    <cellStyle name="60% - Accent1 3" xfId="38"/>
    <cellStyle name="60% - Accent1 3 10" xfId="846"/>
    <cellStyle name="60% - Accent1 3 2" xfId="847"/>
    <cellStyle name="60% - Accent1 3 3" xfId="848"/>
    <cellStyle name="60% - Accent1 3 4" xfId="849"/>
    <cellStyle name="60% - Accent1 3 5" xfId="850"/>
    <cellStyle name="60% - Accent1 3 6" xfId="851"/>
    <cellStyle name="60% - Accent1 3 7" xfId="3923"/>
    <cellStyle name="60% - Accent1 3 8" xfId="3924"/>
    <cellStyle name="60% - Accent1 3 9" xfId="3925"/>
    <cellStyle name="60% - Accent1 3_BallGrid" xfId="852"/>
    <cellStyle name="60% - Accent1 4" xfId="39"/>
    <cellStyle name="60% - Accent1 4 2" xfId="854"/>
    <cellStyle name="60% - Accent1 4 2 2" xfId="22844"/>
    <cellStyle name="60% - Accent1 4 3" xfId="855"/>
    <cellStyle name="60% - Accent1 4 3 2" xfId="22156"/>
    <cellStyle name="60% - Accent1 4 4" xfId="856"/>
    <cellStyle name="60% - Accent1 4 5" xfId="857"/>
    <cellStyle name="60% - Accent1 4 6" xfId="3926"/>
    <cellStyle name="60% - Accent1 4 7" xfId="3927"/>
    <cellStyle name="60% - Accent1 4 8" xfId="3928"/>
    <cellStyle name="60% - Accent1 4 9" xfId="853"/>
    <cellStyle name="60% - Accent1 5" xfId="858"/>
    <cellStyle name="60% - Accent1 5 2" xfId="3929"/>
    <cellStyle name="60% - Accent1 5 3" xfId="3930"/>
    <cellStyle name="60% - Accent1 5 3 2" xfId="22157"/>
    <cellStyle name="60% - Accent1 5 4" xfId="52886"/>
    <cellStyle name="60% - Accent1 6" xfId="859"/>
    <cellStyle name="60% - Accent1 6 2" xfId="22845"/>
    <cellStyle name="60% - Accent1 6 3" xfId="22158"/>
    <cellStyle name="60% - Accent1 6 4" xfId="52887"/>
    <cellStyle name="60% - Accent1 7" xfId="860"/>
    <cellStyle name="60% - Accent1 7 2" xfId="22159"/>
    <cellStyle name="60% - Accent1 8" xfId="861"/>
    <cellStyle name="60% - Accent1 8 2" xfId="22161"/>
    <cellStyle name="60% - Accent1 8 3" xfId="22160"/>
    <cellStyle name="60% - Accent1 9" xfId="862"/>
    <cellStyle name="60% - Accent1 9 2" xfId="22162"/>
    <cellStyle name="60% - Accent2 10" xfId="863"/>
    <cellStyle name="60% - Accent2 10 2" xfId="864"/>
    <cellStyle name="60% - Accent2 10 3" xfId="865"/>
    <cellStyle name="60% - Accent2 11" xfId="866"/>
    <cellStyle name="60% - Accent2 2" xfId="40"/>
    <cellStyle name="60% - Accent2 2 10" xfId="868"/>
    <cellStyle name="60% - Accent2 2 11" xfId="869"/>
    <cellStyle name="60% - Accent2 2 12" xfId="870"/>
    <cellStyle name="60% - Accent2 2 13" xfId="871"/>
    <cellStyle name="60% - Accent2 2 14" xfId="872"/>
    <cellStyle name="60% - Accent2 2 15" xfId="3931"/>
    <cellStyle name="60% - Accent2 2 16" xfId="3932"/>
    <cellStyle name="60% - Accent2 2 17" xfId="3933"/>
    <cellStyle name="60% - Accent2 2 18" xfId="867"/>
    <cellStyle name="60% - Accent2 2 2" xfId="873"/>
    <cellStyle name="60% - Accent2 2 2 2" xfId="874"/>
    <cellStyle name="60% - Accent2 2 2 3" xfId="875"/>
    <cellStyle name="60% - Accent2 2 2 4" xfId="3934"/>
    <cellStyle name="60% - Accent2 2 2 5" xfId="3935"/>
    <cellStyle name="60% - Accent2 2 2_Sheet1" xfId="876"/>
    <cellStyle name="60% - Accent2 2 3" xfId="877"/>
    <cellStyle name="60% - Accent2 2 4" xfId="878"/>
    <cellStyle name="60% - Accent2 2 5" xfId="879"/>
    <cellStyle name="60% - Accent2 2 6" xfId="880"/>
    <cellStyle name="60% - Accent2 2 7" xfId="881"/>
    <cellStyle name="60% - Accent2 2 8" xfId="882"/>
    <cellStyle name="60% - Accent2 2 9" xfId="883"/>
    <cellStyle name="60% - Accent2 2_BallGrid" xfId="884"/>
    <cellStyle name="60% - Accent2 3" xfId="41"/>
    <cellStyle name="60% - Accent2 3 10" xfId="885"/>
    <cellStyle name="60% - Accent2 3 2" xfId="886"/>
    <cellStyle name="60% - Accent2 3 3" xfId="887"/>
    <cellStyle name="60% - Accent2 3 4" xfId="888"/>
    <cellStyle name="60% - Accent2 3 5" xfId="889"/>
    <cellStyle name="60% - Accent2 3 6" xfId="890"/>
    <cellStyle name="60% - Accent2 3 7" xfId="3936"/>
    <cellStyle name="60% - Accent2 3 8" xfId="3937"/>
    <cellStyle name="60% - Accent2 3 9" xfId="3938"/>
    <cellStyle name="60% - Accent2 3_BallGrid" xfId="891"/>
    <cellStyle name="60% - Accent2 4" xfId="42"/>
    <cellStyle name="60% - Accent2 4 2" xfId="893"/>
    <cellStyle name="60% - Accent2 4 2 2" xfId="22846"/>
    <cellStyle name="60% - Accent2 4 3" xfId="894"/>
    <cellStyle name="60% - Accent2 4 3 2" xfId="22164"/>
    <cellStyle name="60% - Accent2 4 4" xfId="895"/>
    <cellStyle name="60% - Accent2 4 5" xfId="896"/>
    <cellStyle name="60% - Accent2 4 6" xfId="3939"/>
    <cellStyle name="60% - Accent2 4 7" xfId="3940"/>
    <cellStyle name="60% - Accent2 4 8" xfId="3941"/>
    <cellStyle name="60% - Accent2 4 9" xfId="892"/>
    <cellStyle name="60% - Accent2 5" xfId="897"/>
    <cellStyle name="60% - Accent2 5 2" xfId="3942"/>
    <cellStyle name="60% - Accent2 5 3" xfId="3943"/>
    <cellStyle name="60% - Accent2 5 3 2" xfId="22165"/>
    <cellStyle name="60% - Accent2 5 4" xfId="52888"/>
    <cellStyle name="60% - Accent2 6" xfId="898"/>
    <cellStyle name="60% - Accent2 6 2" xfId="22847"/>
    <cellStyle name="60% - Accent2 6 3" xfId="22166"/>
    <cellStyle name="60% - Accent2 6 4" xfId="52889"/>
    <cellStyle name="60% - Accent2 7" xfId="899"/>
    <cellStyle name="60% - Accent2 8" xfId="900"/>
    <cellStyle name="60% - Accent2 8 2" xfId="22167"/>
    <cellStyle name="60% - Accent2 9" xfId="901"/>
    <cellStyle name="60% - Accent2 9 2" xfId="22163"/>
    <cellStyle name="60% - Accent3 10" xfId="902"/>
    <cellStyle name="60% - Accent3 10 2" xfId="903"/>
    <cellStyle name="60% - Accent3 10 3" xfId="904"/>
    <cellStyle name="60% - Accent3 10 4" xfId="22169"/>
    <cellStyle name="60% - Accent3 11" xfId="905"/>
    <cellStyle name="60% - Accent3 11 10" xfId="22170"/>
    <cellStyle name="60% - Accent3 11 2" xfId="906"/>
    <cellStyle name="60% - Accent3 11 3" xfId="907"/>
    <cellStyle name="60% - Accent3 11 3 2" xfId="908"/>
    <cellStyle name="60% - Accent3 11 3 3" xfId="3944"/>
    <cellStyle name="60% - Accent3 11 4" xfId="909"/>
    <cellStyle name="60% - Accent3 11 5" xfId="910"/>
    <cellStyle name="60% - Accent3 11 6" xfId="911"/>
    <cellStyle name="60% - Accent3 11 7" xfId="912"/>
    <cellStyle name="60% - Accent3 11 7 2" xfId="913"/>
    <cellStyle name="60% - Accent3 11 7 3" xfId="3945"/>
    <cellStyle name="60% - Accent3 11 8" xfId="3946"/>
    <cellStyle name="60% - Accent3 11 9" xfId="3947"/>
    <cellStyle name="60% - Accent3 12" xfId="914"/>
    <cellStyle name="60% - Accent3 12 2" xfId="22172"/>
    <cellStyle name="60% - Accent3 12 3" xfId="22171"/>
    <cellStyle name="60% - Accent3 13" xfId="22173"/>
    <cellStyle name="60% - Accent3 14" xfId="22174"/>
    <cellStyle name="60% - Accent3 15" xfId="22671"/>
    <cellStyle name="60% - Accent3 16" xfId="22168"/>
    <cellStyle name="60% - Accent3 17" xfId="52890"/>
    <cellStyle name="60% - Accent3 2" xfId="43"/>
    <cellStyle name="60% - Accent3 2 10" xfId="916"/>
    <cellStyle name="60% - Accent3 2 11" xfId="917"/>
    <cellStyle name="60% - Accent3 2 12" xfId="918"/>
    <cellStyle name="60% - Accent3 2 13" xfId="919"/>
    <cellStyle name="60% - Accent3 2 14" xfId="920"/>
    <cellStyle name="60% - Accent3 2 15" xfId="3948"/>
    <cellStyle name="60% - Accent3 2 16" xfId="3949"/>
    <cellStyle name="60% - Accent3 2 17" xfId="3950"/>
    <cellStyle name="60% - Accent3 2 18" xfId="915"/>
    <cellStyle name="60% - Accent3 2 2" xfId="921"/>
    <cellStyle name="60% - Accent3 2 2 2" xfId="922"/>
    <cellStyle name="60% - Accent3 2 2 3" xfId="923"/>
    <cellStyle name="60% - Accent3 2 2 4" xfId="3951"/>
    <cellStyle name="60% - Accent3 2 2 5" xfId="3952"/>
    <cellStyle name="60% - Accent3 2 2_Sheet1" xfId="924"/>
    <cellStyle name="60% - Accent3 2 3" xfId="925"/>
    <cellStyle name="60% - Accent3 2 4" xfId="926"/>
    <cellStyle name="60% - Accent3 2 5" xfId="927"/>
    <cellStyle name="60% - Accent3 2 6" xfId="928"/>
    <cellStyle name="60% - Accent3 2 7" xfId="929"/>
    <cellStyle name="60% - Accent3 2 8" xfId="930"/>
    <cellStyle name="60% - Accent3 2 9" xfId="931"/>
    <cellStyle name="60% - Accent3 2_BallGrid" xfId="932"/>
    <cellStyle name="60% - Accent3 3" xfId="44"/>
    <cellStyle name="60% - Accent3 3 10" xfId="933"/>
    <cellStyle name="60% - Accent3 3 2" xfId="934"/>
    <cellStyle name="60% - Accent3 3 3" xfId="935"/>
    <cellStyle name="60% - Accent3 3 4" xfId="936"/>
    <cellStyle name="60% - Accent3 3 5" xfId="937"/>
    <cellStyle name="60% - Accent3 3 6" xfId="938"/>
    <cellStyle name="60% - Accent3 3 7" xfId="3953"/>
    <cellStyle name="60% - Accent3 3 8" xfId="3954"/>
    <cellStyle name="60% - Accent3 3 9" xfId="3955"/>
    <cellStyle name="60% - Accent3 3_BallGrid" xfId="939"/>
    <cellStyle name="60% - Accent3 4" xfId="45"/>
    <cellStyle name="60% - Accent3 4 2" xfId="941"/>
    <cellStyle name="60% - Accent3 4 2 2" xfId="22848"/>
    <cellStyle name="60% - Accent3 4 3" xfId="942"/>
    <cellStyle name="60% - Accent3 4 3 2" xfId="22175"/>
    <cellStyle name="60% - Accent3 4 4" xfId="943"/>
    <cellStyle name="60% - Accent3 4 5" xfId="944"/>
    <cellStyle name="60% - Accent3 4 6" xfId="3956"/>
    <cellStyle name="60% - Accent3 4 7" xfId="3957"/>
    <cellStyle name="60% - Accent3 4 8" xfId="3958"/>
    <cellStyle name="60% - Accent3 4 9" xfId="940"/>
    <cellStyle name="60% - Accent3 5" xfId="945"/>
    <cellStyle name="60% - Accent3 5 10" xfId="3959"/>
    <cellStyle name="60% - Accent3 5 2" xfId="946"/>
    <cellStyle name="60% - Accent3 5 2 2" xfId="22849"/>
    <cellStyle name="60% - Accent3 5 3" xfId="947"/>
    <cellStyle name="60% - Accent3 5 3 2" xfId="948"/>
    <cellStyle name="60% - Accent3 5 3 3" xfId="3960"/>
    <cellStyle name="60% - Accent3 5 3 4" xfId="22176"/>
    <cellStyle name="60% - Accent3 5 4" xfId="949"/>
    <cellStyle name="60% - Accent3 5 4 2" xfId="52891"/>
    <cellStyle name="60% - Accent3 5 5" xfId="950"/>
    <cellStyle name="60% - Accent3 5 6" xfId="951"/>
    <cellStyle name="60% - Accent3 5 7" xfId="952"/>
    <cellStyle name="60% - Accent3 5 7 2" xfId="953"/>
    <cellStyle name="60% - Accent3 5 7 3" xfId="3961"/>
    <cellStyle name="60% - Accent3 5 8" xfId="3962"/>
    <cellStyle name="60% - Accent3 5 9" xfId="3963"/>
    <cellStyle name="60% - Accent3 6" xfId="954"/>
    <cellStyle name="60% - Accent3 6 2" xfId="955"/>
    <cellStyle name="60% - Accent3 6 2 2" xfId="22850"/>
    <cellStyle name="60% - Accent3 6 3" xfId="956"/>
    <cellStyle name="60% - Accent3 6 3 2" xfId="957"/>
    <cellStyle name="60% - Accent3 6 3 3" xfId="3964"/>
    <cellStyle name="60% - Accent3 6 3 4" xfId="22177"/>
    <cellStyle name="60% - Accent3 6 4" xfId="958"/>
    <cellStyle name="60% - Accent3 6 4 2" xfId="52892"/>
    <cellStyle name="60% - Accent3 6 5" xfId="959"/>
    <cellStyle name="60% - Accent3 6 6" xfId="960"/>
    <cellStyle name="60% - Accent3 6 7" xfId="961"/>
    <cellStyle name="60% - Accent3 6 7 2" xfId="962"/>
    <cellStyle name="60% - Accent3 6 7 3" xfId="3965"/>
    <cellStyle name="60% - Accent3 6 8" xfId="3966"/>
    <cellStyle name="60% - Accent3 6 9" xfId="3967"/>
    <cellStyle name="60% - Accent3 7" xfId="963"/>
    <cellStyle name="60% - Accent3 7 10" xfId="22178"/>
    <cellStyle name="60% - Accent3 7 2" xfId="964"/>
    <cellStyle name="60% - Accent3 7 3" xfId="965"/>
    <cellStyle name="60% - Accent3 7 3 2" xfId="966"/>
    <cellStyle name="60% - Accent3 7 3 3" xfId="3968"/>
    <cellStyle name="60% - Accent3 7 4" xfId="967"/>
    <cellStyle name="60% - Accent3 7 5" xfId="968"/>
    <cellStyle name="60% - Accent3 7 6" xfId="969"/>
    <cellStyle name="60% - Accent3 7 7" xfId="970"/>
    <cellStyle name="60% - Accent3 7 7 2" xfId="971"/>
    <cellStyle name="60% - Accent3 7 7 3" xfId="3969"/>
    <cellStyle name="60% - Accent3 7 8" xfId="3970"/>
    <cellStyle name="60% - Accent3 7 9" xfId="3971"/>
    <cellStyle name="60% - Accent3 8" xfId="972"/>
    <cellStyle name="60% - Accent3 8 10" xfId="22179"/>
    <cellStyle name="60% - Accent3 8 2" xfId="973"/>
    <cellStyle name="60% - Accent3 8 2 2" xfId="22180"/>
    <cellStyle name="60% - Accent3 8 3" xfId="974"/>
    <cellStyle name="60% - Accent3 8 3 2" xfId="975"/>
    <cellStyle name="60% - Accent3 8 3 3" xfId="3972"/>
    <cellStyle name="60% - Accent3 8 4" xfId="976"/>
    <cellStyle name="60% - Accent3 8 5" xfId="977"/>
    <cellStyle name="60% - Accent3 8 6" xfId="978"/>
    <cellStyle name="60% - Accent3 8 7" xfId="979"/>
    <cellStyle name="60% - Accent3 8 7 2" xfId="980"/>
    <cellStyle name="60% - Accent3 8 7 3" xfId="3973"/>
    <cellStyle name="60% - Accent3 8 8" xfId="3974"/>
    <cellStyle name="60% - Accent3 8 9" xfId="3975"/>
    <cellStyle name="60% - Accent3 9" xfId="981"/>
    <cellStyle name="60% - Accent3 9 10" xfId="22181"/>
    <cellStyle name="60% - Accent3 9 2" xfId="982"/>
    <cellStyle name="60% - Accent3 9 3" xfId="983"/>
    <cellStyle name="60% - Accent3 9 3 2" xfId="984"/>
    <cellStyle name="60% - Accent3 9 3 3" xfId="3976"/>
    <cellStyle name="60% - Accent3 9 4" xfId="985"/>
    <cellStyle name="60% - Accent3 9 5" xfId="986"/>
    <cellStyle name="60% - Accent3 9 6" xfId="987"/>
    <cellStyle name="60% - Accent3 9 7" xfId="988"/>
    <cellStyle name="60% - Accent3 9 7 2" xfId="989"/>
    <cellStyle name="60% - Accent3 9 7 3" xfId="3977"/>
    <cellStyle name="60% - Accent3 9 8" xfId="3978"/>
    <cellStyle name="60% - Accent3 9 9" xfId="3979"/>
    <cellStyle name="60% - Accent4 10" xfId="990"/>
    <cellStyle name="60% - Accent4 10 2" xfId="991"/>
    <cellStyle name="60% - Accent4 10 3" xfId="992"/>
    <cellStyle name="60% - Accent4 10 4" xfId="22183"/>
    <cellStyle name="60% - Accent4 11" xfId="993"/>
    <cellStyle name="60% - Accent4 11 10" xfId="22184"/>
    <cellStyle name="60% - Accent4 11 2" xfId="994"/>
    <cellStyle name="60% - Accent4 11 3" xfId="995"/>
    <cellStyle name="60% - Accent4 11 3 2" xfId="996"/>
    <cellStyle name="60% - Accent4 11 3 3" xfId="3980"/>
    <cellStyle name="60% - Accent4 11 4" xfId="997"/>
    <cellStyle name="60% - Accent4 11 5" xfId="998"/>
    <cellStyle name="60% - Accent4 11 6" xfId="999"/>
    <cellStyle name="60% - Accent4 11 7" xfId="1000"/>
    <cellStyle name="60% - Accent4 11 7 2" xfId="1001"/>
    <cellStyle name="60% - Accent4 11 7 3" xfId="3981"/>
    <cellStyle name="60% - Accent4 11 8" xfId="3982"/>
    <cellStyle name="60% - Accent4 11 9" xfId="3983"/>
    <cellStyle name="60% - Accent4 12" xfId="1002"/>
    <cellStyle name="60% - Accent4 12 2" xfId="22186"/>
    <cellStyle name="60% - Accent4 12 3" xfId="22185"/>
    <cellStyle name="60% - Accent4 13" xfId="22187"/>
    <cellStyle name="60% - Accent4 14" xfId="22188"/>
    <cellStyle name="60% - Accent4 15" xfId="22675"/>
    <cellStyle name="60% - Accent4 16" xfId="22182"/>
    <cellStyle name="60% - Accent4 17" xfId="52893"/>
    <cellStyle name="60% - Accent4 2" xfId="46"/>
    <cellStyle name="60% - Accent4 2 10" xfId="1004"/>
    <cellStyle name="60% - Accent4 2 11" xfId="1005"/>
    <cellStyle name="60% - Accent4 2 12" xfId="1006"/>
    <cellStyle name="60% - Accent4 2 13" xfId="1007"/>
    <cellStyle name="60% - Accent4 2 14" xfId="1008"/>
    <cellStyle name="60% - Accent4 2 15" xfId="3984"/>
    <cellStyle name="60% - Accent4 2 16" xfId="3985"/>
    <cellStyle name="60% - Accent4 2 17" xfId="3986"/>
    <cellStyle name="60% - Accent4 2 18" xfId="1003"/>
    <cellStyle name="60% - Accent4 2 2" xfId="1009"/>
    <cellStyle name="60% - Accent4 2 2 2" xfId="1010"/>
    <cellStyle name="60% - Accent4 2 2 3" xfId="1011"/>
    <cellStyle name="60% - Accent4 2 2 4" xfId="3987"/>
    <cellStyle name="60% - Accent4 2 2 5" xfId="3988"/>
    <cellStyle name="60% - Accent4 2 2_Sheet1" xfId="1012"/>
    <cellStyle name="60% - Accent4 2 3" xfId="1013"/>
    <cellStyle name="60% - Accent4 2 4" xfId="1014"/>
    <cellStyle name="60% - Accent4 2 5" xfId="1015"/>
    <cellStyle name="60% - Accent4 2 6" xfId="1016"/>
    <cellStyle name="60% - Accent4 2 7" xfId="1017"/>
    <cellStyle name="60% - Accent4 2 8" xfId="1018"/>
    <cellStyle name="60% - Accent4 2 9" xfId="1019"/>
    <cellStyle name="60% - Accent4 2_BallGrid" xfId="1020"/>
    <cellStyle name="60% - Accent4 3" xfId="47"/>
    <cellStyle name="60% - Accent4 3 10" xfId="1021"/>
    <cellStyle name="60% - Accent4 3 2" xfId="1022"/>
    <cellStyle name="60% - Accent4 3 3" xfId="1023"/>
    <cellStyle name="60% - Accent4 3 4" xfId="1024"/>
    <cellStyle name="60% - Accent4 3 5" xfId="1025"/>
    <cellStyle name="60% - Accent4 3 6" xfId="1026"/>
    <cellStyle name="60% - Accent4 3 7" xfId="3989"/>
    <cellStyle name="60% - Accent4 3 8" xfId="3990"/>
    <cellStyle name="60% - Accent4 3 9" xfId="3991"/>
    <cellStyle name="60% - Accent4 3_BallGrid" xfId="1027"/>
    <cellStyle name="60% - Accent4 4" xfId="48"/>
    <cellStyle name="60% - Accent4 4 2" xfId="1029"/>
    <cellStyle name="60% - Accent4 4 2 2" xfId="22851"/>
    <cellStyle name="60% - Accent4 4 3" xfId="1030"/>
    <cellStyle name="60% - Accent4 4 3 2" xfId="22189"/>
    <cellStyle name="60% - Accent4 4 4" xfId="1031"/>
    <cellStyle name="60% - Accent4 4 5" xfId="1032"/>
    <cellStyle name="60% - Accent4 4 6" xfId="3992"/>
    <cellStyle name="60% - Accent4 4 7" xfId="3993"/>
    <cellStyle name="60% - Accent4 4 8" xfId="3994"/>
    <cellStyle name="60% - Accent4 4 9" xfId="1028"/>
    <cellStyle name="60% - Accent4 5" xfId="1033"/>
    <cellStyle name="60% - Accent4 5 10" xfId="3995"/>
    <cellStyle name="60% - Accent4 5 2" xfId="1034"/>
    <cellStyle name="60% - Accent4 5 2 2" xfId="22852"/>
    <cellStyle name="60% - Accent4 5 3" xfId="1035"/>
    <cellStyle name="60% - Accent4 5 3 2" xfId="1036"/>
    <cellStyle name="60% - Accent4 5 3 3" xfId="3996"/>
    <cellStyle name="60% - Accent4 5 3 4" xfId="22190"/>
    <cellStyle name="60% - Accent4 5 4" xfId="1037"/>
    <cellStyle name="60% - Accent4 5 4 2" xfId="52894"/>
    <cellStyle name="60% - Accent4 5 5" xfId="1038"/>
    <cellStyle name="60% - Accent4 5 6" xfId="1039"/>
    <cellStyle name="60% - Accent4 5 7" xfId="1040"/>
    <cellStyle name="60% - Accent4 5 7 2" xfId="1041"/>
    <cellStyle name="60% - Accent4 5 7 3" xfId="3997"/>
    <cellStyle name="60% - Accent4 5 8" xfId="3998"/>
    <cellStyle name="60% - Accent4 5 9" xfId="3999"/>
    <cellStyle name="60% - Accent4 6" xfId="1042"/>
    <cellStyle name="60% - Accent4 6 2" xfId="1043"/>
    <cellStyle name="60% - Accent4 6 2 2" xfId="22853"/>
    <cellStyle name="60% - Accent4 6 3" xfId="1044"/>
    <cellStyle name="60% - Accent4 6 3 2" xfId="1045"/>
    <cellStyle name="60% - Accent4 6 3 3" xfId="4000"/>
    <cellStyle name="60% - Accent4 6 3 4" xfId="22191"/>
    <cellStyle name="60% - Accent4 6 4" xfId="1046"/>
    <cellStyle name="60% - Accent4 6 4 2" xfId="52895"/>
    <cellStyle name="60% - Accent4 6 5" xfId="1047"/>
    <cellStyle name="60% - Accent4 6 6" xfId="1048"/>
    <cellStyle name="60% - Accent4 6 7" xfId="1049"/>
    <cellStyle name="60% - Accent4 6 7 2" xfId="1050"/>
    <cellStyle name="60% - Accent4 6 7 3" xfId="4001"/>
    <cellStyle name="60% - Accent4 6 8" xfId="4002"/>
    <cellStyle name="60% - Accent4 6 9" xfId="4003"/>
    <cellStyle name="60% - Accent4 7" xfId="1051"/>
    <cellStyle name="60% - Accent4 7 10" xfId="22192"/>
    <cellStyle name="60% - Accent4 7 2" xfId="1052"/>
    <cellStyle name="60% - Accent4 7 3" xfId="1053"/>
    <cellStyle name="60% - Accent4 7 3 2" xfId="1054"/>
    <cellStyle name="60% - Accent4 7 3 3" xfId="4004"/>
    <cellStyle name="60% - Accent4 7 4" xfId="1055"/>
    <cellStyle name="60% - Accent4 7 5" xfId="1056"/>
    <cellStyle name="60% - Accent4 7 6" xfId="1057"/>
    <cellStyle name="60% - Accent4 7 7" xfId="1058"/>
    <cellStyle name="60% - Accent4 7 7 2" xfId="1059"/>
    <cellStyle name="60% - Accent4 7 7 3" xfId="4005"/>
    <cellStyle name="60% - Accent4 7 8" xfId="4006"/>
    <cellStyle name="60% - Accent4 7 9" xfId="4007"/>
    <cellStyle name="60% - Accent4 8" xfId="1060"/>
    <cellStyle name="60% - Accent4 8 10" xfId="22193"/>
    <cellStyle name="60% - Accent4 8 2" xfId="1061"/>
    <cellStyle name="60% - Accent4 8 2 2" xfId="22194"/>
    <cellStyle name="60% - Accent4 8 3" xfId="1062"/>
    <cellStyle name="60% - Accent4 8 3 2" xfId="1063"/>
    <cellStyle name="60% - Accent4 8 3 3" xfId="4008"/>
    <cellStyle name="60% - Accent4 8 4" xfId="1064"/>
    <cellStyle name="60% - Accent4 8 5" xfId="1065"/>
    <cellStyle name="60% - Accent4 8 6" xfId="1066"/>
    <cellStyle name="60% - Accent4 8 7" xfId="1067"/>
    <cellStyle name="60% - Accent4 8 7 2" xfId="1068"/>
    <cellStyle name="60% - Accent4 8 7 3" xfId="4009"/>
    <cellStyle name="60% - Accent4 8 8" xfId="4010"/>
    <cellStyle name="60% - Accent4 8 9" xfId="4011"/>
    <cellStyle name="60% - Accent4 9" xfId="1069"/>
    <cellStyle name="60% - Accent4 9 10" xfId="22195"/>
    <cellStyle name="60% - Accent4 9 2" xfId="1070"/>
    <cellStyle name="60% - Accent4 9 3" xfId="1071"/>
    <cellStyle name="60% - Accent4 9 3 2" xfId="1072"/>
    <cellStyle name="60% - Accent4 9 3 3" xfId="4012"/>
    <cellStyle name="60% - Accent4 9 4" xfId="1073"/>
    <cellStyle name="60% - Accent4 9 5" xfId="1074"/>
    <cellStyle name="60% - Accent4 9 6" xfId="1075"/>
    <cellStyle name="60% - Accent4 9 7" xfId="1076"/>
    <cellStyle name="60% - Accent4 9 7 2" xfId="1077"/>
    <cellStyle name="60% - Accent4 9 7 3" xfId="4013"/>
    <cellStyle name="60% - Accent4 9 8" xfId="4014"/>
    <cellStyle name="60% - Accent4 9 9" xfId="4015"/>
    <cellStyle name="60% - Accent5 10" xfId="1078"/>
    <cellStyle name="60% - Accent5 10 2" xfId="1079"/>
    <cellStyle name="60% - Accent5 10 3" xfId="1080"/>
    <cellStyle name="60% - Accent5 11" xfId="1081"/>
    <cellStyle name="60% - Accent5 2" xfId="49"/>
    <cellStyle name="60% - Accent5 2 10" xfId="1083"/>
    <cellStyle name="60% - Accent5 2 11" xfId="1084"/>
    <cellStyle name="60% - Accent5 2 12" xfId="1085"/>
    <cellStyle name="60% - Accent5 2 13" xfId="1086"/>
    <cellStyle name="60% - Accent5 2 14" xfId="1087"/>
    <cellStyle name="60% - Accent5 2 15" xfId="4016"/>
    <cellStyle name="60% - Accent5 2 16" xfId="4017"/>
    <cellStyle name="60% - Accent5 2 17" xfId="4018"/>
    <cellStyle name="60% - Accent5 2 18" xfId="1082"/>
    <cellStyle name="60% - Accent5 2 2" xfId="1088"/>
    <cellStyle name="60% - Accent5 2 2 2" xfId="1089"/>
    <cellStyle name="60% - Accent5 2 2 3" xfId="1090"/>
    <cellStyle name="60% - Accent5 2 2 4" xfId="4019"/>
    <cellStyle name="60% - Accent5 2 2 5" xfId="4020"/>
    <cellStyle name="60% - Accent5 2 2_Sheet1" xfId="1091"/>
    <cellStyle name="60% - Accent5 2 3" xfId="1092"/>
    <cellStyle name="60% - Accent5 2 4" xfId="1093"/>
    <cellStyle name="60% - Accent5 2 5" xfId="1094"/>
    <cellStyle name="60% - Accent5 2 6" xfId="1095"/>
    <cellStyle name="60% - Accent5 2 7" xfId="1096"/>
    <cellStyle name="60% - Accent5 2 8" xfId="1097"/>
    <cellStyle name="60% - Accent5 2 9" xfId="1098"/>
    <cellStyle name="60% - Accent5 2_BallGrid" xfId="1099"/>
    <cellStyle name="60% - Accent5 3" xfId="50"/>
    <cellStyle name="60% - Accent5 3 10" xfId="1100"/>
    <cellStyle name="60% - Accent5 3 2" xfId="1101"/>
    <cellStyle name="60% - Accent5 3 3" xfId="1102"/>
    <cellStyle name="60% - Accent5 3 4" xfId="1103"/>
    <cellStyle name="60% - Accent5 3 5" xfId="1104"/>
    <cellStyle name="60% - Accent5 3 6" xfId="1105"/>
    <cellStyle name="60% - Accent5 3 7" xfId="4021"/>
    <cellStyle name="60% - Accent5 3 8" xfId="4022"/>
    <cellStyle name="60% - Accent5 3 9" xfId="4023"/>
    <cellStyle name="60% - Accent5 3_BallGrid" xfId="1106"/>
    <cellStyle name="60% - Accent5 4" xfId="51"/>
    <cellStyle name="60% - Accent5 4 2" xfId="1108"/>
    <cellStyle name="60% - Accent5 4 2 2" xfId="22854"/>
    <cellStyle name="60% - Accent5 4 3" xfId="1109"/>
    <cellStyle name="60% - Accent5 4 3 2" xfId="22197"/>
    <cellStyle name="60% - Accent5 4 4" xfId="1110"/>
    <cellStyle name="60% - Accent5 4 5" xfId="1111"/>
    <cellStyle name="60% - Accent5 4 6" xfId="4024"/>
    <cellStyle name="60% - Accent5 4 7" xfId="4025"/>
    <cellStyle name="60% - Accent5 4 8" xfId="4026"/>
    <cellStyle name="60% - Accent5 4 9" xfId="1107"/>
    <cellStyle name="60% - Accent5 5" xfId="1112"/>
    <cellStyle name="60% - Accent5 5 2" xfId="4027"/>
    <cellStyle name="60% - Accent5 5 3" xfId="4028"/>
    <cellStyle name="60% - Accent5 5 3 2" xfId="22198"/>
    <cellStyle name="60% - Accent5 5 4" xfId="52896"/>
    <cellStyle name="60% - Accent5 6" xfId="1113"/>
    <cellStyle name="60% - Accent5 6 2" xfId="22855"/>
    <cellStyle name="60% - Accent5 6 3" xfId="22199"/>
    <cellStyle name="60% - Accent5 6 4" xfId="52897"/>
    <cellStyle name="60% - Accent5 7" xfId="1114"/>
    <cellStyle name="60% - Accent5 8" xfId="1115"/>
    <cellStyle name="60% - Accent5 8 2" xfId="22200"/>
    <cellStyle name="60% - Accent5 9" xfId="1116"/>
    <cellStyle name="60% - Accent5 9 2" xfId="22196"/>
    <cellStyle name="60% - Accent6 10" xfId="1117"/>
    <cellStyle name="60% - Accent6 10 2" xfId="1118"/>
    <cellStyle name="60% - Accent6 10 3" xfId="1119"/>
    <cellStyle name="60% - Accent6 10 4" xfId="22202"/>
    <cellStyle name="60% - Accent6 11" xfId="1120"/>
    <cellStyle name="60% - Accent6 11 10" xfId="22203"/>
    <cellStyle name="60% - Accent6 11 2" xfId="1121"/>
    <cellStyle name="60% - Accent6 11 3" xfId="1122"/>
    <cellStyle name="60% - Accent6 11 3 2" xfId="1123"/>
    <cellStyle name="60% - Accent6 11 3 3" xfId="4029"/>
    <cellStyle name="60% - Accent6 11 4" xfId="1124"/>
    <cellStyle name="60% - Accent6 11 5" xfId="1125"/>
    <cellStyle name="60% - Accent6 11 6" xfId="1126"/>
    <cellStyle name="60% - Accent6 11 7" xfId="1127"/>
    <cellStyle name="60% - Accent6 11 7 2" xfId="1128"/>
    <cellStyle name="60% - Accent6 11 7 3" xfId="4030"/>
    <cellStyle name="60% - Accent6 11 8" xfId="4031"/>
    <cellStyle name="60% - Accent6 11 9" xfId="4032"/>
    <cellStyle name="60% - Accent6 12" xfId="1129"/>
    <cellStyle name="60% - Accent6 12 2" xfId="22205"/>
    <cellStyle name="60% - Accent6 12 3" xfId="22204"/>
    <cellStyle name="60% - Accent6 13" xfId="22206"/>
    <cellStyle name="60% - Accent6 14" xfId="22207"/>
    <cellStyle name="60% - Accent6 15" xfId="22680"/>
    <cellStyle name="60% - Accent6 16" xfId="22201"/>
    <cellStyle name="60% - Accent6 17" xfId="52898"/>
    <cellStyle name="60% - Accent6 2" xfId="52"/>
    <cellStyle name="60% - Accent6 2 10" xfId="1131"/>
    <cellStyle name="60% - Accent6 2 11" xfId="1132"/>
    <cellStyle name="60% - Accent6 2 12" xfId="1133"/>
    <cellStyle name="60% - Accent6 2 13" xfId="1134"/>
    <cellStyle name="60% - Accent6 2 14" xfId="1135"/>
    <cellStyle name="60% - Accent6 2 15" xfId="4033"/>
    <cellStyle name="60% - Accent6 2 16" xfId="4034"/>
    <cellStyle name="60% - Accent6 2 17" xfId="4035"/>
    <cellStyle name="60% - Accent6 2 18" xfId="1130"/>
    <cellStyle name="60% - Accent6 2 2" xfId="1136"/>
    <cellStyle name="60% - Accent6 2 2 2" xfId="1137"/>
    <cellStyle name="60% - Accent6 2 2 3" xfId="1138"/>
    <cellStyle name="60% - Accent6 2 2 4" xfId="4036"/>
    <cellStyle name="60% - Accent6 2 2 5" xfId="4037"/>
    <cellStyle name="60% - Accent6 2 2_Sheet1" xfId="1139"/>
    <cellStyle name="60% - Accent6 2 3" xfId="1140"/>
    <cellStyle name="60% - Accent6 2 4" xfId="1141"/>
    <cellStyle name="60% - Accent6 2 5" xfId="1142"/>
    <cellStyle name="60% - Accent6 2 6" xfId="1143"/>
    <cellStyle name="60% - Accent6 2 7" xfId="1144"/>
    <cellStyle name="60% - Accent6 2 8" xfId="1145"/>
    <cellStyle name="60% - Accent6 2 9" xfId="1146"/>
    <cellStyle name="60% - Accent6 2_BallGrid" xfId="1147"/>
    <cellStyle name="60% - Accent6 3" xfId="53"/>
    <cellStyle name="60% - Accent6 3 10" xfId="1148"/>
    <cellStyle name="60% - Accent6 3 2" xfId="1149"/>
    <cellStyle name="60% - Accent6 3 3" xfId="1150"/>
    <cellStyle name="60% - Accent6 3 4" xfId="1151"/>
    <cellStyle name="60% - Accent6 3 5" xfId="1152"/>
    <cellStyle name="60% - Accent6 3 6" xfId="1153"/>
    <cellStyle name="60% - Accent6 3 7" xfId="4038"/>
    <cellStyle name="60% - Accent6 3 8" xfId="4039"/>
    <cellStyle name="60% - Accent6 3 9" xfId="4040"/>
    <cellStyle name="60% - Accent6 3_BallGrid" xfId="1154"/>
    <cellStyle name="60% - Accent6 4" xfId="54"/>
    <cellStyle name="60% - Accent6 4 2" xfId="1156"/>
    <cellStyle name="60% - Accent6 4 2 2" xfId="22856"/>
    <cellStyle name="60% - Accent6 4 3" xfId="1157"/>
    <cellStyle name="60% - Accent6 4 3 2" xfId="22208"/>
    <cellStyle name="60% - Accent6 4 4" xfId="1158"/>
    <cellStyle name="60% - Accent6 4 5" xfId="1159"/>
    <cellStyle name="60% - Accent6 4 6" xfId="4041"/>
    <cellStyle name="60% - Accent6 4 7" xfId="4042"/>
    <cellStyle name="60% - Accent6 4 8" xfId="4043"/>
    <cellStyle name="60% - Accent6 4 9" xfId="1155"/>
    <cellStyle name="60% - Accent6 5" xfId="1160"/>
    <cellStyle name="60% - Accent6 5 10" xfId="4044"/>
    <cellStyle name="60% - Accent6 5 2" xfId="1161"/>
    <cellStyle name="60% - Accent6 5 2 2" xfId="22857"/>
    <cellStyle name="60% - Accent6 5 3" xfId="1162"/>
    <cellStyle name="60% - Accent6 5 3 2" xfId="1163"/>
    <cellStyle name="60% - Accent6 5 3 3" xfId="4045"/>
    <cellStyle name="60% - Accent6 5 3 4" xfId="22209"/>
    <cellStyle name="60% - Accent6 5 4" xfId="1164"/>
    <cellStyle name="60% - Accent6 5 4 2" xfId="52899"/>
    <cellStyle name="60% - Accent6 5 5" xfId="1165"/>
    <cellStyle name="60% - Accent6 5 6" xfId="1166"/>
    <cellStyle name="60% - Accent6 5 7" xfId="1167"/>
    <cellStyle name="60% - Accent6 5 7 2" xfId="1168"/>
    <cellStyle name="60% - Accent6 5 7 3" xfId="4046"/>
    <cellStyle name="60% - Accent6 5 8" xfId="4047"/>
    <cellStyle name="60% - Accent6 5 9" xfId="4048"/>
    <cellStyle name="60% - Accent6 6" xfId="1169"/>
    <cellStyle name="60% - Accent6 6 2" xfId="1170"/>
    <cellStyle name="60% - Accent6 6 2 2" xfId="22858"/>
    <cellStyle name="60% - Accent6 6 3" xfId="1171"/>
    <cellStyle name="60% - Accent6 6 3 2" xfId="1172"/>
    <cellStyle name="60% - Accent6 6 3 3" xfId="4049"/>
    <cellStyle name="60% - Accent6 6 3 4" xfId="22210"/>
    <cellStyle name="60% - Accent6 6 4" xfId="1173"/>
    <cellStyle name="60% - Accent6 6 4 2" xfId="52900"/>
    <cellStyle name="60% - Accent6 6 5" xfId="1174"/>
    <cellStyle name="60% - Accent6 6 6" xfId="1175"/>
    <cellStyle name="60% - Accent6 6 7" xfId="1176"/>
    <cellStyle name="60% - Accent6 6 7 2" xfId="1177"/>
    <cellStyle name="60% - Accent6 6 7 3" xfId="4050"/>
    <cellStyle name="60% - Accent6 6 8" xfId="4051"/>
    <cellStyle name="60% - Accent6 6 9" xfId="4052"/>
    <cellStyle name="60% - Accent6 7" xfId="1178"/>
    <cellStyle name="60% - Accent6 7 10" xfId="22211"/>
    <cellStyle name="60% - Accent6 7 2" xfId="1179"/>
    <cellStyle name="60% - Accent6 7 3" xfId="1180"/>
    <cellStyle name="60% - Accent6 7 3 2" xfId="1181"/>
    <cellStyle name="60% - Accent6 7 3 3" xfId="4053"/>
    <cellStyle name="60% - Accent6 7 4" xfId="1182"/>
    <cellStyle name="60% - Accent6 7 5" xfId="1183"/>
    <cellStyle name="60% - Accent6 7 6" xfId="1184"/>
    <cellStyle name="60% - Accent6 7 7" xfId="1185"/>
    <cellStyle name="60% - Accent6 7 7 2" xfId="1186"/>
    <cellStyle name="60% - Accent6 7 7 3" xfId="4054"/>
    <cellStyle name="60% - Accent6 7 8" xfId="4055"/>
    <cellStyle name="60% - Accent6 7 9" xfId="4056"/>
    <cellStyle name="60% - Accent6 8" xfId="1187"/>
    <cellStyle name="60% - Accent6 8 10" xfId="22212"/>
    <cellStyle name="60% - Accent6 8 2" xfId="1188"/>
    <cellStyle name="60% - Accent6 8 2 2" xfId="22213"/>
    <cellStyle name="60% - Accent6 8 3" xfId="1189"/>
    <cellStyle name="60% - Accent6 8 3 2" xfId="1190"/>
    <cellStyle name="60% - Accent6 8 3 3" xfId="4057"/>
    <cellStyle name="60% - Accent6 8 4" xfId="1191"/>
    <cellStyle name="60% - Accent6 8 5" xfId="1192"/>
    <cellStyle name="60% - Accent6 8 6" xfId="1193"/>
    <cellStyle name="60% - Accent6 8 7" xfId="1194"/>
    <cellStyle name="60% - Accent6 8 7 2" xfId="1195"/>
    <cellStyle name="60% - Accent6 8 7 3" xfId="4058"/>
    <cellStyle name="60% - Accent6 8 8" xfId="4059"/>
    <cellStyle name="60% - Accent6 8 9" xfId="4060"/>
    <cellStyle name="60% - Accent6 9" xfId="1196"/>
    <cellStyle name="60% - Accent6 9 10" xfId="22214"/>
    <cellStyle name="60% - Accent6 9 2" xfId="1197"/>
    <cellStyle name="60% - Accent6 9 3" xfId="1198"/>
    <cellStyle name="60% - Accent6 9 3 2" xfId="1199"/>
    <cellStyle name="60% - Accent6 9 3 3" xfId="4061"/>
    <cellStyle name="60% - Accent6 9 4" xfId="1200"/>
    <cellStyle name="60% - Accent6 9 5" xfId="1201"/>
    <cellStyle name="60% - Accent6 9 6" xfId="1202"/>
    <cellStyle name="60% - Accent6 9 7" xfId="1203"/>
    <cellStyle name="60% - Accent6 9 7 2" xfId="1204"/>
    <cellStyle name="60% - Accent6 9 7 3" xfId="4062"/>
    <cellStyle name="60% - Accent6 9 8" xfId="4063"/>
    <cellStyle name="60% - Accent6 9 9" xfId="4064"/>
    <cellStyle name="60% - 强调文字颜色 1" xfId="166" builtinId="32" customBuiltin="1"/>
    <cellStyle name="60% - 强调文字颜色 2" xfId="170" builtinId="36" customBuiltin="1"/>
    <cellStyle name="60% - 强调文字颜色 3" xfId="174" builtinId="40" customBuiltin="1"/>
    <cellStyle name="60% - 强调文字颜色 4" xfId="178" builtinId="44" customBuiltin="1"/>
    <cellStyle name="60% - 强调文字颜色 5" xfId="182" builtinId="48" customBuiltin="1"/>
    <cellStyle name="60% - 强调文字颜色 6" xfId="186" builtinId="52" customBuiltin="1"/>
    <cellStyle name="Accent1 10" xfId="22216"/>
    <cellStyle name="Accent1 11" xfId="22217"/>
    <cellStyle name="Accent1 12" xfId="22218"/>
    <cellStyle name="Accent1 12 2" xfId="22219"/>
    <cellStyle name="Accent1 13" xfId="22220"/>
    <cellStyle name="Accent1 14" xfId="22221"/>
    <cellStyle name="Accent1 15" xfId="22664"/>
    <cellStyle name="Accent1 16" xfId="22215"/>
    <cellStyle name="Accent1 2" xfId="55"/>
    <cellStyle name="Accent1 2 10" xfId="1206"/>
    <cellStyle name="Accent1 2 11" xfId="1207"/>
    <cellStyle name="Accent1 2 12" xfId="1208"/>
    <cellStyle name="Accent1 2 13" xfId="1209"/>
    <cellStyle name="Accent1 2 14" xfId="1210"/>
    <cellStyle name="Accent1 2 15" xfId="4065"/>
    <cellStyle name="Accent1 2 16" xfId="4066"/>
    <cellStyle name="Accent1 2 17" xfId="4067"/>
    <cellStyle name="Accent1 2 18" xfId="1205"/>
    <cellStyle name="Accent1 2 2" xfId="1211"/>
    <cellStyle name="Accent1 2 2 2" xfId="1212"/>
    <cellStyle name="Accent1 2 2 3" xfId="1213"/>
    <cellStyle name="Accent1 2 2 4" xfId="4068"/>
    <cellStyle name="Accent1 2 2 5" xfId="4069"/>
    <cellStyle name="Accent1 2 2_Sheet1" xfId="1214"/>
    <cellStyle name="Accent1 2 3" xfId="1215"/>
    <cellStyle name="Accent1 2 4" xfId="1216"/>
    <cellStyle name="Accent1 2 5" xfId="1217"/>
    <cellStyle name="Accent1 2 6" xfId="1218"/>
    <cellStyle name="Accent1 2 7" xfId="1219"/>
    <cellStyle name="Accent1 2 8" xfId="1220"/>
    <cellStyle name="Accent1 2 9" xfId="1221"/>
    <cellStyle name="Accent1 2_BallGrid" xfId="1222"/>
    <cellStyle name="Accent1 3" xfId="56"/>
    <cellStyle name="Accent1 3 2" xfId="1223"/>
    <cellStyle name="Accent1 3 3" xfId="1224"/>
    <cellStyle name="Accent1 3 4" xfId="4070"/>
    <cellStyle name="Accent1 4" xfId="57"/>
    <cellStyle name="Accent1 4 2" xfId="1225"/>
    <cellStyle name="Accent1 4 3" xfId="1226"/>
    <cellStyle name="Accent1 4 4" xfId="4071"/>
    <cellStyle name="Accent1 4 5" xfId="4072"/>
    <cellStyle name="Accent1 5" xfId="1227"/>
    <cellStyle name="Accent1 5 2" xfId="4073"/>
    <cellStyle name="Accent1 5 3" xfId="4074"/>
    <cellStyle name="Accent1 5 4" xfId="22222"/>
    <cellStyle name="Accent1 6" xfId="22223"/>
    <cellStyle name="Accent1 7" xfId="22224"/>
    <cellStyle name="Accent1 8" xfId="22225"/>
    <cellStyle name="Accent1 8 2" xfId="22226"/>
    <cellStyle name="Accent1 9" xfId="22227"/>
    <cellStyle name="Accent2 2" xfId="58"/>
    <cellStyle name="Accent2 2 10" xfId="1229"/>
    <cellStyle name="Accent2 2 11" xfId="1230"/>
    <cellStyle name="Accent2 2 12" xfId="1231"/>
    <cellStyle name="Accent2 2 13" xfId="1232"/>
    <cellStyle name="Accent2 2 14" xfId="1233"/>
    <cellStyle name="Accent2 2 15" xfId="4075"/>
    <cellStyle name="Accent2 2 16" xfId="4076"/>
    <cellStyle name="Accent2 2 17" xfId="4077"/>
    <cellStyle name="Accent2 2 18" xfId="1228"/>
    <cellStyle name="Accent2 2 2" xfId="1234"/>
    <cellStyle name="Accent2 2 2 2" xfId="1235"/>
    <cellStyle name="Accent2 2 2 3" xfId="1236"/>
    <cellStyle name="Accent2 2 2 4" xfId="4078"/>
    <cellStyle name="Accent2 2 2 5" xfId="4079"/>
    <cellStyle name="Accent2 2 2_Sheet1" xfId="1237"/>
    <cellStyle name="Accent2 2 3" xfId="1238"/>
    <cellStyle name="Accent2 2 4" xfId="1239"/>
    <cellStyle name="Accent2 2 5" xfId="1240"/>
    <cellStyle name="Accent2 2 6" xfId="1241"/>
    <cellStyle name="Accent2 2 7" xfId="1242"/>
    <cellStyle name="Accent2 2 8" xfId="1243"/>
    <cellStyle name="Accent2 2 9" xfId="1244"/>
    <cellStyle name="Accent2 2_BallGrid" xfId="1245"/>
    <cellStyle name="Accent2 3" xfId="59"/>
    <cellStyle name="Accent2 3 2" xfId="1246"/>
    <cellStyle name="Accent2 3 2 2" xfId="22229"/>
    <cellStyle name="Accent2 3 3" xfId="1247"/>
    <cellStyle name="Accent2 3 4" xfId="4080"/>
    <cellStyle name="Accent2 4" xfId="60"/>
    <cellStyle name="Accent2 4 2" xfId="1248"/>
    <cellStyle name="Accent2 4 3" xfId="1249"/>
    <cellStyle name="Accent2 4 4" xfId="4081"/>
    <cellStyle name="Accent2 4 5" xfId="4082"/>
    <cellStyle name="Accent2 5" xfId="1250"/>
    <cellStyle name="Accent2 5 2" xfId="4083"/>
    <cellStyle name="Accent2 5 3" xfId="4084"/>
    <cellStyle name="Accent2 5 4" xfId="22230"/>
    <cellStyle name="Accent2 6" xfId="22231"/>
    <cellStyle name="Accent2 7" xfId="22232"/>
    <cellStyle name="Accent2 8" xfId="22228"/>
    <cellStyle name="Accent3 10" xfId="1251"/>
    <cellStyle name="Accent3 10 2" xfId="1252"/>
    <cellStyle name="Accent3 10 3" xfId="1253"/>
    <cellStyle name="Accent3 11" xfId="1254"/>
    <cellStyle name="Accent3 2" xfId="61"/>
    <cellStyle name="Accent3 2 10" xfId="1256"/>
    <cellStyle name="Accent3 2 11" xfId="1257"/>
    <cellStyle name="Accent3 2 12" xfId="1258"/>
    <cellStyle name="Accent3 2 13" xfId="1259"/>
    <cellStyle name="Accent3 2 14" xfId="1260"/>
    <cellStyle name="Accent3 2 15" xfId="4085"/>
    <cellStyle name="Accent3 2 16" xfId="4086"/>
    <cellStyle name="Accent3 2 17" xfId="4087"/>
    <cellStyle name="Accent3 2 18" xfId="1255"/>
    <cellStyle name="Accent3 2 2" xfId="1261"/>
    <cellStyle name="Accent3 2 2 2" xfId="1262"/>
    <cellStyle name="Accent3 2 2 3" xfId="1263"/>
    <cellStyle name="Accent3 2 2 4" xfId="4088"/>
    <cellStyle name="Accent3 2 2 5" xfId="4089"/>
    <cellStyle name="Accent3 2 2_Sheet1" xfId="1264"/>
    <cellStyle name="Accent3 2 3" xfId="1265"/>
    <cellStyle name="Accent3 2 4" xfId="1266"/>
    <cellStyle name="Accent3 2 5" xfId="1267"/>
    <cellStyle name="Accent3 2 6" xfId="1268"/>
    <cellStyle name="Accent3 2 7" xfId="1269"/>
    <cellStyle name="Accent3 2 8" xfId="1270"/>
    <cellStyle name="Accent3 2 9" xfId="1271"/>
    <cellStyle name="Accent3 2_BallGrid" xfId="1272"/>
    <cellStyle name="Accent3 3" xfId="62"/>
    <cellStyle name="Accent3 3 10" xfId="1273"/>
    <cellStyle name="Accent3 3 2" xfId="1274"/>
    <cellStyle name="Accent3 3 3" xfId="1275"/>
    <cellStyle name="Accent3 3 4" xfId="1276"/>
    <cellStyle name="Accent3 3 5" xfId="1277"/>
    <cellStyle name="Accent3 3 6" xfId="1278"/>
    <cellStyle name="Accent3 3 7" xfId="4090"/>
    <cellStyle name="Accent3 3 8" xfId="4091"/>
    <cellStyle name="Accent3 3 9" xfId="4092"/>
    <cellStyle name="Accent3 3_BallGrid" xfId="1279"/>
    <cellStyle name="Accent3 4" xfId="63"/>
    <cellStyle name="Accent3 4 2" xfId="1281"/>
    <cellStyle name="Accent3 4 2 2" xfId="22859"/>
    <cellStyle name="Accent3 4 3" xfId="1282"/>
    <cellStyle name="Accent3 4 3 2" xfId="22234"/>
    <cellStyle name="Accent3 4 4" xfId="1283"/>
    <cellStyle name="Accent3 4 5" xfId="1284"/>
    <cellStyle name="Accent3 4 6" xfId="4093"/>
    <cellStyle name="Accent3 4 7" xfId="4094"/>
    <cellStyle name="Accent3 4 8" xfId="4095"/>
    <cellStyle name="Accent3 4 9" xfId="1280"/>
    <cellStyle name="Accent3 5" xfId="1285"/>
    <cellStyle name="Accent3 5 2" xfId="4096"/>
    <cellStyle name="Accent3 5 3" xfId="4097"/>
    <cellStyle name="Accent3 5 3 2" xfId="22235"/>
    <cellStyle name="Accent3 5 4" xfId="52901"/>
    <cellStyle name="Accent3 6" xfId="1286"/>
    <cellStyle name="Accent3 6 2" xfId="22860"/>
    <cellStyle name="Accent3 6 3" xfId="22236"/>
    <cellStyle name="Accent3 6 4" xfId="52902"/>
    <cellStyle name="Accent3 7" xfId="1287"/>
    <cellStyle name="Accent3 8" xfId="1288"/>
    <cellStyle name="Accent3 8 2" xfId="22237"/>
    <cellStyle name="Accent3 9" xfId="1289"/>
    <cellStyle name="Accent3 9 2" xfId="22233"/>
    <cellStyle name="Accent4 10" xfId="1290"/>
    <cellStyle name="Accent4 10 2" xfId="1291"/>
    <cellStyle name="Accent4 10 3" xfId="1292"/>
    <cellStyle name="Accent4 10 4" xfId="22239"/>
    <cellStyle name="Accent4 11" xfId="1293"/>
    <cellStyle name="Accent4 11 2" xfId="22240"/>
    <cellStyle name="Accent4 12" xfId="22241"/>
    <cellStyle name="Accent4 12 2" xfId="22242"/>
    <cellStyle name="Accent4 13" xfId="22243"/>
    <cellStyle name="Accent4 14" xfId="22244"/>
    <cellStyle name="Accent4 15" xfId="22672"/>
    <cellStyle name="Accent4 16" xfId="22238"/>
    <cellStyle name="Accent4 2" xfId="64"/>
    <cellStyle name="Accent4 2 10" xfId="1295"/>
    <cellStyle name="Accent4 2 11" xfId="1296"/>
    <cellStyle name="Accent4 2 12" xfId="1297"/>
    <cellStyle name="Accent4 2 13" xfId="1298"/>
    <cellStyle name="Accent4 2 14" xfId="1299"/>
    <cellStyle name="Accent4 2 15" xfId="4098"/>
    <cellStyle name="Accent4 2 16" xfId="4099"/>
    <cellStyle name="Accent4 2 17" xfId="4100"/>
    <cellStyle name="Accent4 2 18" xfId="1294"/>
    <cellStyle name="Accent4 2 2" xfId="1300"/>
    <cellStyle name="Accent4 2 2 2" xfId="1301"/>
    <cellStyle name="Accent4 2 2 3" xfId="1302"/>
    <cellStyle name="Accent4 2 2 4" xfId="4101"/>
    <cellStyle name="Accent4 2 2 5" xfId="4102"/>
    <cellStyle name="Accent4 2 2_Sheet1" xfId="1303"/>
    <cellStyle name="Accent4 2 3" xfId="1304"/>
    <cellStyle name="Accent4 2 4" xfId="1305"/>
    <cellStyle name="Accent4 2 5" xfId="1306"/>
    <cellStyle name="Accent4 2 6" xfId="1307"/>
    <cellStyle name="Accent4 2 7" xfId="1308"/>
    <cellStyle name="Accent4 2 8" xfId="1309"/>
    <cellStyle name="Accent4 2 9" xfId="1310"/>
    <cellStyle name="Accent4 2_BallGrid" xfId="1311"/>
    <cellStyle name="Accent4 3" xfId="65"/>
    <cellStyle name="Accent4 3 10" xfId="1312"/>
    <cellStyle name="Accent4 3 2" xfId="1313"/>
    <cellStyle name="Accent4 3 3" xfId="1314"/>
    <cellStyle name="Accent4 3 4" xfId="1315"/>
    <cellStyle name="Accent4 3 5" xfId="1316"/>
    <cellStyle name="Accent4 3 6" xfId="1317"/>
    <cellStyle name="Accent4 3 7" xfId="4103"/>
    <cellStyle name="Accent4 3 8" xfId="4104"/>
    <cellStyle name="Accent4 3 9" xfId="4105"/>
    <cellStyle name="Accent4 3_BallGrid" xfId="1318"/>
    <cellStyle name="Accent4 4" xfId="66"/>
    <cellStyle name="Accent4 4 2" xfId="1320"/>
    <cellStyle name="Accent4 4 2 2" xfId="22861"/>
    <cellStyle name="Accent4 4 3" xfId="1321"/>
    <cellStyle name="Accent4 4 3 2" xfId="22245"/>
    <cellStyle name="Accent4 4 4" xfId="1322"/>
    <cellStyle name="Accent4 4 5" xfId="1323"/>
    <cellStyle name="Accent4 4 6" xfId="4106"/>
    <cellStyle name="Accent4 4 7" xfId="4107"/>
    <cellStyle name="Accent4 4 8" xfId="4108"/>
    <cellStyle name="Accent4 4 9" xfId="1319"/>
    <cellStyle name="Accent4 5" xfId="1324"/>
    <cellStyle name="Accent4 5 2" xfId="4109"/>
    <cellStyle name="Accent4 5 3" xfId="4110"/>
    <cellStyle name="Accent4 5 3 2" xfId="22246"/>
    <cellStyle name="Accent4 5 4" xfId="52903"/>
    <cellStyle name="Accent4 6" xfId="1325"/>
    <cellStyle name="Accent4 6 2" xfId="22862"/>
    <cellStyle name="Accent4 6 3" xfId="22247"/>
    <cellStyle name="Accent4 6 4" xfId="52904"/>
    <cellStyle name="Accent4 7" xfId="1326"/>
    <cellStyle name="Accent4 7 2" xfId="22248"/>
    <cellStyle name="Accent4 8" xfId="1327"/>
    <cellStyle name="Accent4 8 2" xfId="22250"/>
    <cellStyle name="Accent4 8 3" xfId="22249"/>
    <cellStyle name="Accent4 9" xfId="1328"/>
    <cellStyle name="Accent4 9 2" xfId="22251"/>
    <cellStyle name="Accent5 10" xfId="1329"/>
    <cellStyle name="Accent5 10 2" xfId="1330"/>
    <cellStyle name="Accent5 10 3" xfId="1331"/>
    <cellStyle name="Accent5 11" xfId="1332"/>
    <cellStyle name="Accent5 2" xfId="67"/>
    <cellStyle name="Accent5 2 10" xfId="1334"/>
    <cellStyle name="Accent5 2 11" xfId="1335"/>
    <cellStyle name="Accent5 2 12" xfId="1336"/>
    <cellStyle name="Accent5 2 13" xfId="1337"/>
    <cellStyle name="Accent5 2 14" xfId="1338"/>
    <cellStyle name="Accent5 2 15" xfId="4111"/>
    <cellStyle name="Accent5 2 16" xfId="4112"/>
    <cellStyle name="Accent5 2 17" xfId="4113"/>
    <cellStyle name="Accent5 2 18" xfId="1333"/>
    <cellStyle name="Accent5 2 2" xfId="1339"/>
    <cellStyle name="Accent5 2 2 2" xfId="1340"/>
    <cellStyle name="Accent5 2 2 3" xfId="1341"/>
    <cellStyle name="Accent5 2 2 4" xfId="4114"/>
    <cellStyle name="Accent5 2 2 5" xfId="4115"/>
    <cellStyle name="Accent5 2 2_Sheet1" xfId="1342"/>
    <cellStyle name="Accent5 2 3" xfId="1343"/>
    <cellStyle name="Accent5 2 4" xfId="1344"/>
    <cellStyle name="Accent5 2 5" xfId="1345"/>
    <cellStyle name="Accent5 2 6" xfId="1346"/>
    <cellStyle name="Accent5 2 7" xfId="1347"/>
    <cellStyle name="Accent5 2 8" xfId="1348"/>
    <cellStyle name="Accent5 2 9" xfId="1349"/>
    <cellStyle name="Accent5 2_BallGrid" xfId="1350"/>
    <cellStyle name="Accent5 3" xfId="68"/>
    <cellStyle name="Accent5 3 10" xfId="1351"/>
    <cellStyle name="Accent5 3 2" xfId="1352"/>
    <cellStyle name="Accent5 3 3" xfId="1353"/>
    <cellStyle name="Accent5 3 4" xfId="1354"/>
    <cellStyle name="Accent5 3 5" xfId="1355"/>
    <cellStyle name="Accent5 3 6" xfId="1356"/>
    <cellStyle name="Accent5 3 7" xfId="4116"/>
    <cellStyle name="Accent5 3 8" xfId="4117"/>
    <cellStyle name="Accent5 3 9" xfId="4118"/>
    <cellStyle name="Accent5 3_BallGrid" xfId="1357"/>
    <cellStyle name="Accent5 4" xfId="69"/>
    <cellStyle name="Accent5 4 2" xfId="1359"/>
    <cellStyle name="Accent5 4 2 2" xfId="22864"/>
    <cellStyle name="Accent5 4 3" xfId="1360"/>
    <cellStyle name="Accent5 4 3 2" xfId="22253"/>
    <cellStyle name="Accent5 4 4" xfId="1361"/>
    <cellStyle name="Accent5 4 5" xfId="1362"/>
    <cellStyle name="Accent5 4 6" xfId="4119"/>
    <cellStyle name="Accent5 4 7" xfId="4120"/>
    <cellStyle name="Accent5 4 8" xfId="4121"/>
    <cellStyle name="Accent5 4 9" xfId="1358"/>
    <cellStyle name="Accent5 5" xfId="1363"/>
    <cellStyle name="Accent5 5 2" xfId="4122"/>
    <cellStyle name="Accent5 5 3" xfId="4123"/>
    <cellStyle name="Accent5 5 3 2" xfId="22254"/>
    <cellStyle name="Accent5 5 4" xfId="52905"/>
    <cellStyle name="Accent5 6" xfId="1364"/>
    <cellStyle name="Accent5 6 2" xfId="22865"/>
    <cellStyle name="Accent5 6 3" xfId="22255"/>
    <cellStyle name="Accent5 6 4" xfId="52906"/>
    <cellStyle name="Accent5 7" xfId="1365"/>
    <cellStyle name="Accent5 8" xfId="1366"/>
    <cellStyle name="Accent5 8 2" xfId="22256"/>
    <cellStyle name="Accent5 9" xfId="1367"/>
    <cellStyle name="Accent5 9 2" xfId="22252"/>
    <cellStyle name="Accent6 10" xfId="1368"/>
    <cellStyle name="Accent6 10 2" xfId="1369"/>
    <cellStyle name="Accent6 10 3" xfId="1370"/>
    <cellStyle name="Accent6 11" xfId="1371"/>
    <cellStyle name="Accent6 2" xfId="70"/>
    <cellStyle name="Accent6 2 10" xfId="1373"/>
    <cellStyle name="Accent6 2 11" xfId="1374"/>
    <cellStyle name="Accent6 2 12" xfId="1375"/>
    <cellStyle name="Accent6 2 13" xfId="1376"/>
    <cellStyle name="Accent6 2 14" xfId="1377"/>
    <cellStyle name="Accent6 2 15" xfId="4124"/>
    <cellStyle name="Accent6 2 16" xfId="4125"/>
    <cellStyle name="Accent6 2 17" xfId="4126"/>
    <cellStyle name="Accent6 2 18" xfId="1372"/>
    <cellStyle name="Accent6 2 2" xfId="1378"/>
    <cellStyle name="Accent6 2 2 2" xfId="1379"/>
    <cellStyle name="Accent6 2 2 3" xfId="1380"/>
    <cellStyle name="Accent6 2 2 4" xfId="4127"/>
    <cellStyle name="Accent6 2 2 5" xfId="4128"/>
    <cellStyle name="Accent6 2 2_Sheet1" xfId="1381"/>
    <cellStyle name="Accent6 2 3" xfId="1382"/>
    <cellStyle name="Accent6 2 4" xfId="1383"/>
    <cellStyle name="Accent6 2 5" xfId="1384"/>
    <cellStyle name="Accent6 2 6" xfId="1385"/>
    <cellStyle name="Accent6 2 7" xfId="1386"/>
    <cellStyle name="Accent6 2 8" xfId="1387"/>
    <cellStyle name="Accent6 2 9" xfId="1388"/>
    <cellStyle name="Accent6 2_BallGrid" xfId="1389"/>
    <cellStyle name="Accent6 3" xfId="71"/>
    <cellStyle name="Accent6 3 10" xfId="1390"/>
    <cellStyle name="Accent6 3 2" xfId="1391"/>
    <cellStyle name="Accent6 3 3" xfId="1392"/>
    <cellStyle name="Accent6 3 4" xfId="1393"/>
    <cellStyle name="Accent6 3 5" xfId="1394"/>
    <cellStyle name="Accent6 3 6" xfId="1395"/>
    <cellStyle name="Accent6 3 7" xfId="4129"/>
    <cellStyle name="Accent6 3 8" xfId="4130"/>
    <cellStyle name="Accent6 3 9" xfId="4131"/>
    <cellStyle name="Accent6 3_BallGrid" xfId="1396"/>
    <cellStyle name="Accent6 4" xfId="72"/>
    <cellStyle name="Accent6 4 2" xfId="1398"/>
    <cellStyle name="Accent6 4 2 2" xfId="22866"/>
    <cellStyle name="Accent6 4 3" xfId="1399"/>
    <cellStyle name="Accent6 4 3 2" xfId="22258"/>
    <cellStyle name="Accent6 4 4" xfId="1400"/>
    <cellStyle name="Accent6 4 5" xfId="1401"/>
    <cellStyle name="Accent6 4 6" xfId="4132"/>
    <cellStyle name="Accent6 4 7" xfId="4133"/>
    <cellStyle name="Accent6 4 8" xfId="4134"/>
    <cellStyle name="Accent6 4 9" xfId="1397"/>
    <cellStyle name="Accent6 5" xfId="1402"/>
    <cellStyle name="Accent6 5 2" xfId="4135"/>
    <cellStyle name="Accent6 5 3" xfId="4136"/>
    <cellStyle name="Accent6 5 3 2" xfId="22259"/>
    <cellStyle name="Accent6 5 4" xfId="52907"/>
    <cellStyle name="Accent6 6" xfId="1403"/>
    <cellStyle name="Accent6 6 2" xfId="22867"/>
    <cellStyle name="Accent6 6 3" xfId="22260"/>
    <cellStyle name="Accent6 6 4" xfId="52908"/>
    <cellStyle name="Accent6 7" xfId="1404"/>
    <cellStyle name="Accent6 8" xfId="1405"/>
    <cellStyle name="Accent6 8 2" xfId="22261"/>
    <cellStyle name="Accent6 9" xfId="1406"/>
    <cellStyle name="Accent6 9 2" xfId="22257"/>
    <cellStyle name="Bad 10" xfId="1407"/>
    <cellStyle name="Bad 11" xfId="1408"/>
    <cellStyle name="Bad 2" xfId="73"/>
    <cellStyle name="Bad 2 10" xfId="1409"/>
    <cellStyle name="Bad 2 2" xfId="1410"/>
    <cellStyle name="Bad 2 3" xfId="1411"/>
    <cellStyle name="Bad 2 3 2" xfId="22868"/>
    <cellStyle name="Bad 2 3 3" xfId="22264"/>
    <cellStyle name="Bad 2 4" xfId="1412"/>
    <cellStyle name="Bad 2 5" xfId="1413"/>
    <cellStyle name="Bad 2 5 2" xfId="22263"/>
    <cellStyle name="Bad 2 6" xfId="1414"/>
    <cellStyle name="Bad 2 6 2" xfId="52909"/>
    <cellStyle name="Bad 2 7" xfId="4137"/>
    <cellStyle name="Bad 2 8" xfId="4138"/>
    <cellStyle name="Bad 2 9" xfId="4139"/>
    <cellStyle name="Bad 2_BallGrid" xfId="1415"/>
    <cellStyle name="Bad 3" xfId="74"/>
    <cellStyle name="Bad 3 10" xfId="1416"/>
    <cellStyle name="Bad 3 2" xfId="1417"/>
    <cellStyle name="Bad 3 2 2" xfId="22869"/>
    <cellStyle name="Bad 3 2 3" xfId="22266"/>
    <cellStyle name="Bad 3 3" xfId="1418"/>
    <cellStyle name="Bad 3 3 2" xfId="22870"/>
    <cellStyle name="Bad 3 3 3" xfId="22267"/>
    <cellStyle name="Bad 3 4" xfId="1419"/>
    <cellStyle name="Bad 3 5" xfId="1420"/>
    <cellStyle name="Bad 3 6" xfId="1421"/>
    <cellStyle name="Bad 3 7" xfId="4140"/>
    <cellStyle name="Bad 3 8" xfId="4141"/>
    <cellStyle name="Bad 3 9" xfId="4142"/>
    <cellStyle name="Bad 3_BallGrid" xfId="1422"/>
    <cellStyle name="Bad 4" xfId="75"/>
    <cellStyle name="Bad 4 2" xfId="1424"/>
    <cellStyle name="Bad 4 2 2" xfId="22871"/>
    <cellStyle name="Bad 4 3" xfId="1425"/>
    <cellStyle name="Bad 4 3 2" xfId="22268"/>
    <cellStyle name="Bad 4 4" xfId="1426"/>
    <cellStyle name="Bad 4 5" xfId="1427"/>
    <cellStyle name="Bad 4 6" xfId="4143"/>
    <cellStyle name="Bad 4 7" xfId="4144"/>
    <cellStyle name="Bad 4 8" xfId="4145"/>
    <cellStyle name="Bad 4 9" xfId="1423"/>
    <cellStyle name="Bad 5" xfId="1428"/>
    <cellStyle name="Bad 5 2" xfId="4146"/>
    <cellStyle name="Bad 5 3" xfId="4147"/>
    <cellStyle name="Bad 5 4" xfId="22269"/>
    <cellStyle name="Bad 6" xfId="1429"/>
    <cellStyle name="Bad 6 2" xfId="22270"/>
    <cellStyle name="Bad 7" xfId="1430"/>
    <cellStyle name="Bad 7 2" xfId="22271"/>
    <cellStyle name="Bad 8" xfId="1431"/>
    <cellStyle name="Bad 8 2" xfId="1432"/>
    <cellStyle name="Bad 8 3" xfId="1433"/>
    <cellStyle name="Bad 8 4" xfId="22262"/>
    <cellStyle name="Bad 9" xfId="1434"/>
    <cellStyle name="Bad 9 2" xfId="1435"/>
    <cellStyle name="Bad 9 3" xfId="1436"/>
    <cellStyle name="Calculation 10" xfId="1437"/>
    <cellStyle name="Calculation 10 2" xfId="1438"/>
    <cellStyle name="Calculation 10 2 2" xfId="10431"/>
    <cellStyle name="Calculation 10 2 2 2" xfId="18218"/>
    <cellStyle name="Calculation 10 2 2 2 2" xfId="43750"/>
    <cellStyle name="Calculation 10 2 2 2 3" xfId="47659"/>
    <cellStyle name="Calculation 10 2 2 2 4" xfId="35841"/>
    <cellStyle name="Calculation 10 2 2 3" xfId="19427"/>
    <cellStyle name="Calculation 10 2 2 3 2" xfId="44949"/>
    <cellStyle name="Calculation 10 2 2 3 3" xfId="48855"/>
    <cellStyle name="Calculation 10 2 2 3 4" xfId="36978"/>
    <cellStyle name="Calculation 10 2 2 4" xfId="19822"/>
    <cellStyle name="Calculation 10 2 2 4 2" xfId="45344"/>
    <cellStyle name="Calculation 10 2 2 4 3" xfId="49250"/>
    <cellStyle name="Calculation 10 2 2 4 4" xfId="37326"/>
    <cellStyle name="Calculation 10 2 2 5" xfId="20631"/>
    <cellStyle name="Calculation 10 2 2 5 2" xfId="46153"/>
    <cellStyle name="Calculation 10 2 2 5 3" xfId="50059"/>
    <cellStyle name="Calculation 10 2 2 5 4" xfId="38023"/>
    <cellStyle name="Calculation 10 2 2 6" xfId="21284"/>
    <cellStyle name="Calculation 10 2 2 6 2" xfId="46806"/>
    <cellStyle name="Calculation 10 2 2 6 3" xfId="50712"/>
    <cellStyle name="Calculation 10 2 2 7" xfId="40609"/>
    <cellStyle name="Calculation 10 2 2 8" xfId="47490"/>
    <cellStyle name="Calculation 10 2 3" xfId="7770"/>
    <cellStyle name="Calculation 10 2 3 2" xfId="15561"/>
    <cellStyle name="Calculation 10 2 3 2 2" xfId="43223"/>
    <cellStyle name="Calculation 10 2 3 2 3" xfId="40278"/>
    <cellStyle name="Calculation 10 2 3 2 4" xfId="33182"/>
    <cellStyle name="Calculation 10 2 3 3" xfId="11419"/>
    <cellStyle name="Calculation 10 2 3 3 2" xfId="41424"/>
    <cellStyle name="Calculation 10 2 3 3 3" xfId="47482"/>
    <cellStyle name="Calculation 10 2 3 3 4" xfId="29126"/>
    <cellStyle name="Calculation 10 2 3 4" xfId="19844"/>
    <cellStyle name="Calculation 10 2 3 4 2" xfId="45366"/>
    <cellStyle name="Calculation 10 2 3 4 3" xfId="49272"/>
    <cellStyle name="Calculation 10 2 3 4 4" xfId="37345"/>
    <cellStyle name="Calculation 10 2 3 5" xfId="11682"/>
    <cellStyle name="Calculation 10 2 3 5 2" xfId="41669"/>
    <cellStyle name="Calculation 10 2 3 5 3" xfId="43674"/>
    <cellStyle name="Calculation 10 2 3 5 4" xfId="29361"/>
    <cellStyle name="Calculation 10 2 3 6" xfId="11339"/>
    <cellStyle name="Calculation 10 2 3 6 2" xfId="41358"/>
    <cellStyle name="Calculation 10 2 3 6 3" xfId="43581"/>
    <cellStyle name="Calculation 10 2 3 7" xfId="40082"/>
    <cellStyle name="Calculation 10 2 3 8" xfId="42728"/>
    <cellStyle name="Calculation 10 3" xfId="1439"/>
    <cellStyle name="Calculation 10 4" xfId="6951"/>
    <cellStyle name="Calculation 10 4 10" xfId="43082"/>
    <cellStyle name="Calculation 10 4 2" xfId="10478"/>
    <cellStyle name="Calculation 10 4 2 2" xfId="18265"/>
    <cellStyle name="Calculation 10 4 2 2 2" xfId="43797"/>
    <cellStyle name="Calculation 10 4 2 2 3" xfId="47706"/>
    <cellStyle name="Calculation 10 4 2 2 4" xfId="35888"/>
    <cellStyle name="Calculation 10 4 2 3" xfId="11479"/>
    <cellStyle name="Calculation 10 4 2 3 2" xfId="41470"/>
    <cellStyle name="Calculation 10 4 2 3 3" xfId="43470"/>
    <cellStyle name="Calculation 10 4 2 3 4" xfId="29180"/>
    <cellStyle name="Calculation 10 4 2 4" xfId="20240"/>
    <cellStyle name="Calculation 10 4 2 4 2" xfId="45762"/>
    <cellStyle name="Calculation 10 4 2 4 3" xfId="49668"/>
    <cellStyle name="Calculation 10 4 2 4 4" xfId="37697"/>
    <cellStyle name="Calculation 10 4 2 5" xfId="20678"/>
    <cellStyle name="Calculation 10 4 2 5 2" xfId="46200"/>
    <cellStyle name="Calculation 10 4 2 5 3" xfId="50106"/>
    <cellStyle name="Calculation 10 4 2 5 4" xfId="38070"/>
    <cellStyle name="Calculation 10 4 2 6" xfId="21331"/>
    <cellStyle name="Calculation 10 4 2 6 2" xfId="46853"/>
    <cellStyle name="Calculation 10 4 2 6 3" xfId="50759"/>
    <cellStyle name="Calculation 10 4 2 7" xfId="40656"/>
    <cellStyle name="Calculation 10 4 2 8" xfId="43718"/>
    <cellStyle name="Calculation 10 4 3" xfId="10773"/>
    <cellStyle name="Calculation 10 4 3 2" xfId="18560"/>
    <cellStyle name="Calculation 10 4 3 2 2" xfId="44092"/>
    <cellStyle name="Calculation 10 4 3 2 3" xfId="48001"/>
    <cellStyle name="Calculation 10 4 3 2 4" xfId="36183"/>
    <cellStyle name="Calculation 10 4 3 3" xfId="13914"/>
    <cellStyle name="Calculation 10 4 3 3 2" xfId="42630"/>
    <cellStyle name="Calculation 10 4 3 3 3" xfId="42651"/>
    <cellStyle name="Calculation 10 4 3 3 4" xfId="31536"/>
    <cellStyle name="Calculation 10 4 3 4" xfId="19504"/>
    <cellStyle name="Calculation 10 4 3 4 2" xfId="45026"/>
    <cellStyle name="Calculation 10 4 3 4 3" xfId="48932"/>
    <cellStyle name="Calculation 10 4 3 4 4" xfId="37038"/>
    <cellStyle name="Calculation 10 4 3 5" xfId="20973"/>
    <cellStyle name="Calculation 10 4 3 5 2" xfId="46495"/>
    <cellStyle name="Calculation 10 4 3 5 3" xfId="50401"/>
    <cellStyle name="Calculation 10 4 3 5 4" xfId="38365"/>
    <cellStyle name="Calculation 10 4 3 6" xfId="21626"/>
    <cellStyle name="Calculation 10 4 3 6 2" xfId="47148"/>
    <cellStyle name="Calculation 10 4 3 6 3" xfId="51054"/>
    <cellStyle name="Calculation 10 4 3 7" xfId="40951"/>
    <cellStyle name="Calculation 10 4 3 8" xfId="39465"/>
    <cellStyle name="Calculation 10 4 4" xfId="14733"/>
    <cellStyle name="Calculation 10 4 4 2" xfId="42831"/>
    <cellStyle name="Calculation 10 4 4 3" xfId="41927"/>
    <cellStyle name="Calculation 10 4 4 4" xfId="32354"/>
    <cellStyle name="Calculation 10 4 5" xfId="13035"/>
    <cellStyle name="Calculation 10 4 5 2" xfId="42237"/>
    <cellStyle name="Calculation 10 4 5 3" xfId="43168"/>
    <cellStyle name="Calculation 10 4 5 4" xfId="30670"/>
    <cellStyle name="Calculation 10 4 6" xfId="19517"/>
    <cellStyle name="Calculation 10 4 6 2" xfId="45039"/>
    <cellStyle name="Calculation 10 4 6 3" xfId="48945"/>
    <cellStyle name="Calculation 10 4 6 4" xfId="37050"/>
    <cellStyle name="Calculation 10 4 7" xfId="20483"/>
    <cellStyle name="Calculation 10 4 7 2" xfId="46005"/>
    <cellStyle name="Calculation 10 4 7 3" xfId="49911"/>
    <cellStyle name="Calculation 10 4 7 4" xfId="37913"/>
    <cellStyle name="Calculation 10 4 8" xfId="19808"/>
    <cellStyle name="Calculation 10 4 8 2" xfId="45330"/>
    <cellStyle name="Calculation 10 4 8 3" xfId="49236"/>
    <cellStyle name="Calculation 10 4 9" xfId="39691"/>
    <cellStyle name="Calculation 10 5" xfId="22273"/>
    <cellStyle name="Calculation 11" xfId="1440"/>
    <cellStyle name="Calculation 11 2" xfId="22274"/>
    <cellStyle name="Calculation 12" xfId="22275"/>
    <cellStyle name="Calculation 12 2" xfId="22276"/>
    <cellStyle name="Calculation 13" xfId="22277"/>
    <cellStyle name="Calculation 14" xfId="22278"/>
    <cellStyle name="Calculation 14 2" xfId="23016"/>
    <cellStyle name="Calculation 14 2 2" xfId="47603"/>
    <cellStyle name="Calculation 14 2 3" xfId="51414"/>
    <cellStyle name="Calculation 14 3" xfId="47495"/>
    <cellStyle name="Calculation 14 4" xfId="51350"/>
    <cellStyle name="Calculation 14 5" xfId="52910"/>
    <cellStyle name="Calculation 15" xfId="22661"/>
    <cellStyle name="Calculation 16" xfId="22272"/>
    <cellStyle name="Calculation 16 2" xfId="23015"/>
    <cellStyle name="Calculation 16 2 2" xfId="47602"/>
    <cellStyle name="Calculation 16 2 3" xfId="51413"/>
    <cellStyle name="Calculation 16 3" xfId="47494"/>
    <cellStyle name="Calculation 16 4" xfId="51349"/>
    <cellStyle name="Calculation 16 5" xfId="52911"/>
    <cellStyle name="Calculation 2" xfId="76"/>
    <cellStyle name="Calculation 2 10" xfId="1442"/>
    <cellStyle name="Calculation 2 10 2" xfId="6953"/>
    <cellStyle name="Calculation 2 10 2 10" xfId="40608"/>
    <cellStyle name="Calculation 2 10 2 2" xfId="10480"/>
    <cellStyle name="Calculation 2 10 2 2 2" xfId="18267"/>
    <cellStyle name="Calculation 2 10 2 2 2 2" xfId="43799"/>
    <cellStyle name="Calculation 2 10 2 2 2 3" xfId="47708"/>
    <cellStyle name="Calculation 2 10 2 2 2 4" xfId="35890"/>
    <cellStyle name="Calculation 2 10 2 2 3" xfId="11480"/>
    <cellStyle name="Calculation 2 10 2 2 3 2" xfId="41471"/>
    <cellStyle name="Calculation 2 10 2 2 3 3" xfId="40331"/>
    <cellStyle name="Calculation 2 10 2 2 3 4" xfId="29181"/>
    <cellStyle name="Calculation 2 10 2 2 4" xfId="19540"/>
    <cellStyle name="Calculation 2 10 2 2 4 2" xfId="45062"/>
    <cellStyle name="Calculation 2 10 2 2 4 3" xfId="48968"/>
    <cellStyle name="Calculation 2 10 2 2 4 4" xfId="37068"/>
    <cellStyle name="Calculation 2 10 2 2 5" xfId="20680"/>
    <cellStyle name="Calculation 2 10 2 2 5 2" xfId="46202"/>
    <cellStyle name="Calculation 2 10 2 2 5 3" xfId="50108"/>
    <cellStyle name="Calculation 2 10 2 2 5 4" xfId="38072"/>
    <cellStyle name="Calculation 2 10 2 2 6" xfId="21333"/>
    <cellStyle name="Calculation 2 10 2 2 6 2" xfId="46855"/>
    <cellStyle name="Calculation 2 10 2 2 6 3" xfId="50761"/>
    <cellStyle name="Calculation 2 10 2 2 7" xfId="40658"/>
    <cellStyle name="Calculation 2 10 2 2 8" xfId="39688"/>
    <cellStyle name="Calculation 2 10 2 3" xfId="10775"/>
    <cellStyle name="Calculation 2 10 2 3 2" xfId="18562"/>
    <cellStyle name="Calculation 2 10 2 3 2 2" xfId="44094"/>
    <cellStyle name="Calculation 2 10 2 3 2 3" xfId="48003"/>
    <cellStyle name="Calculation 2 10 2 3 2 4" xfId="36185"/>
    <cellStyle name="Calculation 2 10 2 3 3" xfId="20137"/>
    <cellStyle name="Calculation 2 10 2 3 3 2" xfId="45659"/>
    <cellStyle name="Calculation 2 10 2 3 3 3" xfId="49565"/>
    <cellStyle name="Calculation 2 10 2 3 3 4" xfId="37609"/>
    <cellStyle name="Calculation 2 10 2 3 4" xfId="18936"/>
    <cellStyle name="Calculation 2 10 2 3 4 2" xfId="44458"/>
    <cellStyle name="Calculation 2 10 2 3 4 3" xfId="48364"/>
    <cellStyle name="Calculation 2 10 2 3 4 4" xfId="36548"/>
    <cellStyle name="Calculation 2 10 2 3 5" xfId="20975"/>
    <cellStyle name="Calculation 2 10 2 3 5 2" xfId="46497"/>
    <cellStyle name="Calculation 2 10 2 3 5 3" xfId="50403"/>
    <cellStyle name="Calculation 2 10 2 3 5 4" xfId="38367"/>
    <cellStyle name="Calculation 2 10 2 3 6" xfId="21628"/>
    <cellStyle name="Calculation 2 10 2 3 6 2" xfId="47150"/>
    <cellStyle name="Calculation 2 10 2 3 6 3" xfId="51056"/>
    <cellStyle name="Calculation 2 10 2 3 7" xfId="40953"/>
    <cellStyle name="Calculation 2 10 2 3 8" xfId="43355"/>
    <cellStyle name="Calculation 2 10 2 4" xfId="14735"/>
    <cellStyle name="Calculation 2 10 2 4 2" xfId="42833"/>
    <cellStyle name="Calculation 2 10 2 4 3" xfId="40140"/>
    <cellStyle name="Calculation 2 10 2 4 4" xfId="32356"/>
    <cellStyle name="Calculation 2 10 2 5" xfId="11261"/>
    <cellStyle name="Calculation 2 10 2 5 2" xfId="41288"/>
    <cellStyle name="Calculation 2 10 2 5 3" xfId="43585"/>
    <cellStyle name="Calculation 2 10 2 5 4" xfId="28975"/>
    <cellStyle name="Calculation 2 10 2 6" xfId="18984"/>
    <cellStyle name="Calculation 2 10 2 6 2" xfId="44506"/>
    <cellStyle name="Calculation 2 10 2 6 3" xfId="48412"/>
    <cellStyle name="Calculation 2 10 2 6 4" xfId="36592"/>
    <cellStyle name="Calculation 2 10 2 7" xfId="20265"/>
    <cellStyle name="Calculation 2 10 2 7 2" xfId="45787"/>
    <cellStyle name="Calculation 2 10 2 7 3" xfId="49693"/>
    <cellStyle name="Calculation 2 10 2 7 4" xfId="37719"/>
    <cellStyle name="Calculation 2 10 2 8" xfId="12804"/>
    <cellStyle name="Calculation 2 10 2 8 2" xfId="42199"/>
    <cellStyle name="Calculation 2 10 2 8 3" xfId="39280"/>
    <cellStyle name="Calculation 2 10 2 9" xfId="39693"/>
    <cellStyle name="Calculation 2 10 3" xfId="52913"/>
    <cellStyle name="Calculation 2 11" xfId="1443"/>
    <cellStyle name="Calculation 2 11 2" xfId="6954"/>
    <cellStyle name="Calculation 2 11 2 10" xfId="39942"/>
    <cellStyle name="Calculation 2 11 2 2" xfId="10481"/>
    <cellStyle name="Calculation 2 11 2 2 2" xfId="18268"/>
    <cellStyle name="Calculation 2 11 2 2 2 2" xfId="43800"/>
    <cellStyle name="Calculation 2 11 2 2 2 3" xfId="47709"/>
    <cellStyle name="Calculation 2 11 2 2 2 4" xfId="35891"/>
    <cellStyle name="Calculation 2 11 2 2 3" xfId="19609"/>
    <cellStyle name="Calculation 2 11 2 2 3 2" xfId="45131"/>
    <cellStyle name="Calculation 2 11 2 2 3 3" xfId="49037"/>
    <cellStyle name="Calculation 2 11 2 2 3 4" xfId="37135"/>
    <cellStyle name="Calculation 2 11 2 2 4" xfId="18938"/>
    <cellStyle name="Calculation 2 11 2 2 4 2" xfId="44460"/>
    <cellStyle name="Calculation 2 11 2 2 4 3" xfId="48366"/>
    <cellStyle name="Calculation 2 11 2 2 4 4" xfId="36550"/>
    <cellStyle name="Calculation 2 11 2 2 5" xfId="20681"/>
    <cellStyle name="Calculation 2 11 2 2 5 2" xfId="46203"/>
    <cellStyle name="Calculation 2 11 2 2 5 3" xfId="50109"/>
    <cellStyle name="Calculation 2 11 2 2 5 4" xfId="38073"/>
    <cellStyle name="Calculation 2 11 2 2 6" xfId="21334"/>
    <cellStyle name="Calculation 2 11 2 2 6 2" xfId="46856"/>
    <cellStyle name="Calculation 2 11 2 2 6 3" xfId="50762"/>
    <cellStyle name="Calculation 2 11 2 2 7" xfId="40659"/>
    <cellStyle name="Calculation 2 11 2 2 8" xfId="42725"/>
    <cellStyle name="Calculation 2 11 2 3" xfId="10776"/>
    <cellStyle name="Calculation 2 11 2 3 2" xfId="18563"/>
    <cellStyle name="Calculation 2 11 2 3 2 2" xfId="44095"/>
    <cellStyle name="Calculation 2 11 2 3 2 3" xfId="48004"/>
    <cellStyle name="Calculation 2 11 2 3 2 4" xfId="36186"/>
    <cellStyle name="Calculation 2 11 2 3 3" xfId="19396"/>
    <cellStyle name="Calculation 2 11 2 3 3 2" xfId="44918"/>
    <cellStyle name="Calculation 2 11 2 3 3 3" xfId="48824"/>
    <cellStyle name="Calculation 2 11 2 3 3 4" xfId="36947"/>
    <cellStyle name="Calculation 2 11 2 3 4" xfId="19661"/>
    <cellStyle name="Calculation 2 11 2 3 4 2" xfId="45183"/>
    <cellStyle name="Calculation 2 11 2 3 4 3" xfId="49089"/>
    <cellStyle name="Calculation 2 11 2 3 4 4" xfId="37180"/>
    <cellStyle name="Calculation 2 11 2 3 5" xfId="20976"/>
    <cellStyle name="Calculation 2 11 2 3 5 2" xfId="46498"/>
    <cellStyle name="Calculation 2 11 2 3 5 3" xfId="50404"/>
    <cellStyle name="Calculation 2 11 2 3 5 4" xfId="38368"/>
    <cellStyle name="Calculation 2 11 2 3 6" xfId="21629"/>
    <cellStyle name="Calculation 2 11 2 3 6 2" xfId="47151"/>
    <cellStyle name="Calculation 2 11 2 3 6 3" xfId="51057"/>
    <cellStyle name="Calculation 2 11 2 3 7" xfId="40954"/>
    <cellStyle name="Calculation 2 11 2 3 8" xfId="40217"/>
    <cellStyle name="Calculation 2 11 2 4" xfId="14736"/>
    <cellStyle name="Calculation 2 11 2 4 2" xfId="42834"/>
    <cellStyle name="Calculation 2 11 2 4 3" xfId="39254"/>
    <cellStyle name="Calculation 2 11 2 4 4" xfId="32357"/>
    <cellStyle name="Calculation 2 11 2 5" xfId="13037"/>
    <cellStyle name="Calculation 2 11 2 5 2" xfId="42239"/>
    <cellStyle name="Calculation 2 11 2 5 3" xfId="42769"/>
    <cellStyle name="Calculation 2 11 2 5 4" xfId="30672"/>
    <cellStyle name="Calculation 2 11 2 6" xfId="12602"/>
    <cellStyle name="Calculation 2 11 2 6 2" xfId="42062"/>
    <cellStyle name="Calculation 2 11 2 6 3" xfId="39635"/>
    <cellStyle name="Calculation 2 11 2 6 4" xfId="30254"/>
    <cellStyle name="Calculation 2 11 2 7" xfId="19171"/>
    <cellStyle name="Calculation 2 11 2 7 2" xfId="44693"/>
    <cellStyle name="Calculation 2 11 2 7 3" xfId="48599"/>
    <cellStyle name="Calculation 2 11 2 7 4" xfId="36744"/>
    <cellStyle name="Calculation 2 11 2 8" xfId="19534"/>
    <cellStyle name="Calculation 2 11 2 8 2" xfId="45056"/>
    <cellStyle name="Calculation 2 11 2 8 3" xfId="48962"/>
    <cellStyle name="Calculation 2 11 2 9" xfId="39694"/>
    <cellStyle name="Calculation 2 11 3" xfId="52914"/>
    <cellStyle name="Calculation 2 12" xfId="1444"/>
    <cellStyle name="Calculation 2 12 2" xfId="6955"/>
    <cellStyle name="Calculation 2 12 2 10" xfId="42742"/>
    <cellStyle name="Calculation 2 12 2 2" xfId="10482"/>
    <cellStyle name="Calculation 2 12 2 2 2" xfId="18269"/>
    <cellStyle name="Calculation 2 12 2 2 2 2" xfId="43801"/>
    <cellStyle name="Calculation 2 12 2 2 2 3" xfId="47710"/>
    <cellStyle name="Calculation 2 12 2 2 2 4" xfId="35892"/>
    <cellStyle name="Calculation 2 12 2 2 3" xfId="20165"/>
    <cellStyle name="Calculation 2 12 2 2 3 2" xfId="45687"/>
    <cellStyle name="Calculation 2 12 2 2 3 3" xfId="49593"/>
    <cellStyle name="Calculation 2 12 2 2 3 4" xfId="37637"/>
    <cellStyle name="Calculation 2 12 2 2 4" xfId="19078"/>
    <cellStyle name="Calculation 2 12 2 2 4 2" xfId="44600"/>
    <cellStyle name="Calculation 2 12 2 2 4 3" xfId="48506"/>
    <cellStyle name="Calculation 2 12 2 2 4 4" xfId="36660"/>
    <cellStyle name="Calculation 2 12 2 2 5" xfId="20682"/>
    <cellStyle name="Calculation 2 12 2 2 5 2" xfId="46204"/>
    <cellStyle name="Calculation 2 12 2 2 5 3" xfId="50110"/>
    <cellStyle name="Calculation 2 12 2 2 5 4" xfId="38074"/>
    <cellStyle name="Calculation 2 12 2 2 6" xfId="21335"/>
    <cellStyle name="Calculation 2 12 2 2 6 2" xfId="46857"/>
    <cellStyle name="Calculation 2 12 2 2 6 3" xfId="50763"/>
    <cellStyle name="Calculation 2 12 2 2 7" xfId="40660"/>
    <cellStyle name="Calculation 2 12 2 2 8" xfId="43614"/>
    <cellStyle name="Calculation 2 12 2 3" xfId="10777"/>
    <cellStyle name="Calculation 2 12 2 3 2" xfId="18564"/>
    <cellStyle name="Calculation 2 12 2 3 2 2" xfId="44096"/>
    <cellStyle name="Calculation 2 12 2 3 2 3" xfId="48005"/>
    <cellStyle name="Calculation 2 12 2 3 2 4" xfId="36187"/>
    <cellStyle name="Calculation 2 12 2 3 3" xfId="20003"/>
    <cellStyle name="Calculation 2 12 2 3 3 2" xfId="45525"/>
    <cellStyle name="Calculation 2 12 2 3 3 3" xfId="49431"/>
    <cellStyle name="Calculation 2 12 2 3 3 4" xfId="37487"/>
    <cellStyle name="Calculation 2 12 2 3 4" xfId="12078"/>
    <cellStyle name="Calculation 2 12 2 3 4 2" xfId="41803"/>
    <cellStyle name="Calculation 2 12 2 3 4 3" xfId="39115"/>
    <cellStyle name="Calculation 2 12 2 3 4 4" xfId="29740"/>
    <cellStyle name="Calculation 2 12 2 3 5" xfId="20977"/>
    <cellStyle name="Calculation 2 12 2 3 5 2" xfId="46499"/>
    <cellStyle name="Calculation 2 12 2 3 5 3" xfId="50405"/>
    <cellStyle name="Calculation 2 12 2 3 5 4" xfId="38369"/>
    <cellStyle name="Calculation 2 12 2 3 6" xfId="21630"/>
    <cellStyle name="Calculation 2 12 2 3 6 2" xfId="47152"/>
    <cellStyle name="Calculation 2 12 2 3 6 3" xfId="51058"/>
    <cellStyle name="Calculation 2 12 2 3 7" xfId="40955"/>
    <cellStyle name="Calculation 2 12 2 3 8" xfId="39357"/>
    <cellStyle name="Calculation 2 12 2 4" xfId="14737"/>
    <cellStyle name="Calculation 2 12 2 4 2" xfId="42835"/>
    <cellStyle name="Calculation 2 12 2 4 3" xfId="39038"/>
    <cellStyle name="Calculation 2 12 2 4 4" xfId="32358"/>
    <cellStyle name="Calculation 2 12 2 5" xfId="13038"/>
    <cellStyle name="Calculation 2 12 2 5 2" xfId="42240"/>
    <cellStyle name="Calculation 2 12 2 5 3" xfId="43657"/>
    <cellStyle name="Calculation 2 12 2 5 4" xfId="30673"/>
    <cellStyle name="Calculation 2 12 2 6" xfId="12853"/>
    <cellStyle name="Calculation 2 12 2 6 2" xfId="42217"/>
    <cellStyle name="Calculation 2 12 2 6 3" xfId="42665"/>
    <cellStyle name="Calculation 2 12 2 6 4" xfId="30491"/>
    <cellStyle name="Calculation 2 12 2 7" xfId="18971"/>
    <cellStyle name="Calculation 2 12 2 7 2" xfId="44493"/>
    <cellStyle name="Calculation 2 12 2 7 3" xfId="48399"/>
    <cellStyle name="Calculation 2 12 2 7 4" xfId="36581"/>
    <cellStyle name="Calculation 2 12 2 8" xfId="20218"/>
    <cellStyle name="Calculation 2 12 2 8 2" xfId="45740"/>
    <cellStyle name="Calculation 2 12 2 8 3" xfId="49646"/>
    <cellStyle name="Calculation 2 12 2 9" xfId="39695"/>
    <cellStyle name="Calculation 2 12 3" xfId="52915"/>
    <cellStyle name="Calculation 2 13" xfId="1445"/>
    <cellStyle name="Calculation 2 13 2" xfId="6956"/>
    <cellStyle name="Calculation 2 13 2 10" xfId="43630"/>
    <cellStyle name="Calculation 2 13 2 2" xfId="10483"/>
    <cellStyle name="Calculation 2 13 2 2 2" xfId="18270"/>
    <cellStyle name="Calculation 2 13 2 2 2 2" xfId="43802"/>
    <cellStyle name="Calculation 2 13 2 2 2 3" xfId="47711"/>
    <cellStyle name="Calculation 2 13 2 2 2 4" xfId="35893"/>
    <cellStyle name="Calculation 2 13 2 2 3" xfId="19424"/>
    <cellStyle name="Calculation 2 13 2 2 3 2" xfId="44946"/>
    <cellStyle name="Calculation 2 13 2 2 3 3" xfId="48852"/>
    <cellStyle name="Calculation 2 13 2 2 3 4" xfId="36975"/>
    <cellStyle name="Calculation 2 13 2 2 4" xfId="12647"/>
    <cellStyle name="Calculation 2 13 2 2 4 2" xfId="42107"/>
    <cellStyle name="Calculation 2 13 2 2 4 3" xfId="42536"/>
    <cellStyle name="Calculation 2 13 2 2 4 4" xfId="30298"/>
    <cellStyle name="Calculation 2 13 2 2 5" xfId="20683"/>
    <cellStyle name="Calculation 2 13 2 2 5 2" xfId="46205"/>
    <cellStyle name="Calculation 2 13 2 2 5 3" xfId="50111"/>
    <cellStyle name="Calculation 2 13 2 2 5 4" xfId="38075"/>
    <cellStyle name="Calculation 2 13 2 2 6" xfId="21336"/>
    <cellStyle name="Calculation 2 13 2 2 6 2" xfId="46858"/>
    <cellStyle name="Calculation 2 13 2 2 6 3" xfId="50764"/>
    <cellStyle name="Calculation 2 13 2 2 7" xfId="40661"/>
    <cellStyle name="Calculation 2 13 2 2 8" xfId="40472"/>
    <cellStyle name="Calculation 2 13 2 3" xfId="10778"/>
    <cellStyle name="Calculation 2 13 2 3 2" xfId="18565"/>
    <cellStyle name="Calculation 2 13 2 3 2 2" xfId="44097"/>
    <cellStyle name="Calculation 2 13 2 3 2 3" xfId="48006"/>
    <cellStyle name="Calculation 2 13 2 3 2 4" xfId="36188"/>
    <cellStyle name="Calculation 2 13 2 3 3" xfId="19269"/>
    <cellStyle name="Calculation 2 13 2 3 3 2" xfId="44791"/>
    <cellStyle name="Calculation 2 13 2 3 3 3" xfId="48697"/>
    <cellStyle name="Calculation 2 13 2 3 3 4" xfId="36833"/>
    <cellStyle name="Calculation 2 13 2 3 4" xfId="18911"/>
    <cellStyle name="Calculation 2 13 2 3 4 2" xfId="44433"/>
    <cellStyle name="Calculation 2 13 2 3 4 3" xfId="48339"/>
    <cellStyle name="Calculation 2 13 2 3 4 4" xfId="36525"/>
    <cellStyle name="Calculation 2 13 2 3 5" xfId="20978"/>
    <cellStyle name="Calculation 2 13 2 3 5 2" xfId="46500"/>
    <cellStyle name="Calculation 2 13 2 3 5 3" xfId="50406"/>
    <cellStyle name="Calculation 2 13 2 3 5 4" xfId="38370"/>
    <cellStyle name="Calculation 2 13 2 3 6" xfId="21631"/>
    <cellStyle name="Calculation 2 13 2 3 6 2" xfId="47153"/>
    <cellStyle name="Calculation 2 13 2 3 6 3" xfId="51059"/>
    <cellStyle name="Calculation 2 13 2 3 7" xfId="40956"/>
    <cellStyle name="Calculation 2 13 2 3 8" xfId="39164"/>
    <cellStyle name="Calculation 2 13 2 4" xfId="14738"/>
    <cellStyle name="Calculation 2 13 2 4 2" xfId="42836"/>
    <cellStyle name="Calculation 2 13 2 4 3" xfId="41926"/>
    <cellStyle name="Calculation 2 13 2 4 4" xfId="32359"/>
    <cellStyle name="Calculation 2 13 2 5" xfId="13039"/>
    <cellStyle name="Calculation 2 13 2 5 2" xfId="42241"/>
    <cellStyle name="Calculation 2 13 2 5 3" xfId="40515"/>
    <cellStyle name="Calculation 2 13 2 5 4" xfId="30674"/>
    <cellStyle name="Calculation 2 13 2 6" xfId="19145"/>
    <cellStyle name="Calculation 2 13 2 6 2" xfId="44667"/>
    <cellStyle name="Calculation 2 13 2 6 3" xfId="48573"/>
    <cellStyle name="Calculation 2 13 2 6 4" xfId="36723"/>
    <cellStyle name="Calculation 2 13 2 7" xfId="11474"/>
    <cellStyle name="Calculation 2 13 2 7 2" xfId="41465"/>
    <cellStyle name="Calculation 2 13 2 7 3" xfId="42690"/>
    <cellStyle name="Calculation 2 13 2 7 4" xfId="29175"/>
    <cellStyle name="Calculation 2 13 2 8" xfId="19157"/>
    <cellStyle name="Calculation 2 13 2 8 2" xfId="44679"/>
    <cellStyle name="Calculation 2 13 2 8 3" xfId="48585"/>
    <cellStyle name="Calculation 2 13 2 9" xfId="39696"/>
    <cellStyle name="Calculation 2 13 3" xfId="52916"/>
    <cellStyle name="Calculation 2 14" xfId="1446"/>
    <cellStyle name="Calculation 2 14 2" xfId="6957"/>
    <cellStyle name="Calculation 2 14 2 10" xfId="40488"/>
    <cellStyle name="Calculation 2 14 2 2" xfId="10484"/>
    <cellStyle name="Calculation 2 14 2 2 2" xfId="18271"/>
    <cellStyle name="Calculation 2 14 2 2 2 2" xfId="43803"/>
    <cellStyle name="Calculation 2 14 2 2 2 3" xfId="47712"/>
    <cellStyle name="Calculation 2 14 2 2 2 4" xfId="35894"/>
    <cellStyle name="Calculation 2 14 2 2 3" xfId="20031"/>
    <cellStyle name="Calculation 2 14 2 2 3 2" xfId="45553"/>
    <cellStyle name="Calculation 2 14 2 2 3 3" xfId="49459"/>
    <cellStyle name="Calculation 2 14 2 2 3 4" xfId="37515"/>
    <cellStyle name="Calculation 2 14 2 2 4" xfId="20059"/>
    <cellStyle name="Calculation 2 14 2 2 4 2" xfId="45581"/>
    <cellStyle name="Calculation 2 14 2 2 4 3" xfId="49487"/>
    <cellStyle name="Calculation 2 14 2 2 4 4" xfId="37539"/>
    <cellStyle name="Calculation 2 14 2 2 5" xfId="20684"/>
    <cellStyle name="Calculation 2 14 2 2 5 2" xfId="46206"/>
    <cellStyle name="Calculation 2 14 2 2 5 3" xfId="50112"/>
    <cellStyle name="Calculation 2 14 2 2 5 4" xfId="38076"/>
    <cellStyle name="Calculation 2 14 2 2 6" xfId="21337"/>
    <cellStyle name="Calculation 2 14 2 2 6 2" xfId="46859"/>
    <cellStyle name="Calculation 2 14 2 2 6 3" xfId="50765"/>
    <cellStyle name="Calculation 2 14 2 2 7" xfId="40662"/>
    <cellStyle name="Calculation 2 14 2 2 8" xfId="39582"/>
    <cellStyle name="Calculation 2 14 2 3" xfId="10779"/>
    <cellStyle name="Calculation 2 14 2 3 2" xfId="18566"/>
    <cellStyle name="Calculation 2 14 2 3 2 2" xfId="44098"/>
    <cellStyle name="Calculation 2 14 2 3 2 3" xfId="48007"/>
    <cellStyle name="Calculation 2 14 2 3 2 4" xfId="36189"/>
    <cellStyle name="Calculation 2 14 2 3 3" xfId="19878"/>
    <cellStyle name="Calculation 2 14 2 3 3 2" xfId="45400"/>
    <cellStyle name="Calculation 2 14 2 3 3 3" xfId="49306"/>
    <cellStyle name="Calculation 2 14 2 3 3 4" xfId="37378"/>
    <cellStyle name="Calculation 2 14 2 3 4" xfId="19491"/>
    <cellStyle name="Calculation 2 14 2 3 4 2" xfId="45013"/>
    <cellStyle name="Calculation 2 14 2 3 4 3" xfId="48919"/>
    <cellStyle name="Calculation 2 14 2 3 4 4" xfId="37026"/>
    <cellStyle name="Calculation 2 14 2 3 5" xfId="20979"/>
    <cellStyle name="Calculation 2 14 2 3 5 2" xfId="46501"/>
    <cellStyle name="Calculation 2 14 2 3 5 3" xfId="50407"/>
    <cellStyle name="Calculation 2 14 2 3 5 4" xfId="38371"/>
    <cellStyle name="Calculation 2 14 2 3 6" xfId="21632"/>
    <cellStyle name="Calculation 2 14 2 3 6 2" xfId="47154"/>
    <cellStyle name="Calculation 2 14 2 3 6 3" xfId="51060"/>
    <cellStyle name="Calculation 2 14 2 3 7" xfId="40957"/>
    <cellStyle name="Calculation 2 14 2 3 8" xfId="47564"/>
    <cellStyle name="Calculation 2 14 2 4" xfId="14739"/>
    <cellStyle name="Calculation 2 14 2 4 2" xfId="42837"/>
    <cellStyle name="Calculation 2 14 2 4 3" xfId="43280"/>
    <cellStyle name="Calculation 2 14 2 4 4" xfId="32360"/>
    <cellStyle name="Calculation 2 14 2 5" xfId="13040"/>
    <cellStyle name="Calculation 2 14 2 5 2" xfId="42242"/>
    <cellStyle name="Calculation 2 14 2 5 3" xfId="39625"/>
    <cellStyle name="Calculation 2 14 2 5 4" xfId="30675"/>
    <cellStyle name="Calculation 2 14 2 6" xfId="13235"/>
    <cellStyle name="Calculation 2 14 2 6 2" xfId="42397"/>
    <cellStyle name="Calculation 2 14 2 6 3" xfId="42659"/>
    <cellStyle name="Calculation 2 14 2 6 4" xfId="30866"/>
    <cellStyle name="Calculation 2 14 2 7" xfId="12055"/>
    <cellStyle name="Calculation 2 14 2 7 2" xfId="41788"/>
    <cellStyle name="Calculation 2 14 2 7 3" xfId="40036"/>
    <cellStyle name="Calculation 2 14 2 7 4" xfId="29719"/>
    <cellStyle name="Calculation 2 14 2 8" xfId="20488"/>
    <cellStyle name="Calculation 2 14 2 8 2" xfId="46010"/>
    <cellStyle name="Calculation 2 14 2 8 3" xfId="49916"/>
    <cellStyle name="Calculation 2 14 2 9" xfId="39697"/>
    <cellStyle name="Calculation 2 15" xfId="4148"/>
    <cellStyle name="Calculation 2 15 2" xfId="6958"/>
    <cellStyle name="Calculation 2 15 2 10" xfId="39598"/>
    <cellStyle name="Calculation 2 15 2 2" xfId="10485"/>
    <cellStyle name="Calculation 2 15 2 2 2" xfId="18272"/>
    <cellStyle name="Calculation 2 15 2 2 2 2" xfId="43804"/>
    <cellStyle name="Calculation 2 15 2 2 2 3" xfId="47713"/>
    <cellStyle name="Calculation 2 15 2 2 2 4" xfId="35895"/>
    <cellStyle name="Calculation 2 15 2 2 3" xfId="19297"/>
    <cellStyle name="Calculation 2 15 2 2 3 2" xfId="44819"/>
    <cellStyle name="Calculation 2 15 2 2 3 3" xfId="48725"/>
    <cellStyle name="Calculation 2 15 2 2 3 4" xfId="36861"/>
    <cellStyle name="Calculation 2 15 2 2 4" xfId="11643"/>
    <cellStyle name="Calculation 2 15 2 2 4 2" xfId="41634"/>
    <cellStyle name="Calculation 2 15 2 2 4 3" xfId="42682"/>
    <cellStyle name="Calculation 2 15 2 2 4 4" xfId="29328"/>
    <cellStyle name="Calculation 2 15 2 2 5" xfId="20685"/>
    <cellStyle name="Calculation 2 15 2 2 5 2" xfId="46207"/>
    <cellStyle name="Calculation 2 15 2 2 5 3" xfId="50113"/>
    <cellStyle name="Calculation 2 15 2 2 5 4" xfId="38077"/>
    <cellStyle name="Calculation 2 15 2 2 6" xfId="21338"/>
    <cellStyle name="Calculation 2 15 2 2 6 2" xfId="46860"/>
    <cellStyle name="Calculation 2 15 2 2 6 3" xfId="50766"/>
    <cellStyle name="Calculation 2 15 2 2 7" xfId="40663"/>
    <cellStyle name="Calculation 2 15 2 2 8" xfId="42590"/>
    <cellStyle name="Calculation 2 15 2 3" xfId="10780"/>
    <cellStyle name="Calculation 2 15 2 3 2" xfId="18567"/>
    <cellStyle name="Calculation 2 15 2 3 2 2" xfId="44099"/>
    <cellStyle name="Calculation 2 15 2 3 2 3" xfId="48008"/>
    <cellStyle name="Calculation 2 15 2 3 2 4" xfId="36190"/>
    <cellStyle name="Calculation 2 15 2 3 3" xfId="19101"/>
    <cellStyle name="Calculation 2 15 2 3 3 2" xfId="44623"/>
    <cellStyle name="Calculation 2 15 2 3 3 3" xfId="48529"/>
    <cellStyle name="Calculation 2 15 2 3 3 4" xfId="36682"/>
    <cellStyle name="Calculation 2 15 2 3 4" xfId="11662"/>
    <cellStyle name="Calculation 2 15 2 3 4 2" xfId="41653"/>
    <cellStyle name="Calculation 2 15 2 3 4 3" xfId="40533"/>
    <cellStyle name="Calculation 2 15 2 3 4 4" xfId="29344"/>
    <cellStyle name="Calculation 2 15 2 3 5" xfId="20980"/>
    <cellStyle name="Calculation 2 15 2 3 5 2" xfId="46502"/>
    <cellStyle name="Calculation 2 15 2 3 5 3" xfId="50408"/>
    <cellStyle name="Calculation 2 15 2 3 5 4" xfId="38372"/>
    <cellStyle name="Calculation 2 15 2 3 6" xfId="21633"/>
    <cellStyle name="Calculation 2 15 2 3 6 2" xfId="47155"/>
    <cellStyle name="Calculation 2 15 2 3 6 3" xfId="51061"/>
    <cellStyle name="Calculation 2 15 2 3 7" xfId="40958"/>
    <cellStyle name="Calculation 2 15 2 3 8" xfId="39163"/>
    <cellStyle name="Calculation 2 15 2 4" xfId="14740"/>
    <cellStyle name="Calculation 2 15 2 4 2" xfId="42838"/>
    <cellStyle name="Calculation 2 15 2 4 3" xfId="40139"/>
    <cellStyle name="Calculation 2 15 2 4 4" xfId="32361"/>
    <cellStyle name="Calculation 2 15 2 5" xfId="11262"/>
    <cellStyle name="Calculation 2 15 2 5 2" xfId="41289"/>
    <cellStyle name="Calculation 2 15 2 5 3" xfId="40443"/>
    <cellStyle name="Calculation 2 15 2 5 4" xfId="28976"/>
    <cellStyle name="Calculation 2 15 2 6" xfId="19954"/>
    <cellStyle name="Calculation 2 15 2 6 2" xfId="45476"/>
    <cellStyle name="Calculation 2 15 2 6 3" xfId="49382"/>
    <cellStyle name="Calculation 2 15 2 6 4" xfId="37445"/>
    <cellStyle name="Calculation 2 15 2 7" xfId="18874"/>
    <cellStyle name="Calculation 2 15 2 7 2" xfId="44396"/>
    <cellStyle name="Calculation 2 15 2 7 3" xfId="48302"/>
    <cellStyle name="Calculation 2 15 2 7 4" xfId="36496"/>
    <cellStyle name="Calculation 2 15 2 8" xfId="20612"/>
    <cellStyle name="Calculation 2 15 2 8 2" xfId="46134"/>
    <cellStyle name="Calculation 2 15 2 8 3" xfId="50040"/>
    <cellStyle name="Calculation 2 15 2 9" xfId="39698"/>
    <cellStyle name="Calculation 2 16" xfId="4149"/>
    <cellStyle name="Calculation 2 16 2" xfId="6959"/>
    <cellStyle name="Calculation 2 16 2 10" xfId="42606"/>
    <cellStyle name="Calculation 2 16 2 2" xfId="10486"/>
    <cellStyle name="Calculation 2 16 2 2 2" xfId="18273"/>
    <cellStyle name="Calculation 2 16 2 2 2 2" xfId="43805"/>
    <cellStyle name="Calculation 2 16 2 2 2 3" xfId="47714"/>
    <cellStyle name="Calculation 2 16 2 2 2 4" xfId="35896"/>
    <cellStyle name="Calculation 2 16 2 2 3" xfId="19906"/>
    <cellStyle name="Calculation 2 16 2 2 3 2" xfId="45428"/>
    <cellStyle name="Calculation 2 16 2 2 3 3" xfId="49334"/>
    <cellStyle name="Calculation 2 16 2 2 3 4" xfId="37406"/>
    <cellStyle name="Calculation 2 16 2 2 4" xfId="11069"/>
    <cellStyle name="Calculation 2 16 2 2 4 2" xfId="41247"/>
    <cellStyle name="Calculation 2 16 2 2 4 3" xfId="40338"/>
    <cellStyle name="Calculation 2 16 2 2 4 4" xfId="28785"/>
    <cellStyle name="Calculation 2 16 2 2 5" xfId="20686"/>
    <cellStyle name="Calculation 2 16 2 2 5 2" xfId="46208"/>
    <cellStyle name="Calculation 2 16 2 2 5 3" xfId="50114"/>
    <cellStyle name="Calculation 2 16 2 2 5 4" xfId="38078"/>
    <cellStyle name="Calculation 2 16 2 2 6" xfId="21339"/>
    <cellStyle name="Calculation 2 16 2 2 6 2" xfId="46861"/>
    <cellStyle name="Calculation 2 16 2 2 6 3" xfId="50767"/>
    <cellStyle name="Calculation 2 16 2 2 7" xfId="40664"/>
    <cellStyle name="Calculation 2 16 2 2 8" xfId="43503"/>
    <cellStyle name="Calculation 2 16 2 3" xfId="10781"/>
    <cellStyle name="Calculation 2 16 2 3 2" xfId="18568"/>
    <cellStyle name="Calculation 2 16 2 3 2 2" xfId="44100"/>
    <cellStyle name="Calculation 2 16 2 3 2 3" xfId="48009"/>
    <cellStyle name="Calculation 2 16 2 3 2 4" xfId="36191"/>
    <cellStyle name="Calculation 2 16 2 3 3" xfId="19715"/>
    <cellStyle name="Calculation 2 16 2 3 3 2" xfId="45237"/>
    <cellStyle name="Calculation 2 16 2 3 3 3" xfId="49143"/>
    <cellStyle name="Calculation 2 16 2 3 3 4" xfId="37228"/>
    <cellStyle name="Calculation 2 16 2 3 4" xfId="12817"/>
    <cellStyle name="Calculation 2 16 2 3 4 2" xfId="42201"/>
    <cellStyle name="Calculation 2 16 2 3 4 3" xfId="42532"/>
    <cellStyle name="Calculation 2 16 2 3 4 4" xfId="30458"/>
    <cellStyle name="Calculation 2 16 2 3 5" xfId="20981"/>
    <cellStyle name="Calculation 2 16 2 3 5 2" xfId="46503"/>
    <cellStyle name="Calculation 2 16 2 3 5 3" xfId="50409"/>
    <cellStyle name="Calculation 2 16 2 3 5 4" xfId="38373"/>
    <cellStyle name="Calculation 2 16 2 3 6" xfId="21634"/>
    <cellStyle name="Calculation 2 16 2 3 6 2" xfId="47156"/>
    <cellStyle name="Calculation 2 16 2 3 6 3" xfId="51062"/>
    <cellStyle name="Calculation 2 16 2 3 7" xfId="40959"/>
    <cellStyle name="Calculation 2 16 2 3 8" xfId="47488"/>
    <cellStyle name="Calculation 2 16 2 4" xfId="14741"/>
    <cellStyle name="Calculation 2 16 2 4 2" xfId="42839"/>
    <cellStyle name="Calculation 2 16 2 4 3" xfId="39253"/>
    <cellStyle name="Calculation 2 16 2 4 4" xfId="32362"/>
    <cellStyle name="Calculation 2 16 2 5" xfId="11263"/>
    <cellStyle name="Calculation 2 16 2 5 2" xfId="41290"/>
    <cellStyle name="Calculation 2 16 2 5 3" xfId="39554"/>
    <cellStyle name="Calculation 2 16 2 5 4" xfId="28977"/>
    <cellStyle name="Calculation 2 16 2 6" xfId="11585"/>
    <cellStyle name="Calculation 2 16 2 6 2" xfId="41576"/>
    <cellStyle name="Calculation 2 16 2 6 3" xfId="40044"/>
    <cellStyle name="Calculation 2 16 2 6 4" xfId="29278"/>
    <cellStyle name="Calculation 2 16 2 7" xfId="18893"/>
    <cellStyle name="Calculation 2 16 2 7 2" xfId="44415"/>
    <cellStyle name="Calculation 2 16 2 7 3" xfId="48321"/>
    <cellStyle name="Calculation 2 16 2 7 4" xfId="36512"/>
    <cellStyle name="Calculation 2 16 2 8" xfId="19167"/>
    <cellStyle name="Calculation 2 16 2 8 2" xfId="44689"/>
    <cellStyle name="Calculation 2 16 2 8 3" xfId="48595"/>
    <cellStyle name="Calculation 2 16 2 9" xfId="39699"/>
    <cellStyle name="Calculation 2 17" xfId="4150"/>
    <cellStyle name="Calculation 2 17 2" xfId="10449"/>
    <cellStyle name="Calculation 2 17 2 2" xfId="18236"/>
    <cellStyle name="Calculation 2 17 2 2 2" xfId="43768"/>
    <cellStyle name="Calculation 2 17 2 2 3" xfId="47677"/>
    <cellStyle name="Calculation 2 17 2 2 4" xfId="35859"/>
    <cellStyle name="Calculation 2 17 2 3" xfId="20035"/>
    <cellStyle name="Calculation 2 17 2 3 2" xfId="45557"/>
    <cellStyle name="Calculation 2 17 2 3 3" xfId="49463"/>
    <cellStyle name="Calculation 2 17 2 3 4" xfId="37519"/>
    <cellStyle name="Calculation 2 17 2 4" xfId="12593"/>
    <cellStyle name="Calculation 2 17 2 4 2" xfId="42059"/>
    <cellStyle name="Calculation 2 17 2 4 3" xfId="40166"/>
    <cellStyle name="Calculation 2 17 2 4 4" xfId="30246"/>
    <cellStyle name="Calculation 2 17 2 5" xfId="20649"/>
    <cellStyle name="Calculation 2 17 2 5 2" xfId="46171"/>
    <cellStyle name="Calculation 2 17 2 5 3" xfId="50077"/>
    <cellStyle name="Calculation 2 17 2 5 4" xfId="38041"/>
    <cellStyle name="Calculation 2 17 2 6" xfId="21302"/>
    <cellStyle name="Calculation 2 17 2 6 2" xfId="46824"/>
    <cellStyle name="Calculation 2 17 2 6 3" xfId="50730"/>
    <cellStyle name="Calculation 2 17 2 7" xfId="40627"/>
    <cellStyle name="Calculation 2 17 2 8" xfId="39376"/>
    <cellStyle name="Calculation 2 17 3" xfId="8452"/>
    <cellStyle name="Calculation 2 17 3 2" xfId="16242"/>
    <cellStyle name="Calculation 2 17 3 2 2" xfId="43377"/>
    <cellStyle name="Calculation 2 17 3 2 3" xfId="41250"/>
    <cellStyle name="Calculation 2 17 3 2 4" xfId="33863"/>
    <cellStyle name="Calculation 2 17 3 3" xfId="12120"/>
    <cellStyle name="Calculation 2 17 3 3 2" xfId="41845"/>
    <cellStyle name="Calculation 2 17 3 3 3" xfId="44389"/>
    <cellStyle name="Calculation 2 17 3 3 4" xfId="29779"/>
    <cellStyle name="Calculation 2 17 3 4" xfId="18959"/>
    <cellStyle name="Calculation 2 17 3 4 2" xfId="44481"/>
    <cellStyle name="Calculation 2 17 3 4 3" xfId="48387"/>
    <cellStyle name="Calculation 2 17 3 4 4" xfId="36570"/>
    <cellStyle name="Calculation 2 17 3 5" xfId="19788"/>
    <cellStyle name="Calculation 2 17 3 5 2" xfId="45310"/>
    <cellStyle name="Calculation 2 17 3 5 3" xfId="49216"/>
    <cellStyle name="Calculation 2 17 3 5 4" xfId="37297"/>
    <cellStyle name="Calculation 2 17 3 6" xfId="11593"/>
    <cellStyle name="Calculation 2 17 3 6 2" xfId="41584"/>
    <cellStyle name="Calculation 2 17 3 6 3" xfId="39543"/>
    <cellStyle name="Calculation 2 17 3 7" xfId="40239"/>
    <cellStyle name="Calculation 2 17 3 8" xfId="39207"/>
    <cellStyle name="Calculation 2 18" xfId="6952"/>
    <cellStyle name="Calculation 2 18 10" xfId="43749"/>
    <cellStyle name="Calculation 2 18 2" xfId="10479"/>
    <cellStyle name="Calculation 2 18 2 2" xfId="18266"/>
    <cellStyle name="Calculation 2 18 2 2 2" xfId="43798"/>
    <cellStyle name="Calculation 2 18 2 2 3" xfId="47707"/>
    <cellStyle name="Calculation 2 18 2 2 4" xfId="35889"/>
    <cellStyle name="Calculation 2 18 2 3" xfId="19753"/>
    <cellStyle name="Calculation 2 18 2 3 2" xfId="45275"/>
    <cellStyle name="Calculation 2 18 2 3 3" xfId="49181"/>
    <cellStyle name="Calculation 2 18 2 3 4" xfId="37266"/>
    <cellStyle name="Calculation 2 18 2 4" xfId="19249"/>
    <cellStyle name="Calculation 2 18 2 4 2" xfId="44771"/>
    <cellStyle name="Calculation 2 18 2 4 3" xfId="48677"/>
    <cellStyle name="Calculation 2 18 2 4 4" xfId="36813"/>
    <cellStyle name="Calculation 2 18 2 5" xfId="20679"/>
    <cellStyle name="Calculation 2 18 2 5 2" xfId="46201"/>
    <cellStyle name="Calculation 2 18 2 5 3" xfId="50107"/>
    <cellStyle name="Calculation 2 18 2 5 4" xfId="38071"/>
    <cellStyle name="Calculation 2 18 2 6" xfId="21332"/>
    <cellStyle name="Calculation 2 18 2 6 2" xfId="46854"/>
    <cellStyle name="Calculation 2 18 2 6 3" xfId="50760"/>
    <cellStyle name="Calculation 2 18 2 7" xfId="40657"/>
    <cellStyle name="Calculation 2 18 2 8" xfId="40577"/>
    <cellStyle name="Calculation 2 18 3" xfId="10774"/>
    <cellStyle name="Calculation 2 18 3 2" xfId="18561"/>
    <cellStyle name="Calculation 2 18 3 2 2" xfId="44093"/>
    <cellStyle name="Calculation 2 18 3 2 3" xfId="48002"/>
    <cellStyle name="Calculation 2 18 3 2 4" xfId="36184"/>
    <cellStyle name="Calculation 2 18 3 3" xfId="19584"/>
    <cellStyle name="Calculation 2 18 3 3 2" xfId="45106"/>
    <cellStyle name="Calculation 2 18 3 3 3" xfId="49012"/>
    <cellStyle name="Calculation 2 18 3 3 4" xfId="37110"/>
    <cellStyle name="Calculation 2 18 3 4" xfId="19041"/>
    <cellStyle name="Calculation 2 18 3 4 2" xfId="44563"/>
    <cellStyle name="Calculation 2 18 3 4 3" xfId="48469"/>
    <cellStyle name="Calculation 2 18 3 4 4" xfId="36627"/>
    <cellStyle name="Calculation 2 18 3 5" xfId="20974"/>
    <cellStyle name="Calculation 2 18 3 5 2" xfId="46496"/>
    <cellStyle name="Calculation 2 18 3 5 3" xfId="50402"/>
    <cellStyle name="Calculation 2 18 3 5 4" xfId="38366"/>
    <cellStyle name="Calculation 2 18 3 6" xfId="21627"/>
    <cellStyle name="Calculation 2 18 3 6 2" xfId="47149"/>
    <cellStyle name="Calculation 2 18 3 6 3" xfId="51055"/>
    <cellStyle name="Calculation 2 18 3 7" xfId="40952"/>
    <cellStyle name="Calculation 2 18 3 8" xfId="42036"/>
    <cellStyle name="Calculation 2 18 4" xfId="14734"/>
    <cellStyle name="Calculation 2 18 4 2" xfId="42832"/>
    <cellStyle name="Calculation 2 18 4 3" xfId="43281"/>
    <cellStyle name="Calculation 2 18 4 4" xfId="32355"/>
    <cellStyle name="Calculation 2 18 5" xfId="13036"/>
    <cellStyle name="Calculation 2 18 5 2" xfId="42238"/>
    <cellStyle name="Calculation 2 18 5 3" xfId="40027"/>
    <cellStyle name="Calculation 2 18 5 4" xfId="30671"/>
    <cellStyle name="Calculation 2 18 6" xfId="20209"/>
    <cellStyle name="Calculation 2 18 6 2" xfId="45731"/>
    <cellStyle name="Calculation 2 18 6 3" xfId="49637"/>
    <cellStyle name="Calculation 2 18 6 4" xfId="37672"/>
    <cellStyle name="Calculation 2 18 7" xfId="11619"/>
    <cellStyle name="Calculation 2 18 7 2" xfId="41610"/>
    <cellStyle name="Calculation 2 18 7 3" xfId="41994"/>
    <cellStyle name="Calculation 2 18 7 4" xfId="29308"/>
    <cellStyle name="Calculation 2 18 8" xfId="12054"/>
    <cellStyle name="Calculation 2 18 8 2" xfId="41787"/>
    <cellStyle name="Calculation 2 18 8 3" xfId="43176"/>
    <cellStyle name="Calculation 2 18 9" xfId="39692"/>
    <cellStyle name="Calculation 2 19" xfId="1441"/>
    <cellStyle name="Calculation 2 2" xfId="1447"/>
    <cellStyle name="Calculation 2 2 2" xfId="1448"/>
    <cellStyle name="Calculation 2 2 2 2" xfId="6961"/>
    <cellStyle name="Calculation 2 2 2 2 10" xfId="40382"/>
    <cellStyle name="Calculation 2 2 2 2 2" xfId="10488"/>
    <cellStyle name="Calculation 2 2 2 2 2 2" xfId="18275"/>
    <cellStyle name="Calculation 2 2 2 2 2 2 2" xfId="43807"/>
    <cellStyle name="Calculation 2 2 2 2 2 2 3" xfId="47716"/>
    <cellStyle name="Calculation 2 2 2 2 2 2 4" xfId="35898"/>
    <cellStyle name="Calculation 2 2 2 2 2 3" xfId="19751"/>
    <cellStyle name="Calculation 2 2 2 2 2 3 2" xfId="45273"/>
    <cellStyle name="Calculation 2 2 2 2 2 3 3" xfId="49179"/>
    <cellStyle name="Calculation 2 2 2 2 2 3 4" xfId="37264"/>
    <cellStyle name="Calculation 2 2 2 2 2 4" xfId="19194"/>
    <cellStyle name="Calculation 2 2 2 2 2 4 2" xfId="44716"/>
    <cellStyle name="Calculation 2 2 2 2 2 4 3" xfId="48622"/>
    <cellStyle name="Calculation 2 2 2 2 2 4 4" xfId="36765"/>
    <cellStyle name="Calculation 2 2 2 2 2 5" xfId="20688"/>
    <cellStyle name="Calculation 2 2 2 2 2 5 2" xfId="46210"/>
    <cellStyle name="Calculation 2 2 2 2 2 5 3" xfId="50116"/>
    <cellStyle name="Calculation 2 2 2 2 2 5 4" xfId="38080"/>
    <cellStyle name="Calculation 2 2 2 2 2 6" xfId="21341"/>
    <cellStyle name="Calculation 2 2 2 2 2 6 2" xfId="46863"/>
    <cellStyle name="Calculation 2 2 2 2 2 6 3" xfId="50769"/>
    <cellStyle name="Calculation 2 2 2 2 2 7" xfId="40666"/>
    <cellStyle name="Calculation 2 2 2 2 2 8" xfId="39478"/>
    <cellStyle name="Calculation 2 2 2 2 3" xfId="10783"/>
    <cellStyle name="Calculation 2 2 2 2 3 2" xfId="18570"/>
    <cellStyle name="Calculation 2 2 2 2 3 2 2" xfId="44102"/>
    <cellStyle name="Calculation 2 2 2 2 3 2 3" xfId="48011"/>
    <cellStyle name="Calculation 2 2 2 2 3 2 4" xfId="36193"/>
    <cellStyle name="Calculation 2 2 2 2 3 3" xfId="13325"/>
    <cellStyle name="Calculation 2 2 2 2 3 3 2" xfId="42476"/>
    <cellStyle name="Calculation 2 2 2 2 3 3 3" xfId="40022"/>
    <cellStyle name="Calculation 2 2 2 2 3 3 4" xfId="30951"/>
    <cellStyle name="Calculation 2 2 2 2 3 4" xfId="19506"/>
    <cellStyle name="Calculation 2 2 2 2 3 4 2" xfId="45028"/>
    <cellStyle name="Calculation 2 2 2 2 3 4 3" xfId="48934"/>
    <cellStyle name="Calculation 2 2 2 2 3 4 4" xfId="37040"/>
    <cellStyle name="Calculation 2 2 2 2 3 5" xfId="20983"/>
    <cellStyle name="Calculation 2 2 2 2 3 5 2" xfId="46505"/>
    <cellStyle name="Calculation 2 2 2 2 3 5 3" xfId="50411"/>
    <cellStyle name="Calculation 2 2 2 2 3 5 4" xfId="38375"/>
    <cellStyle name="Calculation 2 2 2 2 3 6" xfId="21636"/>
    <cellStyle name="Calculation 2 2 2 2 3 6 2" xfId="47158"/>
    <cellStyle name="Calculation 2 2 2 2 3 6 3" xfId="51064"/>
    <cellStyle name="Calculation 2 2 2 2 3 7" xfId="40961"/>
    <cellStyle name="Calculation 2 2 2 2 3 8" xfId="43207"/>
    <cellStyle name="Calculation 2 2 2 2 4" xfId="14743"/>
    <cellStyle name="Calculation 2 2 2 2 4 2" xfId="42841"/>
    <cellStyle name="Calculation 2 2 2 2 4 3" xfId="43279"/>
    <cellStyle name="Calculation 2 2 2 2 4 4" xfId="32364"/>
    <cellStyle name="Calculation 2 2 2 2 5" xfId="11264"/>
    <cellStyle name="Calculation 2 2 2 2 5 2" xfId="41291"/>
    <cellStyle name="Calculation 2 2 2 2 5 3" xfId="42562"/>
    <cellStyle name="Calculation 2 2 2 2 5 4" xfId="28978"/>
    <cellStyle name="Calculation 2 2 2 2 6" xfId="19190"/>
    <cellStyle name="Calculation 2 2 2 2 6 2" xfId="44712"/>
    <cellStyle name="Calculation 2 2 2 2 6 3" xfId="48618"/>
    <cellStyle name="Calculation 2 2 2 2 6 4" xfId="36761"/>
    <cellStyle name="Calculation 2 2 2 2 7" xfId="20468"/>
    <cellStyle name="Calculation 2 2 2 2 7 2" xfId="45990"/>
    <cellStyle name="Calculation 2 2 2 2 7 3" xfId="49896"/>
    <cellStyle name="Calculation 2 2 2 2 7 4" xfId="37904"/>
    <cellStyle name="Calculation 2 2 2 2 8" xfId="19004"/>
    <cellStyle name="Calculation 2 2 2 2 8 2" xfId="44526"/>
    <cellStyle name="Calculation 2 2 2 2 8 3" xfId="48432"/>
    <cellStyle name="Calculation 2 2 2 2 9" xfId="39701"/>
    <cellStyle name="Calculation 2 2 2 3" xfId="52918"/>
    <cellStyle name="Calculation 2 2 3" xfId="1449"/>
    <cellStyle name="Calculation 2 2 3 2" xfId="6962"/>
    <cellStyle name="Calculation 2 2 3 2 10" xfId="39494"/>
    <cellStyle name="Calculation 2 2 3 2 2" xfId="10489"/>
    <cellStyle name="Calculation 2 2 3 2 2 2" xfId="18276"/>
    <cellStyle name="Calculation 2 2 3 2 2 2 2" xfId="43808"/>
    <cellStyle name="Calculation 2 2 3 2 2 2 3" xfId="47717"/>
    <cellStyle name="Calculation 2 2 3 2 2 2 4" xfId="35899"/>
    <cellStyle name="Calculation 2 2 3 2 2 3" xfId="11482"/>
    <cellStyle name="Calculation 2 2 3 2 2 3 2" xfId="41473"/>
    <cellStyle name="Calculation 2 2 3 2 2 3 3" xfId="42001"/>
    <cellStyle name="Calculation 2 2 3 2 2 3 4" xfId="29183"/>
    <cellStyle name="Calculation 2 2 3 2 2 4" xfId="11674"/>
    <cellStyle name="Calculation 2 2 3 2 2 4 2" xfId="41665"/>
    <cellStyle name="Calculation 2 2 3 2 2 4 3" xfId="40177"/>
    <cellStyle name="Calculation 2 2 3 2 2 4 4" xfId="29353"/>
    <cellStyle name="Calculation 2 2 3 2 2 5" xfId="20689"/>
    <cellStyle name="Calculation 2 2 3 2 2 5 2" xfId="46211"/>
    <cellStyle name="Calculation 2 2 3 2 2 5 3" xfId="50117"/>
    <cellStyle name="Calculation 2 2 3 2 2 5 4" xfId="38081"/>
    <cellStyle name="Calculation 2 2 3 2 2 6" xfId="21342"/>
    <cellStyle name="Calculation 2 2 3 2 2 6 2" xfId="46864"/>
    <cellStyle name="Calculation 2 2 3 2 2 6 3" xfId="50770"/>
    <cellStyle name="Calculation 2 2 3 2 2 7" xfId="40667"/>
    <cellStyle name="Calculation 2 2 3 2 2 8" xfId="42052"/>
    <cellStyle name="Calculation 2 2 3 2 3" xfId="10784"/>
    <cellStyle name="Calculation 2 2 3 2 3 2" xfId="18571"/>
    <cellStyle name="Calculation 2 2 3 2 3 2 2" xfId="44103"/>
    <cellStyle name="Calculation 2 2 3 2 3 2 3" xfId="48012"/>
    <cellStyle name="Calculation 2 2 3 2 3 2 4" xfId="36194"/>
    <cellStyle name="Calculation 2 2 3 2 3 3" xfId="19583"/>
    <cellStyle name="Calculation 2 2 3 2 3 3 2" xfId="45105"/>
    <cellStyle name="Calculation 2 2 3 2 3 3 3" xfId="49011"/>
    <cellStyle name="Calculation 2 2 3 2 3 3 4" xfId="37109"/>
    <cellStyle name="Calculation 2 2 3 2 3 4" xfId="11551"/>
    <cellStyle name="Calculation 2 2 3 2 3 4 2" xfId="41542"/>
    <cellStyle name="Calculation 2 2 3 2 3 4 3" xfId="40539"/>
    <cellStyle name="Calculation 2 2 3 2 3 4 4" xfId="29249"/>
    <cellStyle name="Calculation 2 2 3 2 3 5" xfId="20984"/>
    <cellStyle name="Calculation 2 2 3 2 3 5 2" xfId="46506"/>
    <cellStyle name="Calculation 2 2 3 2 3 5 3" xfId="50412"/>
    <cellStyle name="Calculation 2 2 3 2 3 5 4" xfId="38376"/>
    <cellStyle name="Calculation 2 2 3 2 3 6" xfId="21637"/>
    <cellStyle name="Calculation 2 2 3 2 3 6 2" xfId="47159"/>
    <cellStyle name="Calculation 2 2 3 2 3 6 3" xfId="51065"/>
    <cellStyle name="Calculation 2 2 3 2 3 7" xfId="40962"/>
    <cellStyle name="Calculation 2 2 3 2 3 8" xfId="40066"/>
    <cellStyle name="Calculation 2 2 3 2 4" xfId="14744"/>
    <cellStyle name="Calculation 2 2 3 2 4 2" xfId="42842"/>
    <cellStyle name="Calculation 2 2 3 2 4 3" xfId="40138"/>
    <cellStyle name="Calculation 2 2 3 2 4 4" xfId="32365"/>
    <cellStyle name="Calculation 2 2 3 2 5" xfId="13041"/>
    <cellStyle name="Calculation 2 2 3 2 5 2" xfId="42243"/>
    <cellStyle name="Calculation 2 2 3 2 5 3" xfId="42662"/>
    <cellStyle name="Calculation 2 2 3 2 5 4" xfId="30676"/>
    <cellStyle name="Calculation 2 2 3 2 6" xfId="20172"/>
    <cellStyle name="Calculation 2 2 3 2 6 2" xfId="45694"/>
    <cellStyle name="Calculation 2 2 3 2 6 3" xfId="49600"/>
    <cellStyle name="Calculation 2 2 3 2 6 4" xfId="37643"/>
    <cellStyle name="Calculation 2 2 3 2 7" xfId="20222"/>
    <cellStyle name="Calculation 2 2 3 2 7 2" xfId="45744"/>
    <cellStyle name="Calculation 2 2 3 2 7 3" xfId="49650"/>
    <cellStyle name="Calculation 2 2 3 2 7 4" xfId="37681"/>
    <cellStyle name="Calculation 2 2 3 2 8" xfId="20052"/>
    <cellStyle name="Calculation 2 2 3 2 8 2" xfId="45574"/>
    <cellStyle name="Calculation 2 2 3 2 8 3" xfId="49480"/>
    <cellStyle name="Calculation 2 2 3 2 9" xfId="39702"/>
    <cellStyle name="Calculation 2 2 3 3" xfId="22872"/>
    <cellStyle name="Calculation 2 2 3 3 2" xfId="47583"/>
    <cellStyle name="Calculation 2 2 3 3 3" xfId="51398"/>
    <cellStyle name="Calculation 2 2 3 3 4" xfId="39003"/>
    <cellStyle name="Calculation 2 2 3 4" xfId="23040"/>
    <cellStyle name="Calculation 2 2 3 4 2" xfId="47627"/>
    <cellStyle name="Calculation 2 2 3 4 3" xfId="51438"/>
    <cellStyle name="Calculation 2 2 3 5" xfId="52919"/>
    <cellStyle name="Calculation 2 2 4" xfId="4151"/>
    <cellStyle name="Calculation 2 2 4 2" xfId="6963"/>
    <cellStyle name="Calculation 2 2 4 2 10" xfId="42175"/>
    <cellStyle name="Calculation 2 2 4 2 2" xfId="10490"/>
    <cellStyle name="Calculation 2 2 4 2 2 2" xfId="18277"/>
    <cellStyle name="Calculation 2 2 4 2 2 2 2" xfId="43809"/>
    <cellStyle name="Calculation 2 2 4 2 2 2 3" xfId="47718"/>
    <cellStyle name="Calculation 2 2 4 2 2 2 4" xfId="35900"/>
    <cellStyle name="Calculation 2 2 4 2 2 3" xfId="19752"/>
    <cellStyle name="Calculation 2 2 4 2 2 3 2" xfId="45274"/>
    <cellStyle name="Calculation 2 2 4 2 2 3 3" xfId="49180"/>
    <cellStyle name="Calculation 2 2 4 2 2 3 4" xfId="37265"/>
    <cellStyle name="Calculation 2 2 4 2 2 4" xfId="19054"/>
    <cellStyle name="Calculation 2 2 4 2 2 4 2" xfId="44576"/>
    <cellStyle name="Calculation 2 2 4 2 2 4 3" xfId="48482"/>
    <cellStyle name="Calculation 2 2 4 2 2 4 4" xfId="36639"/>
    <cellStyle name="Calculation 2 2 4 2 2 5" xfId="20690"/>
    <cellStyle name="Calculation 2 2 4 2 2 5 2" xfId="46212"/>
    <cellStyle name="Calculation 2 2 4 2 2 5 3" xfId="50118"/>
    <cellStyle name="Calculation 2 2 4 2 2 5 4" xfId="38082"/>
    <cellStyle name="Calculation 2 2 4 2 2 6" xfId="21343"/>
    <cellStyle name="Calculation 2 2 4 2 2 6 2" xfId="46865"/>
    <cellStyle name="Calculation 2 2 4 2 2 6 3" xfId="50771"/>
    <cellStyle name="Calculation 2 2 4 2 2 7" xfId="40668"/>
    <cellStyle name="Calculation 2 2 4 2 2 8" xfId="43371"/>
    <cellStyle name="Calculation 2 2 4 2 3" xfId="10785"/>
    <cellStyle name="Calculation 2 2 4 2 3 2" xfId="18572"/>
    <cellStyle name="Calculation 2 2 4 2 3 2 2" xfId="44104"/>
    <cellStyle name="Calculation 2 2 4 2 3 2 3" xfId="48013"/>
    <cellStyle name="Calculation 2 2 4 2 3 2 4" xfId="36195"/>
    <cellStyle name="Calculation 2 2 4 2 3 3" xfId="20136"/>
    <cellStyle name="Calculation 2 2 4 2 3 3 2" xfId="45658"/>
    <cellStyle name="Calculation 2 2 4 2 3 3 3" xfId="49564"/>
    <cellStyle name="Calculation 2 2 4 2 3 3 4" xfId="37608"/>
    <cellStyle name="Calculation 2 2 4 2 3 4" xfId="11535"/>
    <cellStyle name="Calculation 2 2 4 2 3 4 2" xfId="41526"/>
    <cellStyle name="Calculation 2 2 4 2 3 4 3" xfId="43573"/>
    <cellStyle name="Calculation 2 2 4 2 3 4 4" xfId="29235"/>
    <cellStyle name="Calculation 2 2 4 2 3 5" xfId="20985"/>
    <cellStyle name="Calculation 2 2 4 2 3 5 2" xfId="46507"/>
    <cellStyle name="Calculation 2 2 4 2 3 5 3" xfId="50413"/>
    <cellStyle name="Calculation 2 2 4 2 3 5 4" xfId="38377"/>
    <cellStyle name="Calculation 2 2 4 2 3 6" xfId="21638"/>
    <cellStyle name="Calculation 2 2 4 2 3 6 2" xfId="47160"/>
    <cellStyle name="Calculation 2 2 4 2 3 6 3" xfId="51066"/>
    <cellStyle name="Calculation 2 2 4 2 3 7" xfId="40963"/>
    <cellStyle name="Calculation 2 2 4 2 3 8" xfId="42814"/>
    <cellStyle name="Calculation 2 2 4 2 4" xfId="14745"/>
    <cellStyle name="Calculation 2 2 4 2 4 2" xfId="42843"/>
    <cellStyle name="Calculation 2 2 4 2 4 3" xfId="39252"/>
    <cellStyle name="Calculation 2 2 4 2 4 4" xfId="32366"/>
    <cellStyle name="Calculation 2 2 4 2 5" xfId="13042"/>
    <cellStyle name="Calculation 2 2 4 2 5 2" xfId="42244"/>
    <cellStyle name="Calculation 2 2 4 2 5 3" xfId="43550"/>
    <cellStyle name="Calculation 2 2 4 2 5 4" xfId="30677"/>
    <cellStyle name="Calculation 2 2 4 2 6" xfId="19329"/>
    <cellStyle name="Calculation 2 2 4 2 6 2" xfId="44851"/>
    <cellStyle name="Calculation 2 2 4 2 6 3" xfId="48757"/>
    <cellStyle name="Calculation 2 2 4 2 6 4" xfId="36887"/>
    <cellStyle name="Calculation 2 2 4 2 7" xfId="19248"/>
    <cellStyle name="Calculation 2 2 4 2 7 2" xfId="44770"/>
    <cellStyle name="Calculation 2 2 4 2 7 3" xfId="48676"/>
    <cellStyle name="Calculation 2 2 4 2 7 4" xfId="36812"/>
    <cellStyle name="Calculation 2 2 4 2 8" xfId="18934"/>
    <cellStyle name="Calculation 2 2 4 2 8 2" xfId="44456"/>
    <cellStyle name="Calculation 2 2 4 2 8 3" xfId="48362"/>
    <cellStyle name="Calculation 2 2 4 2 9" xfId="39703"/>
    <cellStyle name="Calculation 2 2 4 3" xfId="22279"/>
    <cellStyle name="Calculation 2 2 4 3 2" xfId="47496"/>
    <cellStyle name="Calculation 2 2 4 3 3" xfId="51351"/>
    <cellStyle name="Calculation 2 2 4 3 4" xfId="38802"/>
    <cellStyle name="Calculation 2 2 4 4" xfId="23017"/>
    <cellStyle name="Calculation 2 2 4 4 2" xfId="47604"/>
    <cellStyle name="Calculation 2 2 4 4 3" xfId="51415"/>
    <cellStyle name="Calculation 2 2 4 5" xfId="52920"/>
    <cellStyle name="Calculation 2 2 5" xfId="4152"/>
    <cellStyle name="Calculation 2 2 5 2" xfId="10450"/>
    <cellStyle name="Calculation 2 2 5 2 2" xfId="18237"/>
    <cellStyle name="Calculation 2 2 5 2 2 2" xfId="43769"/>
    <cellStyle name="Calculation 2 2 5 2 2 3" xfId="47678"/>
    <cellStyle name="Calculation 2 2 5 2 2 4" xfId="35860"/>
    <cellStyle name="Calculation 2 2 5 2 3" xfId="19301"/>
    <cellStyle name="Calculation 2 2 5 2 3 2" xfId="44823"/>
    <cellStyle name="Calculation 2 2 5 2 3 3" xfId="48729"/>
    <cellStyle name="Calculation 2 2 5 2 3 4" xfId="36865"/>
    <cellStyle name="Calculation 2 2 5 2 4" xfId="11565"/>
    <cellStyle name="Calculation 2 2 5 2 4 2" xfId="41556"/>
    <cellStyle name="Calculation 2 2 5 2 4 3" xfId="42791"/>
    <cellStyle name="Calculation 2 2 5 2 4 4" xfId="29262"/>
    <cellStyle name="Calculation 2 2 5 2 5" xfId="20650"/>
    <cellStyle name="Calculation 2 2 5 2 5 2" xfId="46172"/>
    <cellStyle name="Calculation 2 2 5 2 5 3" xfId="50078"/>
    <cellStyle name="Calculation 2 2 5 2 5 4" xfId="38042"/>
    <cellStyle name="Calculation 2 2 5 2 6" xfId="21303"/>
    <cellStyle name="Calculation 2 2 5 2 6 2" xfId="46825"/>
    <cellStyle name="Calculation 2 2 5 2 6 3" xfId="50731"/>
    <cellStyle name="Calculation 2 2 5 2 7" xfId="40628"/>
    <cellStyle name="Calculation 2 2 5 2 8" xfId="41418"/>
    <cellStyle name="Calculation 2 2 5 3" xfId="8453"/>
    <cellStyle name="Calculation 2 2 5 3 2" xfId="16243"/>
    <cellStyle name="Calculation 2 2 5 3 2 2" xfId="43378"/>
    <cellStyle name="Calculation 2 2 5 3 2 3" xfId="43146"/>
    <cellStyle name="Calculation 2 2 5 3 2 4" xfId="33864"/>
    <cellStyle name="Calculation 2 2 5 3 3" xfId="12121"/>
    <cellStyle name="Calculation 2 2 5 3 3 2" xfId="41846"/>
    <cellStyle name="Calculation 2 2 5 3 3 3" xfId="47467"/>
    <cellStyle name="Calculation 2 2 5 3 3 4" xfId="29780"/>
    <cellStyle name="Calculation 2 2 5 3 4" xfId="20297"/>
    <cellStyle name="Calculation 2 2 5 3 4 2" xfId="45819"/>
    <cellStyle name="Calculation 2 2 5 3 4 3" xfId="49725"/>
    <cellStyle name="Calculation 2 2 5 3 4 4" xfId="37748"/>
    <cellStyle name="Calculation 2 2 5 3 5" xfId="18895"/>
    <cellStyle name="Calculation 2 2 5 3 5 2" xfId="44417"/>
    <cellStyle name="Calculation 2 2 5 3 5 3" xfId="48323"/>
    <cellStyle name="Calculation 2 2 5 3 5 4" xfId="36513"/>
    <cellStyle name="Calculation 2 2 5 3 6" xfId="13285"/>
    <cellStyle name="Calculation 2 2 5 3 6 2" xfId="42436"/>
    <cellStyle name="Calculation 2 2 5 3 6 3" xfId="40145"/>
    <cellStyle name="Calculation 2 2 5 3 7" xfId="40240"/>
    <cellStyle name="Calculation 2 2 5 3 8" xfId="39206"/>
    <cellStyle name="Calculation 2 2 6" xfId="6960"/>
    <cellStyle name="Calculation 2 2 6 10" xfId="43519"/>
    <cellStyle name="Calculation 2 2 6 2" xfId="10487"/>
    <cellStyle name="Calculation 2 2 6 2 2" xfId="18274"/>
    <cellStyle name="Calculation 2 2 6 2 2 2" xfId="43806"/>
    <cellStyle name="Calculation 2 2 6 2 2 3" xfId="47715"/>
    <cellStyle name="Calculation 2 2 6 2 2 4" xfId="35897"/>
    <cellStyle name="Calculation 2 2 6 2 3" xfId="19129"/>
    <cellStyle name="Calculation 2 2 6 2 3 2" xfId="44651"/>
    <cellStyle name="Calculation 2 2 6 2 3 3" xfId="48557"/>
    <cellStyle name="Calculation 2 2 6 2 3 4" xfId="36710"/>
    <cellStyle name="Calculation 2 2 6 2 4" xfId="20247"/>
    <cellStyle name="Calculation 2 2 6 2 4 2" xfId="45769"/>
    <cellStyle name="Calculation 2 2 6 2 4 3" xfId="49675"/>
    <cellStyle name="Calculation 2 2 6 2 4 4" xfId="37704"/>
    <cellStyle name="Calculation 2 2 6 2 5" xfId="20687"/>
    <cellStyle name="Calculation 2 2 6 2 5 2" xfId="46209"/>
    <cellStyle name="Calculation 2 2 6 2 5 3" xfId="50115"/>
    <cellStyle name="Calculation 2 2 6 2 5 4" xfId="38079"/>
    <cellStyle name="Calculation 2 2 6 2 6" xfId="21340"/>
    <cellStyle name="Calculation 2 2 6 2 6 2" xfId="46862"/>
    <cellStyle name="Calculation 2 2 6 2 6 3" xfId="50768"/>
    <cellStyle name="Calculation 2 2 6 2 7" xfId="40665"/>
    <cellStyle name="Calculation 2 2 6 2 8" xfId="40366"/>
    <cellStyle name="Calculation 2 2 6 3" xfId="10782"/>
    <cellStyle name="Calculation 2 2 6 3 2" xfId="18569"/>
    <cellStyle name="Calculation 2 2 6 3 2 2" xfId="44101"/>
    <cellStyle name="Calculation 2 2 6 3 2 3" xfId="48010"/>
    <cellStyle name="Calculation 2 2 6 3 2 4" xfId="36192"/>
    <cellStyle name="Calculation 2 2 6 3 3" xfId="11503"/>
    <cellStyle name="Calculation 2 2 6 3 3 2" xfId="41494"/>
    <cellStyle name="Calculation 2 2 6 3 3 3" xfId="43323"/>
    <cellStyle name="Calculation 2 2 6 3 3 4" xfId="29204"/>
    <cellStyle name="Calculation 2 2 6 3 4" xfId="12690"/>
    <cellStyle name="Calculation 2 2 6 3 4 2" xfId="42150"/>
    <cellStyle name="Calculation 2 2 6 3 4 3" xfId="39285"/>
    <cellStyle name="Calculation 2 2 6 3 4 4" xfId="30336"/>
    <cellStyle name="Calculation 2 2 6 3 5" xfId="20982"/>
    <cellStyle name="Calculation 2 2 6 3 5 2" xfId="46504"/>
    <cellStyle name="Calculation 2 2 6 3 5 3" xfId="50410"/>
    <cellStyle name="Calculation 2 2 6 3 5 4" xfId="38374"/>
    <cellStyle name="Calculation 2 2 6 3 6" xfId="21635"/>
    <cellStyle name="Calculation 2 2 6 3 6 2" xfId="47157"/>
    <cellStyle name="Calculation 2 2 6 3 6 3" xfId="51063"/>
    <cellStyle name="Calculation 2 2 6 3 7" xfId="40960"/>
    <cellStyle name="Calculation 2 2 6 3 8" xfId="41404"/>
    <cellStyle name="Calculation 2 2 6 4" xfId="14742"/>
    <cellStyle name="Calculation 2 2 6 4 2" xfId="42840"/>
    <cellStyle name="Calculation 2 2 6 4 3" xfId="41925"/>
    <cellStyle name="Calculation 2 2 6 4 4" xfId="32363"/>
    <cellStyle name="Calculation 2 2 6 5" xfId="11265"/>
    <cellStyle name="Calculation 2 2 6 5 2" xfId="41292"/>
    <cellStyle name="Calculation 2 2 6 5 3" xfId="43475"/>
    <cellStyle name="Calculation 2 2 6 5 4" xfId="28979"/>
    <cellStyle name="Calculation 2 2 6 6" xfId="19687"/>
    <cellStyle name="Calculation 2 2 6 6 2" xfId="45209"/>
    <cellStyle name="Calculation 2 2 6 6 3" xfId="49115"/>
    <cellStyle name="Calculation 2 2 6 6 4" xfId="37202"/>
    <cellStyle name="Calculation 2 2 6 7" xfId="18990"/>
    <cellStyle name="Calculation 2 2 6 7 2" xfId="44512"/>
    <cellStyle name="Calculation 2 2 6 7 3" xfId="48418"/>
    <cellStyle name="Calculation 2 2 6 7 4" xfId="36598"/>
    <cellStyle name="Calculation 2 2 6 8" xfId="20213"/>
    <cellStyle name="Calculation 2 2 6 8 2" xfId="45735"/>
    <cellStyle name="Calculation 2 2 6 8 3" xfId="49641"/>
    <cellStyle name="Calculation 2 2 6 9" xfId="39700"/>
    <cellStyle name="Calculation 2 2 7" xfId="52917"/>
    <cellStyle name="Calculation 2 2_Sheet1" xfId="1450"/>
    <cellStyle name="Calculation 2 20" xfId="52720"/>
    <cellStyle name="Calculation 2 21" xfId="52717"/>
    <cellStyle name="Calculation 2 22" xfId="52719"/>
    <cellStyle name="Calculation 2 23" xfId="52743"/>
    <cellStyle name="Calculation 2 24" xfId="52718"/>
    <cellStyle name="Calculation 2 25" xfId="52716"/>
    <cellStyle name="Calculation 2 26" xfId="52748"/>
    <cellStyle name="Calculation 2 27" xfId="52715"/>
    <cellStyle name="Calculation 2 28" xfId="52780"/>
    <cellStyle name="Calculation 2 29" xfId="52776"/>
    <cellStyle name="Calculation 2 3" xfId="1451"/>
    <cellStyle name="Calculation 2 3 2" xfId="6964"/>
    <cellStyle name="Calculation 2 3 2 10" xfId="43402"/>
    <cellStyle name="Calculation 2 3 2 2" xfId="10491"/>
    <cellStyle name="Calculation 2 3 2 2 2" xfId="18278"/>
    <cellStyle name="Calculation 2 3 2 2 2 2" xfId="43810"/>
    <cellStyle name="Calculation 2 3 2 2 2 3" xfId="47719"/>
    <cellStyle name="Calculation 2 3 2 2 2 4" xfId="35901"/>
    <cellStyle name="Calculation 2 3 2 2 3" xfId="11481"/>
    <cellStyle name="Calculation 2 3 2 2 3 2" xfId="41472"/>
    <cellStyle name="Calculation 2 3 2 2 3 3" xfId="39443"/>
    <cellStyle name="Calculation 2 3 2 2 3 4" xfId="29182"/>
    <cellStyle name="Calculation 2 3 2 2 4" xfId="20108"/>
    <cellStyle name="Calculation 2 3 2 2 4 2" xfId="45630"/>
    <cellStyle name="Calculation 2 3 2 2 4 3" xfId="49536"/>
    <cellStyle name="Calculation 2 3 2 2 4 4" xfId="37580"/>
    <cellStyle name="Calculation 2 3 2 2 5" xfId="20691"/>
    <cellStyle name="Calculation 2 3 2 2 5 2" xfId="46213"/>
    <cellStyle name="Calculation 2 3 2 2 5 3" xfId="50119"/>
    <cellStyle name="Calculation 2 3 2 2 5 4" xfId="38083"/>
    <cellStyle name="Calculation 2 3 2 2 6" xfId="21344"/>
    <cellStyle name="Calculation 2 3 2 2 6 2" xfId="46866"/>
    <cellStyle name="Calculation 2 3 2 2 6 3" xfId="50772"/>
    <cellStyle name="Calculation 2 3 2 2 7" xfId="40669"/>
    <cellStyle name="Calculation 2 3 2 2 8" xfId="40233"/>
    <cellStyle name="Calculation 2 3 2 3" xfId="10786"/>
    <cellStyle name="Calculation 2 3 2 3 2" xfId="18573"/>
    <cellStyle name="Calculation 2 3 2 3 2 2" xfId="44105"/>
    <cellStyle name="Calculation 2 3 2 3 2 3" xfId="48014"/>
    <cellStyle name="Calculation 2 3 2 3 2 4" xfId="36196"/>
    <cellStyle name="Calculation 2 3 2 3 3" xfId="19395"/>
    <cellStyle name="Calculation 2 3 2 3 3 2" xfId="44917"/>
    <cellStyle name="Calculation 2 3 2 3 3 3" xfId="48823"/>
    <cellStyle name="Calculation 2 3 2 3 3 4" xfId="36946"/>
    <cellStyle name="Calculation 2 3 2 3 4" xfId="11633"/>
    <cellStyle name="Calculation 2 3 2 3 4 2" xfId="41624"/>
    <cellStyle name="Calculation 2 3 2 3 4 3" xfId="39136"/>
    <cellStyle name="Calculation 2 3 2 3 4 4" xfId="29320"/>
    <cellStyle name="Calculation 2 3 2 3 5" xfId="20986"/>
    <cellStyle name="Calculation 2 3 2 3 5 2" xfId="46508"/>
    <cellStyle name="Calculation 2 3 2 3 5 3" xfId="50414"/>
    <cellStyle name="Calculation 2 3 2 3 5 4" xfId="38378"/>
    <cellStyle name="Calculation 2 3 2 3 6" xfId="21639"/>
    <cellStyle name="Calculation 2 3 2 3 6 2" xfId="47161"/>
    <cellStyle name="Calculation 2 3 2 3 6 3" xfId="51067"/>
    <cellStyle name="Calculation 2 3 2 3 7" xfId="40964"/>
    <cellStyle name="Calculation 2 3 2 3 8" xfId="43703"/>
    <cellStyle name="Calculation 2 3 2 4" xfId="14746"/>
    <cellStyle name="Calculation 2 3 2 4 2" xfId="42844"/>
    <cellStyle name="Calculation 2 3 2 4 3" xfId="41266"/>
    <cellStyle name="Calculation 2 3 2 4 4" xfId="32367"/>
    <cellStyle name="Calculation 2 3 2 5" xfId="13043"/>
    <cellStyle name="Calculation 2 3 2 5 2" xfId="42245"/>
    <cellStyle name="Calculation 2 3 2 5 3" xfId="40411"/>
    <cellStyle name="Calculation 2 3 2 5 4" xfId="30678"/>
    <cellStyle name="Calculation 2 3 2 6" xfId="20366"/>
    <cellStyle name="Calculation 2 3 2 6 2" xfId="45888"/>
    <cellStyle name="Calculation 2 3 2 6 3" xfId="49794"/>
    <cellStyle name="Calculation 2 3 2 6 4" xfId="37808"/>
    <cellStyle name="Calculation 2 3 2 7" xfId="18986"/>
    <cellStyle name="Calculation 2 3 2 7 2" xfId="44508"/>
    <cellStyle name="Calculation 2 3 2 7 3" xfId="48414"/>
    <cellStyle name="Calculation 2 3 2 7 4" xfId="36594"/>
    <cellStyle name="Calculation 2 3 2 8" xfId="12494"/>
    <cellStyle name="Calculation 2 3 2 8 2" xfId="41988"/>
    <cellStyle name="Calculation 2 3 2 8 3" xfId="42540"/>
    <cellStyle name="Calculation 2 3 2 9" xfId="39704"/>
    <cellStyle name="Calculation 2 3 3" xfId="52921"/>
    <cellStyle name="Calculation 2 30" xfId="52781"/>
    <cellStyle name="Calculation 2 31" xfId="52777"/>
    <cellStyle name="Calculation 2 32" xfId="52779"/>
    <cellStyle name="Calculation 2 33" xfId="52774"/>
    <cellStyle name="Calculation 2 34" xfId="52810"/>
    <cellStyle name="Calculation 2 35" xfId="52775"/>
    <cellStyle name="Calculation 2 36" xfId="52753"/>
    <cellStyle name="Calculation 2 37" xfId="52814"/>
    <cellStyle name="Calculation 2 38" xfId="52782"/>
    <cellStyle name="Calculation 2 39" xfId="52816"/>
    <cellStyle name="Calculation 2 4" xfId="1452"/>
    <cellStyle name="Calculation 2 4 2" xfId="6965"/>
    <cellStyle name="Calculation 2 4 2 10" xfId="40264"/>
    <cellStyle name="Calculation 2 4 2 2" xfId="10492"/>
    <cellStyle name="Calculation 2 4 2 2 2" xfId="18279"/>
    <cellStyle name="Calculation 2 4 2 2 2 2" xfId="43811"/>
    <cellStyle name="Calculation 2 4 2 2 2 3" xfId="47720"/>
    <cellStyle name="Calculation 2 4 2 2 2 4" xfId="35902"/>
    <cellStyle name="Calculation 2 4 2 2 3" xfId="12148"/>
    <cellStyle name="Calculation 2 4 2 2 3 2" xfId="41873"/>
    <cellStyle name="Calculation 2 4 2 2 3 3" xfId="40035"/>
    <cellStyle name="Calculation 2 4 2 2 3 4" xfId="29806"/>
    <cellStyle name="Calculation 2 4 2 2 4" xfId="12679"/>
    <cellStyle name="Calculation 2 4 2 2 4 2" xfId="42139"/>
    <cellStyle name="Calculation 2 4 2 2 4 3" xfId="43663"/>
    <cellStyle name="Calculation 2 4 2 2 4 4" xfId="30326"/>
    <cellStyle name="Calculation 2 4 2 2 5" xfId="20692"/>
    <cellStyle name="Calculation 2 4 2 2 5 2" xfId="46214"/>
    <cellStyle name="Calculation 2 4 2 2 5 3" xfId="50120"/>
    <cellStyle name="Calculation 2 4 2 2 5 4" xfId="38084"/>
    <cellStyle name="Calculation 2 4 2 2 6" xfId="21345"/>
    <cellStyle name="Calculation 2 4 2 2 6 2" xfId="46867"/>
    <cellStyle name="Calculation 2 4 2 2 6 3" xfId="50773"/>
    <cellStyle name="Calculation 2 4 2 2 7" xfId="40670"/>
    <cellStyle name="Calculation 2 4 2 2 8" xfId="39373"/>
    <cellStyle name="Calculation 2 4 2 3" xfId="10787"/>
    <cellStyle name="Calculation 2 4 2 3 2" xfId="18574"/>
    <cellStyle name="Calculation 2 4 2 3 2 2" xfId="44106"/>
    <cellStyle name="Calculation 2 4 2 3 2 3" xfId="48015"/>
    <cellStyle name="Calculation 2 4 2 3 2 4" xfId="36197"/>
    <cellStyle name="Calculation 2 4 2 3 3" xfId="20002"/>
    <cellStyle name="Calculation 2 4 2 3 3 2" xfId="45524"/>
    <cellStyle name="Calculation 2 4 2 3 3 3" xfId="49430"/>
    <cellStyle name="Calculation 2 4 2 3 3 4" xfId="37486"/>
    <cellStyle name="Calculation 2 4 2 3 4" xfId="11760"/>
    <cellStyle name="Calculation 2 4 2 3 4 2" xfId="41708"/>
    <cellStyle name="Calculation 2 4 2 3 4 3" xfId="39132"/>
    <cellStyle name="Calculation 2 4 2 3 4 4" xfId="29433"/>
    <cellStyle name="Calculation 2 4 2 3 5" xfId="20987"/>
    <cellStyle name="Calculation 2 4 2 3 5 2" xfId="46509"/>
    <cellStyle name="Calculation 2 4 2 3 5 3" xfId="50415"/>
    <cellStyle name="Calculation 2 4 2 3 5 4" xfId="38379"/>
    <cellStyle name="Calculation 2 4 2 3 6" xfId="21640"/>
    <cellStyle name="Calculation 2 4 2 3 6 2" xfId="47162"/>
    <cellStyle name="Calculation 2 4 2 3 6 3" xfId="51068"/>
    <cellStyle name="Calculation 2 4 2 3 7" xfId="40965"/>
    <cellStyle name="Calculation 2 4 2 3 8" xfId="40562"/>
    <cellStyle name="Calculation 2 4 2 4" xfId="14747"/>
    <cellStyle name="Calculation 2 4 2 4 2" xfId="42845"/>
    <cellStyle name="Calculation 2 4 2 4 3" xfId="43159"/>
    <cellStyle name="Calculation 2 4 2 4 4" xfId="32368"/>
    <cellStyle name="Calculation 2 4 2 5" xfId="13044"/>
    <cellStyle name="Calculation 2 4 2 5 2" xfId="42246"/>
    <cellStyle name="Calculation 2 4 2 5 3" xfId="39518"/>
    <cellStyle name="Calculation 2 4 2 5 4" xfId="30679"/>
    <cellStyle name="Calculation 2 4 2 6" xfId="20320"/>
    <cellStyle name="Calculation 2 4 2 6 2" xfId="45842"/>
    <cellStyle name="Calculation 2 4 2 6 3" xfId="49748"/>
    <cellStyle name="Calculation 2 4 2 6 4" xfId="37770"/>
    <cellStyle name="Calculation 2 4 2 7" xfId="13290"/>
    <cellStyle name="Calculation 2 4 2 7 2" xfId="42441"/>
    <cellStyle name="Calculation 2 4 2 7 3" xfId="40021"/>
    <cellStyle name="Calculation 2 4 2 7 4" xfId="30920"/>
    <cellStyle name="Calculation 2 4 2 8" xfId="11838"/>
    <cellStyle name="Calculation 2 4 2 8 2" xfId="41736"/>
    <cellStyle name="Calculation 2 4 2 8 3" xfId="42546"/>
    <cellStyle name="Calculation 2 4 2 9" xfId="39705"/>
    <cellStyle name="Calculation 2 4 3" xfId="52922"/>
    <cellStyle name="Calculation 2 40" xfId="52783"/>
    <cellStyle name="Calculation 2 41" xfId="52778"/>
    <cellStyle name="Calculation 2 42" xfId="52785"/>
    <cellStyle name="Calculation 2 43" xfId="52784"/>
    <cellStyle name="Calculation 2 44" xfId="52786"/>
    <cellStyle name="Calculation 2 45" xfId="52842"/>
    <cellStyle name="Calculation 2 46" xfId="52838"/>
    <cellStyle name="Calculation 2 47" xfId="52840"/>
    <cellStyle name="Calculation 2 48" xfId="52836"/>
    <cellStyle name="Calculation 2 49" xfId="52863"/>
    <cellStyle name="Calculation 2 5" xfId="1453"/>
    <cellStyle name="Calculation 2 5 2" xfId="6966"/>
    <cellStyle name="Calculation 2 5 2 10" xfId="39394"/>
    <cellStyle name="Calculation 2 5 2 2" xfId="10493"/>
    <cellStyle name="Calculation 2 5 2 2 2" xfId="18280"/>
    <cellStyle name="Calculation 2 5 2 2 2 2" xfId="43812"/>
    <cellStyle name="Calculation 2 5 2 2 2 3" xfId="47721"/>
    <cellStyle name="Calculation 2 5 2 2 2 4" xfId="35903"/>
    <cellStyle name="Calculation 2 5 2 2 3" xfId="19608"/>
    <cellStyle name="Calculation 2 5 2 2 3 2" xfId="45130"/>
    <cellStyle name="Calculation 2 5 2 2 3 3" xfId="49036"/>
    <cellStyle name="Calculation 2 5 2 2 3 4" xfId="37134"/>
    <cellStyle name="Calculation 2 5 2 2 4" xfId="20199"/>
    <cellStyle name="Calculation 2 5 2 2 4 2" xfId="45721"/>
    <cellStyle name="Calculation 2 5 2 2 4 3" xfId="49627"/>
    <cellStyle name="Calculation 2 5 2 2 4 4" xfId="37663"/>
    <cellStyle name="Calculation 2 5 2 2 5" xfId="20693"/>
    <cellStyle name="Calculation 2 5 2 2 5 2" xfId="46215"/>
    <cellStyle name="Calculation 2 5 2 2 5 3" xfId="50121"/>
    <cellStyle name="Calculation 2 5 2 2 5 4" xfId="38085"/>
    <cellStyle name="Calculation 2 5 2 2 6" xfId="21346"/>
    <cellStyle name="Calculation 2 5 2 2 6 2" xfId="46868"/>
    <cellStyle name="Calculation 2 5 2 2 6 3" xfId="50774"/>
    <cellStyle name="Calculation 2 5 2 2 7" xfId="40671"/>
    <cellStyle name="Calculation 2 5 2 2 8" xfId="39175"/>
    <cellStyle name="Calculation 2 5 2 3" xfId="10788"/>
    <cellStyle name="Calculation 2 5 2 3 2" xfId="18575"/>
    <cellStyle name="Calculation 2 5 2 3 2 2" xfId="44107"/>
    <cellStyle name="Calculation 2 5 2 3 2 3" xfId="48016"/>
    <cellStyle name="Calculation 2 5 2 3 2 4" xfId="36198"/>
    <cellStyle name="Calculation 2 5 2 3 3" xfId="19268"/>
    <cellStyle name="Calculation 2 5 2 3 3 2" xfId="44790"/>
    <cellStyle name="Calculation 2 5 2 3 3 3" xfId="48696"/>
    <cellStyle name="Calculation 2 5 2 3 3 4" xfId="36832"/>
    <cellStyle name="Calculation 2 5 2 3 4" xfId="20250"/>
    <cellStyle name="Calculation 2 5 2 3 4 2" xfId="45772"/>
    <cellStyle name="Calculation 2 5 2 3 4 3" xfId="49678"/>
    <cellStyle name="Calculation 2 5 2 3 4 4" xfId="37706"/>
    <cellStyle name="Calculation 2 5 2 3 5" xfId="20988"/>
    <cellStyle name="Calculation 2 5 2 3 5 2" xfId="46510"/>
    <cellStyle name="Calculation 2 5 2 3 5 3" xfId="50416"/>
    <cellStyle name="Calculation 2 5 2 3 5 4" xfId="38380"/>
    <cellStyle name="Calculation 2 5 2 3 6" xfId="21641"/>
    <cellStyle name="Calculation 2 5 2 3 6 2" xfId="47163"/>
    <cellStyle name="Calculation 2 5 2 3 6 3" xfId="51069"/>
    <cellStyle name="Calculation 2 5 2 3 7" xfId="40966"/>
    <cellStyle name="Calculation 2 5 2 3 8" xfId="39673"/>
    <cellStyle name="Calculation 2 5 2 4" xfId="14748"/>
    <cellStyle name="Calculation 2 5 2 4 2" xfId="42846"/>
    <cellStyle name="Calculation 2 5 2 4 3" xfId="40018"/>
    <cellStyle name="Calculation 2 5 2 4 4" xfId="32369"/>
    <cellStyle name="Calculation 2 5 2 5" xfId="11266"/>
    <cellStyle name="Calculation 2 5 2 5 2" xfId="41293"/>
    <cellStyle name="Calculation 2 5 2 5 3" xfId="40337"/>
    <cellStyle name="Calculation 2 5 2 5 4" xfId="28980"/>
    <cellStyle name="Calculation 2 5 2 6" xfId="19817"/>
    <cellStyle name="Calculation 2 5 2 6 2" xfId="45339"/>
    <cellStyle name="Calculation 2 5 2 6 3" xfId="49245"/>
    <cellStyle name="Calculation 2 5 2 6 4" xfId="37321"/>
    <cellStyle name="Calculation 2 5 2 7" xfId="19155"/>
    <cellStyle name="Calculation 2 5 2 7 2" xfId="44677"/>
    <cellStyle name="Calculation 2 5 2 7 3" xfId="48583"/>
    <cellStyle name="Calculation 2 5 2 7 4" xfId="36733"/>
    <cellStyle name="Calculation 2 5 2 8" xfId="11529"/>
    <cellStyle name="Calculation 2 5 2 8 2" xfId="41520"/>
    <cellStyle name="Calculation 2 5 2 8 3" xfId="40045"/>
    <cellStyle name="Calculation 2 5 2 9" xfId="39706"/>
    <cellStyle name="Calculation 2 5 3" xfId="52923"/>
    <cellStyle name="Calculation 2 50" xfId="52837"/>
    <cellStyle name="Calculation 2 51" xfId="52865"/>
    <cellStyle name="Calculation 2 52" xfId="52839"/>
    <cellStyle name="Calculation 2 53" xfId="52846"/>
    <cellStyle name="Calculation 2 54" xfId="52844"/>
    <cellStyle name="Calculation 2 55" xfId="52845"/>
    <cellStyle name="Calculation 2 56" xfId="52843"/>
    <cellStyle name="Calculation 2 57" xfId="52874"/>
    <cellStyle name="Calculation 2 58" xfId="52841"/>
    <cellStyle name="Calculation 2 59" xfId="52912"/>
    <cellStyle name="Calculation 2 6" xfId="1454"/>
    <cellStyle name="Calculation 2 6 2" xfId="6967"/>
    <cellStyle name="Calculation 2 6 2 10" xfId="39229"/>
    <cellStyle name="Calculation 2 6 2 2" xfId="10494"/>
    <cellStyle name="Calculation 2 6 2 2 2" xfId="18281"/>
    <cellStyle name="Calculation 2 6 2 2 2 2" xfId="43813"/>
    <cellStyle name="Calculation 2 6 2 2 2 3" xfId="47722"/>
    <cellStyle name="Calculation 2 6 2 2 2 4" xfId="35904"/>
    <cellStyle name="Calculation 2 6 2 2 3" xfId="20164"/>
    <cellStyle name="Calculation 2 6 2 2 3 2" xfId="45686"/>
    <cellStyle name="Calculation 2 6 2 2 3 3" xfId="49592"/>
    <cellStyle name="Calculation 2 6 2 2 3 4" xfId="37636"/>
    <cellStyle name="Calculation 2 6 2 2 4" xfId="19080"/>
    <cellStyle name="Calculation 2 6 2 2 4 2" xfId="44602"/>
    <cellStyle name="Calculation 2 6 2 2 4 3" xfId="48508"/>
    <cellStyle name="Calculation 2 6 2 2 4 4" xfId="36662"/>
    <cellStyle name="Calculation 2 6 2 2 5" xfId="20694"/>
    <cellStyle name="Calculation 2 6 2 2 5 2" xfId="46216"/>
    <cellStyle name="Calculation 2 6 2 2 5 3" xfId="50122"/>
    <cellStyle name="Calculation 2 6 2 2 5 4" xfId="38086"/>
    <cellStyle name="Calculation 2 6 2 2 6" xfId="21347"/>
    <cellStyle name="Calculation 2 6 2 2 6 2" xfId="46869"/>
    <cellStyle name="Calculation 2 6 2 2 6 3" xfId="50775"/>
    <cellStyle name="Calculation 2 6 2 2 7" xfId="40672"/>
    <cellStyle name="Calculation 2 6 2 2 8" xfId="41416"/>
    <cellStyle name="Calculation 2 6 2 3" xfId="10789"/>
    <cellStyle name="Calculation 2 6 2 3 2" xfId="18576"/>
    <cellStyle name="Calculation 2 6 2 3 2 2" xfId="44108"/>
    <cellStyle name="Calculation 2 6 2 3 2 3" xfId="48017"/>
    <cellStyle name="Calculation 2 6 2 3 2 4" xfId="36199"/>
    <cellStyle name="Calculation 2 6 2 3 3" xfId="19877"/>
    <cellStyle name="Calculation 2 6 2 3 3 2" xfId="45399"/>
    <cellStyle name="Calculation 2 6 2 3 3 3" xfId="49305"/>
    <cellStyle name="Calculation 2 6 2 3 3 4" xfId="37377"/>
    <cellStyle name="Calculation 2 6 2 3 4" xfId="19631"/>
    <cellStyle name="Calculation 2 6 2 3 4 2" xfId="45153"/>
    <cellStyle name="Calculation 2 6 2 3 4 3" xfId="49059"/>
    <cellStyle name="Calculation 2 6 2 3 4 4" xfId="37153"/>
    <cellStyle name="Calculation 2 6 2 3 5" xfId="20989"/>
    <cellStyle name="Calculation 2 6 2 3 5 2" xfId="46511"/>
    <cellStyle name="Calculation 2 6 2 3 5 3" xfId="50417"/>
    <cellStyle name="Calculation 2 6 2 3 5 4" xfId="38381"/>
    <cellStyle name="Calculation 2 6 2 3 6" xfId="21642"/>
    <cellStyle name="Calculation 2 6 2 3 6 2" xfId="47164"/>
    <cellStyle name="Calculation 2 6 2 3 6 3" xfId="51070"/>
    <cellStyle name="Calculation 2 6 2 3 7" xfId="40967"/>
    <cellStyle name="Calculation 2 6 2 3 8" xfId="42710"/>
    <cellStyle name="Calculation 2 6 2 4" xfId="14749"/>
    <cellStyle name="Calculation 2 6 2 4 2" xfId="42847"/>
    <cellStyle name="Calculation 2 6 2 4 3" xfId="42760"/>
    <cellStyle name="Calculation 2 6 2 4 4" xfId="32370"/>
    <cellStyle name="Calculation 2 6 2 5" xfId="13045"/>
    <cellStyle name="Calculation 2 6 2 5 2" xfId="42247"/>
    <cellStyle name="Calculation 2 6 2 5 3" xfId="42528"/>
    <cellStyle name="Calculation 2 6 2 5 4" xfId="30680"/>
    <cellStyle name="Calculation 2 6 2 6" xfId="13901"/>
    <cellStyle name="Calculation 2 6 2 6 2" xfId="42617"/>
    <cellStyle name="Calculation 2 6 2 6 3" xfId="43282"/>
    <cellStyle name="Calculation 2 6 2 6 4" xfId="31525"/>
    <cellStyle name="Calculation 2 6 2 7" xfId="18972"/>
    <cellStyle name="Calculation 2 6 2 7 2" xfId="44494"/>
    <cellStyle name="Calculation 2 6 2 7 3" xfId="48400"/>
    <cellStyle name="Calculation 2 6 2 7 4" xfId="36582"/>
    <cellStyle name="Calculation 2 6 2 8" xfId="20614"/>
    <cellStyle name="Calculation 2 6 2 8 2" xfId="46136"/>
    <cellStyle name="Calculation 2 6 2 8 3" xfId="50042"/>
    <cellStyle name="Calculation 2 6 2 9" xfId="39707"/>
    <cellStyle name="Calculation 2 6 3" xfId="52924"/>
    <cellStyle name="Calculation 2 7" xfId="1455"/>
    <cellStyle name="Calculation 2 7 2" xfId="6968"/>
    <cellStyle name="Calculation 2 7 2 10" xfId="39393"/>
    <cellStyle name="Calculation 2 7 2 2" xfId="10495"/>
    <cellStyle name="Calculation 2 7 2 2 2" xfId="18282"/>
    <cellStyle name="Calculation 2 7 2 2 2 2" xfId="43814"/>
    <cellStyle name="Calculation 2 7 2 2 2 3" xfId="47723"/>
    <cellStyle name="Calculation 2 7 2 2 2 4" xfId="35905"/>
    <cellStyle name="Calculation 2 7 2 2 3" xfId="19423"/>
    <cellStyle name="Calculation 2 7 2 2 3 2" xfId="44945"/>
    <cellStyle name="Calculation 2 7 2 2 3 3" xfId="48851"/>
    <cellStyle name="Calculation 2 7 2 2 3 4" xfId="36974"/>
    <cellStyle name="Calculation 2 7 2 2 4" xfId="20373"/>
    <cellStyle name="Calculation 2 7 2 2 4 2" xfId="45895"/>
    <cellStyle name="Calculation 2 7 2 2 4 3" xfId="49801"/>
    <cellStyle name="Calculation 2 7 2 2 4 4" xfId="37813"/>
    <cellStyle name="Calculation 2 7 2 2 5" xfId="20695"/>
    <cellStyle name="Calculation 2 7 2 2 5 2" xfId="46217"/>
    <cellStyle name="Calculation 2 7 2 2 5 3" xfId="50123"/>
    <cellStyle name="Calculation 2 7 2 2 5 4" xfId="38087"/>
    <cellStyle name="Calculation 2 7 2 2 6" xfId="21348"/>
    <cellStyle name="Calculation 2 7 2 2 6 2" xfId="46870"/>
    <cellStyle name="Calculation 2 7 2 2 6 3" xfId="50776"/>
    <cellStyle name="Calculation 2 7 2 2 7" xfId="40673"/>
    <cellStyle name="Calculation 2 7 2 2 8" xfId="43219"/>
    <cellStyle name="Calculation 2 7 2 3" xfId="10790"/>
    <cellStyle name="Calculation 2 7 2 3 2" xfId="18577"/>
    <cellStyle name="Calculation 2 7 2 3 2 2" xfId="44109"/>
    <cellStyle name="Calculation 2 7 2 3 2 3" xfId="48018"/>
    <cellStyle name="Calculation 2 7 2 3 2 4" xfId="36200"/>
    <cellStyle name="Calculation 2 7 2 3 3" xfId="19100"/>
    <cellStyle name="Calculation 2 7 2 3 3 2" xfId="44622"/>
    <cellStyle name="Calculation 2 7 2 3 3 3" xfId="48528"/>
    <cellStyle name="Calculation 2 7 2 3 3 4" xfId="36681"/>
    <cellStyle name="Calculation 2 7 2 3 4" xfId="19214"/>
    <cellStyle name="Calculation 2 7 2 3 4 2" xfId="44736"/>
    <cellStyle name="Calculation 2 7 2 3 4 3" xfId="48642"/>
    <cellStyle name="Calculation 2 7 2 3 4 4" xfId="36783"/>
    <cellStyle name="Calculation 2 7 2 3 5" xfId="20990"/>
    <cellStyle name="Calculation 2 7 2 3 5 2" xfId="46512"/>
    <cellStyle name="Calculation 2 7 2 3 5 3" xfId="50418"/>
    <cellStyle name="Calculation 2 7 2 3 5 4" xfId="38382"/>
    <cellStyle name="Calculation 2 7 2 3 6" xfId="21643"/>
    <cellStyle name="Calculation 2 7 2 3 6 2" xfId="47165"/>
    <cellStyle name="Calculation 2 7 2 3 6 3" xfId="51071"/>
    <cellStyle name="Calculation 2 7 2 3 7" xfId="40968"/>
    <cellStyle name="Calculation 2 7 2 3 8" xfId="43599"/>
    <cellStyle name="Calculation 2 7 2 4" xfId="14750"/>
    <cellStyle name="Calculation 2 7 2 4 2" xfId="42848"/>
    <cellStyle name="Calculation 2 7 2 4 3" xfId="43647"/>
    <cellStyle name="Calculation 2 7 2 4 4" xfId="32371"/>
    <cellStyle name="Calculation 2 7 2 5" xfId="13046"/>
    <cellStyle name="Calculation 2 7 2 5 2" xfId="42248"/>
    <cellStyle name="Calculation 2 7 2 5 3" xfId="43439"/>
    <cellStyle name="Calculation 2 7 2 5 4" xfId="30681"/>
    <cellStyle name="Calculation 2 7 2 6" xfId="12852"/>
    <cellStyle name="Calculation 2 7 2 6 2" xfId="42216"/>
    <cellStyle name="Calculation 2 7 2 6 3" xfId="39628"/>
    <cellStyle name="Calculation 2 7 2 6 4" xfId="30490"/>
    <cellStyle name="Calculation 2 7 2 7" xfId="20328"/>
    <cellStyle name="Calculation 2 7 2 7 2" xfId="45850"/>
    <cellStyle name="Calculation 2 7 2 7 3" xfId="49756"/>
    <cellStyle name="Calculation 2 7 2 7 4" xfId="37776"/>
    <cellStyle name="Calculation 2 7 2 8" xfId="20515"/>
    <cellStyle name="Calculation 2 7 2 8 2" xfId="46037"/>
    <cellStyle name="Calculation 2 7 2 8 3" xfId="49943"/>
    <cellStyle name="Calculation 2 7 2 9" xfId="39708"/>
    <cellStyle name="Calculation 2 7 3" xfId="52925"/>
    <cellStyle name="Calculation 2 8" xfId="1456"/>
    <cellStyle name="Calculation 2 8 2" xfId="6969"/>
    <cellStyle name="Calculation 2 8 2 10" xfId="39228"/>
    <cellStyle name="Calculation 2 8 2 2" xfId="10496"/>
    <cellStyle name="Calculation 2 8 2 2 2" xfId="18283"/>
    <cellStyle name="Calculation 2 8 2 2 2 2" xfId="43815"/>
    <cellStyle name="Calculation 2 8 2 2 2 3" xfId="47724"/>
    <cellStyle name="Calculation 2 8 2 2 2 4" xfId="35906"/>
    <cellStyle name="Calculation 2 8 2 2 3" xfId="20030"/>
    <cellStyle name="Calculation 2 8 2 2 3 2" xfId="45552"/>
    <cellStyle name="Calculation 2 8 2 2 3 3" xfId="49458"/>
    <cellStyle name="Calculation 2 8 2 2 3 4" xfId="37514"/>
    <cellStyle name="Calculation 2 8 2 2 4" xfId="11794"/>
    <cellStyle name="Calculation 2 8 2 2 4 2" xfId="41724"/>
    <cellStyle name="Calculation 2 8 2 2 4 3" xfId="44387"/>
    <cellStyle name="Calculation 2 8 2 2 4 4" xfId="29466"/>
    <cellStyle name="Calculation 2 8 2 2 5" xfId="20696"/>
    <cellStyle name="Calculation 2 8 2 2 5 2" xfId="46218"/>
    <cellStyle name="Calculation 2 8 2 2 5 3" xfId="50124"/>
    <cellStyle name="Calculation 2 8 2 2 5 4" xfId="38088"/>
    <cellStyle name="Calculation 2 8 2 2 6" xfId="21349"/>
    <cellStyle name="Calculation 2 8 2 2 6 2" xfId="46871"/>
    <cellStyle name="Calculation 2 8 2 2 6 3" xfId="50777"/>
    <cellStyle name="Calculation 2 8 2 2 7" xfId="40674"/>
    <cellStyle name="Calculation 2 8 2 2 8" xfId="40078"/>
    <cellStyle name="Calculation 2 8 2 3" xfId="10791"/>
    <cellStyle name="Calculation 2 8 2 3 2" xfId="18578"/>
    <cellStyle name="Calculation 2 8 2 3 2 2" xfId="44110"/>
    <cellStyle name="Calculation 2 8 2 3 2 3" xfId="48019"/>
    <cellStyle name="Calculation 2 8 2 3 2 4" xfId="36201"/>
    <cellStyle name="Calculation 2 8 2 3 3" xfId="19714"/>
    <cellStyle name="Calculation 2 8 2 3 3 2" xfId="45236"/>
    <cellStyle name="Calculation 2 8 2 3 3 3" xfId="49142"/>
    <cellStyle name="Calculation 2 8 2 3 3 4" xfId="37227"/>
    <cellStyle name="Calculation 2 8 2 3 4" xfId="19924"/>
    <cellStyle name="Calculation 2 8 2 3 4 2" xfId="45446"/>
    <cellStyle name="Calculation 2 8 2 3 4 3" xfId="49352"/>
    <cellStyle name="Calculation 2 8 2 3 4 4" xfId="37420"/>
    <cellStyle name="Calculation 2 8 2 3 5" xfId="20991"/>
    <cellStyle name="Calculation 2 8 2 3 5 2" xfId="46513"/>
    <cellStyle name="Calculation 2 8 2 3 5 3" xfId="50419"/>
    <cellStyle name="Calculation 2 8 2 3 5 4" xfId="38383"/>
    <cellStyle name="Calculation 2 8 2 3 6" xfId="21644"/>
    <cellStyle name="Calculation 2 8 2 3 6 2" xfId="47166"/>
    <cellStyle name="Calculation 2 8 2 3 6 3" xfId="51072"/>
    <cellStyle name="Calculation 2 8 2 3 7" xfId="40969"/>
    <cellStyle name="Calculation 2 8 2 3 8" xfId="40457"/>
    <cellStyle name="Calculation 2 8 2 4" xfId="14751"/>
    <cellStyle name="Calculation 2 8 2 4 2" xfId="42849"/>
    <cellStyle name="Calculation 2 8 2 4 3" xfId="40506"/>
    <cellStyle name="Calculation 2 8 2 4 4" xfId="32372"/>
    <cellStyle name="Calculation 2 8 2 5" xfId="13047"/>
    <cellStyle name="Calculation 2 8 2 5 2" xfId="42249"/>
    <cellStyle name="Calculation 2 8 2 5 3" xfId="40301"/>
    <cellStyle name="Calculation 2 8 2 5 4" xfId="30682"/>
    <cellStyle name="Calculation 2 8 2 6" xfId="15292"/>
    <cellStyle name="Calculation 2 8 2 6 2" xfId="43142"/>
    <cellStyle name="Calculation 2 8 2 6 3" xfId="40006"/>
    <cellStyle name="Calculation 2 8 2 6 4" xfId="32913"/>
    <cellStyle name="Calculation 2 8 2 7" xfId="11637"/>
    <cellStyle name="Calculation 2 8 2 7 2" xfId="41628"/>
    <cellStyle name="Calculation 2 8 2 7 3" xfId="43182"/>
    <cellStyle name="Calculation 2 8 2 7 4" xfId="29323"/>
    <cellStyle name="Calculation 2 8 2 8" xfId="19439"/>
    <cellStyle name="Calculation 2 8 2 8 2" xfId="44961"/>
    <cellStyle name="Calculation 2 8 2 8 3" xfId="48867"/>
    <cellStyle name="Calculation 2 8 2 9" xfId="39709"/>
    <cellStyle name="Calculation 2 8 3" xfId="52926"/>
    <cellStyle name="Calculation 2 9" xfId="1457"/>
    <cellStyle name="Calculation 2 9 2" xfId="6970"/>
    <cellStyle name="Calculation 2 9 2 10" xfId="39392"/>
    <cellStyle name="Calculation 2 9 2 2" xfId="10497"/>
    <cellStyle name="Calculation 2 9 2 2 2" xfId="18284"/>
    <cellStyle name="Calculation 2 9 2 2 2 2" xfId="43816"/>
    <cellStyle name="Calculation 2 9 2 2 2 3" xfId="47725"/>
    <cellStyle name="Calculation 2 9 2 2 2 4" xfId="35907"/>
    <cellStyle name="Calculation 2 9 2 2 3" xfId="19296"/>
    <cellStyle name="Calculation 2 9 2 2 3 2" xfId="44818"/>
    <cellStyle name="Calculation 2 9 2 2 3 3" xfId="48724"/>
    <cellStyle name="Calculation 2 9 2 2 3 4" xfId="36860"/>
    <cellStyle name="Calculation 2 9 2 2 4" xfId="11644"/>
    <cellStyle name="Calculation 2 9 2 2 4 2" xfId="41635"/>
    <cellStyle name="Calculation 2 9 2 2 4 3" xfId="43570"/>
    <cellStyle name="Calculation 2 9 2 2 4 4" xfId="29329"/>
    <cellStyle name="Calculation 2 9 2 2 5" xfId="20697"/>
    <cellStyle name="Calculation 2 9 2 2 5 2" xfId="46219"/>
    <cellStyle name="Calculation 2 9 2 2 5 3" xfId="50125"/>
    <cellStyle name="Calculation 2 9 2 2 5 4" xfId="38089"/>
    <cellStyle name="Calculation 2 9 2 2 6" xfId="21350"/>
    <cellStyle name="Calculation 2 9 2 2 6 2" xfId="46872"/>
    <cellStyle name="Calculation 2 9 2 2 6 3" xfId="50778"/>
    <cellStyle name="Calculation 2 9 2 2 7" xfId="40675"/>
    <cellStyle name="Calculation 2 9 2 2 8" xfId="42828"/>
    <cellStyle name="Calculation 2 9 2 3" xfId="10792"/>
    <cellStyle name="Calculation 2 9 2 3 2" xfId="18579"/>
    <cellStyle name="Calculation 2 9 2 3 2 2" xfId="44111"/>
    <cellStyle name="Calculation 2 9 2 3 2 3" xfId="48020"/>
    <cellStyle name="Calculation 2 9 2 3 2 4" xfId="36202"/>
    <cellStyle name="Calculation 2 9 2 3 3" xfId="11504"/>
    <cellStyle name="Calculation 2 9 2 3 3 2" xfId="41495"/>
    <cellStyle name="Calculation 2 9 2 3 3 3" xfId="40186"/>
    <cellStyle name="Calculation 2 9 2 3 3 4" xfId="29205"/>
    <cellStyle name="Calculation 2 9 2 3 4" xfId="20106"/>
    <cellStyle name="Calculation 2 9 2 3 4 2" xfId="45628"/>
    <cellStyle name="Calculation 2 9 2 3 4 3" xfId="49534"/>
    <cellStyle name="Calculation 2 9 2 3 4 4" xfId="37578"/>
    <cellStyle name="Calculation 2 9 2 3 5" xfId="20992"/>
    <cellStyle name="Calculation 2 9 2 3 5 2" xfId="46514"/>
    <cellStyle name="Calculation 2 9 2 3 5 3" xfId="50420"/>
    <cellStyle name="Calculation 2 9 2 3 5 4" xfId="38384"/>
    <cellStyle name="Calculation 2 9 2 3 6" xfId="21645"/>
    <cellStyle name="Calculation 2 9 2 3 6 2" xfId="47167"/>
    <cellStyle name="Calculation 2 9 2 3 6 3" xfId="51073"/>
    <cellStyle name="Calculation 2 9 2 3 7" xfId="40970"/>
    <cellStyle name="Calculation 2 9 2 3 8" xfId="39567"/>
    <cellStyle name="Calculation 2 9 2 4" xfId="14752"/>
    <cellStyle name="Calculation 2 9 2 4 2" xfId="42850"/>
    <cellStyle name="Calculation 2 9 2 4 3" xfId="39614"/>
    <cellStyle name="Calculation 2 9 2 4 4" xfId="32373"/>
    <cellStyle name="Calculation 2 9 2 5" xfId="11267"/>
    <cellStyle name="Calculation 2 9 2 5 2" xfId="41294"/>
    <cellStyle name="Calculation 2 9 2 5 3" xfId="39449"/>
    <cellStyle name="Calculation 2 9 2 5 4" xfId="28981"/>
    <cellStyle name="Calculation 2 9 2 6" xfId="20242"/>
    <cellStyle name="Calculation 2 9 2 6 2" xfId="45764"/>
    <cellStyle name="Calculation 2 9 2 6 3" xfId="49670"/>
    <cellStyle name="Calculation 2 9 2 6 4" xfId="37699"/>
    <cellStyle name="Calculation 2 9 2 7" xfId="19238"/>
    <cellStyle name="Calculation 2 9 2 7 2" xfId="44760"/>
    <cellStyle name="Calculation 2 9 2 7 3" xfId="48666"/>
    <cellStyle name="Calculation 2 9 2 7 4" xfId="36802"/>
    <cellStyle name="Calculation 2 9 2 8" xfId="20336"/>
    <cellStyle name="Calculation 2 9 2 8 2" xfId="45858"/>
    <cellStyle name="Calculation 2 9 2 8 3" xfId="49764"/>
    <cellStyle name="Calculation 2 9 2 9" xfId="39710"/>
    <cellStyle name="Calculation 2 9 3" xfId="52927"/>
    <cellStyle name="Calculation 2_BallGrid" xfId="1458"/>
    <cellStyle name="Calculation 3" xfId="77"/>
    <cellStyle name="Calculation 3 10" xfId="6971"/>
    <cellStyle name="Calculation 3 10 10" xfId="39227"/>
    <cellStyle name="Calculation 3 10 2" xfId="10498"/>
    <cellStyle name="Calculation 3 10 2 2" xfId="18285"/>
    <cellStyle name="Calculation 3 10 2 2 2" xfId="43817"/>
    <cellStyle name="Calculation 3 10 2 2 3" xfId="47726"/>
    <cellStyle name="Calculation 3 10 2 2 4" xfId="35908"/>
    <cellStyle name="Calculation 3 10 2 3" xfId="19905"/>
    <cellStyle name="Calculation 3 10 2 3 2" xfId="45427"/>
    <cellStyle name="Calculation 3 10 2 3 3" xfId="49333"/>
    <cellStyle name="Calculation 3 10 2 3 4" xfId="37405"/>
    <cellStyle name="Calculation 3 10 2 4" xfId="12605"/>
    <cellStyle name="Calculation 3 10 2 4 2" xfId="42065"/>
    <cellStyle name="Calculation 3 10 2 4 3" xfId="40422"/>
    <cellStyle name="Calculation 3 10 2 4 4" xfId="30257"/>
    <cellStyle name="Calculation 3 10 2 5" xfId="20698"/>
    <cellStyle name="Calculation 3 10 2 5 2" xfId="46220"/>
    <cellStyle name="Calculation 3 10 2 5 3" xfId="50126"/>
    <cellStyle name="Calculation 3 10 2 5 4" xfId="38090"/>
    <cellStyle name="Calculation 3 10 2 6" xfId="21351"/>
    <cellStyle name="Calculation 3 10 2 6 2" xfId="46873"/>
    <cellStyle name="Calculation 3 10 2 6 3" xfId="50779"/>
    <cellStyle name="Calculation 3 10 2 7" xfId="40676"/>
    <cellStyle name="Calculation 3 10 2 8" xfId="43717"/>
    <cellStyle name="Calculation 3 10 3" xfId="10793"/>
    <cellStyle name="Calculation 3 10 3 2" xfId="18580"/>
    <cellStyle name="Calculation 3 10 3 2 2" xfId="44112"/>
    <cellStyle name="Calculation 3 10 3 2 3" xfId="48021"/>
    <cellStyle name="Calculation 3 10 3 2 4" xfId="36203"/>
    <cellStyle name="Calculation 3 10 3 3" xfId="13321"/>
    <cellStyle name="Calculation 3 10 3 3 2" xfId="42472"/>
    <cellStyle name="Calculation 3 10 3 3 3" xfId="39412"/>
    <cellStyle name="Calculation 3 10 3 3 4" xfId="30947"/>
    <cellStyle name="Calculation 3 10 3 4" xfId="18944"/>
    <cellStyle name="Calculation 3 10 3 4 2" xfId="44466"/>
    <cellStyle name="Calculation 3 10 3 4 3" xfId="48372"/>
    <cellStyle name="Calculation 3 10 3 4 4" xfId="36556"/>
    <cellStyle name="Calculation 3 10 3 5" xfId="20993"/>
    <cellStyle name="Calculation 3 10 3 5 2" xfId="46515"/>
    <cellStyle name="Calculation 3 10 3 5 3" xfId="50421"/>
    <cellStyle name="Calculation 3 10 3 5 4" xfId="38385"/>
    <cellStyle name="Calculation 3 10 3 6" xfId="21646"/>
    <cellStyle name="Calculation 3 10 3 6 2" xfId="47168"/>
    <cellStyle name="Calculation 3 10 3 6 3" xfId="51074"/>
    <cellStyle name="Calculation 3 10 3 7" xfId="40971"/>
    <cellStyle name="Calculation 3 10 3 8" xfId="42575"/>
    <cellStyle name="Calculation 3 10 4" xfId="14753"/>
    <cellStyle name="Calculation 3 10 4 2" xfId="42851"/>
    <cellStyle name="Calculation 3 10 4 3" xfId="42650"/>
    <cellStyle name="Calculation 3 10 4 4" xfId="32374"/>
    <cellStyle name="Calculation 3 10 5" xfId="13048"/>
    <cellStyle name="Calculation 3 10 5 2" xfId="42250"/>
    <cellStyle name="Calculation 3 10 5 3" xfId="39418"/>
    <cellStyle name="Calculation 3 10 5 4" xfId="30683"/>
    <cellStyle name="Calculation 3 10 6" xfId="12028"/>
    <cellStyle name="Calculation 3 10 6 2" xfId="41764"/>
    <cellStyle name="Calculation 3 10 6 3" xfId="47477"/>
    <cellStyle name="Calculation 3 10 6 4" xfId="29693"/>
    <cellStyle name="Calculation 3 10 7" xfId="20516"/>
    <cellStyle name="Calculation 3 10 7 2" xfId="46038"/>
    <cellStyle name="Calculation 3 10 7 3" xfId="49944"/>
    <cellStyle name="Calculation 3 10 7 4" xfId="37931"/>
    <cellStyle name="Calculation 3 10 8" xfId="13296"/>
    <cellStyle name="Calculation 3 10 8 2" xfId="42447"/>
    <cellStyle name="Calculation 3 10 8 3" xfId="43542"/>
    <cellStyle name="Calculation 3 10 9" xfId="39711"/>
    <cellStyle name="Calculation 3 11" xfId="1459"/>
    <cellStyle name="Calculation 3 12" xfId="52721"/>
    <cellStyle name="Calculation 3 2" xfId="1460"/>
    <cellStyle name="Calculation 3 2 2" xfId="6972"/>
    <cellStyle name="Calculation 3 2 2 10" xfId="47569"/>
    <cellStyle name="Calculation 3 2 2 2" xfId="10499"/>
    <cellStyle name="Calculation 3 2 2 2 2" xfId="18286"/>
    <cellStyle name="Calculation 3 2 2 2 2 2" xfId="43818"/>
    <cellStyle name="Calculation 3 2 2 2 2 3" xfId="47727"/>
    <cellStyle name="Calculation 3 2 2 2 2 4" xfId="35909"/>
    <cellStyle name="Calculation 3 2 2 2 3" xfId="19128"/>
    <cellStyle name="Calculation 3 2 2 2 3 2" xfId="44650"/>
    <cellStyle name="Calculation 3 2 2 2 3 3" xfId="48556"/>
    <cellStyle name="Calculation 3 2 2 2 3 4" xfId="36709"/>
    <cellStyle name="Calculation 3 2 2 2 4" xfId="19548"/>
    <cellStyle name="Calculation 3 2 2 2 4 2" xfId="45070"/>
    <cellStyle name="Calculation 3 2 2 2 4 3" xfId="48976"/>
    <cellStyle name="Calculation 3 2 2 2 4 4" xfId="37075"/>
    <cellStyle name="Calculation 3 2 2 2 5" xfId="20699"/>
    <cellStyle name="Calculation 3 2 2 2 5 2" xfId="46221"/>
    <cellStyle name="Calculation 3 2 2 2 5 3" xfId="50127"/>
    <cellStyle name="Calculation 3 2 2 2 5 4" xfId="38091"/>
    <cellStyle name="Calculation 3 2 2 2 6" xfId="21352"/>
    <cellStyle name="Calculation 3 2 2 2 6 2" xfId="46874"/>
    <cellStyle name="Calculation 3 2 2 2 6 3" xfId="50780"/>
    <cellStyle name="Calculation 3 2 2 2 7" xfId="40677"/>
    <cellStyle name="Calculation 3 2 2 2 8" xfId="40576"/>
    <cellStyle name="Calculation 3 2 2 3" xfId="10794"/>
    <cellStyle name="Calculation 3 2 2 3 2" xfId="18581"/>
    <cellStyle name="Calculation 3 2 2 3 2 2" xfId="44113"/>
    <cellStyle name="Calculation 3 2 2 3 2 3" xfId="48022"/>
    <cellStyle name="Calculation 3 2 2 3 2 4" xfId="36204"/>
    <cellStyle name="Calculation 3 2 2 3 3" xfId="19582"/>
    <cellStyle name="Calculation 3 2 2 3 3 2" xfId="45104"/>
    <cellStyle name="Calculation 3 2 2 3 3 3" xfId="49010"/>
    <cellStyle name="Calculation 3 2 2 3 3 4" xfId="37108"/>
    <cellStyle name="Calculation 3 2 2 3 4" xfId="19230"/>
    <cellStyle name="Calculation 3 2 2 3 4 2" xfId="44752"/>
    <cellStyle name="Calculation 3 2 2 3 4 3" xfId="48658"/>
    <cellStyle name="Calculation 3 2 2 3 4 4" xfId="36794"/>
    <cellStyle name="Calculation 3 2 2 3 5" xfId="20994"/>
    <cellStyle name="Calculation 3 2 2 3 5 2" xfId="46516"/>
    <cellStyle name="Calculation 3 2 2 3 5 3" xfId="50422"/>
    <cellStyle name="Calculation 3 2 2 3 5 4" xfId="38386"/>
    <cellStyle name="Calculation 3 2 2 3 6" xfId="21647"/>
    <cellStyle name="Calculation 3 2 2 3 6 2" xfId="47169"/>
    <cellStyle name="Calculation 3 2 2 3 6 3" xfId="51075"/>
    <cellStyle name="Calculation 3 2 2 3 7" xfId="40972"/>
    <cellStyle name="Calculation 3 2 2 3 8" xfId="43488"/>
    <cellStyle name="Calculation 3 2 2 4" xfId="14754"/>
    <cellStyle name="Calculation 3 2 2 4 2" xfId="42852"/>
    <cellStyle name="Calculation 3 2 2 4 3" xfId="43538"/>
    <cellStyle name="Calculation 3 2 2 4 4" xfId="32375"/>
    <cellStyle name="Calculation 3 2 2 5" xfId="11268"/>
    <cellStyle name="Calculation 3 2 2 5 2" xfId="41295"/>
    <cellStyle name="Calculation 3 2 2 5 3" xfId="42013"/>
    <cellStyle name="Calculation 3 2 2 5 4" xfId="28982"/>
    <cellStyle name="Calculation 3 2 2 6" xfId="18899"/>
    <cellStyle name="Calculation 3 2 2 6 2" xfId="44421"/>
    <cellStyle name="Calculation 3 2 2 6 3" xfId="48327"/>
    <cellStyle name="Calculation 3 2 2 6 4" xfId="36517"/>
    <cellStyle name="Calculation 3 2 2 7" xfId="12024"/>
    <cellStyle name="Calculation 3 2 2 7 2" xfId="41761"/>
    <cellStyle name="Calculation 3 2 2 7 3" xfId="39307"/>
    <cellStyle name="Calculation 3 2 2 7 4" xfId="29690"/>
    <cellStyle name="Calculation 3 2 2 8" xfId="20478"/>
    <cellStyle name="Calculation 3 2 2 8 2" xfId="46000"/>
    <cellStyle name="Calculation 3 2 2 8 3" xfId="49906"/>
    <cellStyle name="Calculation 3 2 2 9" xfId="39712"/>
    <cellStyle name="Calculation 3 2 3" xfId="52928"/>
    <cellStyle name="Calculation 3 3" xfId="1461"/>
    <cellStyle name="Calculation 3 3 2" xfId="6973"/>
    <cellStyle name="Calculation 3 3 2 10" xfId="41703"/>
    <cellStyle name="Calculation 3 3 2 2" xfId="10500"/>
    <cellStyle name="Calculation 3 3 2 2 2" xfId="18287"/>
    <cellStyle name="Calculation 3 3 2 2 2 2" xfId="43819"/>
    <cellStyle name="Calculation 3 3 2 2 2 3" xfId="47728"/>
    <cellStyle name="Calculation 3 3 2 2 2 4" xfId="35910"/>
    <cellStyle name="Calculation 3 3 2 2 3" xfId="19750"/>
    <cellStyle name="Calculation 3 3 2 2 3 2" xfId="45272"/>
    <cellStyle name="Calculation 3 3 2 2 3 3" xfId="49178"/>
    <cellStyle name="Calculation 3 3 2 2 3 4" xfId="37263"/>
    <cellStyle name="Calculation 3 3 2 2 4" xfId="19823"/>
    <cellStyle name="Calculation 3 3 2 2 4 2" xfId="45345"/>
    <cellStyle name="Calculation 3 3 2 2 4 3" xfId="49251"/>
    <cellStyle name="Calculation 3 3 2 2 4 4" xfId="37327"/>
    <cellStyle name="Calculation 3 3 2 2 5" xfId="20700"/>
    <cellStyle name="Calculation 3 3 2 2 5 2" xfId="46222"/>
    <cellStyle name="Calculation 3 3 2 2 5 3" xfId="50128"/>
    <cellStyle name="Calculation 3 3 2 2 5 4" xfId="38092"/>
    <cellStyle name="Calculation 3 3 2 2 6" xfId="21353"/>
    <cellStyle name="Calculation 3 3 2 2 6 2" xfId="46875"/>
    <cellStyle name="Calculation 3 3 2 2 6 3" xfId="50781"/>
    <cellStyle name="Calculation 3 3 2 2 7" xfId="40678"/>
    <cellStyle name="Calculation 3 3 2 2 8" xfId="39687"/>
    <cellStyle name="Calculation 3 3 2 3" xfId="10795"/>
    <cellStyle name="Calculation 3 3 2 3 2" xfId="18582"/>
    <cellStyle name="Calculation 3 3 2 3 2 2" xfId="44114"/>
    <cellStyle name="Calculation 3 3 2 3 2 3" xfId="48023"/>
    <cellStyle name="Calculation 3 3 2 3 2 4" xfId="36205"/>
    <cellStyle name="Calculation 3 3 2 3 3" xfId="20135"/>
    <cellStyle name="Calculation 3 3 2 3 3 2" xfId="45657"/>
    <cellStyle name="Calculation 3 3 2 3 3 3" xfId="49563"/>
    <cellStyle name="Calculation 3 3 2 3 3 4" xfId="37607"/>
    <cellStyle name="Calculation 3 3 2 3 4" xfId="19068"/>
    <cellStyle name="Calculation 3 3 2 3 4 2" xfId="44590"/>
    <cellStyle name="Calculation 3 3 2 3 4 3" xfId="48496"/>
    <cellStyle name="Calculation 3 3 2 3 4 4" xfId="36650"/>
    <cellStyle name="Calculation 3 3 2 3 5" xfId="20995"/>
    <cellStyle name="Calculation 3 3 2 3 5 2" xfId="46517"/>
    <cellStyle name="Calculation 3 3 2 3 5 3" xfId="50423"/>
    <cellStyle name="Calculation 3 3 2 3 5 4" xfId="38387"/>
    <cellStyle name="Calculation 3 3 2 3 6" xfId="21648"/>
    <cellStyle name="Calculation 3 3 2 3 6 2" xfId="47170"/>
    <cellStyle name="Calculation 3 3 2 3 6 3" xfId="51076"/>
    <cellStyle name="Calculation 3 3 2 3 7" xfId="40973"/>
    <cellStyle name="Calculation 3 3 2 3 8" xfId="40351"/>
    <cellStyle name="Calculation 3 3 2 4" xfId="14755"/>
    <cellStyle name="Calculation 3 3 2 4 2" xfId="42853"/>
    <cellStyle name="Calculation 3 3 2 4 3" xfId="40399"/>
    <cellStyle name="Calculation 3 3 2 4 4" xfId="32376"/>
    <cellStyle name="Calculation 3 3 2 5" xfId="11269"/>
    <cellStyle name="Calculation 3 3 2 5 2" xfId="41296"/>
    <cellStyle name="Calculation 3 3 2 5 3" xfId="43334"/>
    <cellStyle name="Calculation 3 3 2 5 4" xfId="28983"/>
    <cellStyle name="Calculation 3 3 2 6" xfId="19542"/>
    <cellStyle name="Calculation 3 3 2 6 2" xfId="45064"/>
    <cellStyle name="Calculation 3 3 2 6 3" xfId="48970"/>
    <cellStyle name="Calculation 3 3 2 6 4" xfId="37070"/>
    <cellStyle name="Calculation 3 3 2 7" xfId="11561"/>
    <cellStyle name="Calculation 3 3 2 7 2" xfId="41552"/>
    <cellStyle name="Calculation 3 3 2 7 3" xfId="39325"/>
    <cellStyle name="Calculation 3 3 2 7 4" xfId="29258"/>
    <cellStyle name="Calculation 3 3 2 8" xfId="12084"/>
    <cellStyle name="Calculation 3 3 2 8 2" xfId="41809"/>
    <cellStyle name="Calculation 3 3 2 8 3" xfId="39301"/>
    <cellStyle name="Calculation 3 3 2 9" xfId="39713"/>
    <cellStyle name="Calculation 3 3 3" xfId="52929"/>
    <cellStyle name="Calculation 3 4" xfId="1462"/>
    <cellStyle name="Calculation 3 4 2" xfId="6974"/>
    <cellStyle name="Calculation 3 4 2 10" xfId="43253"/>
    <cellStyle name="Calculation 3 4 2 2" xfId="10501"/>
    <cellStyle name="Calculation 3 4 2 2 2" xfId="18288"/>
    <cellStyle name="Calculation 3 4 2 2 2 2" xfId="43820"/>
    <cellStyle name="Calculation 3 4 2 2 2 3" xfId="47729"/>
    <cellStyle name="Calculation 3 4 2 2 2 4" xfId="35911"/>
    <cellStyle name="Calculation 3 4 2 2 3" xfId="12613"/>
    <cellStyle name="Calculation 3 4 2 2 3 2" xfId="42073"/>
    <cellStyle name="Calculation 3 4 2 2 3 3" xfId="40165"/>
    <cellStyle name="Calculation 3 4 2 2 3 4" xfId="30264"/>
    <cellStyle name="Calculation 3 4 2 2 4" xfId="11673"/>
    <cellStyle name="Calculation 3 4 2 2 4 2" xfId="41664"/>
    <cellStyle name="Calculation 3 4 2 2 4 3" xfId="43314"/>
    <cellStyle name="Calculation 3 4 2 2 4 4" xfId="29352"/>
    <cellStyle name="Calculation 3 4 2 2 5" xfId="20701"/>
    <cellStyle name="Calculation 3 4 2 2 5 2" xfId="46223"/>
    <cellStyle name="Calculation 3 4 2 2 5 3" xfId="50129"/>
    <cellStyle name="Calculation 3 4 2 2 5 4" xfId="38093"/>
    <cellStyle name="Calculation 3 4 2 2 6" xfId="21354"/>
    <cellStyle name="Calculation 3 4 2 2 6 2" xfId="46876"/>
    <cellStyle name="Calculation 3 4 2 2 6 3" xfId="50782"/>
    <cellStyle name="Calculation 3 4 2 2 7" xfId="40679"/>
    <cellStyle name="Calculation 3 4 2 2 8" xfId="42724"/>
    <cellStyle name="Calculation 3 4 2 3" xfId="10796"/>
    <cellStyle name="Calculation 3 4 2 3 2" xfId="18583"/>
    <cellStyle name="Calculation 3 4 2 3 2 2" xfId="44115"/>
    <cellStyle name="Calculation 3 4 2 3 2 3" xfId="48024"/>
    <cellStyle name="Calculation 3 4 2 3 2 4" xfId="36206"/>
    <cellStyle name="Calculation 3 4 2 3 3" xfId="19394"/>
    <cellStyle name="Calculation 3 4 2 3 3 2" xfId="44916"/>
    <cellStyle name="Calculation 3 4 2 3 3 3" xfId="48822"/>
    <cellStyle name="Calculation 3 4 2 3 3 4" xfId="36945"/>
    <cellStyle name="Calculation 3 4 2 3 4" xfId="12118"/>
    <cellStyle name="Calculation 3 4 2 3 4 2" xfId="41843"/>
    <cellStyle name="Calculation 3 4 2 3 4 3" xfId="41303"/>
    <cellStyle name="Calculation 3 4 2 3 4 4" xfId="29777"/>
    <cellStyle name="Calculation 3 4 2 3 5" xfId="20996"/>
    <cellStyle name="Calculation 3 4 2 3 5 2" xfId="46518"/>
    <cellStyle name="Calculation 3 4 2 3 5 3" xfId="50424"/>
    <cellStyle name="Calculation 3 4 2 3 5 4" xfId="38388"/>
    <cellStyle name="Calculation 3 4 2 3 6" xfId="21649"/>
    <cellStyle name="Calculation 3 4 2 3 6 2" xfId="47171"/>
    <cellStyle name="Calculation 3 4 2 3 6 3" xfId="51077"/>
    <cellStyle name="Calculation 3 4 2 3 7" xfId="40974"/>
    <cellStyle name="Calculation 3 4 2 3 8" xfId="39463"/>
    <cellStyle name="Calculation 3 4 2 4" xfId="14756"/>
    <cellStyle name="Calculation 3 4 2 4 2" xfId="42854"/>
    <cellStyle name="Calculation 3 4 2 4 3" xfId="39508"/>
    <cellStyle name="Calculation 3 4 2 4 4" xfId="32377"/>
    <cellStyle name="Calculation 3 4 2 5" xfId="11270"/>
    <cellStyle name="Calculation 3 4 2 5 2" xfId="41297"/>
    <cellStyle name="Calculation 3 4 2 5 3" xfId="40196"/>
    <cellStyle name="Calculation 3 4 2 5 4" xfId="28984"/>
    <cellStyle name="Calculation 3 4 2 6" xfId="11668"/>
    <cellStyle name="Calculation 3 4 2 6 2" xfId="41659"/>
    <cellStyle name="Calculation 3 4 2 6 3" xfId="42547"/>
    <cellStyle name="Calculation 3 4 2 6 4" xfId="29348"/>
    <cellStyle name="Calculation 3 4 2 7" xfId="19308"/>
    <cellStyle name="Calculation 3 4 2 7 2" xfId="44830"/>
    <cellStyle name="Calculation 3 4 2 7 3" xfId="48736"/>
    <cellStyle name="Calculation 3 4 2 7 4" xfId="36872"/>
    <cellStyle name="Calculation 3 4 2 8" xfId="19832"/>
    <cellStyle name="Calculation 3 4 2 8 2" xfId="45354"/>
    <cellStyle name="Calculation 3 4 2 8 3" xfId="49260"/>
    <cellStyle name="Calculation 3 4 2 9" xfId="39714"/>
    <cellStyle name="Calculation 3 4 3" xfId="52930"/>
    <cellStyle name="Calculation 3 5" xfId="1463"/>
    <cellStyle name="Calculation 3 5 2" xfId="6975"/>
    <cellStyle name="Calculation 3 5 2 10" xfId="40112"/>
    <cellStyle name="Calculation 3 5 2 2" xfId="10502"/>
    <cellStyle name="Calculation 3 5 2 2 2" xfId="18289"/>
    <cellStyle name="Calculation 3 5 2 2 2 2" xfId="43821"/>
    <cellStyle name="Calculation 3 5 2 2 2 3" xfId="47730"/>
    <cellStyle name="Calculation 3 5 2 2 2 4" xfId="35912"/>
    <cellStyle name="Calculation 3 5 2 2 3" xfId="12149"/>
    <cellStyle name="Calculation 3 5 2 2 3 2" xfId="41874"/>
    <cellStyle name="Calculation 3 5 2 2 3 3" xfId="42780"/>
    <cellStyle name="Calculation 3 5 2 2 3 4" xfId="29807"/>
    <cellStyle name="Calculation 3 5 2 2 4" xfId="18952"/>
    <cellStyle name="Calculation 3 5 2 2 4 2" xfId="44474"/>
    <cellStyle name="Calculation 3 5 2 2 4 3" xfId="48380"/>
    <cellStyle name="Calculation 3 5 2 2 4 4" xfId="36564"/>
    <cellStyle name="Calculation 3 5 2 2 5" xfId="20702"/>
    <cellStyle name="Calculation 3 5 2 2 5 2" xfId="46224"/>
    <cellStyle name="Calculation 3 5 2 2 5 3" xfId="50130"/>
    <cellStyle name="Calculation 3 5 2 2 5 4" xfId="38094"/>
    <cellStyle name="Calculation 3 5 2 2 6" xfId="21355"/>
    <cellStyle name="Calculation 3 5 2 2 6 2" xfId="46877"/>
    <cellStyle name="Calculation 3 5 2 2 6 3" xfId="50783"/>
    <cellStyle name="Calculation 3 5 2 2 7" xfId="40680"/>
    <cellStyle name="Calculation 3 5 2 2 8" xfId="43613"/>
    <cellStyle name="Calculation 3 5 2 3" xfId="10797"/>
    <cellStyle name="Calculation 3 5 2 3 2" xfId="18584"/>
    <cellStyle name="Calculation 3 5 2 3 2 2" xfId="44116"/>
    <cellStyle name="Calculation 3 5 2 3 2 3" xfId="48025"/>
    <cellStyle name="Calculation 3 5 2 3 2 4" xfId="36207"/>
    <cellStyle name="Calculation 3 5 2 3 3" xfId="20001"/>
    <cellStyle name="Calculation 3 5 2 3 3 2" xfId="45523"/>
    <cellStyle name="Calculation 3 5 2 3 3 3" xfId="49429"/>
    <cellStyle name="Calculation 3 5 2 3 3 4" xfId="37485"/>
    <cellStyle name="Calculation 3 5 2 3 4" xfId="11451"/>
    <cellStyle name="Calculation 3 5 2 3 4 2" xfId="41442"/>
    <cellStyle name="Calculation 3 5 2 3 4 3" xfId="43579"/>
    <cellStyle name="Calculation 3 5 2 3 4 4" xfId="29156"/>
    <cellStyle name="Calculation 3 5 2 3 5" xfId="20997"/>
    <cellStyle name="Calculation 3 5 2 3 5 2" xfId="46519"/>
    <cellStyle name="Calculation 3 5 2 3 5 3" xfId="50425"/>
    <cellStyle name="Calculation 3 5 2 3 5 4" xfId="38389"/>
    <cellStyle name="Calculation 3 5 2 3 6" xfId="21650"/>
    <cellStyle name="Calculation 3 5 2 3 6 2" xfId="47172"/>
    <cellStyle name="Calculation 3 5 2 3 6 3" xfId="51078"/>
    <cellStyle name="Calculation 3 5 2 3 7" xfId="40975"/>
    <cellStyle name="Calculation 3 5 2 3 8" xfId="47565"/>
    <cellStyle name="Calculation 3 5 2 4" xfId="14757"/>
    <cellStyle name="Calculation 3 5 2 4 2" xfId="42855"/>
    <cellStyle name="Calculation 3 5 2 4 3" xfId="42518"/>
    <cellStyle name="Calculation 3 5 2 4 4" xfId="32378"/>
    <cellStyle name="Calculation 3 5 2 5" xfId="13049"/>
    <cellStyle name="Calculation 3 5 2 5 2" xfId="42251"/>
    <cellStyle name="Calculation 3 5 2 5 3" xfId="41944"/>
    <cellStyle name="Calculation 3 5 2 5 4" xfId="30684"/>
    <cellStyle name="Calculation 3 5 2 6" xfId="19431"/>
    <cellStyle name="Calculation 3 5 2 6 2" xfId="44953"/>
    <cellStyle name="Calculation 3 5 2 6 3" xfId="48859"/>
    <cellStyle name="Calculation 3 5 2 6 4" xfId="36982"/>
    <cellStyle name="Calculation 3 5 2 7" xfId="20220"/>
    <cellStyle name="Calculation 3 5 2 7 2" xfId="45742"/>
    <cellStyle name="Calculation 3 5 2 7 3" xfId="49648"/>
    <cellStyle name="Calculation 3 5 2 7 4" xfId="37680"/>
    <cellStyle name="Calculation 3 5 2 8" xfId="20613"/>
    <cellStyle name="Calculation 3 5 2 8 2" xfId="46135"/>
    <cellStyle name="Calculation 3 5 2 8 3" xfId="50041"/>
    <cellStyle name="Calculation 3 5 2 9" xfId="39715"/>
    <cellStyle name="Calculation 3 5 3" xfId="52931"/>
    <cellStyle name="Calculation 3 6" xfId="1464"/>
    <cellStyle name="Calculation 3 6 2" xfId="6976"/>
    <cellStyle name="Calculation 3 6 2 10" xfId="43081"/>
    <cellStyle name="Calculation 3 6 2 2" xfId="10503"/>
    <cellStyle name="Calculation 3 6 2 2 2" xfId="18290"/>
    <cellStyle name="Calculation 3 6 2 2 2 2" xfId="43822"/>
    <cellStyle name="Calculation 3 6 2 2 2 3" xfId="47731"/>
    <cellStyle name="Calculation 3 6 2 2 2 4" xfId="35913"/>
    <cellStyle name="Calculation 3 6 2 2 3" xfId="19607"/>
    <cellStyle name="Calculation 3 6 2 2 3 2" xfId="45129"/>
    <cellStyle name="Calculation 3 6 2 2 3 3" xfId="49035"/>
    <cellStyle name="Calculation 3 6 2 2 3 4" xfId="37133"/>
    <cellStyle name="Calculation 3 6 2 2 4" xfId="12772"/>
    <cellStyle name="Calculation 3 6 2 2 4 2" xfId="42184"/>
    <cellStyle name="Calculation 3 6 2 2 4 3" xfId="39525"/>
    <cellStyle name="Calculation 3 6 2 2 4 4" xfId="30416"/>
    <cellStyle name="Calculation 3 6 2 2 5" xfId="20703"/>
    <cellStyle name="Calculation 3 6 2 2 5 2" xfId="46225"/>
    <cellStyle name="Calculation 3 6 2 2 5 3" xfId="50131"/>
    <cellStyle name="Calculation 3 6 2 2 5 4" xfId="38095"/>
    <cellStyle name="Calculation 3 6 2 2 6" xfId="21356"/>
    <cellStyle name="Calculation 3 6 2 2 6 2" xfId="46878"/>
    <cellStyle name="Calculation 3 6 2 2 6 3" xfId="50784"/>
    <cellStyle name="Calculation 3 6 2 2 7" xfId="40681"/>
    <cellStyle name="Calculation 3 6 2 2 8" xfId="40471"/>
    <cellStyle name="Calculation 3 6 2 3" xfId="10798"/>
    <cellStyle name="Calculation 3 6 2 3 2" xfId="18585"/>
    <cellStyle name="Calculation 3 6 2 3 2 2" xfId="44117"/>
    <cellStyle name="Calculation 3 6 2 3 2 3" xfId="48026"/>
    <cellStyle name="Calculation 3 6 2 3 2 4" xfId="36208"/>
    <cellStyle name="Calculation 3 6 2 3 3" xfId="19267"/>
    <cellStyle name="Calculation 3 6 2 3 3 2" xfId="44789"/>
    <cellStyle name="Calculation 3 6 2 3 3 3" xfId="48695"/>
    <cellStyle name="Calculation 3 6 2 3 3 4" xfId="36831"/>
    <cellStyle name="Calculation 3 6 2 3 4" xfId="19550"/>
    <cellStyle name="Calculation 3 6 2 3 4 2" xfId="45072"/>
    <cellStyle name="Calculation 3 6 2 3 4 3" xfId="48978"/>
    <cellStyle name="Calculation 3 6 2 3 4 4" xfId="37077"/>
    <cellStyle name="Calculation 3 6 2 3 5" xfId="20998"/>
    <cellStyle name="Calculation 3 6 2 3 5 2" xfId="46520"/>
    <cellStyle name="Calculation 3 6 2 3 5 3" xfId="50426"/>
    <cellStyle name="Calculation 3 6 2 3 5 4" xfId="38390"/>
    <cellStyle name="Calculation 3 6 2 3 6" xfId="21651"/>
    <cellStyle name="Calculation 3 6 2 3 6 2" xfId="47173"/>
    <cellStyle name="Calculation 3 6 2 3 6 3" xfId="51079"/>
    <cellStyle name="Calculation 3 6 2 3 7" xfId="40976"/>
    <cellStyle name="Calculation 3 6 2 3 8" xfId="42034"/>
    <cellStyle name="Calculation 3 6 2 4" xfId="14758"/>
    <cellStyle name="Calculation 3 6 2 4 2" xfId="42856"/>
    <cellStyle name="Calculation 3 6 2 4 3" xfId="43429"/>
    <cellStyle name="Calculation 3 6 2 4 4" xfId="32379"/>
    <cellStyle name="Calculation 3 6 2 5" xfId="12014"/>
    <cellStyle name="Calculation 3 6 2 5 2" xfId="41751"/>
    <cellStyle name="Calculation 3 6 2 5 3" xfId="40174"/>
    <cellStyle name="Calculation 3 6 2 5 4" xfId="29682"/>
    <cellStyle name="Calculation 3 6 2 6" xfId="19935"/>
    <cellStyle name="Calculation 3 6 2 6 2" xfId="45457"/>
    <cellStyle name="Calculation 3 6 2 6 3" xfId="49363"/>
    <cellStyle name="Calculation 3 6 2 6 4" xfId="37429"/>
    <cellStyle name="Calculation 3 6 2 7" xfId="18927"/>
    <cellStyle name="Calculation 3 6 2 7 2" xfId="44449"/>
    <cellStyle name="Calculation 3 6 2 7 3" xfId="48355"/>
    <cellStyle name="Calculation 3 6 2 7 4" xfId="36540"/>
    <cellStyle name="Calculation 3 6 2 8" xfId="19025"/>
    <cellStyle name="Calculation 3 6 2 8 2" xfId="44547"/>
    <cellStyle name="Calculation 3 6 2 8 3" xfId="48453"/>
    <cellStyle name="Calculation 3 6 2 9" xfId="39716"/>
    <cellStyle name="Calculation 3 7" xfId="4153"/>
    <cellStyle name="Calculation 3 7 2" xfId="6977"/>
    <cellStyle name="Calculation 3 7 2 10" xfId="43748"/>
    <cellStyle name="Calculation 3 7 2 2" xfId="10504"/>
    <cellStyle name="Calculation 3 7 2 2 2" xfId="18291"/>
    <cellStyle name="Calculation 3 7 2 2 2 2" xfId="43823"/>
    <cellStyle name="Calculation 3 7 2 2 2 3" xfId="47732"/>
    <cellStyle name="Calculation 3 7 2 2 2 4" xfId="35914"/>
    <cellStyle name="Calculation 3 7 2 2 3" xfId="20163"/>
    <cellStyle name="Calculation 3 7 2 2 3 2" xfId="45685"/>
    <cellStyle name="Calculation 3 7 2 2 3 3" xfId="49591"/>
    <cellStyle name="Calculation 3 7 2 2 3 4" xfId="37635"/>
    <cellStyle name="Calculation 3 7 2 2 4" xfId="19079"/>
    <cellStyle name="Calculation 3 7 2 2 4 2" xfId="44601"/>
    <cellStyle name="Calculation 3 7 2 2 4 3" xfId="48507"/>
    <cellStyle name="Calculation 3 7 2 2 4 4" xfId="36661"/>
    <cellStyle name="Calculation 3 7 2 2 5" xfId="20704"/>
    <cellStyle name="Calculation 3 7 2 2 5 2" xfId="46226"/>
    <cellStyle name="Calculation 3 7 2 2 5 3" xfId="50132"/>
    <cellStyle name="Calculation 3 7 2 2 5 4" xfId="38096"/>
    <cellStyle name="Calculation 3 7 2 2 6" xfId="21357"/>
    <cellStyle name="Calculation 3 7 2 2 6 2" xfId="46879"/>
    <cellStyle name="Calculation 3 7 2 2 6 3" xfId="50785"/>
    <cellStyle name="Calculation 3 7 2 2 7" xfId="40682"/>
    <cellStyle name="Calculation 3 7 2 2 8" xfId="39581"/>
    <cellStyle name="Calculation 3 7 2 3" xfId="10799"/>
    <cellStyle name="Calculation 3 7 2 3 2" xfId="18586"/>
    <cellStyle name="Calculation 3 7 2 3 2 2" xfId="44118"/>
    <cellStyle name="Calculation 3 7 2 3 2 3" xfId="48027"/>
    <cellStyle name="Calculation 3 7 2 3 2 4" xfId="36209"/>
    <cellStyle name="Calculation 3 7 2 3 3" xfId="19876"/>
    <cellStyle name="Calculation 3 7 2 3 3 2" xfId="45398"/>
    <cellStyle name="Calculation 3 7 2 3 3 3" xfId="49304"/>
    <cellStyle name="Calculation 3 7 2 3 3 4" xfId="37376"/>
    <cellStyle name="Calculation 3 7 2 3 4" xfId="11798"/>
    <cellStyle name="Calculation 3 7 2 3 4 2" xfId="41727"/>
    <cellStyle name="Calculation 3 7 2 3 4 3" xfId="42784"/>
    <cellStyle name="Calculation 3 7 2 3 4 4" xfId="29470"/>
    <cellStyle name="Calculation 3 7 2 3 5" xfId="20999"/>
    <cellStyle name="Calculation 3 7 2 3 5 2" xfId="46521"/>
    <cellStyle name="Calculation 3 7 2 3 5 3" xfId="50427"/>
    <cellStyle name="Calculation 3 7 2 3 5 4" xfId="38391"/>
    <cellStyle name="Calculation 3 7 2 3 6" xfId="21652"/>
    <cellStyle name="Calculation 3 7 2 3 6 2" xfId="47174"/>
    <cellStyle name="Calculation 3 7 2 3 6 3" xfId="51080"/>
    <cellStyle name="Calculation 3 7 2 3 7" xfId="40977"/>
    <cellStyle name="Calculation 3 7 2 3 8" xfId="43353"/>
    <cellStyle name="Calculation 3 7 2 4" xfId="14759"/>
    <cellStyle name="Calculation 3 7 2 4 2" xfId="42857"/>
    <cellStyle name="Calculation 3 7 2 4 3" xfId="40291"/>
    <cellStyle name="Calculation 3 7 2 4 4" xfId="32380"/>
    <cellStyle name="Calculation 3 7 2 5" xfId="13050"/>
    <cellStyle name="Calculation 3 7 2 5 2" xfId="42252"/>
    <cellStyle name="Calculation 3 7 2 5 3" xfId="43292"/>
    <cellStyle name="Calculation 3 7 2 5 4" xfId="30685"/>
    <cellStyle name="Calculation 3 7 2 6" xfId="20309"/>
    <cellStyle name="Calculation 3 7 2 6 2" xfId="45831"/>
    <cellStyle name="Calculation 3 7 2 6 3" xfId="49737"/>
    <cellStyle name="Calculation 3 7 2 6 4" xfId="37759"/>
    <cellStyle name="Calculation 3 7 2 7" xfId="18875"/>
    <cellStyle name="Calculation 3 7 2 7 2" xfId="44397"/>
    <cellStyle name="Calculation 3 7 2 7 3" xfId="48303"/>
    <cellStyle name="Calculation 3 7 2 7 4" xfId="36497"/>
    <cellStyle name="Calculation 3 7 2 8" xfId="12846"/>
    <cellStyle name="Calculation 3 7 2 8 2" xfId="42210"/>
    <cellStyle name="Calculation 3 7 2 8 3" xfId="41282"/>
    <cellStyle name="Calculation 3 7 2 9" xfId="39717"/>
    <cellStyle name="Calculation 3 8" xfId="4154"/>
    <cellStyle name="Calculation 3 8 2" xfId="6978"/>
    <cellStyle name="Calculation 3 8 2 10" xfId="40607"/>
    <cellStyle name="Calculation 3 8 2 2" xfId="10505"/>
    <cellStyle name="Calculation 3 8 2 2 2" xfId="18292"/>
    <cellStyle name="Calculation 3 8 2 2 2 2" xfId="43824"/>
    <cellStyle name="Calculation 3 8 2 2 2 3" xfId="47733"/>
    <cellStyle name="Calculation 3 8 2 2 2 4" xfId="35915"/>
    <cellStyle name="Calculation 3 8 2 2 3" xfId="19422"/>
    <cellStyle name="Calculation 3 8 2 2 3 2" xfId="44944"/>
    <cellStyle name="Calculation 3 8 2 2 3 3" xfId="48850"/>
    <cellStyle name="Calculation 3 8 2 2 3 4" xfId="36973"/>
    <cellStyle name="Calculation 3 8 2 2 4" xfId="20314"/>
    <cellStyle name="Calculation 3 8 2 2 4 2" xfId="45836"/>
    <cellStyle name="Calculation 3 8 2 2 4 3" xfId="49742"/>
    <cellStyle name="Calculation 3 8 2 2 4 4" xfId="37764"/>
    <cellStyle name="Calculation 3 8 2 2 5" xfId="20705"/>
    <cellStyle name="Calculation 3 8 2 2 5 2" xfId="46227"/>
    <cellStyle name="Calculation 3 8 2 2 5 3" xfId="50133"/>
    <cellStyle name="Calculation 3 8 2 2 5 4" xfId="38097"/>
    <cellStyle name="Calculation 3 8 2 2 6" xfId="21358"/>
    <cellStyle name="Calculation 3 8 2 2 6 2" xfId="46880"/>
    <cellStyle name="Calculation 3 8 2 2 6 3" xfId="50786"/>
    <cellStyle name="Calculation 3 8 2 2 7" xfId="40683"/>
    <cellStyle name="Calculation 3 8 2 2 8" xfId="42589"/>
    <cellStyle name="Calculation 3 8 2 3" xfId="10800"/>
    <cellStyle name="Calculation 3 8 2 3 2" xfId="18587"/>
    <cellStyle name="Calculation 3 8 2 3 2 2" xfId="44119"/>
    <cellStyle name="Calculation 3 8 2 3 2 3" xfId="48028"/>
    <cellStyle name="Calculation 3 8 2 3 2 4" xfId="36210"/>
    <cellStyle name="Calculation 3 8 2 3 3" xfId="19099"/>
    <cellStyle name="Calculation 3 8 2 3 3 2" xfId="44621"/>
    <cellStyle name="Calculation 3 8 2 3 3 3" xfId="48527"/>
    <cellStyle name="Calculation 3 8 2 3 3 4" xfId="36680"/>
    <cellStyle name="Calculation 3 8 2 3 4" xfId="19017"/>
    <cellStyle name="Calculation 3 8 2 3 4 2" xfId="44539"/>
    <cellStyle name="Calculation 3 8 2 3 4 3" xfId="48445"/>
    <cellStyle name="Calculation 3 8 2 3 4 4" xfId="36609"/>
    <cellStyle name="Calculation 3 8 2 3 5" xfId="21000"/>
    <cellStyle name="Calculation 3 8 2 3 5 2" xfId="46522"/>
    <cellStyle name="Calculation 3 8 2 3 5 3" xfId="50428"/>
    <cellStyle name="Calculation 3 8 2 3 5 4" xfId="38392"/>
    <cellStyle name="Calculation 3 8 2 3 6" xfId="21653"/>
    <cellStyle name="Calculation 3 8 2 3 6 2" xfId="47175"/>
    <cellStyle name="Calculation 3 8 2 3 6 3" xfId="51081"/>
    <cellStyle name="Calculation 3 8 2 3 7" xfId="40978"/>
    <cellStyle name="Calculation 3 8 2 3 8" xfId="40215"/>
    <cellStyle name="Calculation 3 8 2 4" xfId="14760"/>
    <cellStyle name="Calculation 3 8 2 4 2" xfId="42858"/>
    <cellStyle name="Calculation 3 8 2 4 3" xfId="39408"/>
    <cellStyle name="Calculation 3 8 2 4 4" xfId="32381"/>
    <cellStyle name="Calculation 3 8 2 5" xfId="13051"/>
    <cellStyle name="Calculation 3 8 2 5 2" xfId="42253"/>
    <cellStyle name="Calculation 3 8 2 5 3" xfId="40152"/>
    <cellStyle name="Calculation 3 8 2 5 4" xfId="30686"/>
    <cellStyle name="Calculation 3 8 2 6" xfId="20262"/>
    <cellStyle name="Calculation 3 8 2 6 2" xfId="45784"/>
    <cellStyle name="Calculation 3 8 2 6 3" xfId="49690"/>
    <cellStyle name="Calculation 3 8 2 6 4" xfId="37716"/>
    <cellStyle name="Calculation 3 8 2 7" xfId="20356"/>
    <cellStyle name="Calculation 3 8 2 7 2" xfId="45878"/>
    <cellStyle name="Calculation 3 8 2 7 3" xfId="49784"/>
    <cellStyle name="Calculation 3 8 2 7 4" xfId="37798"/>
    <cellStyle name="Calculation 3 8 2 8" xfId="20480"/>
    <cellStyle name="Calculation 3 8 2 8 2" xfId="46002"/>
    <cellStyle name="Calculation 3 8 2 8 3" xfId="49908"/>
    <cellStyle name="Calculation 3 8 2 9" xfId="39718"/>
    <cellStyle name="Calculation 3 9" xfId="4155"/>
    <cellStyle name="Calculation 3 9 2" xfId="10451"/>
    <cellStyle name="Calculation 3 9 2 2" xfId="18238"/>
    <cellStyle name="Calculation 3 9 2 2 2" xfId="43770"/>
    <cellStyle name="Calculation 3 9 2 2 3" xfId="47679"/>
    <cellStyle name="Calculation 3 9 2 2 4" xfId="35861"/>
    <cellStyle name="Calculation 3 9 2 3" xfId="19910"/>
    <cellStyle name="Calculation 3 9 2 3 2" xfId="45432"/>
    <cellStyle name="Calculation 3 9 2 3 3" xfId="49338"/>
    <cellStyle name="Calculation 3 9 2 3 4" xfId="37410"/>
    <cellStyle name="Calculation 3 9 2 4" xfId="20089"/>
    <cellStyle name="Calculation 3 9 2 4 2" xfId="45611"/>
    <cellStyle name="Calculation 3 9 2 4 3" xfId="49517"/>
    <cellStyle name="Calculation 3 9 2 4 4" xfId="37564"/>
    <cellStyle name="Calculation 3 9 2 5" xfId="20651"/>
    <cellStyle name="Calculation 3 9 2 5 2" xfId="46173"/>
    <cellStyle name="Calculation 3 9 2 5 3" xfId="50079"/>
    <cellStyle name="Calculation 3 9 2 5 4" xfId="38043"/>
    <cellStyle name="Calculation 3 9 2 6" xfId="21304"/>
    <cellStyle name="Calculation 3 9 2 6 2" xfId="46826"/>
    <cellStyle name="Calculation 3 9 2 6 3" xfId="50732"/>
    <cellStyle name="Calculation 3 9 2 7" xfId="40629"/>
    <cellStyle name="Calculation 3 9 2 8" xfId="43221"/>
    <cellStyle name="Calculation 3 9 3" xfId="8454"/>
    <cellStyle name="Calculation 3 9 3 2" xfId="16244"/>
    <cellStyle name="Calculation 3 9 3 2 2" xfId="43379"/>
    <cellStyle name="Calculation 3 9 3 2 3" xfId="40004"/>
    <cellStyle name="Calculation 3 9 3 2 4" xfId="33865"/>
    <cellStyle name="Calculation 3 9 3 3" xfId="11441"/>
    <cellStyle name="Calculation 3 9 3 3 2" xfId="41432"/>
    <cellStyle name="Calculation 3 9 3 3 3" xfId="40190"/>
    <cellStyle name="Calculation 3 9 3 3 4" xfId="29147"/>
    <cellStyle name="Calculation 3 9 3 4" xfId="19187"/>
    <cellStyle name="Calculation 3 9 3 4 2" xfId="44709"/>
    <cellStyle name="Calculation 3 9 3 4 3" xfId="48615"/>
    <cellStyle name="Calculation 3 9 3 4 4" xfId="36759"/>
    <cellStyle name="Calculation 3 9 3 5" xfId="20179"/>
    <cellStyle name="Calculation 3 9 3 5 2" xfId="45701"/>
    <cellStyle name="Calculation 3 9 3 5 3" xfId="49607"/>
    <cellStyle name="Calculation 3 9 3 5 4" xfId="37648"/>
    <cellStyle name="Calculation 3 9 3 6" xfId="18992"/>
    <cellStyle name="Calculation 3 9 3 6 2" xfId="44514"/>
    <cellStyle name="Calculation 3 9 3 6 3" xfId="48420"/>
    <cellStyle name="Calculation 3 9 3 7" xfId="40241"/>
    <cellStyle name="Calculation 3 9 3 8" xfId="39205"/>
    <cellStyle name="Calculation 3_BallGrid" xfId="1465"/>
    <cellStyle name="Calculation 4" xfId="78"/>
    <cellStyle name="Calculation 4 10" xfId="1466"/>
    <cellStyle name="Calculation 4 11" xfId="52722"/>
    <cellStyle name="Calculation 4 2" xfId="1467"/>
    <cellStyle name="Calculation 4 2 2" xfId="6980"/>
    <cellStyle name="Calculation 4 2 2 10" xfId="42741"/>
    <cellStyle name="Calculation 4 2 2 2" xfId="10507"/>
    <cellStyle name="Calculation 4 2 2 2 2" xfId="18294"/>
    <cellStyle name="Calculation 4 2 2 2 2 2" xfId="43826"/>
    <cellStyle name="Calculation 4 2 2 2 2 3" xfId="47735"/>
    <cellStyle name="Calculation 4 2 2 2 2 4" xfId="35917"/>
    <cellStyle name="Calculation 4 2 2 2 3" xfId="19295"/>
    <cellStyle name="Calculation 4 2 2 2 3 2" xfId="44817"/>
    <cellStyle name="Calculation 4 2 2 2 3 3" xfId="48723"/>
    <cellStyle name="Calculation 4 2 2 2 3 4" xfId="36859"/>
    <cellStyle name="Calculation 4 2 2 2 4" xfId="18916"/>
    <cellStyle name="Calculation 4 2 2 2 4 2" xfId="44438"/>
    <cellStyle name="Calculation 4 2 2 2 4 3" xfId="48344"/>
    <cellStyle name="Calculation 4 2 2 2 4 4" xfId="36530"/>
    <cellStyle name="Calculation 4 2 2 2 5" xfId="20707"/>
    <cellStyle name="Calculation 4 2 2 2 5 2" xfId="46229"/>
    <cellStyle name="Calculation 4 2 2 2 5 3" xfId="50135"/>
    <cellStyle name="Calculation 4 2 2 2 5 4" xfId="38099"/>
    <cellStyle name="Calculation 4 2 2 2 6" xfId="21360"/>
    <cellStyle name="Calculation 4 2 2 2 6 2" xfId="46882"/>
    <cellStyle name="Calculation 4 2 2 2 6 3" xfId="50788"/>
    <cellStyle name="Calculation 4 2 2 2 7" xfId="40685"/>
    <cellStyle name="Calculation 4 2 2 2 8" xfId="40365"/>
    <cellStyle name="Calculation 4 2 2 3" xfId="10802"/>
    <cellStyle name="Calculation 4 2 2 3 2" xfId="18589"/>
    <cellStyle name="Calculation 4 2 2 3 2 2" xfId="44121"/>
    <cellStyle name="Calculation 4 2 2 3 2 3" xfId="48030"/>
    <cellStyle name="Calculation 4 2 2 3 2 4" xfId="36212"/>
    <cellStyle name="Calculation 4 2 2 3 3" xfId="11505"/>
    <cellStyle name="Calculation 4 2 2 3 3 2" xfId="41496"/>
    <cellStyle name="Calculation 4 2 2 3 3 3" xfId="39327"/>
    <cellStyle name="Calculation 4 2 2 3 3 4" xfId="29206"/>
    <cellStyle name="Calculation 4 2 2 3 4" xfId="19365"/>
    <cellStyle name="Calculation 4 2 2 3 4 2" xfId="44887"/>
    <cellStyle name="Calculation 4 2 2 3 4 3" xfId="48793"/>
    <cellStyle name="Calculation 4 2 2 3 4 4" xfId="36917"/>
    <cellStyle name="Calculation 4 2 2 3 5" xfId="21002"/>
    <cellStyle name="Calculation 4 2 2 3 5 2" xfId="46524"/>
    <cellStyle name="Calculation 4 2 2 3 5 3" xfId="50430"/>
    <cellStyle name="Calculation 4 2 2 3 5 4" xfId="38394"/>
    <cellStyle name="Calculation 4 2 2 3 6" xfId="21655"/>
    <cellStyle name="Calculation 4 2 2 3 6 2" xfId="47177"/>
    <cellStyle name="Calculation 4 2 2 3 6 3" xfId="51083"/>
    <cellStyle name="Calculation 4 2 2 3 7" xfId="40980"/>
    <cellStyle name="Calculation 4 2 2 3 8" xfId="39162"/>
    <cellStyle name="Calculation 4 2 2 4" xfId="14762"/>
    <cellStyle name="Calculation 4 2 2 4 2" xfId="42860"/>
    <cellStyle name="Calculation 4 2 2 4 3" xfId="43277"/>
    <cellStyle name="Calculation 4 2 2 4 4" xfId="32383"/>
    <cellStyle name="Calculation 4 2 2 5" xfId="13053"/>
    <cellStyle name="Calculation 4 2 2 5 2" xfId="42255"/>
    <cellStyle name="Calculation 4 2 2 5 3" xfId="41946"/>
    <cellStyle name="Calculation 4 2 2 5 4" xfId="30688"/>
    <cellStyle name="Calculation 4 2 2 6" xfId="12854"/>
    <cellStyle name="Calculation 4 2 2 6 2" xfId="42218"/>
    <cellStyle name="Calculation 4 2 2 6 3" xfId="43553"/>
    <cellStyle name="Calculation 4 2 2 6 4" xfId="30492"/>
    <cellStyle name="Calculation 4 2 2 7" xfId="20185"/>
    <cellStyle name="Calculation 4 2 2 7 2" xfId="45707"/>
    <cellStyle name="Calculation 4 2 2 7 3" xfId="49613"/>
    <cellStyle name="Calculation 4 2 2 7 4" xfId="37653"/>
    <cellStyle name="Calculation 4 2 2 8" xfId="19224"/>
    <cellStyle name="Calculation 4 2 2 8 2" xfId="44746"/>
    <cellStyle name="Calculation 4 2 2 8 3" xfId="48652"/>
    <cellStyle name="Calculation 4 2 2 9" xfId="39720"/>
    <cellStyle name="Calculation 4 2 3" xfId="22879"/>
    <cellStyle name="Calculation 4 2 3 2" xfId="47584"/>
    <cellStyle name="Calculation 4 2 3 3" xfId="51399"/>
    <cellStyle name="Calculation 4 2 3 4" xfId="39004"/>
    <cellStyle name="Calculation 4 2 4" xfId="23041"/>
    <cellStyle name="Calculation 4 2 4 2" xfId="47628"/>
    <cellStyle name="Calculation 4 2 4 3" xfId="51439"/>
    <cellStyle name="Calculation 4 2 5" xfId="52932"/>
    <cellStyle name="Calculation 4 3" xfId="1468"/>
    <cellStyle name="Calculation 4 3 2" xfId="6981"/>
    <cellStyle name="Calculation 4 3 2 10" xfId="43629"/>
    <cellStyle name="Calculation 4 3 2 2" xfId="10508"/>
    <cellStyle name="Calculation 4 3 2 2 2" xfId="18295"/>
    <cellStyle name="Calculation 4 3 2 2 2 2" xfId="43827"/>
    <cellStyle name="Calculation 4 3 2 2 2 3" xfId="47736"/>
    <cellStyle name="Calculation 4 3 2 2 2 4" xfId="35918"/>
    <cellStyle name="Calculation 4 3 2 2 3" xfId="19904"/>
    <cellStyle name="Calculation 4 3 2 2 3 2" xfId="45426"/>
    <cellStyle name="Calculation 4 3 2 2 3 3" xfId="49332"/>
    <cellStyle name="Calculation 4 3 2 2 3 4" xfId="37404"/>
    <cellStyle name="Calculation 4 3 2 2 4" xfId="11907"/>
    <cellStyle name="Calculation 4 3 2 2 4 2" xfId="41748"/>
    <cellStyle name="Calculation 4 3 2 2 4 3" xfId="42545"/>
    <cellStyle name="Calculation 4 3 2 2 4 4" xfId="29576"/>
    <cellStyle name="Calculation 4 3 2 2 5" xfId="20708"/>
    <cellStyle name="Calculation 4 3 2 2 5 2" xfId="46230"/>
    <cellStyle name="Calculation 4 3 2 2 5 3" xfId="50136"/>
    <cellStyle name="Calculation 4 3 2 2 5 4" xfId="38100"/>
    <cellStyle name="Calculation 4 3 2 2 6" xfId="21361"/>
    <cellStyle name="Calculation 4 3 2 2 6 2" xfId="46883"/>
    <cellStyle name="Calculation 4 3 2 2 6 3" xfId="50789"/>
    <cellStyle name="Calculation 4 3 2 2 7" xfId="40686"/>
    <cellStyle name="Calculation 4 3 2 2 8" xfId="39477"/>
    <cellStyle name="Calculation 4 3 2 3" xfId="10803"/>
    <cellStyle name="Calculation 4 3 2 3 2" xfId="18590"/>
    <cellStyle name="Calculation 4 3 2 3 2 2" xfId="44122"/>
    <cellStyle name="Calculation 4 3 2 3 2 3" xfId="48031"/>
    <cellStyle name="Calculation 4 3 2 3 2 4" xfId="36213"/>
    <cellStyle name="Calculation 4 3 2 3 3" xfId="12158"/>
    <cellStyle name="Calculation 4 3 2 3 3 2" xfId="41883"/>
    <cellStyle name="Calculation 4 3 2 3 3 3" xfId="43457"/>
    <cellStyle name="Calculation 4 3 2 3 3 4" xfId="29816"/>
    <cellStyle name="Calculation 4 3 2 3 4" xfId="18946"/>
    <cellStyle name="Calculation 4 3 2 3 4 2" xfId="44468"/>
    <cellStyle name="Calculation 4 3 2 3 4 3" xfId="48374"/>
    <cellStyle name="Calculation 4 3 2 3 4 4" xfId="36558"/>
    <cellStyle name="Calculation 4 3 2 3 5" xfId="21003"/>
    <cellStyle name="Calculation 4 3 2 3 5 2" xfId="46525"/>
    <cellStyle name="Calculation 4 3 2 3 5 3" xfId="50431"/>
    <cellStyle name="Calculation 4 3 2 3 5 4" xfId="38395"/>
    <cellStyle name="Calculation 4 3 2 3 6" xfId="21656"/>
    <cellStyle name="Calculation 4 3 2 3 6 2" xfId="47178"/>
    <cellStyle name="Calculation 4 3 2 3 6 3" xfId="51084"/>
    <cellStyle name="Calculation 4 3 2 3 7" xfId="40981"/>
    <cellStyle name="Calculation 4 3 2 3 8" xfId="47487"/>
    <cellStyle name="Calculation 4 3 2 4" xfId="14763"/>
    <cellStyle name="Calculation 4 3 2 4 2" xfId="42861"/>
    <cellStyle name="Calculation 4 3 2 4 3" xfId="40136"/>
    <cellStyle name="Calculation 4 3 2 4 4" xfId="32384"/>
    <cellStyle name="Calculation 4 3 2 5" xfId="11271"/>
    <cellStyle name="Calculation 4 3 2 5 2" xfId="41298"/>
    <cellStyle name="Calculation 4 3 2 5 3" xfId="39336"/>
    <cellStyle name="Calculation 4 3 2 5 4" xfId="28985"/>
    <cellStyle name="Calculation 4 3 2 6" xfId="20110"/>
    <cellStyle name="Calculation 4 3 2 6 2" xfId="45632"/>
    <cellStyle name="Calculation 4 3 2 6 3" xfId="49538"/>
    <cellStyle name="Calculation 4 3 2 6 4" xfId="37582"/>
    <cellStyle name="Calculation 4 3 2 7" xfId="13905"/>
    <cellStyle name="Calculation 4 3 2 7 2" xfId="42621"/>
    <cellStyle name="Calculation 4 3 2 7 3" xfId="39039"/>
    <cellStyle name="Calculation 4 3 2 7 4" xfId="31528"/>
    <cellStyle name="Calculation 4 3 2 8" xfId="12489"/>
    <cellStyle name="Calculation 4 3 2 8 2" xfId="41983"/>
    <cellStyle name="Calculation 4 3 2 8 3" xfId="39636"/>
    <cellStyle name="Calculation 4 3 2 9" xfId="39721"/>
    <cellStyle name="Calculation 4 3 3" xfId="22281"/>
    <cellStyle name="Calculation 4 3 3 2" xfId="47497"/>
    <cellStyle name="Calculation 4 3 3 3" xfId="51352"/>
    <cellStyle name="Calculation 4 3 3 4" xfId="38803"/>
    <cellStyle name="Calculation 4 3 4" xfId="23018"/>
    <cellStyle name="Calculation 4 3 4 2" xfId="47605"/>
    <cellStyle name="Calculation 4 3 4 3" xfId="51416"/>
    <cellStyle name="Calculation 4 3 5" xfId="52933"/>
    <cellStyle name="Calculation 4 4" xfId="1469"/>
    <cellStyle name="Calculation 4 4 2" xfId="6982"/>
    <cellStyle name="Calculation 4 4 2 10" xfId="40487"/>
    <cellStyle name="Calculation 4 4 2 2" xfId="10509"/>
    <cellStyle name="Calculation 4 4 2 2 2" xfId="18296"/>
    <cellStyle name="Calculation 4 4 2 2 2 2" xfId="43828"/>
    <cellStyle name="Calculation 4 4 2 2 2 3" xfId="47737"/>
    <cellStyle name="Calculation 4 4 2 2 2 4" xfId="35919"/>
    <cellStyle name="Calculation 4 4 2 2 3" xfId="19127"/>
    <cellStyle name="Calculation 4 4 2 2 3 2" xfId="44649"/>
    <cellStyle name="Calculation 4 4 2 2 3 3" xfId="48555"/>
    <cellStyle name="Calculation 4 4 2 2 3 4" xfId="36708"/>
    <cellStyle name="Calculation 4 4 2 2 4" xfId="20115"/>
    <cellStyle name="Calculation 4 4 2 2 4 2" xfId="45637"/>
    <cellStyle name="Calculation 4 4 2 2 4 3" xfId="49543"/>
    <cellStyle name="Calculation 4 4 2 2 4 4" xfId="37587"/>
    <cellStyle name="Calculation 4 4 2 2 5" xfId="20709"/>
    <cellStyle name="Calculation 4 4 2 2 5 2" xfId="46231"/>
    <cellStyle name="Calculation 4 4 2 2 5 3" xfId="50137"/>
    <cellStyle name="Calculation 4 4 2 2 5 4" xfId="38101"/>
    <cellStyle name="Calculation 4 4 2 2 6" xfId="21362"/>
    <cellStyle name="Calculation 4 4 2 2 6 2" xfId="46884"/>
    <cellStyle name="Calculation 4 4 2 2 6 3" xfId="50790"/>
    <cellStyle name="Calculation 4 4 2 2 7" xfId="40687"/>
    <cellStyle name="Calculation 4 4 2 2 8" xfId="42051"/>
    <cellStyle name="Calculation 4 4 2 3" xfId="10804"/>
    <cellStyle name="Calculation 4 4 2 3 2" xfId="18591"/>
    <cellStyle name="Calculation 4 4 2 3 2 2" xfId="44123"/>
    <cellStyle name="Calculation 4 4 2 3 2 3" xfId="48032"/>
    <cellStyle name="Calculation 4 4 2 3 2 4" xfId="36214"/>
    <cellStyle name="Calculation 4 4 2 3 3" xfId="19580"/>
    <cellStyle name="Calculation 4 4 2 3 3 2" xfId="45102"/>
    <cellStyle name="Calculation 4 4 2 3 3 3" xfId="49008"/>
    <cellStyle name="Calculation 4 4 2 3 3 4" xfId="37106"/>
    <cellStyle name="Calculation 4 4 2 3 4" xfId="19232"/>
    <cellStyle name="Calculation 4 4 2 3 4 2" xfId="44754"/>
    <cellStyle name="Calculation 4 4 2 3 4 3" xfId="48660"/>
    <cellStyle name="Calculation 4 4 2 3 4 4" xfId="36796"/>
    <cellStyle name="Calculation 4 4 2 3 5" xfId="21004"/>
    <cellStyle name="Calculation 4 4 2 3 5 2" xfId="46526"/>
    <cellStyle name="Calculation 4 4 2 3 5 3" xfId="50432"/>
    <cellStyle name="Calculation 4 4 2 3 5 4" xfId="38396"/>
    <cellStyle name="Calculation 4 4 2 3 6" xfId="21657"/>
    <cellStyle name="Calculation 4 4 2 3 6 2" xfId="47179"/>
    <cellStyle name="Calculation 4 4 2 3 6 3" xfId="51085"/>
    <cellStyle name="Calculation 4 4 2 3 7" xfId="40982"/>
    <cellStyle name="Calculation 4 4 2 3 8" xfId="41403"/>
    <cellStyle name="Calculation 4 4 2 4" xfId="14764"/>
    <cellStyle name="Calculation 4 4 2 4 2" xfId="42862"/>
    <cellStyle name="Calculation 4 4 2 4 3" xfId="39250"/>
    <cellStyle name="Calculation 4 4 2 4 4" xfId="32385"/>
    <cellStyle name="Calculation 4 4 2 5" xfId="12455"/>
    <cellStyle name="Calculation 4 4 2 5 2" xfId="41957"/>
    <cellStyle name="Calculation 4 4 2 5 3" xfId="42541"/>
    <cellStyle name="Calculation 4 4 2 5 4" xfId="30112"/>
    <cellStyle name="Calculation 4 4 2 6" xfId="19657"/>
    <cellStyle name="Calculation 4 4 2 6 2" xfId="45179"/>
    <cellStyle name="Calculation 4 4 2 6 3" xfId="49085"/>
    <cellStyle name="Calculation 4 4 2 6 4" xfId="37177"/>
    <cellStyle name="Calculation 4 4 2 7" xfId="12393"/>
    <cellStyle name="Calculation 4 4 2 7 2" xfId="41940"/>
    <cellStyle name="Calculation 4 4 2 7 3" xfId="40315"/>
    <cellStyle name="Calculation 4 4 2 7 4" xfId="30050"/>
    <cellStyle name="Calculation 4 4 2 8" xfId="19058"/>
    <cellStyle name="Calculation 4 4 2 8 2" xfId="44580"/>
    <cellStyle name="Calculation 4 4 2 8 3" xfId="48486"/>
    <cellStyle name="Calculation 4 4 2 9" xfId="39722"/>
    <cellStyle name="Calculation 4 4 3" xfId="52934"/>
    <cellStyle name="Calculation 4 5" xfId="1470"/>
    <cellStyle name="Calculation 4 5 2" xfId="6983"/>
    <cellStyle name="Calculation 4 5 2 10" xfId="39597"/>
    <cellStyle name="Calculation 4 5 2 2" xfId="10510"/>
    <cellStyle name="Calculation 4 5 2 2 2" xfId="18297"/>
    <cellStyle name="Calculation 4 5 2 2 2 2" xfId="43829"/>
    <cellStyle name="Calculation 4 5 2 2 2 3" xfId="47738"/>
    <cellStyle name="Calculation 4 5 2 2 2 4" xfId="35920"/>
    <cellStyle name="Calculation 4 5 2 2 3" xfId="19749"/>
    <cellStyle name="Calculation 4 5 2 2 3 2" xfId="45271"/>
    <cellStyle name="Calculation 4 5 2 2 3 3" xfId="49177"/>
    <cellStyle name="Calculation 4 5 2 2 3 4" xfId="37262"/>
    <cellStyle name="Calculation 4 5 2 2 4" xfId="12642"/>
    <cellStyle name="Calculation 4 5 2 2 4 2" xfId="42102"/>
    <cellStyle name="Calculation 4 5 2 2 4 3" xfId="39633"/>
    <cellStyle name="Calculation 4 5 2 2 4 4" xfId="30293"/>
    <cellStyle name="Calculation 4 5 2 2 5" xfId="20710"/>
    <cellStyle name="Calculation 4 5 2 2 5 2" xfId="46232"/>
    <cellStyle name="Calculation 4 5 2 2 5 3" xfId="50138"/>
    <cellStyle name="Calculation 4 5 2 2 5 4" xfId="38102"/>
    <cellStyle name="Calculation 4 5 2 2 6" xfId="21363"/>
    <cellStyle name="Calculation 4 5 2 2 6 2" xfId="46885"/>
    <cellStyle name="Calculation 4 5 2 2 6 3" xfId="50791"/>
    <cellStyle name="Calculation 4 5 2 2 7" xfId="40688"/>
    <cellStyle name="Calculation 4 5 2 2 8" xfId="43370"/>
    <cellStyle name="Calculation 4 5 2 3" xfId="10805"/>
    <cellStyle name="Calculation 4 5 2 3 2" xfId="18592"/>
    <cellStyle name="Calculation 4 5 2 3 2 2" xfId="44124"/>
    <cellStyle name="Calculation 4 5 2 3 2 3" xfId="48033"/>
    <cellStyle name="Calculation 4 5 2 3 2 4" xfId="36215"/>
    <cellStyle name="Calculation 4 5 2 3 3" xfId="20132"/>
    <cellStyle name="Calculation 4 5 2 3 3 2" xfId="45654"/>
    <cellStyle name="Calculation 4 5 2 3 3 3" xfId="49560"/>
    <cellStyle name="Calculation 4 5 2 3 3 4" xfId="37604"/>
    <cellStyle name="Calculation 4 5 2 3 4" xfId="11536"/>
    <cellStyle name="Calculation 4 5 2 3 4 2" xfId="41527"/>
    <cellStyle name="Calculation 4 5 2 3 4 3" xfId="40433"/>
    <cellStyle name="Calculation 4 5 2 3 4 4" xfId="29236"/>
    <cellStyle name="Calculation 4 5 2 3 5" xfId="21005"/>
    <cellStyle name="Calculation 4 5 2 3 5 2" xfId="46527"/>
    <cellStyle name="Calculation 4 5 2 3 5 3" xfId="50433"/>
    <cellStyle name="Calculation 4 5 2 3 5 4" xfId="38397"/>
    <cellStyle name="Calculation 4 5 2 3 6" xfId="21658"/>
    <cellStyle name="Calculation 4 5 2 3 6 2" xfId="47180"/>
    <cellStyle name="Calculation 4 5 2 3 6 3" xfId="51086"/>
    <cellStyle name="Calculation 4 5 2 3 7" xfId="40983"/>
    <cellStyle name="Calculation 4 5 2 3 8" xfId="43206"/>
    <cellStyle name="Calculation 4 5 2 4" xfId="14765"/>
    <cellStyle name="Calculation 4 5 2 4 2" xfId="42863"/>
    <cellStyle name="Calculation 4 5 2 4 3" xfId="41924"/>
    <cellStyle name="Calculation 4 5 2 4 4" xfId="32386"/>
    <cellStyle name="Calculation 4 5 2 5" xfId="11272"/>
    <cellStyle name="Calculation 4 5 2 5 2" xfId="41299"/>
    <cellStyle name="Calculation 4 5 2 5 3" xfId="39150"/>
    <cellStyle name="Calculation 4 5 2 5 4" xfId="28986"/>
    <cellStyle name="Calculation 4 5 2 6" xfId="11444"/>
    <cellStyle name="Calculation 4 5 2 6 2" xfId="41435"/>
    <cellStyle name="Calculation 4 5 2 6 3" xfId="43191"/>
    <cellStyle name="Calculation 4 5 2 6 4" xfId="29150"/>
    <cellStyle name="Calculation 4 5 2 7" xfId="12638"/>
    <cellStyle name="Calculation 4 5 2 7 2" xfId="42098"/>
    <cellStyle name="Calculation 4 5 2 7 3" xfId="40032"/>
    <cellStyle name="Calculation 4 5 2 7 4" xfId="30289"/>
    <cellStyle name="Calculation 4 5 2 8" xfId="12798"/>
    <cellStyle name="Calculation 4 5 2 8 2" xfId="42194"/>
    <cellStyle name="Calculation 4 5 2 8 3" xfId="43445"/>
    <cellStyle name="Calculation 4 5 2 9" xfId="39723"/>
    <cellStyle name="Calculation 4 6" xfId="4156"/>
    <cellStyle name="Calculation 4 6 2" xfId="6984"/>
    <cellStyle name="Calculation 4 6 2 10" xfId="42605"/>
    <cellStyle name="Calculation 4 6 2 2" xfId="10511"/>
    <cellStyle name="Calculation 4 6 2 2 2" xfId="18298"/>
    <cellStyle name="Calculation 4 6 2 2 2 2" xfId="43830"/>
    <cellStyle name="Calculation 4 6 2 2 2 3" xfId="47739"/>
    <cellStyle name="Calculation 4 6 2 2 2 4" xfId="35921"/>
    <cellStyle name="Calculation 4 6 2 2 3" xfId="12612"/>
    <cellStyle name="Calculation 4 6 2 2 3 2" xfId="42072"/>
    <cellStyle name="Calculation 4 6 2 2 3 3" xfId="43307"/>
    <cellStyle name="Calculation 4 6 2 2 3 4" xfId="30263"/>
    <cellStyle name="Calculation 4 6 2 2 4" xfId="19367"/>
    <cellStyle name="Calculation 4 6 2 2 4 2" xfId="44889"/>
    <cellStyle name="Calculation 4 6 2 2 4 3" xfId="48795"/>
    <cellStyle name="Calculation 4 6 2 2 4 4" xfId="36919"/>
    <cellStyle name="Calculation 4 6 2 2 5" xfId="20711"/>
    <cellStyle name="Calculation 4 6 2 2 5 2" xfId="46233"/>
    <cellStyle name="Calculation 4 6 2 2 5 3" xfId="50139"/>
    <cellStyle name="Calculation 4 6 2 2 5 4" xfId="38103"/>
    <cellStyle name="Calculation 4 6 2 2 6" xfId="21364"/>
    <cellStyle name="Calculation 4 6 2 2 6 2" xfId="46886"/>
    <cellStyle name="Calculation 4 6 2 2 6 3" xfId="50792"/>
    <cellStyle name="Calculation 4 6 2 2 7" xfId="40689"/>
    <cellStyle name="Calculation 4 6 2 2 8" xfId="40232"/>
    <cellStyle name="Calculation 4 6 2 3" xfId="10806"/>
    <cellStyle name="Calculation 4 6 2 3 2" xfId="18593"/>
    <cellStyle name="Calculation 4 6 2 3 2 2" xfId="44125"/>
    <cellStyle name="Calculation 4 6 2 3 2 3" xfId="48034"/>
    <cellStyle name="Calculation 4 6 2 3 2 4" xfId="36216"/>
    <cellStyle name="Calculation 4 6 2 3 3" xfId="19391"/>
    <cellStyle name="Calculation 4 6 2 3 3 2" xfId="44913"/>
    <cellStyle name="Calculation 4 6 2 3 3 3" xfId="48819"/>
    <cellStyle name="Calculation 4 6 2 3 3 4" xfId="36942"/>
    <cellStyle name="Calculation 4 6 2 3 4" xfId="11817"/>
    <cellStyle name="Calculation 4 6 2 3 4 2" xfId="41735"/>
    <cellStyle name="Calculation 4 6 2 3 4 3" xfId="43178"/>
    <cellStyle name="Calculation 4 6 2 3 4 4" xfId="29488"/>
    <cellStyle name="Calculation 4 6 2 3 5" xfId="21006"/>
    <cellStyle name="Calculation 4 6 2 3 5 2" xfId="46528"/>
    <cellStyle name="Calculation 4 6 2 3 5 3" xfId="50434"/>
    <cellStyle name="Calculation 4 6 2 3 5 4" xfId="38398"/>
    <cellStyle name="Calculation 4 6 2 3 6" xfId="21659"/>
    <cellStyle name="Calculation 4 6 2 3 6 2" xfId="47181"/>
    <cellStyle name="Calculation 4 6 2 3 6 3" xfId="51087"/>
    <cellStyle name="Calculation 4 6 2 3 7" xfId="40984"/>
    <cellStyle name="Calculation 4 6 2 3 8" xfId="40065"/>
    <cellStyle name="Calculation 4 6 2 4" xfId="14766"/>
    <cellStyle name="Calculation 4 6 2 4 2" xfId="42864"/>
    <cellStyle name="Calculation 4 6 2 4 3" xfId="43278"/>
    <cellStyle name="Calculation 4 6 2 4 4" xfId="32387"/>
    <cellStyle name="Calculation 4 6 2 5" xfId="13054"/>
    <cellStyle name="Calculation 4 6 2 5 2" xfId="42256"/>
    <cellStyle name="Calculation 4 6 2 5 3" xfId="43294"/>
    <cellStyle name="Calculation 4 6 2 5 4" xfId="30689"/>
    <cellStyle name="Calculation 4 6 2 6" xfId="19618"/>
    <cellStyle name="Calculation 4 6 2 6 2" xfId="45140"/>
    <cellStyle name="Calculation 4 6 2 6 3" xfId="49046"/>
    <cellStyle name="Calculation 4 6 2 6 4" xfId="37143"/>
    <cellStyle name="Calculation 4 6 2 7" xfId="19379"/>
    <cellStyle name="Calculation 4 6 2 7 2" xfId="44901"/>
    <cellStyle name="Calculation 4 6 2 7 3" xfId="48807"/>
    <cellStyle name="Calculation 4 6 2 7 4" xfId="36930"/>
    <cellStyle name="Calculation 4 6 2 8" xfId="12650"/>
    <cellStyle name="Calculation 4 6 2 8 2" xfId="42110"/>
    <cellStyle name="Calculation 4 6 2 8 3" xfId="39425"/>
    <cellStyle name="Calculation 4 6 2 9" xfId="39724"/>
    <cellStyle name="Calculation 4 7" xfId="4157"/>
    <cellStyle name="Calculation 4 7 2" xfId="6985"/>
    <cellStyle name="Calculation 4 7 2 10" xfId="43518"/>
    <cellStyle name="Calculation 4 7 2 2" xfId="10512"/>
    <cellStyle name="Calculation 4 7 2 2 2" xfId="18299"/>
    <cellStyle name="Calculation 4 7 2 2 2 2" xfId="43831"/>
    <cellStyle name="Calculation 4 7 2 2 2 3" xfId="47740"/>
    <cellStyle name="Calculation 4 7 2 2 2 4" xfId="35922"/>
    <cellStyle name="Calculation 4 7 2 2 3" xfId="12150"/>
    <cellStyle name="Calculation 4 7 2 2 3 2" xfId="41875"/>
    <cellStyle name="Calculation 4 7 2 2 3 3" xfId="43670"/>
    <cellStyle name="Calculation 4 7 2 2 3 4" xfId="29808"/>
    <cellStyle name="Calculation 4 7 2 2 4" xfId="12750"/>
    <cellStyle name="Calculation 4 7 2 2 4 2" xfId="42176"/>
    <cellStyle name="Calculation 4 7 2 2 4 3" xfId="43301"/>
    <cellStyle name="Calculation 4 7 2 2 4 4" xfId="30394"/>
    <cellStyle name="Calculation 4 7 2 2 5" xfId="20712"/>
    <cellStyle name="Calculation 4 7 2 2 5 2" xfId="46234"/>
    <cellStyle name="Calculation 4 7 2 2 5 3" xfId="50140"/>
    <cellStyle name="Calculation 4 7 2 2 5 4" xfId="38104"/>
    <cellStyle name="Calculation 4 7 2 2 6" xfId="21365"/>
    <cellStyle name="Calculation 4 7 2 2 6 2" xfId="46887"/>
    <cellStyle name="Calculation 4 7 2 2 6 3" xfId="50793"/>
    <cellStyle name="Calculation 4 7 2 2 7" xfId="40690"/>
    <cellStyle name="Calculation 4 7 2 2 8" xfId="39372"/>
    <cellStyle name="Calculation 4 7 2 3" xfId="10807"/>
    <cellStyle name="Calculation 4 7 2 3 2" xfId="18594"/>
    <cellStyle name="Calculation 4 7 2 3 2 2" xfId="44126"/>
    <cellStyle name="Calculation 4 7 2 3 2 3" xfId="48035"/>
    <cellStyle name="Calculation 4 7 2 3 2 4" xfId="36217"/>
    <cellStyle name="Calculation 4 7 2 3 3" xfId="19998"/>
    <cellStyle name="Calculation 4 7 2 3 3 2" xfId="45520"/>
    <cellStyle name="Calculation 4 7 2 3 3 3" xfId="49426"/>
    <cellStyle name="Calculation 4 7 2 3 3 4" xfId="37482"/>
    <cellStyle name="Calculation 4 7 2 3 4" xfId="11877"/>
    <cellStyle name="Calculation 4 7 2 3 4 2" xfId="41747"/>
    <cellStyle name="Calculation 4 7 2 3 4 3" xfId="43672"/>
    <cellStyle name="Calculation 4 7 2 3 4 4" xfId="29546"/>
    <cellStyle name="Calculation 4 7 2 3 5" xfId="21007"/>
    <cellStyle name="Calculation 4 7 2 3 5 2" xfId="46529"/>
    <cellStyle name="Calculation 4 7 2 3 5 3" xfId="50435"/>
    <cellStyle name="Calculation 4 7 2 3 5 4" xfId="38399"/>
    <cellStyle name="Calculation 4 7 2 3 6" xfId="21660"/>
    <cellStyle name="Calculation 4 7 2 3 6 2" xfId="47182"/>
    <cellStyle name="Calculation 4 7 2 3 6 3" xfId="51088"/>
    <cellStyle name="Calculation 4 7 2 3 7" xfId="40985"/>
    <cellStyle name="Calculation 4 7 2 3 8" xfId="42813"/>
    <cellStyle name="Calculation 4 7 2 4" xfId="14767"/>
    <cellStyle name="Calculation 4 7 2 4 2" xfId="42865"/>
    <cellStyle name="Calculation 4 7 2 4 3" xfId="40137"/>
    <cellStyle name="Calculation 4 7 2 4 4" xfId="32388"/>
    <cellStyle name="Calculation 4 7 2 5" xfId="13055"/>
    <cellStyle name="Calculation 4 7 2 5 2" xfId="42257"/>
    <cellStyle name="Calculation 4 7 2 5 3" xfId="40154"/>
    <cellStyle name="Calculation 4 7 2 5 4" xfId="30690"/>
    <cellStyle name="Calculation 4 7 2 6" xfId="12029"/>
    <cellStyle name="Calculation 4 7 2 6 2" xfId="41765"/>
    <cellStyle name="Calculation 4 7 2 6 3" xfId="42781"/>
    <cellStyle name="Calculation 4 7 2 6 4" xfId="29694"/>
    <cellStyle name="Calculation 4 7 2 7" xfId="19849"/>
    <cellStyle name="Calculation 4 7 2 7 2" xfId="45371"/>
    <cellStyle name="Calculation 4 7 2 7 3" xfId="49277"/>
    <cellStyle name="Calculation 4 7 2 7 4" xfId="37349"/>
    <cellStyle name="Calculation 4 7 2 8" xfId="18920"/>
    <cellStyle name="Calculation 4 7 2 8 2" xfId="44442"/>
    <cellStyle name="Calculation 4 7 2 8 3" xfId="48348"/>
    <cellStyle name="Calculation 4 7 2 9" xfId="39725"/>
    <cellStyle name="Calculation 4 8" xfId="4158"/>
    <cellStyle name="Calculation 4 8 2" xfId="10452"/>
    <cellStyle name="Calculation 4 8 2 2" xfId="18239"/>
    <cellStyle name="Calculation 4 8 2 2 2" xfId="43771"/>
    <cellStyle name="Calculation 4 8 2 2 3" xfId="47680"/>
    <cellStyle name="Calculation 4 8 2 2 4" xfId="35862"/>
    <cellStyle name="Calculation 4 8 2 3" xfId="19133"/>
    <cellStyle name="Calculation 4 8 2 3 2" xfId="44655"/>
    <cellStyle name="Calculation 4 8 2 3 3" xfId="48561"/>
    <cellStyle name="Calculation 4 8 2 3 4" xfId="36714"/>
    <cellStyle name="Calculation 4 8 2 4" xfId="19346"/>
    <cellStyle name="Calculation 4 8 2 4 2" xfId="44868"/>
    <cellStyle name="Calculation 4 8 2 4 3" xfId="48774"/>
    <cellStyle name="Calculation 4 8 2 4 4" xfId="36901"/>
    <cellStyle name="Calculation 4 8 2 5" xfId="20652"/>
    <cellStyle name="Calculation 4 8 2 5 2" xfId="46174"/>
    <cellStyle name="Calculation 4 8 2 5 3" xfId="50080"/>
    <cellStyle name="Calculation 4 8 2 5 4" xfId="38044"/>
    <cellStyle name="Calculation 4 8 2 6" xfId="21305"/>
    <cellStyle name="Calculation 4 8 2 6 2" xfId="46827"/>
    <cellStyle name="Calculation 4 8 2 6 3" xfId="50733"/>
    <cellStyle name="Calculation 4 8 2 7" xfId="40630"/>
    <cellStyle name="Calculation 4 8 2 8" xfId="40080"/>
    <cellStyle name="Calculation 4 8 3" xfId="8455"/>
    <cellStyle name="Calculation 4 8 3 2" xfId="16245"/>
    <cellStyle name="Calculation 4 8 3 2 2" xfId="43380"/>
    <cellStyle name="Calculation 4 8 3 2 3" xfId="42744"/>
    <cellStyle name="Calculation 4 8 3 2 4" xfId="33866"/>
    <cellStyle name="Calculation 4 8 3 3" xfId="11442"/>
    <cellStyle name="Calculation 4 8 3 3 2" xfId="41433"/>
    <cellStyle name="Calculation 4 8 3 3 3" xfId="39331"/>
    <cellStyle name="Calculation 4 8 3 3 4" xfId="29148"/>
    <cellStyle name="Calculation 4 8 3 4" xfId="19841"/>
    <cellStyle name="Calculation 4 8 3 4 2" xfId="45363"/>
    <cellStyle name="Calculation 4 8 3 4 3" xfId="49269"/>
    <cellStyle name="Calculation 4 8 3 4 4" xfId="37343"/>
    <cellStyle name="Calculation 4 8 3 5" xfId="18988"/>
    <cellStyle name="Calculation 4 8 3 5 2" xfId="44510"/>
    <cellStyle name="Calculation 4 8 3 5 3" xfId="48416"/>
    <cellStyle name="Calculation 4 8 3 5 4" xfId="36596"/>
    <cellStyle name="Calculation 4 8 3 6" xfId="11596"/>
    <cellStyle name="Calculation 4 8 3 6 2" xfId="41587"/>
    <cellStyle name="Calculation 4 8 3 6 3" xfId="40325"/>
    <cellStyle name="Calculation 4 8 3 7" xfId="40242"/>
    <cellStyle name="Calculation 4 8 3 8" xfId="39204"/>
    <cellStyle name="Calculation 4 9" xfId="6979"/>
    <cellStyle name="Calculation 4 9 10" xfId="39941"/>
    <cellStyle name="Calculation 4 9 2" xfId="10506"/>
    <cellStyle name="Calculation 4 9 2 2" xfId="18293"/>
    <cellStyle name="Calculation 4 9 2 2 2" xfId="43825"/>
    <cellStyle name="Calculation 4 9 2 2 3" xfId="47734"/>
    <cellStyle name="Calculation 4 9 2 2 4" xfId="35916"/>
    <cellStyle name="Calculation 4 9 2 3" xfId="20029"/>
    <cellStyle name="Calculation 4 9 2 3 2" xfId="45551"/>
    <cellStyle name="Calculation 4 9 2 3 3" xfId="49457"/>
    <cellStyle name="Calculation 4 9 2 3 4" xfId="37513"/>
    <cellStyle name="Calculation 4 9 2 4" xfId="19315"/>
    <cellStyle name="Calculation 4 9 2 4 2" xfId="44837"/>
    <cellStyle name="Calculation 4 9 2 4 3" xfId="48743"/>
    <cellStyle name="Calculation 4 9 2 4 4" xfId="36877"/>
    <cellStyle name="Calculation 4 9 2 5" xfId="20706"/>
    <cellStyle name="Calculation 4 9 2 5 2" xfId="46228"/>
    <cellStyle name="Calculation 4 9 2 5 3" xfId="50134"/>
    <cellStyle name="Calculation 4 9 2 5 4" xfId="38098"/>
    <cellStyle name="Calculation 4 9 2 6" xfId="21359"/>
    <cellStyle name="Calculation 4 9 2 6 2" xfId="46881"/>
    <cellStyle name="Calculation 4 9 2 6 3" xfId="50787"/>
    <cellStyle name="Calculation 4 9 2 7" xfId="40684"/>
    <cellStyle name="Calculation 4 9 2 8" xfId="43502"/>
    <cellStyle name="Calculation 4 9 3" xfId="10801"/>
    <cellStyle name="Calculation 4 9 3 2" xfId="18588"/>
    <cellStyle name="Calculation 4 9 3 2 2" xfId="44120"/>
    <cellStyle name="Calculation 4 9 3 2 3" xfId="48029"/>
    <cellStyle name="Calculation 4 9 3 2 4" xfId="36211"/>
    <cellStyle name="Calculation 4 9 3 3" xfId="19713"/>
    <cellStyle name="Calculation 4 9 3 3 2" xfId="45235"/>
    <cellStyle name="Calculation 4 9 3 3 3" xfId="49141"/>
    <cellStyle name="Calculation 4 9 3 3 4" xfId="37226"/>
    <cellStyle name="Calculation 4 9 3 4" xfId="11218"/>
    <cellStyle name="Calculation 4 9 3 4 2" xfId="41277"/>
    <cellStyle name="Calculation 4 9 3 4 3" xfId="40549"/>
    <cellStyle name="Calculation 4 9 3 4 4" xfId="28932"/>
    <cellStyle name="Calculation 4 9 3 5" xfId="21001"/>
    <cellStyle name="Calculation 4 9 3 5 2" xfId="46523"/>
    <cellStyle name="Calculation 4 9 3 5 3" xfId="50429"/>
    <cellStyle name="Calculation 4 9 3 5 4" xfId="38393"/>
    <cellStyle name="Calculation 4 9 3 6" xfId="21654"/>
    <cellStyle name="Calculation 4 9 3 6 2" xfId="47176"/>
    <cellStyle name="Calculation 4 9 3 6 3" xfId="51082"/>
    <cellStyle name="Calculation 4 9 3 7" xfId="40979"/>
    <cellStyle name="Calculation 4 9 3 8" xfId="39355"/>
    <cellStyle name="Calculation 4 9 4" xfId="14761"/>
    <cellStyle name="Calculation 4 9 4 2" xfId="42859"/>
    <cellStyle name="Calculation 4 9 4 3" xfId="41923"/>
    <cellStyle name="Calculation 4 9 4 4" xfId="32382"/>
    <cellStyle name="Calculation 4 9 5" xfId="13052"/>
    <cellStyle name="Calculation 4 9 5 2" xfId="42254"/>
    <cellStyle name="Calculation 4 9 5 3" xfId="39275"/>
    <cellStyle name="Calculation 4 9 5 4" xfId="30687"/>
    <cellStyle name="Calculation 4 9 6" xfId="19629"/>
    <cellStyle name="Calculation 4 9 6 2" xfId="45151"/>
    <cellStyle name="Calculation 4 9 6 3" xfId="49057"/>
    <cellStyle name="Calculation 4 9 6 4" xfId="37151"/>
    <cellStyle name="Calculation 4 9 7" xfId="20506"/>
    <cellStyle name="Calculation 4 9 7 2" xfId="46028"/>
    <cellStyle name="Calculation 4 9 7 3" xfId="49934"/>
    <cellStyle name="Calculation 4 9 7 4" xfId="37925"/>
    <cellStyle name="Calculation 4 9 8" xfId="11337"/>
    <cellStyle name="Calculation 4 9 8 2" xfId="41356"/>
    <cellStyle name="Calculation 4 9 8 3" xfId="39656"/>
    <cellStyle name="Calculation 4 9 9" xfId="39719"/>
    <cellStyle name="Calculation 5" xfId="1471"/>
    <cellStyle name="Calculation 5 2" xfId="4159"/>
    <cellStyle name="Calculation 5 3" xfId="4160"/>
    <cellStyle name="Calculation 5 3 2" xfId="10453"/>
    <cellStyle name="Calculation 5 3 2 2" xfId="18240"/>
    <cellStyle name="Calculation 5 3 2 2 2" xfId="43772"/>
    <cellStyle name="Calculation 5 3 2 2 3" xfId="47681"/>
    <cellStyle name="Calculation 5 3 2 2 4" xfId="35863"/>
    <cellStyle name="Calculation 5 3 2 3" xfId="19758"/>
    <cellStyle name="Calculation 5 3 2 3 2" xfId="45280"/>
    <cellStyle name="Calculation 5 3 2 3 3" xfId="49186"/>
    <cellStyle name="Calculation 5 3 2 3 4" xfId="37271"/>
    <cellStyle name="Calculation 5 3 2 4" xfId="12641"/>
    <cellStyle name="Calculation 5 3 2 4 2" xfId="42101"/>
    <cellStyle name="Calculation 5 3 2 4 3" xfId="40523"/>
    <cellStyle name="Calculation 5 3 2 4 4" xfId="30292"/>
    <cellStyle name="Calculation 5 3 2 5" xfId="20653"/>
    <cellStyle name="Calculation 5 3 2 5 2" xfId="46175"/>
    <cellStyle name="Calculation 5 3 2 5 3" xfId="50081"/>
    <cellStyle name="Calculation 5 3 2 5 4" xfId="38045"/>
    <cellStyle name="Calculation 5 3 2 6" xfId="21306"/>
    <cellStyle name="Calculation 5 3 2 6 2" xfId="46828"/>
    <cellStyle name="Calculation 5 3 2 6 3" xfId="50734"/>
    <cellStyle name="Calculation 5 3 2 7" xfId="40631"/>
    <cellStyle name="Calculation 5 3 2 8" xfId="42830"/>
    <cellStyle name="Calculation 5 3 3" xfId="8456"/>
    <cellStyle name="Calculation 5 3 3 2" xfId="16246"/>
    <cellStyle name="Calculation 5 3 3 2 2" xfId="43381"/>
    <cellStyle name="Calculation 5 3 3 2 3" xfId="43632"/>
    <cellStyle name="Calculation 5 3 3 2 4" xfId="33867"/>
    <cellStyle name="Calculation 5 3 3 3" xfId="11443"/>
    <cellStyle name="Calculation 5 3 3 3 2" xfId="41434"/>
    <cellStyle name="Calculation 5 3 3 3 3" xfId="41370"/>
    <cellStyle name="Calculation 5 3 3 3 4" xfId="29149"/>
    <cellStyle name="Calculation 5 3 3 4" xfId="19815"/>
    <cellStyle name="Calculation 5 3 3 4 2" xfId="45337"/>
    <cellStyle name="Calculation 5 3 3 4 3" xfId="49243"/>
    <cellStyle name="Calculation 5 3 3 4 4" xfId="37319"/>
    <cellStyle name="Calculation 5 3 3 5" xfId="20342"/>
    <cellStyle name="Calculation 5 3 3 5 2" xfId="45864"/>
    <cellStyle name="Calculation 5 3 3 5 3" xfId="49770"/>
    <cellStyle name="Calculation 5 3 3 5 4" xfId="37784"/>
    <cellStyle name="Calculation 5 3 3 6" xfId="19846"/>
    <cellStyle name="Calculation 5 3 3 6 2" xfId="45368"/>
    <cellStyle name="Calculation 5 3 3 6 3" xfId="49274"/>
    <cellStyle name="Calculation 5 3 3 7" xfId="40243"/>
    <cellStyle name="Calculation 5 3 3 8" xfId="39203"/>
    <cellStyle name="Calculation 5 3 4" xfId="22282"/>
    <cellStyle name="Calculation 5 3 4 2" xfId="47498"/>
    <cellStyle name="Calculation 5 3 4 3" xfId="51353"/>
    <cellStyle name="Calculation 5 3 4 4" xfId="38804"/>
    <cellStyle name="Calculation 5 3 5" xfId="23019"/>
    <cellStyle name="Calculation 5 3 5 2" xfId="47606"/>
    <cellStyle name="Calculation 5 3 5 3" xfId="51417"/>
    <cellStyle name="Calculation 5 3 6" xfId="52936"/>
    <cellStyle name="Calculation 5 4" xfId="52937"/>
    <cellStyle name="Calculation 5 5" xfId="52935"/>
    <cellStyle name="Calculation 6" xfId="1472"/>
    <cellStyle name="Calculation 6 2" xfId="22880"/>
    <cellStyle name="Calculation 6 3" xfId="22283"/>
    <cellStyle name="Calculation 6 3 2" xfId="23020"/>
    <cellStyle name="Calculation 6 3 2 2" xfId="47607"/>
    <cellStyle name="Calculation 6 3 2 3" xfId="51418"/>
    <cellStyle name="Calculation 6 3 3" xfId="47499"/>
    <cellStyle name="Calculation 6 3 4" xfId="51354"/>
    <cellStyle name="Calculation 6 3 5" xfId="52939"/>
    <cellStyle name="Calculation 6 4" xfId="52940"/>
    <cellStyle name="Calculation 6 5" xfId="52938"/>
    <cellStyle name="Calculation 7" xfId="1473"/>
    <cellStyle name="Calculation 7 2" xfId="22284"/>
    <cellStyle name="Calculation 8" xfId="1474"/>
    <cellStyle name="Calculation 8 2" xfId="22286"/>
    <cellStyle name="Calculation 8 3" xfId="22285"/>
    <cellStyle name="Calculation 9" xfId="1475"/>
    <cellStyle name="Calculation 9 2" xfId="22287"/>
    <cellStyle name="Check Cell 2" xfId="79"/>
    <cellStyle name="Check Cell 2 10" xfId="1477"/>
    <cellStyle name="Check Cell 2 11" xfId="1478"/>
    <cellStyle name="Check Cell 2 12" xfId="1479"/>
    <cellStyle name="Check Cell 2 13" xfId="1480"/>
    <cellStyle name="Check Cell 2 14" xfId="1481"/>
    <cellStyle name="Check Cell 2 15" xfId="4161"/>
    <cellStyle name="Check Cell 2 16" xfId="4162"/>
    <cellStyle name="Check Cell 2 17" xfId="4163"/>
    <cellStyle name="Check Cell 2 18" xfId="1476"/>
    <cellStyle name="Check Cell 2 2" xfId="1482"/>
    <cellStyle name="Check Cell 2 2 2" xfId="1483"/>
    <cellStyle name="Check Cell 2 2 3" xfId="1484"/>
    <cellStyle name="Check Cell 2 2 4" xfId="4164"/>
    <cellStyle name="Check Cell 2 2 5" xfId="4165"/>
    <cellStyle name="Check Cell 2 2_Sheet1" xfId="1485"/>
    <cellStyle name="Check Cell 2 3" xfId="1486"/>
    <cellStyle name="Check Cell 2 4" xfId="1487"/>
    <cellStyle name="Check Cell 2 5" xfId="1488"/>
    <cellStyle name="Check Cell 2 6" xfId="1489"/>
    <cellStyle name="Check Cell 2 7" xfId="1490"/>
    <cellStyle name="Check Cell 2 8" xfId="1491"/>
    <cellStyle name="Check Cell 2 9" xfId="1492"/>
    <cellStyle name="Check Cell 2_BallGrid" xfId="1493"/>
    <cellStyle name="Check Cell 3" xfId="80"/>
    <cellStyle name="Check Cell 3 2" xfId="1494"/>
    <cellStyle name="Check Cell 3 2 2" xfId="22289"/>
    <cellStyle name="Check Cell 3 3" xfId="1495"/>
    <cellStyle name="Check Cell 3 4" xfId="4166"/>
    <cellStyle name="Check Cell 4" xfId="81"/>
    <cellStyle name="Check Cell 4 2" xfId="1496"/>
    <cellStyle name="Check Cell 4 3" xfId="1497"/>
    <cellStyle name="Check Cell 4 4" xfId="4167"/>
    <cellStyle name="Check Cell 4 5" xfId="4168"/>
    <cellStyle name="Check Cell 5" xfId="1498"/>
    <cellStyle name="Check Cell 5 2" xfId="4169"/>
    <cellStyle name="Check Cell 5 3" xfId="4170"/>
    <cellStyle name="Check Cell 5 4" xfId="22290"/>
    <cellStyle name="Check Cell 6" xfId="22291"/>
    <cellStyle name="Check Cell 7" xfId="22292"/>
    <cellStyle name="Check Cell 8" xfId="22288"/>
    <cellStyle name="Explanatory Text 2" xfId="82"/>
    <cellStyle name="Explanatory Text 2 10" xfId="1500"/>
    <cellStyle name="Explanatory Text 2 11" xfId="1501"/>
    <cellStyle name="Explanatory Text 2 12" xfId="1502"/>
    <cellStyle name="Explanatory Text 2 13" xfId="1503"/>
    <cellStyle name="Explanatory Text 2 13 2" xfId="22294"/>
    <cellStyle name="Explanatory Text 2 14" xfId="1504"/>
    <cellStyle name="Explanatory Text 2 14 2" xfId="52941"/>
    <cellStyle name="Explanatory Text 2 15" xfId="4171"/>
    <cellStyle name="Explanatory Text 2 16" xfId="4172"/>
    <cellStyle name="Explanatory Text 2 17" xfId="4173"/>
    <cellStyle name="Explanatory Text 2 18" xfId="1499"/>
    <cellStyle name="Explanatory Text 2 2" xfId="1505"/>
    <cellStyle name="Explanatory Text 2 2 2" xfId="1506"/>
    <cellStyle name="Explanatory Text 2 2 3" xfId="1507"/>
    <cellStyle name="Explanatory Text 2 2 3 2" xfId="22883"/>
    <cellStyle name="Explanatory Text 2 2 4" xfId="4174"/>
    <cellStyle name="Explanatory Text 2 2 4 2" xfId="22295"/>
    <cellStyle name="Explanatory Text 2 2 5" xfId="4175"/>
    <cellStyle name="Explanatory Text 2 2_Sheet1" xfId="1508"/>
    <cellStyle name="Explanatory Text 2 3" xfId="1509"/>
    <cellStyle name="Explanatory Text 2 3 2" xfId="22884"/>
    <cellStyle name="Explanatory Text 2 3 3" xfId="22296"/>
    <cellStyle name="Explanatory Text 2 4" xfId="1510"/>
    <cellStyle name="Explanatory Text 2 5" xfId="1511"/>
    <cellStyle name="Explanatory Text 2 6" xfId="1512"/>
    <cellStyle name="Explanatory Text 2 7" xfId="1513"/>
    <cellStyle name="Explanatory Text 2 8" xfId="1514"/>
    <cellStyle name="Explanatory Text 2 9" xfId="1515"/>
    <cellStyle name="Explanatory Text 2_BallGrid" xfId="1516"/>
    <cellStyle name="Explanatory Text 3" xfId="83"/>
    <cellStyle name="Explanatory Text 3 2" xfId="1517"/>
    <cellStyle name="Explanatory Text 3 2 2" xfId="22297"/>
    <cellStyle name="Explanatory Text 3 3" xfId="1518"/>
    <cellStyle name="Explanatory Text 3 4" xfId="4176"/>
    <cellStyle name="Explanatory Text 4" xfId="84"/>
    <cellStyle name="Explanatory Text 4 2" xfId="1519"/>
    <cellStyle name="Explanatory Text 4 3" xfId="1520"/>
    <cellStyle name="Explanatory Text 4 4" xfId="4177"/>
    <cellStyle name="Explanatory Text 4 5" xfId="4178"/>
    <cellStyle name="Explanatory Text 5" xfId="1521"/>
    <cellStyle name="Explanatory Text 5 2" xfId="4179"/>
    <cellStyle name="Explanatory Text 5 3" xfId="4180"/>
    <cellStyle name="Explanatory Text 5 4" xfId="22298"/>
    <cellStyle name="Explanatory Text 6" xfId="22299"/>
    <cellStyle name="Explanatory Text 7" xfId="22300"/>
    <cellStyle name="Explanatory Text 8" xfId="22293"/>
    <cellStyle name="Good 2" xfId="85"/>
    <cellStyle name="Good 2 10" xfId="1523"/>
    <cellStyle name="Good 2 11" xfId="1524"/>
    <cellStyle name="Good 2 12" xfId="1525"/>
    <cellStyle name="Good 2 13" xfId="1526"/>
    <cellStyle name="Good 2 14" xfId="1527"/>
    <cellStyle name="Good 2 15" xfId="4181"/>
    <cellStyle name="Good 2 16" xfId="4182"/>
    <cellStyle name="Good 2 17" xfId="4183"/>
    <cellStyle name="Good 2 18" xfId="1522"/>
    <cellStyle name="Good 2 2" xfId="1528"/>
    <cellStyle name="Good 2 2 2" xfId="1529"/>
    <cellStyle name="Good 2 2 3" xfId="1530"/>
    <cellStyle name="Good 2 2 4" xfId="4184"/>
    <cellStyle name="Good 2 2 5" xfId="4185"/>
    <cellStyle name="Good 2 2_Sheet1" xfId="1531"/>
    <cellStyle name="Good 2 3" xfId="1532"/>
    <cellStyle name="Good 2 4" xfId="1533"/>
    <cellStyle name="Good 2 5" xfId="1534"/>
    <cellStyle name="Good 2 6" xfId="1535"/>
    <cellStyle name="Good 2 7" xfId="1536"/>
    <cellStyle name="Good 2 8" xfId="1537"/>
    <cellStyle name="Good 2 9" xfId="1538"/>
    <cellStyle name="Good 2_BallGrid" xfId="1539"/>
    <cellStyle name="Good 3" xfId="86"/>
    <cellStyle name="Good 3 2" xfId="1540"/>
    <cellStyle name="Good 3 2 2" xfId="22302"/>
    <cellStyle name="Good 3 3" xfId="1541"/>
    <cellStyle name="Good 3 4" xfId="4186"/>
    <cellStyle name="Good 4" xfId="87"/>
    <cellStyle name="Good 4 2" xfId="1542"/>
    <cellStyle name="Good 4 3" xfId="1543"/>
    <cellStyle name="Good 4 4" xfId="4187"/>
    <cellStyle name="Good 4 5" xfId="4188"/>
    <cellStyle name="Good 5" xfId="1544"/>
    <cellStyle name="Good 5 2" xfId="4189"/>
    <cellStyle name="Good 5 3" xfId="4190"/>
    <cellStyle name="Good 5 4" xfId="22303"/>
    <cellStyle name="Good 6" xfId="22304"/>
    <cellStyle name="Good 7" xfId="22305"/>
    <cellStyle name="Good 8" xfId="22301"/>
    <cellStyle name="Grey" xfId="1545"/>
    <cellStyle name="Grey 2" xfId="1546"/>
    <cellStyle name="Grey 2 2" xfId="1547"/>
    <cellStyle name="Grey 2 3" xfId="1548"/>
    <cellStyle name="Grey 2_BallGrid" xfId="1549"/>
    <cellStyle name="Grey 3" xfId="1550"/>
    <cellStyle name="Grey 3 2" xfId="1551"/>
    <cellStyle name="Grey 3 3" xfId="1552"/>
    <cellStyle name="Grey 3_BallGrid" xfId="1553"/>
    <cellStyle name="Grey 4" xfId="1554"/>
    <cellStyle name="Grey 4 2" xfId="1555"/>
    <cellStyle name="Grey 4 3" xfId="1556"/>
    <cellStyle name="Grey 4_BallGrid" xfId="1557"/>
    <cellStyle name="Grey 5" xfId="1558"/>
    <cellStyle name="Grey 5 2" xfId="1559"/>
    <cellStyle name="Grey 5 3" xfId="1560"/>
    <cellStyle name="Grey 5_BallGrid" xfId="1561"/>
    <cellStyle name="Grey 6" xfId="1562"/>
    <cellStyle name="Grey 6 2" xfId="1563"/>
    <cellStyle name="Grey 7" xfId="1564"/>
    <cellStyle name="Grey_BallGrid" xfId="1565"/>
    <cellStyle name="Heading 1 10" xfId="1566"/>
    <cellStyle name="Heading 1 10 2" xfId="22309"/>
    <cellStyle name="Heading 1 10 3" xfId="22308"/>
    <cellStyle name="Heading 1 11" xfId="22310"/>
    <cellStyle name="Heading 1 11 2" xfId="22311"/>
    <cellStyle name="Heading 1 12" xfId="22312"/>
    <cellStyle name="Heading 1 12 2" xfId="22313"/>
    <cellStyle name="Heading 1 12 2 2" xfId="22314"/>
    <cellStyle name="Heading 1 12 2 2 2" xfId="22315"/>
    <cellStyle name="Heading 1 12 2 3" xfId="22316"/>
    <cellStyle name="Heading 1 12 3" xfId="22317"/>
    <cellStyle name="Heading 1 13" xfId="22318"/>
    <cellStyle name="Heading 1 14" xfId="22319"/>
    <cellStyle name="Heading 1 15" xfId="22655"/>
    <cellStyle name="Heading 1 16" xfId="22307"/>
    <cellStyle name="Heading 1 2" xfId="88"/>
    <cellStyle name="Heading 1 2 10" xfId="1567"/>
    <cellStyle name="Heading 1 2 2" xfId="1568"/>
    <cellStyle name="Heading 1 2 3" xfId="1569"/>
    <cellStyle name="Heading 1 2 3 2" xfId="22322"/>
    <cellStyle name="Heading 1 2 3 2 2" xfId="22323"/>
    <cellStyle name="Heading 1 2 3 3" xfId="22324"/>
    <cellStyle name="Heading 1 2 3 4" xfId="22886"/>
    <cellStyle name="Heading 1 2 3 5" xfId="22321"/>
    <cellStyle name="Heading 1 2 4" xfId="1570"/>
    <cellStyle name="Heading 1 2 4 2" xfId="22325"/>
    <cellStyle name="Heading 1 2 5" xfId="1571"/>
    <cellStyle name="Heading 1 2 5 2" xfId="22326"/>
    <cellStyle name="Heading 1 2 6" xfId="1572"/>
    <cellStyle name="Heading 1 2 6 2" xfId="22885"/>
    <cellStyle name="Heading 1 2 7" xfId="4191"/>
    <cellStyle name="Heading 1 2 7 2" xfId="22320"/>
    <cellStyle name="Heading 1 2 8" xfId="4192"/>
    <cellStyle name="Heading 1 2 9" xfId="4193"/>
    <cellStyle name="Heading 1 2_BallGrid" xfId="1573"/>
    <cellStyle name="Heading 1 3" xfId="89"/>
    <cellStyle name="Heading 1 3 2" xfId="1574"/>
    <cellStyle name="Heading 1 3 2 2" xfId="22328"/>
    <cellStyle name="Heading 1 3 2 3" xfId="22327"/>
    <cellStyle name="Heading 1 3 3" xfId="1575"/>
    <cellStyle name="Heading 1 3 3 2" xfId="22330"/>
    <cellStyle name="Heading 1 3 3 3" xfId="22329"/>
    <cellStyle name="Heading 1 3 4" xfId="4194"/>
    <cellStyle name="Heading 1 3 4 2" xfId="22332"/>
    <cellStyle name="Heading 1 3 4 3" xfId="22331"/>
    <cellStyle name="Heading 1 3 5" xfId="22333"/>
    <cellStyle name="Heading 1 3 5 2" xfId="22334"/>
    <cellStyle name="Heading 1 3 5 2 2" xfId="22335"/>
    <cellStyle name="Heading 1 3 5 2 3" xfId="22336"/>
    <cellStyle name="Heading 1 3 5 2 3 2" xfId="22337"/>
    <cellStyle name="Heading 1 3 5 3" xfId="22338"/>
    <cellStyle name="Heading 1 3 6" xfId="22339"/>
    <cellStyle name="Heading 1 3 7" xfId="22340"/>
    <cellStyle name="Heading 1 3 7 2" xfId="22341"/>
    <cellStyle name="Heading 1 3 7 2 2" xfId="22342"/>
    <cellStyle name="Heading 1 3 7 3" xfId="22343"/>
    <cellStyle name="Heading 1 3 7 3 2" xfId="22344"/>
    <cellStyle name="Heading 1 3 7 3 2 2" xfId="22345"/>
    <cellStyle name="Heading 1 3 7 3 3" xfId="22346"/>
    <cellStyle name="Heading 1 3 7 4" xfId="22347"/>
    <cellStyle name="Heading 1 4" xfId="90"/>
    <cellStyle name="Heading 1 4 2" xfId="1577"/>
    <cellStyle name="Heading 1 4 2 2" xfId="22887"/>
    <cellStyle name="Heading 1 4 3" xfId="1578"/>
    <cellStyle name="Heading 1 4 3 2" xfId="22348"/>
    <cellStyle name="Heading 1 4 4" xfId="1579"/>
    <cellStyle name="Heading 1 4 5" xfId="1580"/>
    <cellStyle name="Heading 1 4 6" xfId="4195"/>
    <cellStyle name="Heading 1 4 7" xfId="4196"/>
    <cellStyle name="Heading 1 4 8" xfId="4197"/>
    <cellStyle name="Heading 1 4 9" xfId="1576"/>
    <cellStyle name="Heading 1 5" xfId="1581"/>
    <cellStyle name="Heading 1 5 2" xfId="4198"/>
    <cellStyle name="Heading 1 5 3" xfId="4199"/>
    <cellStyle name="Heading 1 6" xfId="1582"/>
    <cellStyle name="Heading 1 6 2" xfId="22349"/>
    <cellStyle name="Heading 1 7" xfId="1583"/>
    <cellStyle name="Heading 1 7 2" xfId="22351"/>
    <cellStyle name="Heading 1 7 3" xfId="22350"/>
    <cellStyle name="Heading 1 8" xfId="1584"/>
    <cellStyle name="Heading 1 8 2" xfId="22353"/>
    <cellStyle name="Heading 1 8 2 2" xfId="22354"/>
    <cellStyle name="Heading 1 8 3" xfId="22352"/>
    <cellStyle name="Heading 1 9" xfId="1585"/>
    <cellStyle name="Heading 1 9 2" xfId="22356"/>
    <cellStyle name="Heading 1 9 3" xfId="22735"/>
    <cellStyle name="Heading 1 9 3 2" xfId="52942"/>
    <cellStyle name="Heading 1 9 4" xfId="22355"/>
    <cellStyle name="Heading 2 10" xfId="1586"/>
    <cellStyle name="Heading 2 10 2" xfId="22358"/>
    <cellStyle name="Heading 2 11" xfId="22359"/>
    <cellStyle name="Heading 2 12" xfId="22360"/>
    <cellStyle name="Heading 2 12 2" xfId="22361"/>
    <cellStyle name="Heading 2 13" xfId="22362"/>
    <cellStyle name="Heading 2 14" xfId="22363"/>
    <cellStyle name="Heading 2 15" xfId="22656"/>
    <cellStyle name="Heading 2 16" xfId="22357"/>
    <cellStyle name="Heading 2 2" xfId="91"/>
    <cellStyle name="Heading 2 2 10" xfId="1587"/>
    <cellStyle name="Heading 2 2 2" xfId="1588"/>
    <cellStyle name="Heading 2 2 3" xfId="1589"/>
    <cellStyle name="Heading 2 2 4" xfId="1590"/>
    <cellStyle name="Heading 2 2 5" xfId="1591"/>
    <cellStyle name="Heading 2 2 6" xfId="1592"/>
    <cellStyle name="Heading 2 2 7" xfId="4200"/>
    <cellStyle name="Heading 2 2 8" xfId="4201"/>
    <cellStyle name="Heading 2 2 9" xfId="4202"/>
    <cellStyle name="Heading 2 2_BallGrid" xfId="1593"/>
    <cellStyle name="Heading 2 3" xfId="92"/>
    <cellStyle name="Heading 2 3 2" xfId="1594"/>
    <cellStyle name="Heading 2 3 3" xfId="1595"/>
    <cellStyle name="Heading 2 3 4" xfId="4203"/>
    <cellStyle name="Heading 2 4" xfId="93"/>
    <cellStyle name="Heading 2 4 2" xfId="1597"/>
    <cellStyle name="Heading 2 4 2 2" xfId="22888"/>
    <cellStyle name="Heading 2 4 3" xfId="1598"/>
    <cellStyle name="Heading 2 4 3 2" xfId="22364"/>
    <cellStyle name="Heading 2 4 4" xfId="1599"/>
    <cellStyle name="Heading 2 4 5" xfId="1600"/>
    <cellStyle name="Heading 2 4 6" xfId="4204"/>
    <cellStyle name="Heading 2 4 7" xfId="4205"/>
    <cellStyle name="Heading 2 4 8" xfId="4206"/>
    <cellStyle name="Heading 2 4 9" xfId="1596"/>
    <cellStyle name="Heading 2 5" xfId="1601"/>
    <cellStyle name="Heading 2 5 2" xfId="4207"/>
    <cellStyle name="Heading 2 5 3" xfId="4208"/>
    <cellStyle name="Heading 2 6" xfId="1602"/>
    <cellStyle name="Heading 2 6 2" xfId="22365"/>
    <cellStyle name="Heading 2 7" xfId="1603"/>
    <cellStyle name="Heading 2 7 2" xfId="22366"/>
    <cellStyle name="Heading 2 8" xfId="1604"/>
    <cellStyle name="Heading 2 8 2" xfId="22368"/>
    <cellStyle name="Heading 2 8 3" xfId="22367"/>
    <cellStyle name="Heading 2 9" xfId="1605"/>
    <cellStyle name="Heading 2 9 2" xfId="22369"/>
    <cellStyle name="Heading 3 10" xfId="1606"/>
    <cellStyle name="Heading 3 10 2" xfId="1607"/>
    <cellStyle name="Heading 3 10 2 2" xfId="22371"/>
    <cellStyle name="Heading 3 10 3" xfId="22370"/>
    <cellStyle name="Heading 3 11" xfId="1608"/>
    <cellStyle name="Heading 3 11 2" xfId="22373"/>
    <cellStyle name="Heading 3 11 3" xfId="22372"/>
    <cellStyle name="Heading 3 12" xfId="1609"/>
    <cellStyle name="Heading 3 12 2" xfId="22375"/>
    <cellStyle name="Heading 3 12 2 2" xfId="22376"/>
    <cellStyle name="Heading 3 12 2 2 2" xfId="22377"/>
    <cellStyle name="Heading 3 12 2 3" xfId="22378"/>
    <cellStyle name="Heading 3 12 3" xfId="22379"/>
    <cellStyle name="Heading 3 12 4" xfId="22374"/>
    <cellStyle name="Heading 3 13" xfId="1610"/>
    <cellStyle name="Heading 3 13 2" xfId="22380"/>
    <cellStyle name="Heading 3 14" xfId="1611"/>
    <cellStyle name="Heading 3 15" xfId="1612"/>
    <cellStyle name="Heading 3 15 2" xfId="22657"/>
    <cellStyle name="Heading 3 16" xfId="1613"/>
    <cellStyle name="Heading 3 17" xfId="1614"/>
    <cellStyle name="Heading 3 18" xfId="1615"/>
    <cellStyle name="Heading 3 2" xfId="94"/>
    <cellStyle name="Heading 3 2 10" xfId="1616"/>
    <cellStyle name="Heading 3 2 2" xfId="95"/>
    <cellStyle name="Heading 3 2 3" xfId="1617"/>
    <cellStyle name="Heading 3 2 4" xfId="1618"/>
    <cellStyle name="Heading 3 2 5" xfId="1619"/>
    <cellStyle name="Heading 3 2 6" xfId="1620"/>
    <cellStyle name="Heading 3 2 7" xfId="4209"/>
    <cellStyle name="Heading 3 2 8" xfId="4210"/>
    <cellStyle name="Heading 3 2 9" xfId="4211"/>
    <cellStyle name="Heading 3 2_BallGrid" xfId="1621"/>
    <cellStyle name="Heading 3 3" xfId="96"/>
    <cellStyle name="Heading 3 3 2" xfId="97"/>
    <cellStyle name="Heading 3 3 3" xfId="1622"/>
    <cellStyle name="Heading 3 3 4" xfId="4212"/>
    <cellStyle name="Heading 3 4" xfId="98"/>
    <cellStyle name="Heading 3 4 2" xfId="99"/>
    <cellStyle name="Heading 3 4 3" xfId="1623"/>
    <cellStyle name="Heading 3 4 4" xfId="4213"/>
    <cellStyle name="Heading 3 4 5" xfId="4214"/>
    <cellStyle name="Heading 3 5" xfId="100"/>
    <cellStyle name="Heading 3 5 2" xfId="4215"/>
    <cellStyle name="Heading 3 5 3" xfId="4216"/>
    <cellStyle name="Heading 3 5 4" xfId="1624"/>
    <cellStyle name="Heading 3 6" xfId="1625"/>
    <cellStyle name="Heading 3 6 2" xfId="21944"/>
    <cellStyle name="Heading 3 7" xfId="1626"/>
    <cellStyle name="Heading 3 7 2" xfId="1627"/>
    <cellStyle name="Heading 3 7 2 2" xfId="22383"/>
    <cellStyle name="Heading 3 7 3" xfId="22382"/>
    <cellStyle name="Heading 3 8" xfId="1628"/>
    <cellStyle name="Heading 3 8 2" xfId="22385"/>
    <cellStyle name="Heading 3 8 2 2" xfId="22386"/>
    <cellStyle name="Heading 3 8 3" xfId="22384"/>
    <cellStyle name="Heading 3 9" xfId="1629"/>
    <cellStyle name="Heading 3 9 2" xfId="1630"/>
    <cellStyle name="Heading 3 9 2 2" xfId="22388"/>
    <cellStyle name="Heading 3 9 3" xfId="1631"/>
    <cellStyle name="Heading 3 9 3 2" xfId="22736"/>
    <cellStyle name="Heading 3 9 3 2 2" xfId="53336"/>
    <cellStyle name="Heading 3 9 3 3" xfId="52943"/>
    <cellStyle name="Heading 3 9 4" xfId="22387"/>
    <cellStyle name="Heading 4 10" xfId="1633"/>
    <cellStyle name="Heading 4 10 2" xfId="22391"/>
    <cellStyle name="Heading 4 10 3" xfId="22390"/>
    <cellStyle name="Heading 4 11" xfId="1634"/>
    <cellStyle name="Heading 4 11 2" xfId="22393"/>
    <cellStyle name="Heading 4 11 3" xfId="22392"/>
    <cellStyle name="Heading 4 12" xfId="1635"/>
    <cellStyle name="Heading 4 12 2" xfId="22395"/>
    <cellStyle name="Heading 4 12 2 2" xfId="22396"/>
    <cellStyle name="Heading 4 12 2 2 2" xfId="22397"/>
    <cellStyle name="Heading 4 12 2 3" xfId="22398"/>
    <cellStyle name="Heading 4 12 3" xfId="22399"/>
    <cellStyle name="Heading 4 12 4" xfId="22394"/>
    <cellStyle name="Heading 4 13" xfId="1636"/>
    <cellStyle name="Heading 4 13 2" xfId="22400"/>
    <cellStyle name="Heading 4 14" xfId="1637"/>
    <cellStyle name="Heading 4 14 2" xfId="22401"/>
    <cellStyle name="Heading 4 15" xfId="1638"/>
    <cellStyle name="Heading 4 15 2" xfId="22658"/>
    <cellStyle name="Heading 4 16" xfId="1639"/>
    <cellStyle name="Heading 4 16 2" xfId="22389"/>
    <cellStyle name="Heading 4 17" xfId="1640"/>
    <cellStyle name="Heading 4 18" xfId="1641"/>
    <cellStyle name="Heading 4 19" xfId="1632"/>
    <cellStyle name="Heading 4 2" xfId="101"/>
    <cellStyle name="Heading 4 2 10" xfId="1642"/>
    <cellStyle name="Heading 4 2 2" xfId="1643"/>
    <cellStyle name="Heading 4 2 3" xfId="1644"/>
    <cellStyle name="Heading 4 2 4" xfId="1645"/>
    <cellStyle name="Heading 4 2 5" xfId="1646"/>
    <cellStyle name="Heading 4 2 6" xfId="1647"/>
    <cellStyle name="Heading 4 2 7" xfId="4217"/>
    <cellStyle name="Heading 4 2 8" xfId="4218"/>
    <cellStyle name="Heading 4 2 9" xfId="4219"/>
    <cellStyle name="Heading 4 2_BallGrid" xfId="1648"/>
    <cellStyle name="Heading 4 3" xfId="102"/>
    <cellStyle name="Heading 4 3 2" xfId="1649"/>
    <cellStyle name="Heading 4 3 3" xfId="1650"/>
    <cellStyle name="Heading 4 3 4" xfId="4220"/>
    <cellStyle name="Heading 4 4" xfId="103"/>
    <cellStyle name="Heading 4 4 2" xfId="1652"/>
    <cellStyle name="Heading 4 4 2 2" xfId="22889"/>
    <cellStyle name="Heading 4 4 3" xfId="1653"/>
    <cellStyle name="Heading 4 4 3 2" xfId="22403"/>
    <cellStyle name="Heading 4 4 4" xfId="1654"/>
    <cellStyle name="Heading 4 4 5" xfId="1655"/>
    <cellStyle name="Heading 4 4 6" xfId="4221"/>
    <cellStyle name="Heading 4 4 7" xfId="4222"/>
    <cellStyle name="Heading 4 4 8" xfId="4223"/>
    <cellStyle name="Heading 4 4 9" xfId="1651"/>
    <cellStyle name="Heading 4 5" xfId="1656"/>
    <cellStyle name="Heading 4 5 2" xfId="4224"/>
    <cellStyle name="Heading 4 5 3" xfId="4225"/>
    <cellStyle name="Heading 4 5 4" xfId="21945"/>
    <cellStyle name="Heading 4 6" xfId="1657"/>
    <cellStyle name="Heading 4 6 2" xfId="1658"/>
    <cellStyle name="Heading 4 7" xfId="1659"/>
    <cellStyle name="Heading 4 7 2" xfId="22406"/>
    <cellStyle name="Heading 4 7 3" xfId="23013"/>
    <cellStyle name="Heading 4 7 4" xfId="22405"/>
    <cellStyle name="Heading 4 7 5" xfId="21995"/>
    <cellStyle name="Heading 4 8" xfId="1660"/>
    <cellStyle name="Heading 4 8 2" xfId="1661"/>
    <cellStyle name="Heading 4 8 2 2" xfId="22409"/>
    <cellStyle name="Heading 4 8 2 3" xfId="22408"/>
    <cellStyle name="Heading 4 8 3" xfId="1662"/>
    <cellStyle name="Heading 4 8 4" xfId="22407"/>
    <cellStyle name="Heading 4 9" xfId="1663"/>
    <cellStyle name="Heading 4 9 2" xfId="1664"/>
    <cellStyle name="Heading 4 9 2 2" xfId="22411"/>
    <cellStyle name="Heading 4 9 3" xfId="22737"/>
    <cellStyle name="Heading 4 9 3 2" xfId="52944"/>
    <cellStyle name="Heading 4 9 4" xfId="22410"/>
    <cellStyle name="Hyperlink 10" xfId="1665"/>
    <cellStyle name="Hyperlink 10 2" xfId="1666"/>
    <cellStyle name="Hyperlink 10 3" xfId="1667"/>
    <cellStyle name="Hyperlink 10_BallGrid" xfId="1668"/>
    <cellStyle name="Hyperlink 11" xfId="1669"/>
    <cellStyle name="Hyperlink 11 2" xfId="1670"/>
    <cellStyle name="Hyperlink 11 3" xfId="1671"/>
    <cellStyle name="Hyperlink 11_BallGrid" xfId="1672"/>
    <cellStyle name="Hyperlink 12" xfId="1673"/>
    <cellStyle name="Hyperlink 12 2" xfId="1674"/>
    <cellStyle name="Hyperlink 12 3" xfId="1675"/>
    <cellStyle name="Hyperlink 12_BallGrid" xfId="1676"/>
    <cellStyle name="Hyperlink 13" xfId="1677"/>
    <cellStyle name="Hyperlink 13 2" xfId="1678"/>
    <cellStyle name="Hyperlink 13 3" xfId="1679"/>
    <cellStyle name="Hyperlink 13_BallGrid" xfId="1680"/>
    <cellStyle name="Hyperlink 14" xfId="1681"/>
    <cellStyle name="Hyperlink 14 2" xfId="1682"/>
    <cellStyle name="Hyperlink 14 3" xfId="1683"/>
    <cellStyle name="Hyperlink 14_BallGrid" xfId="1684"/>
    <cellStyle name="Hyperlink 15" xfId="1685"/>
    <cellStyle name="Hyperlink 15 2" xfId="1686"/>
    <cellStyle name="Hyperlink 15 3" xfId="1687"/>
    <cellStyle name="Hyperlink 15_BallGrid" xfId="1688"/>
    <cellStyle name="Hyperlink 16" xfId="1689"/>
    <cellStyle name="Hyperlink 16 2" xfId="1690"/>
    <cellStyle name="Hyperlink 16 3" xfId="1691"/>
    <cellStyle name="Hyperlink 16_BallGrid" xfId="1692"/>
    <cellStyle name="Hyperlink 17" xfId="1693"/>
    <cellStyle name="Hyperlink 17 2" xfId="1694"/>
    <cellStyle name="Hyperlink 17 3" xfId="1695"/>
    <cellStyle name="Hyperlink 17_BallGrid" xfId="1696"/>
    <cellStyle name="Hyperlink 18" xfId="1697"/>
    <cellStyle name="Hyperlink 18 2" xfId="1698"/>
    <cellStyle name="Hyperlink 18 3" xfId="1699"/>
    <cellStyle name="Hyperlink 18_BallGrid" xfId="1700"/>
    <cellStyle name="Hyperlink 19" xfId="1701"/>
    <cellStyle name="Hyperlink 19 2" xfId="1702"/>
    <cellStyle name="Hyperlink 19 3" xfId="1703"/>
    <cellStyle name="Hyperlink 19_BallGrid" xfId="1704"/>
    <cellStyle name="Hyperlink 2" xfId="104"/>
    <cellStyle name="Hyperlink 2 2" xfId="1706"/>
    <cellStyle name="Hyperlink 2 3" xfId="1707"/>
    <cellStyle name="Hyperlink 2 4" xfId="1708"/>
    <cellStyle name="Hyperlink 2 5" xfId="1709"/>
    <cellStyle name="Hyperlink 2 6" xfId="4226"/>
    <cellStyle name="Hyperlink 2 7" xfId="4227"/>
    <cellStyle name="Hyperlink 2 8" xfId="1705"/>
    <cellStyle name="Hyperlink 2_BallGrid" xfId="1710"/>
    <cellStyle name="Hyperlink 20" xfId="1711"/>
    <cellStyle name="Hyperlink 20 2" xfId="1712"/>
    <cellStyle name="Hyperlink 20 3" xfId="1713"/>
    <cellStyle name="Hyperlink 20_BallGrid" xfId="1714"/>
    <cellStyle name="Hyperlink 21" xfId="1715"/>
    <cellStyle name="Hyperlink 21 2" xfId="1716"/>
    <cellStyle name="Hyperlink 21 3" xfId="1717"/>
    <cellStyle name="Hyperlink 21_BallGrid" xfId="1718"/>
    <cellStyle name="Hyperlink 22" xfId="1719"/>
    <cellStyle name="Hyperlink 22 2" xfId="1720"/>
    <cellStyle name="Hyperlink 22 3" xfId="1721"/>
    <cellStyle name="Hyperlink 22_BallGrid" xfId="1722"/>
    <cellStyle name="Hyperlink 23" xfId="1723"/>
    <cellStyle name="Hyperlink 23 2" xfId="1724"/>
    <cellStyle name="Hyperlink 23 3" xfId="1725"/>
    <cellStyle name="Hyperlink 23_BallGrid" xfId="1726"/>
    <cellStyle name="Hyperlink 24" xfId="1727"/>
    <cellStyle name="Hyperlink 24 2" xfId="1728"/>
    <cellStyle name="Hyperlink 24 3" xfId="1729"/>
    <cellStyle name="Hyperlink 24_BallGrid" xfId="1730"/>
    <cellStyle name="Hyperlink 25" xfId="1731"/>
    <cellStyle name="Hyperlink 25 2" xfId="1732"/>
    <cellStyle name="Hyperlink 25 3" xfId="1733"/>
    <cellStyle name="Hyperlink 25_BallGrid" xfId="1734"/>
    <cellStyle name="Hyperlink 26" xfId="1735"/>
    <cellStyle name="Hyperlink 26 2" xfId="1736"/>
    <cellStyle name="Hyperlink 26 3" xfId="1737"/>
    <cellStyle name="Hyperlink 26_BallGrid" xfId="1738"/>
    <cellStyle name="Hyperlink 27" xfId="1739"/>
    <cellStyle name="Hyperlink 27 2" xfId="1740"/>
    <cellStyle name="Hyperlink 27 3" xfId="1741"/>
    <cellStyle name="Hyperlink 27_BallGrid" xfId="1742"/>
    <cellStyle name="Hyperlink 28" xfId="1743"/>
    <cellStyle name="Hyperlink 28 2" xfId="1744"/>
    <cellStyle name="Hyperlink 28 3" xfId="1745"/>
    <cellStyle name="Hyperlink 28_BallGrid" xfId="1746"/>
    <cellStyle name="Hyperlink 29" xfId="52945"/>
    <cellStyle name="Hyperlink 3" xfId="105"/>
    <cellStyle name="Hyperlink 3 2" xfId="1748"/>
    <cellStyle name="Hyperlink 3 2 2" xfId="22891"/>
    <cellStyle name="Hyperlink 3 2 3" xfId="22690"/>
    <cellStyle name="Hyperlink 3 3" xfId="1749"/>
    <cellStyle name="Hyperlink 3 4" xfId="22412"/>
    <cellStyle name="Hyperlink 3 5" xfId="1747"/>
    <cellStyle name="Hyperlink 3_BallGrid" xfId="1750"/>
    <cellStyle name="Hyperlink 30" xfId="52946"/>
    <cellStyle name="Hyperlink 4" xfId="1751"/>
    <cellStyle name="Hyperlink 4 2" xfId="1752"/>
    <cellStyle name="Hyperlink 4 3" xfId="1753"/>
    <cellStyle name="Hyperlink 4_BallGrid" xfId="1754"/>
    <cellStyle name="Hyperlink 5" xfId="1755"/>
    <cellStyle name="Hyperlink 5 2" xfId="1756"/>
    <cellStyle name="Hyperlink 5 3" xfId="1757"/>
    <cellStyle name="Hyperlink 5_BallGrid" xfId="1758"/>
    <cellStyle name="Hyperlink 6" xfId="1759"/>
    <cellStyle name="Hyperlink 6 2" xfId="1760"/>
    <cellStyle name="Hyperlink 6 3" xfId="1761"/>
    <cellStyle name="Hyperlink 6_BallGrid" xfId="1762"/>
    <cellStyle name="Hyperlink 7" xfId="1763"/>
    <cellStyle name="Hyperlink 7 2" xfId="1764"/>
    <cellStyle name="Hyperlink 7 3" xfId="1765"/>
    <cellStyle name="Hyperlink 7_BallGrid" xfId="1766"/>
    <cellStyle name="Hyperlink 8" xfId="1767"/>
    <cellStyle name="Hyperlink 8 2" xfId="1768"/>
    <cellStyle name="Hyperlink 8 3" xfId="1769"/>
    <cellStyle name="Hyperlink 8_BallGrid" xfId="1770"/>
    <cellStyle name="Hyperlink 9" xfId="1771"/>
    <cellStyle name="Hyperlink 9 2" xfId="1772"/>
    <cellStyle name="Hyperlink 9 3" xfId="1773"/>
    <cellStyle name="Hyperlink 9_BallGrid" xfId="1774"/>
    <cellStyle name="Input [yellow]" xfId="1775"/>
    <cellStyle name="Input [yellow] 10" xfId="7771"/>
    <cellStyle name="Input [yellow] 10 2" xfId="15562"/>
    <cellStyle name="Input [yellow] 10 2 2" xfId="43224"/>
    <cellStyle name="Input [yellow] 10 2 3" xfId="39395"/>
    <cellStyle name="Input [yellow] 10 2 4" xfId="33183"/>
    <cellStyle name="Input [yellow] 10 3" xfId="19470"/>
    <cellStyle name="Input [yellow] 10 3 2" xfId="44992"/>
    <cellStyle name="Input [yellow] 10 3 3" xfId="48898"/>
    <cellStyle name="Input [yellow] 10 3 4" xfId="37012"/>
    <cellStyle name="Input [yellow] 10 4" xfId="20257"/>
    <cellStyle name="Input [yellow] 10 4 2" xfId="45779"/>
    <cellStyle name="Input [yellow] 10 4 3" xfId="49685"/>
    <cellStyle name="Input [yellow] 10 4 4" xfId="37713"/>
    <cellStyle name="Input [yellow] 10 5" xfId="11582"/>
    <cellStyle name="Input [yellow] 10 5 2" xfId="41573"/>
    <cellStyle name="Input [yellow] 10 5 3" xfId="39140"/>
    <cellStyle name="Input [yellow] 10 5 4" xfId="29276"/>
    <cellStyle name="Input [yellow] 10 6" xfId="19619"/>
    <cellStyle name="Input [yellow] 10 6 2" xfId="45141"/>
    <cellStyle name="Input [yellow] 10 6 3" xfId="49047"/>
    <cellStyle name="Input [yellow] 10 7" xfId="40083"/>
    <cellStyle name="Input [yellow] 10 8" xfId="39585"/>
    <cellStyle name="Input [yellow] 11" xfId="52947"/>
    <cellStyle name="Input [yellow] 2" xfId="1776"/>
    <cellStyle name="Input [yellow] 2 2" xfId="1777"/>
    <cellStyle name="Input [yellow] 2 2 2" xfId="6988"/>
    <cellStyle name="Input [yellow] 2 2 2 10" xfId="39728"/>
    <cellStyle name="Input [yellow] 2 2 2 11" xfId="42174"/>
    <cellStyle name="Input [yellow] 2 2 2 2" xfId="10515"/>
    <cellStyle name="Input [yellow] 2 2 2 2 2" xfId="18302"/>
    <cellStyle name="Input [yellow] 2 2 2 2 2 2" xfId="43834"/>
    <cellStyle name="Input [yellow] 2 2 2 2 2 3" xfId="47743"/>
    <cellStyle name="Input [yellow] 2 2 2 2 2 4" xfId="35925"/>
    <cellStyle name="Input [yellow] 2 2 2 2 3" xfId="19421"/>
    <cellStyle name="Input [yellow] 2 2 2 2 3 2" xfId="44943"/>
    <cellStyle name="Input [yellow] 2 2 2 2 3 3" xfId="48849"/>
    <cellStyle name="Input [yellow] 2 2 2 2 3 4" xfId="36972"/>
    <cellStyle name="Input [yellow] 2 2 2 2 4" xfId="19558"/>
    <cellStyle name="Input [yellow] 2 2 2 2 4 2" xfId="45080"/>
    <cellStyle name="Input [yellow] 2 2 2 2 4 3" xfId="48986"/>
    <cellStyle name="Input [yellow] 2 2 2 2 4 4" xfId="37085"/>
    <cellStyle name="Input [yellow] 2 2 2 2 5" xfId="20715"/>
    <cellStyle name="Input [yellow] 2 2 2 2 5 2" xfId="46237"/>
    <cellStyle name="Input [yellow] 2 2 2 2 5 3" xfId="50143"/>
    <cellStyle name="Input [yellow] 2 2 2 2 5 4" xfId="38107"/>
    <cellStyle name="Input [yellow] 2 2 2 2 6" xfId="21368"/>
    <cellStyle name="Input [yellow] 2 2 2 2 6 2" xfId="46890"/>
    <cellStyle name="Input [yellow] 2 2 2 2 6 3" xfId="50796"/>
    <cellStyle name="Input [yellow] 2 2 2 2 7" xfId="40693"/>
    <cellStyle name="Input [yellow] 2 2 2 2 8" xfId="43218"/>
    <cellStyle name="Input [yellow] 2 2 2 3" xfId="10810"/>
    <cellStyle name="Input [yellow] 2 2 2 3 2" xfId="18597"/>
    <cellStyle name="Input [yellow] 2 2 2 3 2 2" xfId="44129"/>
    <cellStyle name="Input [yellow] 2 2 2 3 2 3" xfId="48038"/>
    <cellStyle name="Input [yellow] 2 2 2 3 2 4" xfId="36220"/>
    <cellStyle name="Input [yellow] 2 2 2 3 3" xfId="19096"/>
    <cellStyle name="Input [yellow] 2 2 2 3 3 2" xfId="44618"/>
    <cellStyle name="Input [yellow] 2 2 2 3 3 3" xfId="48524"/>
    <cellStyle name="Input [yellow] 2 2 2 3 3 4" xfId="36677"/>
    <cellStyle name="Input [yellow] 2 2 2 3 4" xfId="11663"/>
    <cellStyle name="Input [yellow] 2 2 2 3 4 2" xfId="41654"/>
    <cellStyle name="Input [yellow] 2 2 2 3 4 3" xfId="39644"/>
    <cellStyle name="Input [yellow] 2 2 2 3 4 4" xfId="29345"/>
    <cellStyle name="Input [yellow] 2 2 2 3 5" xfId="21010"/>
    <cellStyle name="Input [yellow] 2 2 2 3 5 2" xfId="46532"/>
    <cellStyle name="Input [yellow] 2 2 2 3 5 3" xfId="50438"/>
    <cellStyle name="Input [yellow] 2 2 2 3 5 4" xfId="38402"/>
    <cellStyle name="Input [yellow] 2 2 2 3 6" xfId="21663"/>
    <cellStyle name="Input [yellow] 2 2 2 3 6 2" xfId="47185"/>
    <cellStyle name="Input [yellow] 2 2 2 3 6 3" xfId="51091"/>
    <cellStyle name="Input [yellow] 2 2 2 3 7" xfId="40988"/>
    <cellStyle name="Input [yellow] 2 2 2 3 8" xfId="39672"/>
    <cellStyle name="Input [yellow] 2 2 2 4" xfId="10160"/>
    <cellStyle name="Input [yellow] 2 2 2 4 2" xfId="17947"/>
    <cellStyle name="Input [yellow] 2 2 2 4 2 2" xfId="43722"/>
    <cellStyle name="Input [yellow] 2 2 2 4 2 3" xfId="47645"/>
    <cellStyle name="Input [yellow] 2 2 2 4 2 4" xfId="35570"/>
    <cellStyle name="Input [yellow] 2 2 2 4 3" xfId="20042"/>
    <cellStyle name="Input [yellow] 2 2 2 4 3 2" xfId="45564"/>
    <cellStyle name="Input [yellow] 2 2 2 4 3 3" xfId="49470"/>
    <cellStyle name="Input [yellow] 2 2 2 4 3 4" xfId="37524"/>
    <cellStyle name="Input [yellow] 2 2 2 4 4" xfId="20053"/>
    <cellStyle name="Input [yellow] 2 2 2 4 4 2" xfId="45575"/>
    <cellStyle name="Input [yellow] 2 2 2 4 4 3" xfId="49481"/>
    <cellStyle name="Input [yellow] 2 2 2 4 4 4" xfId="37533"/>
    <cellStyle name="Input [yellow] 2 2 2 4 5" xfId="20617"/>
    <cellStyle name="Input [yellow] 2 2 2 4 5 2" xfId="46139"/>
    <cellStyle name="Input [yellow] 2 2 2 4 5 3" xfId="50045"/>
    <cellStyle name="Input [yellow] 2 2 2 4 5 4" xfId="38009"/>
    <cellStyle name="Input [yellow] 2 2 2 4 6" xfId="21270"/>
    <cellStyle name="Input [yellow] 2 2 2 4 6 2" xfId="46792"/>
    <cellStyle name="Input [yellow] 2 2 2 4 6 3" xfId="50698"/>
    <cellStyle name="Input [yellow] 2 2 2 4 7" xfId="40581"/>
    <cellStyle name="Input [yellow] 2 2 2 4 8" xfId="42727"/>
    <cellStyle name="Input [yellow] 2 2 2 5" xfId="14770"/>
    <cellStyle name="Input [yellow] 2 2 2 5 2" xfId="42868"/>
    <cellStyle name="Input [yellow] 2 2 2 5 3" xfId="41265"/>
    <cellStyle name="Input [yellow] 2 2 2 5 4" xfId="32391"/>
    <cellStyle name="Input [yellow] 2 2 2 6" xfId="13058"/>
    <cellStyle name="Input [yellow] 2 2 2 6 2" xfId="42260"/>
    <cellStyle name="Input [yellow] 2 2 2 6 3" xfId="40517"/>
    <cellStyle name="Input [yellow] 2 2 2 6 4" xfId="30693"/>
    <cellStyle name="Input [yellow] 2 2 2 7" xfId="19204"/>
    <cellStyle name="Input [yellow] 2 2 2 7 2" xfId="44726"/>
    <cellStyle name="Input [yellow] 2 2 2 7 3" xfId="48632"/>
    <cellStyle name="Input [yellow] 2 2 2 7 4" xfId="36775"/>
    <cellStyle name="Input [yellow] 2 2 2 8" xfId="19356"/>
    <cellStyle name="Input [yellow] 2 2 2 8 2" xfId="44878"/>
    <cellStyle name="Input [yellow] 2 2 2 8 3" xfId="48784"/>
    <cellStyle name="Input [yellow] 2 2 2 8 4" xfId="36910"/>
    <cellStyle name="Input [yellow] 2 2 2 9" xfId="20249"/>
    <cellStyle name="Input [yellow] 2 2 2 9 2" xfId="45771"/>
    <cellStyle name="Input [yellow] 2 2 2 9 3" xfId="49677"/>
    <cellStyle name="Input [yellow] 2 2 2 9 4" xfId="37705"/>
    <cellStyle name="Input [yellow] 2 2 3" xfId="10434"/>
    <cellStyle name="Input [yellow] 2 2 3 2" xfId="18221"/>
    <cellStyle name="Input [yellow] 2 2 3 2 2" xfId="43753"/>
    <cellStyle name="Input [yellow] 2 2 3 2 3" xfId="47662"/>
    <cellStyle name="Input [yellow] 2 2 3 2 4" xfId="35844"/>
    <cellStyle name="Input [yellow] 2 2 3 3" xfId="19909"/>
    <cellStyle name="Input [yellow] 2 2 3 3 2" xfId="45431"/>
    <cellStyle name="Input [yellow] 2 2 3 3 3" xfId="49337"/>
    <cellStyle name="Input [yellow] 2 2 3 3 4" xfId="37409"/>
    <cellStyle name="Input [yellow] 2 2 3 4" xfId="19331"/>
    <cellStyle name="Input [yellow] 2 2 3 4 2" xfId="44853"/>
    <cellStyle name="Input [yellow] 2 2 3 4 3" xfId="48759"/>
    <cellStyle name="Input [yellow] 2 2 3 4 4" xfId="36889"/>
    <cellStyle name="Input [yellow] 2 2 3 5" xfId="20634"/>
    <cellStyle name="Input [yellow] 2 2 3 5 2" xfId="46156"/>
    <cellStyle name="Input [yellow] 2 2 3 5 3" xfId="50062"/>
    <cellStyle name="Input [yellow] 2 2 3 5 4" xfId="38026"/>
    <cellStyle name="Input [yellow] 2 2 3 6" xfId="21287"/>
    <cellStyle name="Input [yellow] 2 2 3 6 2" xfId="46809"/>
    <cellStyle name="Input [yellow] 2 2 3 6 3" xfId="50715"/>
    <cellStyle name="Input [yellow] 2 2 3 7" xfId="40612"/>
    <cellStyle name="Input [yellow] 2 2 3 8" xfId="40081"/>
    <cellStyle name="Input [yellow] 2 2 4" xfId="7773"/>
    <cellStyle name="Input [yellow] 2 2 4 2" xfId="15564"/>
    <cellStyle name="Input [yellow] 2 2 4 2 2" xfId="43226"/>
    <cellStyle name="Input [yellow] 2 2 4 2 3" xfId="43260"/>
    <cellStyle name="Input [yellow] 2 2 4 2 4" xfId="33185"/>
    <cellStyle name="Input [yellow] 2 2 4 3" xfId="19333"/>
    <cellStyle name="Input [yellow] 2 2 4 3 2" xfId="44855"/>
    <cellStyle name="Input [yellow] 2 2 4 3 3" xfId="48761"/>
    <cellStyle name="Input [yellow] 2 2 4 3 4" xfId="36891"/>
    <cellStyle name="Input [yellow] 2 2 4 4" xfId="12652"/>
    <cellStyle name="Input [yellow] 2 2 4 4 2" xfId="42112"/>
    <cellStyle name="Input [yellow] 2 2 4 4 3" xfId="43305"/>
    <cellStyle name="Input [yellow] 2 2 4 4 4" xfId="30302"/>
    <cellStyle name="Input [yellow] 2 2 4 5" xfId="11640"/>
    <cellStyle name="Input [yellow] 2 2 4 5 2" xfId="41631"/>
    <cellStyle name="Input [yellow] 2 2 4 5 3" xfId="43676"/>
    <cellStyle name="Input [yellow] 2 2 4 5 4" xfId="29325"/>
    <cellStyle name="Input [yellow] 2 2 4 6" xfId="19037"/>
    <cellStyle name="Input [yellow] 2 2 4 6 2" xfId="44559"/>
    <cellStyle name="Input [yellow] 2 2 4 6 3" xfId="48465"/>
    <cellStyle name="Input [yellow] 2 2 4 7" xfId="40085"/>
    <cellStyle name="Input [yellow] 2 2 4 8" xfId="42593"/>
    <cellStyle name="Input [yellow] 2 2 5" xfId="52949"/>
    <cellStyle name="Input [yellow] 2 3" xfId="1778"/>
    <cellStyle name="Input [yellow] 2 3 2" xfId="6989"/>
    <cellStyle name="Input [yellow] 2 3 2 10" xfId="39729"/>
    <cellStyle name="Input [yellow] 2 3 2 11" xfId="43401"/>
    <cellStyle name="Input [yellow] 2 3 2 2" xfId="10516"/>
    <cellStyle name="Input [yellow] 2 3 2 2 2" xfId="18303"/>
    <cellStyle name="Input [yellow] 2 3 2 2 2 2" xfId="43835"/>
    <cellStyle name="Input [yellow] 2 3 2 2 2 3" xfId="47744"/>
    <cellStyle name="Input [yellow] 2 3 2 2 2 4" xfId="35926"/>
    <cellStyle name="Input [yellow] 2 3 2 2 3" xfId="20028"/>
    <cellStyle name="Input [yellow] 2 3 2 2 3 2" xfId="45550"/>
    <cellStyle name="Input [yellow] 2 3 2 2 3 3" xfId="49456"/>
    <cellStyle name="Input [yellow] 2 3 2 2 3 4" xfId="37512"/>
    <cellStyle name="Input [yellow] 2 3 2 2 4" xfId="12889"/>
    <cellStyle name="Input [yellow] 2 3 2 2 4 2" xfId="42225"/>
    <cellStyle name="Input [yellow] 2 3 2 2 4 3" xfId="43554"/>
    <cellStyle name="Input [yellow] 2 3 2 2 4 4" xfId="30525"/>
    <cellStyle name="Input [yellow] 2 3 2 2 5" xfId="20716"/>
    <cellStyle name="Input [yellow] 2 3 2 2 5 2" xfId="46238"/>
    <cellStyle name="Input [yellow] 2 3 2 2 5 3" xfId="50144"/>
    <cellStyle name="Input [yellow] 2 3 2 2 5 4" xfId="38108"/>
    <cellStyle name="Input [yellow] 2 3 2 2 6" xfId="21369"/>
    <cellStyle name="Input [yellow] 2 3 2 2 6 2" xfId="46891"/>
    <cellStyle name="Input [yellow] 2 3 2 2 6 3" xfId="50797"/>
    <cellStyle name="Input [yellow] 2 3 2 2 7" xfId="40694"/>
    <cellStyle name="Input [yellow] 2 3 2 2 8" xfId="40077"/>
    <cellStyle name="Input [yellow] 2 3 2 3" xfId="10811"/>
    <cellStyle name="Input [yellow] 2 3 2 3 2" xfId="18598"/>
    <cellStyle name="Input [yellow] 2 3 2 3 2 2" xfId="44130"/>
    <cellStyle name="Input [yellow] 2 3 2 3 2 3" xfId="48039"/>
    <cellStyle name="Input [yellow] 2 3 2 3 2 4" xfId="36221"/>
    <cellStyle name="Input [yellow] 2 3 2 3 3" xfId="19710"/>
    <cellStyle name="Input [yellow] 2 3 2 3 3 2" xfId="45232"/>
    <cellStyle name="Input [yellow] 2 3 2 3 3 3" xfId="49138"/>
    <cellStyle name="Input [yellow] 2 3 2 3 3 4" xfId="37223"/>
    <cellStyle name="Input [yellow] 2 3 2 3 4" xfId="19239"/>
    <cellStyle name="Input [yellow] 2 3 2 3 4 2" xfId="44761"/>
    <cellStyle name="Input [yellow] 2 3 2 3 4 3" xfId="48667"/>
    <cellStyle name="Input [yellow] 2 3 2 3 4 4" xfId="36803"/>
    <cellStyle name="Input [yellow] 2 3 2 3 5" xfId="21011"/>
    <cellStyle name="Input [yellow] 2 3 2 3 5 2" xfId="46533"/>
    <cellStyle name="Input [yellow] 2 3 2 3 5 3" xfId="50439"/>
    <cellStyle name="Input [yellow] 2 3 2 3 5 4" xfId="38403"/>
    <cellStyle name="Input [yellow] 2 3 2 3 6" xfId="21664"/>
    <cellStyle name="Input [yellow] 2 3 2 3 6 2" xfId="47186"/>
    <cellStyle name="Input [yellow] 2 3 2 3 6 3" xfId="51092"/>
    <cellStyle name="Input [yellow] 2 3 2 3 7" xfId="40989"/>
    <cellStyle name="Input [yellow] 2 3 2 3 8" xfId="42709"/>
    <cellStyle name="Input [yellow] 2 3 2 4" xfId="10161"/>
    <cellStyle name="Input [yellow] 2 3 2 4 2" xfId="17948"/>
    <cellStyle name="Input [yellow] 2 3 2 4 2 2" xfId="43723"/>
    <cellStyle name="Input [yellow] 2 3 2 4 2 3" xfId="47646"/>
    <cellStyle name="Input [yellow] 2 3 2 4 2 4" xfId="35571"/>
    <cellStyle name="Input [yellow] 2 3 2 4 3" xfId="19306"/>
    <cellStyle name="Input [yellow] 2 3 2 4 3 2" xfId="44828"/>
    <cellStyle name="Input [yellow] 2 3 2 4 3 3" xfId="48734"/>
    <cellStyle name="Input [yellow] 2 3 2 4 3 4" xfId="36870"/>
    <cellStyle name="Input [yellow] 2 3 2 4 4" xfId="11641"/>
    <cellStyle name="Input [yellow] 2 3 2 4 4 2" xfId="41632"/>
    <cellStyle name="Input [yellow] 2 3 2 4 4 3" xfId="40534"/>
    <cellStyle name="Input [yellow] 2 3 2 4 4 4" xfId="29326"/>
    <cellStyle name="Input [yellow] 2 3 2 4 5" xfId="20618"/>
    <cellStyle name="Input [yellow] 2 3 2 4 5 2" xfId="46140"/>
    <cellStyle name="Input [yellow] 2 3 2 4 5 3" xfId="50046"/>
    <cellStyle name="Input [yellow] 2 3 2 4 5 4" xfId="38010"/>
    <cellStyle name="Input [yellow] 2 3 2 4 6" xfId="21271"/>
    <cellStyle name="Input [yellow] 2 3 2 4 6 2" xfId="46793"/>
    <cellStyle name="Input [yellow] 2 3 2 4 6 3" xfId="50699"/>
    <cellStyle name="Input [yellow] 2 3 2 4 7" xfId="40582"/>
    <cellStyle name="Input [yellow] 2 3 2 4 8" xfId="43616"/>
    <cellStyle name="Input [yellow] 2 3 2 5" xfId="14771"/>
    <cellStyle name="Input [yellow] 2 3 2 5 2" xfId="42869"/>
    <cellStyle name="Input [yellow] 2 3 2 5 3" xfId="43158"/>
    <cellStyle name="Input [yellow] 2 3 2 5 4" xfId="32392"/>
    <cellStyle name="Input [yellow] 2 3 2 6" xfId="13059"/>
    <cellStyle name="Input [yellow] 2 3 2 6 2" xfId="42261"/>
    <cellStyle name="Input [yellow] 2 3 2 6 3" xfId="39627"/>
    <cellStyle name="Input [yellow] 2 3 2 6 4" xfId="30694"/>
    <cellStyle name="Input [yellow] 2 3 2 7" xfId="19520"/>
    <cellStyle name="Input [yellow] 2 3 2 7 2" xfId="45042"/>
    <cellStyle name="Input [yellow] 2 3 2 7 3" xfId="48948"/>
    <cellStyle name="Input [yellow] 2 3 2 7 4" xfId="37053"/>
    <cellStyle name="Input [yellow] 2 3 2 8" xfId="19819"/>
    <cellStyle name="Input [yellow] 2 3 2 8 2" xfId="45341"/>
    <cellStyle name="Input [yellow] 2 3 2 8 3" xfId="49247"/>
    <cellStyle name="Input [yellow] 2 3 2 8 4" xfId="37323"/>
    <cellStyle name="Input [yellow] 2 3 2 9" xfId="19364"/>
    <cellStyle name="Input [yellow] 2 3 2 9 2" xfId="44886"/>
    <cellStyle name="Input [yellow] 2 3 2 9 3" xfId="48792"/>
    <cellStyle name="Input [yellow] 2 3 2 9 4" xfId="36916"/>
    <cellStyle name="Input [yellow] 2 3 3" xfId="10435"/>
    <cellStyle name="Input [yellow] 2 3 3 2" xfId="18222"/>
    <cellStyle name="Input [yellow] 2 3 3 2 2" xfId="43754"/>
    <cellStyle name="Input [yellow] 2 3 3 2 3" xfId="47663"/>
    <cellStyle name="Input [yellow] 2 3 3 2 4" xfId="35845"/>
    <cellStyle name="Input [yellow] 2 3 3 3" xfId="19132"/>
    <cellStyle name="Input [yellow] 2 3 3 3 2" xfId="44654"/>
    <cellStyle name="Input [yellow] 2 3 3 3 3" xfId="48560"/>
    <cellStyle name="Input [yellow] 2 3 3 3 4" xfId="36713"/>
    <cellStyle name="Input [yellow] 2 3 3 4" xfId="19956"/>
    <cellStyle name="Input [yellow] 2 3 3 4 2" xfId="45478"/>
    <cellStyle name="Input [yellow] 2 3 3 4 3" xfId="49384"/>
    <cellStyle name="Input [yellow] 2 3 3 4 4" xfId="37447"/>
    <cellStyle name="Input [yellow] 2 3 3 5" xfId="20635"/>
    <cellStyle name="Input [yellow] 2 3 3 5 2" xfId="46157"/>
    <cellStyle name="Input [yellow] 2 3 3 5 3" xfId="50063"/>
    <cellStyle name="Input [yellow] 2 3 3 5 4" xfId="38027"/>
    <cellStyle name="Input [yellow] 2 3 3 6" xfId="21288"/>
    <cellStyle name="Input [yellow] 2 3 3 6 2" xfId="46810"/>
    <cellStyle name="Input [yellow] 2 3 3 6 3" xfId="50716"/>
    <cellStyle name="Input [yellow] 2 3 3 7" xfId="40613"/>
    <cellStyle name="Input [yellow] 2 3 3 8" xfId="42057"/>
    <cellStyle name="Input [yellow] 2 3 4" xfId="7774"/>
    <cellStyle name="Input [yellow] 2 3 4 2" xfId="15565"/>
    <cellStyle name="Input [yellow] 2 3 4 2 2" xfId="43227"/>
    <cellStyle name="Input [yellow] 2 3 4 2 3" xfId="40119"/>
    <cellStyle name="Input [yellow] 2 3 4 2 4" xfId="33186"/>
    <cellStyle name="Input [yellow] 2 3 4 3" xfId="19944"/>
    <cellStyle name="Input [yellow] 2 3 4 3 2" xfId="45466"/>
    <cellStyle name="Input [yellow] 2 3 4 3 3" xfId="49372"/>
    <cellStyle name="Input [yellow] 2 3 4 3 4" xfId="37435"/>
    <cellStyle name="Input [yellow] 2 3 4 4" xfId="20278"/>
    <cellStyle name="Input [yellow] 2 3 4 4 2" xfId="45800"/>
    <cellStyle name="Input [yellow] 2 3 4 4 3" xfId="49706"/>
    <cellStyle name="Input [yellow] 2 3 4 4 4" xfId="37731"/>
    <cellStyle name="Input [yellow] 2 3 4 5" xfId="18987"/>
    <cellStyle name="Input [yellow] 2 3 4 5 2" xfId="44509"/>
    <cellStyle name="Input [yellow] 2 3 4 5 3" xfId="48415"/>
    <cellStyle name="Input [yellow] 2 3 4 5 4" xfId="36595"/>
    <cellStyle name="Input [yellow] 2 3 4 6" xfId="19485"/>
    <cellStyle name="Input [yellow] 2 3 4 6 2" xfId="45007"/>
    <cellStyle name="Input [yellow] 2 3 4 6 3" xfId="48913"/>
    <cellStyle name="Input [yellow] 2 3 4 7" xfId="40086"/>
    <cellStyle name="Input [yellow] 2 3 4 8" xfId="43506"/>
    <cellStyle name="Input [yellow] 2 4" xfId="6987"/>
    <cellStyle name="Input [yellow] 2 4 10" xfId="39727"/>
    <cellStyle name="Input [yellow] 2 4 11" xfId="39493"/>
    <cellStyle name="Input [yellow] 2 4 2" xfId="10514"/>
    <cellStyle name="Input [yellow] 2 4 2 2" xfId="18301"/>
    <cellStyle name="Input [yellow] 2 4 2 2 2" xfId="43833"/>
    <cellStyle name="Input [yellow] 2 4 2 2 3" xfId="47742"/>
    <cellStyle name="Input [yellow] 2 4 2 2 4" xfId="35924"/>
    <cellStyle name="Input [yellow] 2 4 2 3" xfId="20162"/>
    <cellStyle name="Input [yellow] 2 4 2 3 2" xfId="45684"/>
    <cellStyle name="Input [yellow] 2 4 2 3 3" xfId="49590"/>
    <cellStyle name="Input [yellow] 2 4 2 3 4" xfId="37634"/>
    <cellStyle name="Input [yellow] 2 4 2 4" xfId="11612"/>
    <cellStyle name="Input [yellow] 2 4 2 4 2" xfId="41603"/>
    <cellStyle name="Input [yellow] 2 4 2 4 3" xfId="43571"/>
    <cellStyle name="Input [yellow] 2 4 2 4 4" xfId="29301"/>
    <cellStyle name="Input [yellow] 2 4 2 5" xfId="20714"/>
    <cellStyle name="Input [yellow] 2 4 2 5 2" xfId="46236"/>
    <cellStyle name="Input [yellow] 2 4 2 5 3" xfId="50142"/>
    <cellStyle name="Input [yellow] 2 4 2 5 4" xfId="38106"/>
    <cellStyle name="Input [yellow] 2 4 2 6" xfId="21367"/>
    <cellStyle name="Input [yellow] 2 4 2 6 2" xfId="46889"/>
    <cellStyle name="Input [yellow] 2 4 2 6 3" xfId="50795"/>
    <cellStyle name="Input [yellow] 2 4 2 7" xfId="40692"/>
    <cellStyle name="Input [yellow] 2 4 2 8" xfId="41415"/>
    <cellStyle name="Input [yellow] 2 4 3" xfId="10809"/>
    <cellStyle name="Input [yellow] 2 4 3 2" xfId="18596"/>
    <cellStyle name="Input [yellow] 2 4 3 2 2" xfId="44128"/>
    <cellStyle name="Input [yellow] 2 4 3 2 3" xfId="48037"/>
    <cellStyle name="Input [yellow] 2 4 3 2 4" xfId="36219"/>
    <cellStyle name="Input [yellow] 2 4 3 3" xfId="19873"/>
    <cellStyle name="Input [yellow] 2 4 3 3 2" xfId="45395"/>
    <cellStyle name="Input [yellow] 2 4 3 3 3" xfId="49301"/>
    <cellStyle name="Input [yellow] 2 4 3 3 4" xfId="37373"/>
    <cellStyle name="Input [yellow] 2 4 3 4" xfId="19769"/>
    <cellStyle name="Input [yellow] 2 4 3 4 2" xfId="45291"/>
    <cellStyle name="Input [yellow] 2 4 3 4 3" xfId="49197"/>
    <cellStyle name="Input [yellow] 2 4 3 4 4" xfId="37281"/>
    <cellStyle name="Input [yellow] 2 4 3 5" xfId="21009"/>
    <cellStyle name="Input [yellow] 2 4 3 5 2" xfId="46531"/>
    <cellStyle name="Input [yellow] 2 4 3 5 3" xfId="50437"/>
    <cellStyle name="Input [yellow] 2 4 3 5 4" xfId="38401"/>
    <cellStyle name="Input [yellow] 2 4 3 6" xfId="21662"/>
    <cellStyle name="Input [yellow] 2 4 3 6 2" xfId="47184"/>
    <cellStyle name="Input [yellow] 2 4 3 6 3" xfId="51090"/>
    <cellStyle name="Input [yellow] 2 4 3 7" xfId="40987"/>
    <cellStyle name="Input [yellow] 2 4 3 8" xfId="40561"/>
    <cellStyle name="Input [yellow] 2 4 4" xfId="10159"/>
    <cellStyle name="Input [yellow] 2 4 4 2" xfId="17946"/>
    <cellStyle name="Input [yellow] 2 4 4 2 2" xfId="43721"/>
    <cellStyle name="Input [yellow] 2 4 4 2 3" xfId="47644"/>
    <cellStyle name="Input [yellow] 2 4 4 2 4" xfId="35569"/>
    <cellStyle name="Input [yellow] 2 4 4 3" xfId="19433"/>
    <cellStyle name="Input [yellow] 2 4 4 3 2" xfId="44955"/>
    <cellStyle name="Input [yellow] 2 4 4 3 3" xfId="48861"/>
    <cellStyle name="Input [yellow] 2 4 4 3 4" xfId="36984"/>
    <cellStyle name="Input [yellow] 2 4 4 4" xfId="19527"/>
    <cellStyle name="Input [yellow] 2 4 4 4 2" xfId="45049"/>
    <cellStyle name="Input [yellow] 2 4 4 4 3" xfId="48955"/>
    <cellStyle name="Input [yellow] 2 4 4 4 4" xfId="37058"/>
    <cellStyle name="Input [yellow] 2 4 4 5" xfId="20616"/>
    <cellStyle name="Input [yellow] 2 4 4 5 2" xfId="46138"/>
    <cellStyle name="Input [yellow] 2 4 4 5 3" xfId="50044"/>
    <cellStyle name="Input [yellow] 2 4 4 5 4" xfId="38008"/>
    <cellStyle name="Input [yellow] 2 4 4 6" xfId="21269"/>
    <cellStyle name="Input [yellow] 2 4 4 6 2" xfId="46791"/>
    <cellStyle name="Input [yellow] 2 4 4 6 3" xfId="50697"/>
    <cellStyle name="Input [yellow] 2 4 4 7" xfId="40580"/>
    <cellStyle name="Input [yellow] 2 4 4 8" xfId="47493"/>
    <cellStyle name="Input [yellow] 2 4 5" xfId="14769"/>
    <cellStyle name="Input [yellow] 2 4 5 2" xfId="42867"/>
    <cellStyle name="Input [yellow] 2 4 5 3" xfId="39037"/>
    <cellStyle name="Input [yellow] 2 4 5 4" xfId="32390"/>
    <cellStyle name="Input [yellow] 2 4 6" xfId="13057"/>
    <cellStyle name="Input [yellow] 2 4 6 2" xfId="42259"/>
    <cellStyle name="Input [yellow] 2 4 6 3" xfId="43659"/>
    <cellStyle name="Input [yellow] 2 4 6 4" xfId="30692"/>
    <cellStyle name="Input [yellow] 2 4 7" xfId="19163"/>
    <cellStyle name="Input [yellow] 2 4 7 2" xfId="44685"/>
    <cellStyle name="Input [yellow] 2 4 7 3" xfId="48591"/>
    <cellStyle name="Input [yellow] 2 4 7 4" xfId="36740"/>
    <cellStyle name="Input [yellow] 2 4 8" xfId="18873"/>
    <cellStyle name="Input [yellow] 2 4 8 2" xfId="44395"/>
    <cellStyle name="Input [yellow] 2 4 8 3" xfId="48301"/>
    <cellStyle name="Input [yellow] 2 4 8 4" xfId="36495"/>
    <cellStyle name="Input [yellow] 2 4 9" xfId="20277"/>
    <cellStyle name="Input [yellow] 2 4 9 2" xfId="45799"/>
    <cellStyle name="Input [yellow] 2 4 9 3" xfId="49705"/>
    <cellStyle name="Input [yellow] 2 4 9 4" xfId="37730"/>
    <cellStyle name="Input [yellow] 2 5" xfId="10433"/>
    <cellStyle name="Input [yellow] 2 5 2" xfId="18220"/>
    <cellStyle name="Input [yellow] 2 5 2 2" xfId="43752"/>
    <cellStyle name="Input [yellow] 2 5 2 3" xfId="47661"/>
    <cellStyle name="Input [yellow] 2 5 2 4" xfId="35843"/>
    <cellStyle name="Input [yellow] 2 5 3" xfId="19300"/>
    <cellStyle name="Input [yellow] 2 5 3 2" xfId="44822"/>
    <cellStyle name="Input [yellow] 2 5 3 3" xfId="48728"/>
    <cellStyle name="Input [yellow] 2 5 3 4" xfId="36864"/>
    <cellStyle name="Input [yellow] 2 5 4" xfId="11566"/>
    <cellStyle name="Input [yellow] 2 5 4 2" xfId="41557"/>
    <cellStyle name="Input [yellow] 2 5 4 3" xfId="43680"/>
    <cellStyle name="Input [yellow] 2 5 4 4" xfId="29263"/>
    <cellStyle name="Input [yellow] 2 5 5" xfId="20633"/>
    <cellStyle name="Input [yellow] 2 5 5 2" xfId="46155"/>
    <cellStyle name="Input [yellow] 2 5 5 3" xfId="50061"/>
    <cellStyle name="Input [yellow] 2 5 5 4" xfId="38025"/>
    <cellStyle name="Input [yellow] 2 5 6" xfId="21286"/>
    <cellStyle name="Input [yellow] 2 5 6 2" xfId="46808"/>
    <cellStyle name="Input [yellow] 2 5 6 3" xfId="50714"/>
    <cellStyle name="Input [yellow] 2 5 7" xfId="40611"/>
    <cellStyle name="Input [yellow] 2 5 8" xfId="43222"/>
    <cellStyle name="Input [yellow] 2 6" xfId="7772"/>
    <cellStyle name="Input [yellow] 2 6 2" xfId="15563"/>
    <cellStyle name="Input [yellow] 2 6 2 2" xfId="43225"/>
    <cellStyle name="Input [yellow] 2 6 2 3" xfId="41905"/>
    <cellStyle name="Input [yellow] 2 6 2 4" xfId="33184"/>
    <cellStyle name="Input [yellow] 2 6 3" xfId="20071"/>
    <cellStyle name="Input [yellow] 2 6 3 2" xfId="45593"/>
    <cellStyle name="Input [yellow] 2 6 3 3" xfId="49499"/>
    <cellStyle name="Input [yellow] 2 6 3 4" xfId="37550"/>
    <cellStyle name="Input [yellow] 2 6 4" xfId="19458"/>
    <cellStyle name="Input [yellow] 2 6 4 2" xfId="44980"/>
    <cellStyle name="Input [yellow] 2 6 4 3" xfId="48886"/>
    <cellStyle name="Input [yellow] 2 6 4 4" xfId="37002"/>
    <cellStyle name="Input [yellow] 2 6 5" xfId="20333"/>
    <cellStyle name="Input [yellow] 2 6 5 2" xfId="45855"/>
    <cellStyle name="Input [yellow] 2 6 5 3" xfId="49761"/>
    <cellStyle name="Input [yellow] 2 6 5 4" xfId="37779"/>
    <cellStyle name="Input [yellow] 2 6 6" xfId="12669"/>
    <cellStyle name="Input [yellow] 2 6 6 2" xfId="42129"/>
    <cellStyle name="Input [yellow] 2 6 6 3" xfId="40308"/>
    <cellStyle name="Input [yellow] 2 6 7" xfId="40084"/>
    <cellStyle name="Input [yellow] 2 6 8" xfId="47596"/>
    <cellStyle name="Input [yellow] 2 7" xfId="52948"/>
    <cellStyle name="Input [yellow] 2_BallGrid" xfId="1779"/>
    <cellStyle name="Input [yellow] 3" xfId="1780"/>
    <cellStyle name="Input [yellow] 3 2" xfId="1781"/>
    <cellStyle name="Input [yellow] 3 2 2" xfId="6991"/>
    <cellStyle name="Input [yellow] 3 2 2 10" xfId="39731"/>
    <cellStyle name="Input [yellow] 3 2 2 11" xfId="39391"/>
    <cellStyle name="Input [yellow] 3 2 2 2" xfId="10518"/>
    <cellStyle name="Input [yellow] 3 2 2 2 2" xfId="18305"/>
    <cellStyle name="Input [yellow] 3 2 2 2 2 2" xfId="43837"/>
    <cellStyle name="Input [yellow] 3 2 2 2 2 3" xfId="47746"/>
    <cellStyle name="Input [yellow] 3 2 2 2 2 4" xfId="35928"/>
    <cellStyle name="Input [yellow] 3 2 2 2 3" xfId="19903"/>
    <cellStyle name="Input [yellow] 3 2 2 2 3 2" xfId="45425"/>
    <cellStyle name="Input [yellow] 3 2 2 2 3 3" xfId="49331"/>
    <cellStyle name="Input [yellow] 3 2 2 2 3 4" xfId="37403"/>
    <cellStyle name="Input [yellow] 3 2 2 2 4" xfId="19768"/>
    <cellStyle name="Input [yellow] 3 2 2 2 4 2" xfId="45290"/>
    <cellStyle name="Input [yellow] 3 2 2 2 4 3" xfId="49196"/>
    <cellStyle name="Input [yellow] 3 2 2 2 4 4" xfId="37280"/>
    <cellStyle name="Input [yellow] 3 2 2 2 5" xfId="20718"/>
    <cellStyle name="Input [yellow] 3 2 2 2 5 2" xfId="46240"/>
    <cellStyle name="Input [yellow] 3 2 2 2 5 3" xfId="50146"/>
    <cellStyle name="Input [yellow] 3 2 2 2 5 4" xfId="38110"/>
    <cellStyle name="Input [yellow] 3 2 2 2 6" xfId="21371"/>
    <cellStyle name="Input [yellow] 3 2 2 2 6 2" xfId="46893"/>
    <cellStyle name="Input [yellow] 3 2 2 2 6 3" xfId="50799"/>
    <cellStyle name="Input [yellow] 3 2 2 2 7" xfId="40696"/>
    <cellStyle name="Input [yellow] 3 2 2 2 8" xfId="43716"/>
    <cellStyle name="Input [yellow] 3 2 2 3" xfId="10813"/>
    <cellStyle name="Input [yellow] 3 2 2 3 2" xfId="18600"/>
    <cellStyle name="Input [yellow] 3 2 2 3 2 2" xfId="44132"/>
    <cellStyle name="Input [yellow] 3 2 2 3 2 3" xfId="48041"/>
    <cellStyle name="Input [yellow] 3 2 2 3 2 4" xfId="36223"/>
    <cellStyle name="Input [yellow] 3 2 2 3 3" xfId="19712"/>
    <cellStyle name="Input [yellow] 3 2 2 3 3 2" xfId="45234"/>
    <cellStyle name="Input [yellow] 3 2 2 3 3 3" xfId="49140"/>
    <cellStyle name="Input [yellow] 3 2 2 3 3 4" xfId="37225"/>
    <cellStyle name="Input [yellow] 3 2 2 3 4" xfId="20178"/>
    <cellStyle name="Input [yellow] 3 2 2 3 4 2" xfId="45700"/>
    <cellStyle name="Input [yellow] 3 2 2 3 4 3" xfId="49606"/>
    <cellStyle name="Input [yellow] 3 2 2 3 4 4" xfId="37647"/>
    <cellStyle name="Input [yellow] 3 2 2 3 5" xfId="21013"/>
    <cellStyle name="Input [yellow] 3 2 2 3 5 2" xfId="46535"/>
    <cellStyle name="Input [yellow] 3 2 2 3 5 3" xfId="50441"/>
    <cellStyle name="Input [yellow] 3 2 2 3 5 4" xfId="38405"/>
    <cellStyle name="Input [yellow] 3 2 2 3 6" xfId="21666"/>
    <cellStyle name="Input [yellow] 3 2 2 3 6 2" xfId="47188"/>
    <cellStyle name="Input [yellow] 3 2 2 3 6 3" xfId="51094"/>
    <cellStyle name="Input [yellow] 3 2 2 3 7" xfId="40991"/>
    <cellStyle name="Input [yellow] 3 2 2 3 8" xfId="40456"/>
    <cellStyle name="Input [yellow] 3 2 2 4" xfId="10163"/>
    <cellStyle name="Input [yellow] 3 2 2 4 2" xfId="17950"/>
    <cellStyle name="Input [yellow] 3 2 2 4 2 2" xfId="43725"/>
    <cellStyle name="Input [yellow] 3 2 2 4 2 3" xfId="47648"/>
    <cellStyle name="Input [yellow] 3 2 2 4 2 4" xfId="35573"/>
    <cellStyle name="Input [yellow] 3 2 2 4 3" xfId="19139"/>
    <cellStyle name="Input [yellow] 3 2 2 4 3 2" xfId="44661"/>
    <cellStyle name="Input [yellow] 3 2 2 4 3 3" xfId="48567"/>
    <cellStyle name="Input [yellow] 3 2 2 4 3 4" xfId="36719"/>
    <cellStyle name="Input [yellow] 3 2 2 4 4" xfId="18907"/>
    <cellStyle name="Input [yellow] 3 2 2 4 4 2" xfId="44429"/>
    <cellStyle name="Input [yellow] 3 2 2 4 4 3" xfId="48335"/>
    <cellStyle name="Input [yellow] 3 2 2 4 4 4" xfId="36523"/>
    <cellStyle name="Input [yellow] 3 2 2 4 5" xfId="20620"/>
    <cellStyle name="Input [yellow] 3 2 2 4 5 2" xfId="46142"/>
    <cellStyle name="Input [yellow] 3 2 2 4 5 3" xfId="50048"/>
    <cellStyle name="Input [yellow] 3 2 2 4 5 4" xfId="38012"/>
    <cellStyle name="Input [yellow] 3 2 2 4 6" xfId="21273"/>
    <cellStyle name="Input [yellow] 3 2 2 4 6 2" xfId="46795"/>
    <cellStyle name="Input [yellow] 3 2 2 4 6 3" xfId="50701"/>
    <cellStyle name="Input [yellow] 3 2 2 4 7" xfId="40584"/>
    <cellStyle name="Input [yellow] 3 2 2 4 8" xfId="39584"/>
    <cellStyle name="Input [yellow] 3 2 2 5" xfId="14773"/>
    <cellStyle name="Input [yellow] 3 2 2 5 2" xfId="42871"/>
    <cellStyle name="Input [yellow] 3 2 2 5 3" xfId="42759"/>
    <cellStyle name="Input [yellow] 3 2 2 5 4" xfId="32394"/>
    <cellStyle name="Input [yellow] 3 2 2 6" xfId="13061"/>
    <cellStyle name="Input [yellow] 3 2 2 6 2" xfId="42263"/>
    <cellStyle name="Input [yellow] 3 2 2 6 3" xfId="43552"/>
    <cellStyle name="Input [yellow] 3 2 2 6 4" xfId="30696"/>
    <cellStyle name="Input [yellow] 3 2 2 7" xfId="19477"/>
    <cellStyle name="Input [yellow] 3 2 2 7 2" xfId="44999"/>
    <cellStyle name="Input [yellow] 3 2 2 7 3" xfId="48905"/>
    <cellStyle name="Input [yellow] 3 2 2 7 4" xfId="37019"/>
    <cellStyle name="Input [yellow] 3 2 2 8" xfId="19798"/>
    <cellStyle name="Input [yellow] 3 2 2 8 2" xfId="45320"/>
    <cellStyle name="Input [yellow] 3 2 2 8 3" xfId="49226"/>
    <cellStyle name="Input [yellow] 3 2 2 8 4" xfId="37305"/>
    <cellStyle name="Input [yellow] 3 2 2 9" xfId="12820"/>
    <cellStyle name="Input [yellow] 3 2 2 9 2" xfId="42204"/>
    <cellStyle name="Input [yellow] 3 2 2 9 3" xfId="39421"/>
    <cellStyle name="Input [yellow] 3 2 2 9 4" xfId="30461"/>
    <cellStyle name="Input [yellow] 3 2 3" xfId="10437"/>
    <cellStyle name="Input [yellow] 3 2 3 2" xfId="18224"/>
    <cellStyle name="Input [yellow] 3 2 3 2 2" xfId="43756"/>
    <cellStyle name="Input [yellow] 3 2 3 2 3" xfId="47665"/>
    <cellStyle name="Input [yellow] 3 2 3 2 4" xfId="35847"/>
    <cellStyle name="Input [yellow] 3 2 3 3" xfId="11477"/>
    <cellStyle name="Input [yellow] 3 2 3 3 2" xfId="41468"/>
    <cellStyle name="Input [yellow] 3 2 3 3 3" xfId="39549"/>
    <cellStyle name="Input [yellow] 3 2 3 3 4" xfId="29178"/>
    <cellStyle name="Input [yellow] 3 2 3 4" xfId="19678"/>
    <cellStyle name="Input [yellow] 3 2 3 4 2" xfId="45200"/>
    <cellStyle name="Input [yellow] 3 2 3 4 3" xfId="49106"/>
    <cellStyle name="Input [yellow] 3 2 3 4 4" xfId="37195"/>
    <cellStyle name="Input [yellow] 3 2 3 5" xfId="20637"/>
    <cellStyle name="Input [yellow] 3 2 3 5 2" xfId="46159"/>
    <cellStyle name="Input [yellow] 3 2 3 5 3" xfId="50065"/>
    <cellStyle name="Input [yellow] 3 2 3 5 4" xfId="38029"/>
    <cellStyle name="Input [yellow] 3 2 3 6" xfId="21290"/>
    <cellStyle name="Input [yellow] 3 2 3 6 2" xfId="46812"/>
    <cellStyle name="Input [yellow] 3 2 3 6 3" xfId="50718"/>
    <cellStyle name="Input [yellow] 3 2 3 7" xfId="40615"/>
    <cellStyle name="Input [yellow] 3 2 3 8" xfId="40238"/>
    <cellStyle name="Input [yellow] 3 2 4" xfId="7776"/>
    <cellStyle name="Input [yellow] 3 2 4 2" xfId="15567"/>
    <cellStyle name="Input [yellow] 3 2 4 2 2" xfId="43229"/>
    <cellStyle name="Input [yellow] 3 2 4 2 3" xfId="41906"/>
    <cellStyle name="Input [yellow] 3 2 4 2 4" xfId="33188"/>
    <cellStyle name="Input [yellow] 3 2 4 3" xfId="19796"/>
    <cellStyle name="Input [yellow] 3 2 4 3 2" xfId="45318"/>
    <cellStyle name="Input [yellow] 3 2 4 3 3" xfId="49224"/>
    <cellStyle name="Input [yellow] 3 2 4 3 4" xfId="37303"/>
    <cellStyle name="Input [yellow] 3 2 4 4" xfId="20273"/>
    <cellStyle name="Input [yellow] 3 2 4 4 2" xfId="45795"/>
    <cellStyle name="Input [yellow] 3 2 4 4 3" xfId="49701"/>
    <cellStyle name="Input [yellow] 3 2 4 4 4" xfId="37727"/>
    <cellStyle name="Input [yellow] 3 2 4 5" xfId="18884"/>
    <cellStyle name="Input [yellow] 3 2 4 5 2" xfId="44406"/>
    <cellStyle name="Input [yellow] 3 2 4 5 3" xfId="48312"/>
    <cellStyle name="Input [yellow] 3 2 4 5 4" xfId="36506"/>
    <cellStyle name="Input [yellow] 3 2 4 6" xfId="19766"/>
    <cellStyle name="Input [yellow] 3 2 4 6 2" xfId="45288"/>
    <cellStyle name="Input [yellow] 3 2 4 6 3" xfId="49194"/>
    <cellStyle name="Input [yellow] 3 2 4 7" xfId="40088"/>
    <cellStyle name="Input [yellow] 3 2 4 8" xfId="39481"/>
    <cellStyle name="Input [yellow] 3 2 5" xfId="52951"/>
    <cellStyle name="Input [yellow] 3 3" xfId="1782"/>
    <cellStyle name="Input [yellow] 3 3 2" xfId="6992"/>
    <cellStyle name="Input [yellow] 3 3 2 10" xfId="39732"/>
    <cellStyle name="Input [yellow] 3 3 2 11" xfId="39226"/>
    <cellStyle name="Input [yellow] 3 3 2 2" xfId="10519"/>
    <cellStyle name="Input [yellow] 3 3 2 2 2" xfId="18306"/>
    <cellStyle name="Input [yellow] 3 3 2 2 2 2" xfId="43838"/>
    <cellStyle name="Input [yellow] 3 3 2 2 2 3" xfId="47747"/>
    <cellStyle name="Input [yellow] 3 3 2 2 2 4" xfId="35929"/>
    <cellStyle name="Input [yellow] 3 3 2 2 3" xfId="19126"/>
    <cellStyle name="Input [yellow] 3 3 2 2 3 2" xfId="44648"/>
    <cellStyle name="Input [yellow] 3 3 2 2 3 3" xfId="48554"/>
    <cellStyle name="Input [yellow] 3 3 2 2 3 4" xfId="36707"/>
    <cellStyle name="Input [yellow] 3 3 2 2 4" xfId="19373"/>
    <cellStyle name="Input [yellow] 3 3 2 2 4 2" xfId="44895"/>
    <cellStyle name="Input [yellow] 3 3 2 2 4 3" xfId="48801"/>
    <cellStyle name="Input [yellow] 3 3 2 2 4 4" xfId="36925"/>
    <cellStyle name="Input [yellow] 3 3 2 2 5" xfId="20719"/>
    <cellStyle name="Input [yellow] 3 3 2 2 5 2" xfId="46241"/>
    <cellStyle name="Input [yellow] 3 3 2 2 5 3" xfId="50147"/>
    <cellStyle name="Input [yellow] 3 3 2 2 5 4" xfId="38111"/>
    <cellStyle name="Input [yellow] 3 3 2 2 6" xfId="21372"/>
    <cellStyle name="Input [yellow] 3 3 2 2 6 2" xfId="46894"/>
    <cellStyle name="Input [yellow] 3 3 2 2 6 3" xfId="50800"/>
    <cellStyle name="Input [yellow] 3 3 2 2 7" xfId="40697"/>
    <cellStyle name="Input [yellow] 3 3 2 2 8" xfId="40575"/>
    <cellStyle name="Input [yellow] 3 3 2 3" xfId="10814"/>
    <cellStyle name="Input [yellow] 3 3 2 3 2" xfId="18601"/>
    <cellStyle name="Input [yellow] 3 3 2 3 2 2" xfId="44133"/>
    <cellStyle name="Input [yellow] 3 3 2 3 2 3" xfId="48042"/>
    <cellStyle name="Input [yellow] 3 3 2 3 2 4" xfId="36224"/>
    <cellStyle name="Input [yellow] 3 3 2 3 3" xfId="20134"/>
    <cellStyle name="Input [yellow] 3 3 2 3 3 2" xfId="45656"/>
    <cellStyle name="Input [yellow] 3 3 2 3 3 3" xfId="49562"/>
    <cellStyle name="Input [yellow] 3 3 2 3 3 4" xfId="37606"/>
    <cellStyle name="Input [yellow] 3 3 2 3 4" xfId="12637"/>
    <cellStyle name="Input [yellow] 3 3 2 3 4 2" xfId="42097"/>
    <cellStyle name="Input [yellow] 3 3 2 3 4 3" xfId="43172"/>
    <cellStyle name="Input [yellow] 3 3 2 3 4 4" xfId="30288"/>
    <cellStyle name="Input [yellow] 3 3 2 3 5" xfId="21014"/>
    <cellStyle name="Input [yellow] 3 3 2 3 5 2" xfId="46536"/>
    <cellStyle name="Input [yellow] 3 3 2 3 5 3" xfId="50442"/>
    <cellStyle name="Input [yellow] 3 3 2 3 5 4" xfId="38406"/>
    <cellStyle name="Input [yellow] 3 3 2 3 6" xfId="21667"/>
    <cellStyle name="Input [yellow] 3 3 2 3 6 2" xfId="47189"/>
    <cellStyle name="Input [yellow] 3 3 2 3 6 3" xfId="51095"/>
    <cellStyle name="Input [yellow] 3 3 2 3 7" xfId="40992"/>
    <cellStyle name="Input [yellow] 3 3 2 3 8" xfId="39566"/>
    <cellStyle name="Input [yellow] 3 3 2 4" xfId="10164"/>
    <cellStyle name="Input [yellow] 3 3 2 4 2" xfId="17951"/>
    <cellStyle name="Input [yellow] 3 3 2 4 2 2" xfId="43726"/>
    <cellStyle name="Input [yellow] 3 3 2 4 2 3" xfId="47649"/>
    <cellStyle name="Input [yellow] 3 3 2 4 2 4" xfId="35574"/>
    <cellStyle name="Input [yellow] 3 3 2 4 3" xfId="19765"/>
    <cellStyle name="Input [yellow] 3 3 2 4 3 2" xfId="45287"/>
    <cellStyle name="Input [yellow] 3 3 2 4 3 3" xfId="49193"/>
    <cellStyle name="Input [yellow] 3 3 2 4 3 4" xfId="37278"/>
    <cellStyle name="Input [yellow] 3 3 2 4 4" xfId="11071"/>
    <cellStyle name="Input [yellow] 3 3 2 4 4 2" xfId="41249"/>
    <cellStyle name="Input [yellow] 3 3 2 4 4 3" xfId="42015"/>
    <cellStyle name="Input [yellow] 3 3 2 4 4 4" xfId="28787"/>
    <cellStyle name="Input [yellow] 3 3 2 4 5" xfId="20621"/>
    <cellStyle name="Input [yellow] 3 3 2 4 5 2" xfId="46143"/>
    <cellStyle name="Input [yellow] 3 3 2 4 5 3" xfId="50049"/>
    <cellStyle name="Input [yellow] 3 3 2 4 5 4" xfId="38013"/>
    <cellStyle name="Input [yellow] 3 3 2 4 6" xfId="21274"/>
    <cellStyle name="Input [yellow] 3 3 2 4 6 2" xfId="46796"/>
    <cellStyle name="Input [yellow] 3 3 2 4 6 3" xfId="50702"/>
    <cellStyle name="Input [yellow] 3 3 2 4 7" xfId="40585"/>
    <cellStyle name="Input [yellow] 3 3 2 4 8" xfId="47492"/>
    <cellStyle name="Input [yellow] 3 3 2 5" xfId="14774"/>
    <cellStyle name="Input [yellow] 3 3 2 5 2" xfId="42872"/>
    <cellStyle name="Input [yellow] 3 3 2 5 3" xfId="43646"/>
    <cellStyle name="Input [yellow] 3 3 2 5 4" xfId="32395"/>
    <cellStyle name="Input [yellow] 3 3 2 6" xfId="13062"/>
    <cellStyle name="Input [yellow] 3 3 2 6 2" xfId="42264"/>
    <cellStyle name="Input [yellow] 3 3 2 6 3" xfId="40413"/>
    <cellStyle name="Input [yellow] 3 3 2 6 4" xfId="30697"/>
    <cellStyle name="Input [yellow] 3 3 2 7" xfId="20191"/>
    <cellStyle name="Input [yellow] 3 3 2 7 2" xfId="45713"/>
    <cellStyle name="Input [yellow] 3 3 2 7 3" xfId="49619"/>
    <cellStyle name="Input [yellow] 3 3 2 7 4" xfId="37659"/>
    <cellStyle name="Input [yellow] 3 3 2 8" xfId="20497"/>
    <cellStyle name="Input [yellow] 3 3 2 8 2" xfId="46019"/>
    <cellStyle name="Input [yellow] 3 3 2 8 3" xfId="49925"/>
    <cellStyle name="Input [yellow] 3 3 2 8 4" xfId="37919"/>
    <cellStyle name="Input [yellow] 3 3 2 9" xfId="20058"/>
    <cellStyle name="Input [yellow] 3 3 2 9 2" xfId="45580"/>
    <cellStyle name="Input [yellow] 3 3 2 9 3" xfId="49486"/>
    <cellStyle name="Input [yellow] 3 3 2 9 4" xfId="37538"/>
    <cellStyle name="Input [yellow] 3 3 3" xfId="10438"/>
    <cellStyle name="Input [yellow] 3 3 3 2" xfId="18225"/>
    <cellStyle name="Input [yellow] 3 3 3 2 2" xfId="43757"/>
    <cellStyle name="Input [yellow] 3 3 3 2 3" xfId="47666"/>
    <cellStyle name="Input [yellow] 3 3 3 2 4" xfId="35848"/>
    <cellStyle name="Input [yellow] 3 3 3 3" xfId="19759"/>
    <cellStyle name="Input [yellow] 3 3 3 3 2" xfId="45281"/>
    <cellStyle name="Input [yellow] 3 3 3 3 3" xfId="49187"/>
    <cellStyle name="Input [yellow] 3 3 3 3 4" xfId="37272"/>
    <cellStyle name="Input [yellow] 3 3 3 4" xfId="19055"/>
    <cellStyle name="Input [yellow] 3 3 3 4 2" xfId="44577"/>
    <cellStyle name="Input [yellow] 3 3 3 4 3" xfId="48483"/>
    <cellStyle name="Input [yellow] 3 3 3 4 4" xfId="36640"/>
    <cellStyle name="Input [yellow] 3 3 3 5" xfId="20638"/>
    <cellStyle name="Input [yellow] 3 3 3 5 2" xfId="46160"/>
    <cellStyle name="Input [yellow] 3 3 3 5 3" xfId="50066"/>
    <cellStyle name="Input [yellow] 3 3 3 5 4" xfId="38030"/>
    <cellStyle name="Input [yellow] 3 3 3 6" xfId="21291"/>
    <cellStyle name="Input [yellow] 3 3 3 6 2" xfId="46813"/>
    <cellStyle name="Input [yellow] 3 3 3 6 3" xfId="50719"/>
    <cellStyle name="Input [yellow] 3 3 3 7" xfId="40616"/>
    <cellStyle name="Input [yellow] 3 3 3 8" xfId="39378"/>
    <cellStyle name="Input [yellow] 3 3 4" xfId="7777"/>
    <cellStyle name="Input [yellow] 3 3 4 2" xfId="15568"/>
    <cellStyle name="Input [yellow] 3 3 4 2 2" xfId="43230"/>
    <cellStyle name="Input [yellow] 3 3 4 2 3" xfId="43261"/>
    <cellStyle name="Input [yellow] 3 3 4 2 4" xfId="33189"/>
    <cellStyle name="Input [yellow] 3 3 4 3" xfId="11421"/>
    <cellStyle name="Input [yellow] 3 3 4 3 2" xfId="41426"/>
    <cellStyle name="Input [yellow] 3 3 4 3 3" xfId="47485"/>
    <cellStyle name="Input [yellow] 3 3 4 3 4" xfId="29128"/>
    <cellStyle name="Input [yellow] 3 3 4 4" xfId="11588"/>
    <cellStyle name="Input [yellow] 3 3 4 4 2" xfId="41579"/>
    <cellStyle name="Input [yellow] 3 3 4 4 3" xfId="40536"/>
    <cellStyle name="Input [yellow] 3 3 4 4 4" xfId="29281"/>
    <cellStyle name="Input [yellow] 3 3 4 5" xfId="11589"/>
    <cellStyle name="Input [yellow] 3 3 4 5 2" xfId="41580"/>
    <cellStyle name="Input [yellow] 3 3 4 5 3" xfId="39647"/>
    <cellStyle name="Input [yellow] 3 3 4 5 4" xfId="29282"/>
    <cellStyle name="Input [yellow] 3 3 4 6" xfId="19212"/>
    <cellStyle name="Input [yellow] 3 3 4 6 2" xfId="44734"/>
    <cellStyle name="Input [yellow] 3 3 4 6 3" xfId="48640"/>
    <cellStyle name="Input [yellow] 3 3 4 7" xfId="40089"/>
    <cellStyle name="Input [yellow] 3 3 4 8" xfId="47521"/>
    <cellStyle name="Input [yellow] 3 4" xfId="6990"/>
    <cellStyle name="Input [yellow] 3 4 10" xfId="39730"/>
    <cellStyle name="Input [yellow] 3 4 11" xfId="40263"/>
    <cellStyle name="Input [yellow] 3 4 2" xfId="10517"/>
    <cellStyle name="Input [yellow] 3 4 2 2" xfId="18304"/>
    <cellStyle name="Input [yellow] 3 4 2 2 2" xfId="43836"/>
    <cellStyle name="Input [yellow] 3 4 2 2 3" xfId="47745"/>
    <cellStyle name="Input [yellow] 3 4 2 2 4" xfId="35927"/>
    <cellStyle name="Input [yellow] 3 4 2 3" xfId="19294"/>
    <cellStyle name="Input [yellow] 3 4 2 3 2" xfId="44816"/>
    <cellStyle name="Input [yellow] 3 4 2 3 3" xfId="48722"/>
    <cellStyle name="Input [yellow] 3 4 2 3 4" xfId="36858"/>
    <cellStyle name="Input [yellow] 3 4 2 4" xfId="20251"/>
    <cellStyle name="Input [yellow] 3 4 2 4 2" xfId="45773"/>
    <cellStyle name="Input [yellow] 3 4 2 4 3" xfId="49679"/>
    <cellStyle name="Input [yellow] 3 4 2 4 4" xfId="37707"/>
    <cellStyle name="Input [yellow] 3 4 2 5" xfId="20717"/>
    <cellStyle name="Input [yellow] 3 4 2 5 2" xfId="46239"/>
    <cellStyle name="Input [yellow] 3 4 2 5 3" xfId="50145"/>
    <cellStyle name="Input [yellow] 3 4 2 5 4" xfId="38109"/>
    <cellStyle name="Input [yellow] 3 4 2 6" xfId="21370"/>
    <cellStyle name="Input [yellow] 3 4 2 6 2" xfId="46892"/>
    <cellStyle name="Input [yellow] 3 4 2 6 3" xfId="50798"/>
    <cellStyle name="Input [yellow] 3 4 2 7" xfId="40695"/>
    <cellStyle name="Input [yellow] 3 4 2 8" xfId="42827"/>
    <cellStyle name="Input [yellow] 3 4 3" xfId="10812"/>
    <cellStyle name="Input [yellow] 3 4 3 2" xfId="18599"/>
    <cellStyle name="Input [yellow] 3 4 3 2 2" xfId="44131"/>
    <cellStyle name="Input [yellow] 3 4 3 2 3" xfId="48040"/>
    <cellStyle name="Input [yellow] 3 4 3 2 4" xfId="36222"/>
    <cellStyle name="Input [yellow] 3 4 3 3" xfId="12627"/>
    <cellStyle name="Input [yellow] 3 4 3 3 2" xfId="42087"/>
    <cellStyle name="Input [yellow] 3 4 3 3 3" xfId="42537"/>
    <cellStyle name="Input [yellow] 3 4 3 3 4" xfId="30278"/>
    <cellStyle name="Input [yellow] 3 4 3 4" xfId="18889"/>
    <cellStyle name="Input [yellow] 3 4 3 4 2" xfId="44411"/>
    <cellStyle name="Input [yellow] 3 4 3 4 3" xfId="48317"/>
    <cellStyle name="Input [yellow] 3 4 3 4 4" xfId="36508"/>
    <cellStyle name="Input [yellow] 3 4 3 5" xfId="21012"/>
    <cellStyle name="Input [yellow] 3 4 3 5 2" xfId="46534"/>
    <cellStyle name="Input [yellow] 3 4 3 5 3" xfId="50440"/>
    <cellStyle name="Input [yellow] 3 4 3 5 4" xfId="38404"/>
    <cellStyle name="Input [yellow] 3 4 3 6" xfId="21665"/>
    <cellStyle name="Input [yellow] 3 4 3 6 2" xfId="47187"/>
    <cellStyle name="Input [yellow] 3 4 3 6 3" xfId="51093"/>
    <cellStyle name="Input [yellow] 3 4 3 7" xfId="40990"/>
    <cellStyle name="Input [yellow] 3 4 3 8" xfId="43598"/>
    <cellStyle name="Input [yellow] 3 4 4" xfId="10162"/>
    <cellStyle name="Input [yellow] 3 4 4 2" xfId="17949"/>
    <cellStyle name="Input [yellow] 3 4 4 2 2" xfId="43724"/>
    <cellStyle name="Input [yellow] 3 4 4 2 3" xfId="47647"/>
    <cellStyle name="Input [yellow] 3 4 4 2 4" xfId="35572"/>
    <cellStyle name="Input [yellow] 3 4 4 3" xfId="19918"/>
    <cellStyle name="Input [yellow] 3 4 4 3 2" xfId="45440"/>
    <cellStyle name="Input [yellow] 3 4 4 3 3" xfId="49346"/>
    <cellStyle name="Input [yellow] 3 4 4 3 4" xfId="37416"/>
    <cellStyle name="Input [yellow] 3 4 4 4" xfId="20228"/>
    <cellStyle name="Input [yellow] 3 4 4 4 2" xfId="45750"/>
    <cellStyle name="Input [yellow] 3 4 4 4 3" xfId="49656"/>
    <cellStyle name="Input [yellow] 3 4 4 4 4" xfId="37687"/>
    <cellStyle name="Input [yellow] 3 4 4 5" xfId="20619"/>
    <cellStyle name="Input [yellow] 3 4 4 5 2" xfId="46141"/>
    <cellStyle name="Input [yellow] 3 4 4 5 3" xfId="50047"/>
    <cellStyle name="Input [yellow] 3 4 4 5 4" xfId="38011"/>
    <cellStyle name="Input [yellow] 3 4 4 6" xfId="21272"/>
    <cellStyle name="Input [yellow] 3 4 4 6 2" xfId="46794"/>
    <cellStyle name="Input [yellow] 3 4 4 6 3" xfId="50700"/>
    <cellStyle name="Input [yellow] 3 4 4 7" xfId="40583"/>
    <cellStyle name="Input [yellow] 3 4 4 8" xfId="40474"/>
    <cellStyle name="Input [yellow] 3 4 5" xfId="14772"/>
    <cellStyle name="Input [yellow] 3 4 5 2" xfId="42870"/>
    <cellStyle name="Input [yellow] 3 4 5 3" xfId="40017"/>
    <cellStyle name="Input [yellow] 3 4 5 4" xfId="32393"/>
    <cellStyle name="Input [yellow] 3 4 6" xfId="13060"/>
    <cellStyle name="Input [yellow] 3 4 6 2" xfId="42262"/>
    <cellStyle name="Input [yellow] 3 4 6 3" xfId="42664"/>
    <cellStyle name="Input [yellow] 3 4 6 4" xfId="30695"/>
    <cellStyle name="Input [yellow] 3 4 7" xfId="12723"/>
    <cellStyle name="Input [yellow] 3 4 7 2" xfId="42159"/>
    <cellStyle name="Input [yellow] 3 4 7 3" xfId="39526"/>
    <cellStyle name="Input [yellow] 3 4 7 4" xfId="30367"/>
    <cellStyle name="Input [yellow] 3 4 8" xfId="20453"/>
    <cellStyle name="Input [yellow] 3 4 8 2" xfId="45975"/>
    <cellStyle name="Input [yellow] 3 4 8 3" xfId="49881"/>
    <cellStyle name="Input [yellow] 3 4 8 4" xfId="37892"/>
    <cellStyle name="Input [yellow] 3 4 9" xfId="19666"/>
    <cellStyle name="Input [yellow] 3 4 9 2" xfId="45188"/>
    <cellStyle name="Input [yellow] 3 4 9 3" xfId="49094"/>
    <cellStyle name="Input [yellow] 3 4 9 4" xfId="37184"/>
    <cellStyle name="Input [yellow] 3 5" xfId="10436"/>
    <cellStyle name="Input [yellow] 3 5 2" xfId="18223"/>
    <cellStyle name="Input [yellow] 3 5 2 2" xfId="43755"/>
    <cellStyle name="Input [yellow] 3 5 2 3" xfId="47664"/>
    <cellStyle name="Input [yellow] 3 5 2 4" xfId="35846"/>
    <cellStyle name="Input [yellow] 3 5 3" xfId="19757"/>
    <cellStyle name="Input [yellow] 3 5 3 2" xfId="45279"/>
    <cellStyle name="Input [yellow] 3 5 3 3" xfId="49185"/>
    <cellStyle name="Input [yellow] 3 5 3 4" xfId="37270"/>
    <cellStyle name="Input [yellow] 3 5 4" xfId="20088"/>
    <cellStyle name="Input [yellow] 3 5 4 2" xfId="45610"/>
    <cellStyle name="Input [yellow] 3 5 4 3" xfId="49516"/>
    <cellStyle name="Input [yellow] 3 5 4 4" xfId="37563"/>
    <cellStyle name="Input [yellow] 3 5 5" xfId="20636"/>
    <cellStyle name="Input [yellow] 3 5 5 2" xfId="46158"/>
    <cellStyle name="Input [yellow] 3 5 5 3" xfId="50064"/>
    <cellStyle name="Input [yellow] 3 5 5 4" xfId="38028"/>
    <cellStyle name="Input [yellow] 3 5 6" xfId="21289"/>
    <cellStyle name="Input [yellow] 3 5 6 2" xfId="46811"/>
    <cellStyle name="Input [yellow] 3 5 6 3" xfId="50717"/>
    <cellStyle name="Input [yellow] 3 5 7" xfId="40614"/>
    <cellStyle name="Input [yellow] 3 5 8" xfId="43376"/>
    <cellStyle name="Input [yellow] 3 6" xfId="7775"/>
    <cellStyle name="Input [yellow] 3 6 2" xfId="15566"/>
    <cellStyle name="Input [yellow] 3 6 2 2" xfId="43228"/>
    <cellStyle name="Input [yellow] 3 6 2 3" xfId="39233"/>
    <cellStyle name="Input [yellow] 3 6 2 4" xfId="33187"/>
    <cellStyle name="Input [yellow] 3 6 3" xfId="19175"/>
    <cellStyle name="Input [yellow] 3 6 3 2" xfId="44697"/>
    <cellStyle name="Input [yellow] 3 6 3 3" xfId="48603"/>
    <cellStyle name="Input [yellow] 3 6 3 4" xfId="36748"/>
    <cellStyle name="Input [yellow] 3 6 4" xfId="19857"/>
    <cellStyle name="Input [yellow] 3 6 4 2" xfId="45379"/>
    <cellStyle name="Input [yellow] 3 6 4 3" xfId="49285"/>
    <cellStyle name="Input [yellow] 3 6 4 4" xfId="37357"/>
    <cellStyle name="Input [yellow] 3 6 5" xfId="19021"/>
    <cellStyle name="Input [yellow] 3 6 5 2" xfId="44543"/>
    <cellStyle name="Input [yellow] 3 6 5 3" xfId="48449"/>
    <cellStyle name="Input [yellow] 3 6 5 4" xfId="36613"/>
    <cellStyle name="Input [yellow] 3 6 6" xfId="20466"/>
    <cellStyle name="Input [yellow] 3 6 6 2" xfId="45988"/>
    <cellStyle name="Input [yellow] 3 6 6 3" xfId="49894"/>
    <cellStyle name="Input [yellow] 3 6 7" xfId="40087"/>
    <cellStyle name="Input [yellow] 3 6 8" xfId="40369"/>
    <cellStyle name="Input [yellow] 3 7" xfId="52950"/>
    <cellStyle name="Input [yellow] 3_BallGrid" xfId="1783"/>
    <cellStyle name="Input [yellow] 4" xfId="1784"/>
    <cellStyle name="Input [yellow] 4 2" xfId="1785"/>
    <cellStyle name="Input [yellow] 4 2 2" xfId="6994"/>
    <cellStyle name="Input [yellow] 4 2 2 10" xfId="39734"/>
    <cellStyle name="Input [yellow] 4 2 2 11" xfId="41702"/>
    <cellStyle name="Input [yellow] 4 2 2 2" xfId="10521"/>
    <cellStyle name="Input [yellow] 4 2 2 2 2" xfId="18308"/>
    <cellStyle name="Input [yellow] 4 2 2 2 2 2" xfId="43840"/>
    <cellStyle name="Input [yellow] 4 2 2 2 2 3" xfId="47749"/>
    <cellStyle name="Input [yellow] 4 2 2 2 2 4" xfId="35931"/>
    <cellStyle name="Input [yellow] 4 2 2 2 3" xfId="12614"/>
    <cellStyle name="Input [yellow] 4 2 2 2 3 2" xfId="42074"/>
    <cellStyle name="Input [yellow] 4 2 2 2 3 3" xfId="39288"/>
    <cellStyle name="Input [yellow] 4 2 2 2 3 4" xfId="30265"/>
    <cellStyle name="Input [yellow] 4 2 2 2 4" xfId="19973"/>
    <cellStyle name="Input [yellow] 4 2 2 2 4 2" xfId="45495"/>
    <cellStyle name="Input [yellow] 4 2 2 2 4 3" xfId="49401"/>
    <cellStyle name="Input [yellow] 4 2 2 2 4 4" xfId="37458"/>
    <cellStyle name="Input [yellow] 4 2 2 2 5" xfId="20721"/>
    <cellStyle name="Input [yellow] 4 2 2 2 5 2" xfId="46243"/>
    <cellStyle name="Input [yellow] 4 2 2 2 5 3" xfId="50149"/>
    <cellStyle name="Input [yellow] 4 2 2 2 5 4" xfId="38113"/>
    <cellStyle name="Input [yellow] 4 2 2 2 6" xfId="21374"/>
    <cellStyle name="Input [yellow] 4 2 2 2 6 2" xfId="46896"/>
    <cellStyle name="Input [yellow] 4 2 2 2 6 3" xfId="50802"/>
    <cellStyle name="Input [yellow] 4 2 2 2 7" xfId="40699"/>
    <cellStyle name="Input [yellow] 4 2 2 2 8" xfId="42723"/>
    <cellStyle name="Input [yellow] 4 2 2 3" xfId="10816"/>
    <cellStyle name="Input [yellow] 4 2 2 3 2" xfId="18603"/>
    <cellStyle name="Input [yellow] 4 2 2 3 2 2" xfId="44135"/>
    <cellStyle name="Input [yellow] 4 2 2 3 2 3" xfId="48044"/>
    <cellStyle name="Input [yellow] 4 2 2 3 2 4" xfId="36226"/>
    <cellStyle name="Input [yellow] 4 2 2 3 3" xfId="20000"/>
    <cellStyle name="Input [yellow] 4 2 2 3 3 2" xfId="45522"/>
    <cellStyle name="Input [yellow] 4 2 2 3 3 3" xfId="49428"/>
    <cellStyle name="Input [yellow] 4 2 2 3 3 4" xfId="37484"/>
    <cellStyle name="Input [yellow] 4 2 2 3 4" xfId="18869"/>
    <cellStyle name="Input [yellow] 4 2 2 3 4 2" xfId="44391"/>
    <cellStyle name="Input [yellow] 4 2 2 3 4 3" xfId="48297"/>
    <cellStyle name="Input [yellow] 4 2 2 3 4 4" xfId="36492"/>
    <cellStyle name="Input [yellow] 4 2 2 3 5" xfId="21016"/>
    <cellStyle name="Input [yellow] 4 2 2 3 5 2" xfId="46538"/>
    <cellStyle name="Input [yellow] 4 2 2 3 5 3" xfId="50444"/>
    <cellStyle name="Input [yellow] 4 2 2 3 5 4" xfId="38408"/>
    <cellStyle name="Input [yellow] 4 2 2 3 6" xfId="21669"/>
    <cellStyle name="Input [yellow] 4 2 2 3 6 2" xfId="47191"/>
    <cellStyle name="Input [yellow] 4 2 2 3 6 3" xfId="51097"/>
    <cellStyle name="Input [yellow] 4 2 2 3 7" xfId="40994"/>
    <cellStyle name="Input [yellow] 4 2 2 3 8" xfId="43487"/>
    <cellStyle name="Input [yellow] 4 2 2 4" xfId="10166"/>
    <cellStyle name="Input [yellow] 4 2 2 4 2" xfId="17953"/>
    <cellStyle name="Input [yellow] 4 2 2 4 2 2" xfId="43728"/>
    <cellStyle name="Input [yellow] 4 2 2 4 2 3" xfId="47651"/>
    <cellStyle name="Input [yellow] 4 2 2 4 2 4" xfId="35576"/>
    <cellStyle name="Input [yellow] 4 2 2 4 3" xfId="13302"/>
    <cellStyle name="Input [yellow] 4 2 2 4 3 2" xfId="42453"/>
    <cellStyle name="Input [yellow] 4 2 2 4 3 3" xfId="39410"/>
    <cellStyle name="Input [yellow] 4 2 2 4 3 4" xfId="30929"/>
    <cellStyle name="Input [yellow] 4 2 2 4 4" xfId="19355"/>
    <cellStyle name="Input [yellow] 4 2 2 4 4 2" xfId="44877"/>
    <cellStyle name="Input [yellow] 4 2 2 4 4 3" xfId="48783"/>
    <cellStyle name="Input [yellow] 4 2 2 4 4 4" xfId="36909"/>
    <cellStyle name="Input [yellow] 4 2 2 4 5" xfId="20623"/>
    <cellStyle name="Input [yellow] 4 2 2 4 5 2" xfId="46145"/>
    <cellStyle name="Input [yellow] 4 2 2 4 5 3" xfId="50051"/>
    <cellStyle name="Input [yellow] 4 2 2 4 5 4" xfId="38015"/>
    <cellStyle name="Input [yellow] 4 2 2 4 6" xfId="21276"/>
    <cellStyle name="Input [yellow] 4 2 2 4 6 2" xfId="46798"/>
    <cellStyle name="Input [yellow] 4 2 2 4 6 3" xfId="50704"/>
    <cellStyle name="Input [yellow] 4 2 2 4 7" xfId="40587"/>
    <cellStyle name="Input [yellow] 4 2 2 4 8" xfId="47567"/>
    <cellStyle name="Input [yellow] 4 2 2 5" xfId="14776"/>
    <cellStyle name="Input [yellow] 4 2 2 5 2" xfId="42874"/>
    <cellStyle name="Input [yellow] 4 2 2 5 3" xfId="39613"/>
    <cellStyle name="Input [yellow] 4 2 2 5 4" xfId="32397"/>
    <cellStyle name="Input [yellow] 4 2 2 6" xfId="13064"/>
    <cellStyle name="Input [yellow] 4 2 2 6 2" xfId="42266"/>
    <cellStyle name="Input [yellow] 4 2 2 6 3" xfId="42530"/>
    <cellStyle name="Input [yellow] 4 2 2 6 4" xfId="30699"/>
    <cellStyle name="Input [yellow] 4 2 2 7" xfId="20183"/>
    <cellStyle name="Input [yellow] 4 2 2 7 2" xfId="45705"/>
    <cellStyle name="Input [yellow] 4 2 2 7 3" xfId="49611"/>
    <cellStyle name="Input [yellow] 4 2 2 7 4" xfId="37652"/>
    <cellStyle name="Input [yellow] 4 2 2 8" xfId="12660"/>
    <cellStyle name="Input [yellow] 4 2 2 8 2" xfId="42120"/>
    <cellStyle name="Input [yellow] 4 2 2 8 3" xfId="43661"/>
    <cellStyle name="Input [yellow] 4 2 2 8 4" xfId="30310"/>
    <cellStyle name="Input [yellow] 4 2 2 9" xfId="19196"/>
    <cellStyle name="Input [yellow] 4 2 2 9 2" xfId="44718"/>
    <cellStyle name="Input [yellow] 4 2 2 9 3" xfId="48624"/>
    <cellStyle name="Input [yellow] 4 2 2 9 4" xfId="36767"/>
    <cellStyle name="Input [yellow] 4 2 3" xfId="10440"/>
    <cellStyle name="Input [yellow] 4 2 3 2" xfId="18227"/>
    <cellStyle name="Input [yellow] 4 2 3 2 2" xfId="43759"/>
    <cellStyle name="Input [yellow] 4 2 3 2 3" xfId="47668"/>
    <cellStyle name="Input [yellow] 4 2 3 2 4" xfId="35850"/>
    <cellStyle name="Input [yellow] 4 2 3 3" xfId="19429"/>
    <cellStyle name="Input [yellow] 4 2 3 3 2" xfId="44951"/>
    <cellStyle name="Input [yellow] 4 2 3 3 3" xfId="48857"/>
    <cellStyle name="Input [yellow] 4 2 3 3 4" xfId="36980"/>
    <cellStyle name="Input [yellow] 4 2 3 4" xfId="20374"/>
    <cellStyle name="Input [yellow] 4 2 3 4 2" xfId="45896"/>
    <cellStyle name="Input [yellow] 4 2 3 4 3" xfId="49802"/>
    <cellStyle name="Input [yellow] 4 2 3 4 4" xfId="37814"/>
    <cellStyle name="Input [yellow] 4 2 3 5" xfId="20640"/>
    <cellStyle name="Input [yellow] 4 2 3 5 2" xfId="46162"/>
    <cellStyle name="Input [yellow] 4 2 3 5 3" xfId="50068"/>
    <cellStyle name="Input [yellow] 4 2 3 5 4" xfId="38032"/>
    <cellStyle name="Input [yellow] 4 2 3 6" xfId="21293"/>
    <cellStyle name="Input [yellow] 4 2 3 6 2" xfId="46815"/>
    <cellStyle name="Input [yellow] 4 2 3 6 3" xfId="50721"/>
    <cellStyle name="Input [yellow] 4 2 3 7" xfId="40618"/>
    <cellStyle name="Input [yellow] 4 2 3 8" xfId="39177"/>
    <cellStyle name="Input [yellow] 4 2 4" xfId="7779"/>
    <cellStyle name="Input [yellow] 4 2 4 2" xfId="15570"/>
    <cellStyle name="Input [yellow] 4 2 4 2 2" xfId="43232"/>
    <cellStyle name="Input [yellow] 4 2 4 2 3" xfId="39234"/>
    <cellStyle name="Input [yellow] 4 2 4 2 4" xfId="33191"/>
    <cellStyle name="Input [yellow] 4 2 4 3" xfId="11420"/>
    <cellStyle name="Input [yellow] 4 2 4 3 2" xfId="41425"/>
    <cellStyle name="Input [yellow] 4 2 4 3 3" xfId="47550"/>
    <cellStyle name="Input [yellow] 4 2 4 3 4" xfId="29127"/>
    <cellStyle name="Input [yellow] 4 2 4 4" xfId="18977"/>
    <cellStyle name="Input [yellow] 4 2 4 4 2" xfId="44499"/>
    <cellStyle name="Input [yellow] 4 2 4 4 3" xfId="48405"/>
    <cellStyle name="Input [yellow] 4 2 4 4 4" xfId="36585"/>
    <cellStyle name="Input [yellow] 4 2 4 5" xfId="20101"/>
    <cellStyle name="Input [yellow] 4 2 4 5 2" xfId="45623"/>
    <cellStyle name="Input [yellow] 4 2 4 5 3" xfId="49529"/>
    <cellStyle name="Input [yellow] 4 2 4 5 4" xfId="37575"/>
    <cellStyle name="Input [yellow] 4 2 4 6" xfId="18975"/>
    <cellStyle name="Input [yellow] 4 2 4 6 2" xfId="44497"/>
    <cellStyle name="Input [yellow] 4 2 4 6 3" xfId="48403"/>
    <cellStyle name="Input [yellow] 4 2 4 7" xfId="40091"/>
    <cellStyle name="Input [yellow] 4 2 4 8" xfId="43390"/>
    <cellStyle name="Input [yellow] 4 2 5" xfId="52953"/>
    <cellStyle name="Input [yellow] 4 3" xfId="1786"/>
    <cellStyle name="Input [yellow] 4 3 2" xfId="6995"/>
    <cellStyle name="Input [yellow] 4 3 2 10" xfId="39735"/>
    <cellStyle name="Input [yellow] 4 3 2 11" xfId="43252"/>
    <cellStyle name="Input [yellow] 4 3 2 2" xfId="10522"/>
    <cellStyle name="Input [yellow] 4 3 2 2 2" xfId="18309"/>
    <cellStyle name="Input [yellow] 4 3 2 2 2 2" xfId="43841"/>
    <cellStyle name="Input [yellow] 4 3 2 2 2 3" xfId="47750"/>
    <cellStyle name="Input [yellow] 4 3 2 2 2 4" xfId="35932"/>
    <cellStyle name="Input [yellow] 4 3 2 2 3" xfId="13313"/>
    <cellStyle name="Input [yellow] 4 3 2 2 3 2" xfId="42464"/>
    <cellStyle name="Input [yellow] 4 3 2 2 3 3" xfId="39620"/>
    <cellStyle name="Input [yellow] 4 3 2 2 3 4" xfId="30939"/>
    <cellStyle name="Input [yellow] 4 3 2 2 4" xfId="18953"/>
    <cellStyle name="Input [yellow] 4 3 2 2 4 2" xfId="44475"/>
    <cellStyle name="Input [yellow] 4 3 2 2 4 3" xfId="48381"/>
    <cellStyle name="Input [yellow] 4 3 2 2 4 4" xfId="36565"/>
    <cellStyle name="Input [yellow] 4 3 2 2 5" xfId="20722"/>
    <cellStyle name="Input [yellow] 4 3 2 2 5 2" xfId="46244"/>
    <cellStyle name="Input [yellow] 4 3 2 2 5 3" xfId="50150"/>
    <cellStyle name="Input [yellow] 4 3 2 2 5 4" xfId="38114"/>
    <cellStyle name="Input [yellow] 4 3 2 2 6" xfId="21375"/>
    <cellStyle name="Input [yellow] 4 3 2 2 6 2" xfId="46897"/>
    <cellStyle name="Input [yellow] 4 3 2 2 6 3" xfId="50803"/>
    <cellStyle name="Input [yellow] 4 3 2 2 7" xfId="40700"/>
    <cellStyle name="Input [yellow] 4 3 2 2 8" xfId="43612"/>
    <cellStyle name="Input [yellow] 4 3 2 3" xfId="10817"/>
    <cellStyle name="Input [yellow] 4 3 2 3 2" xfId="18604"/>
    <cellStyle name="Input [yellow] 4 3 2 3 2 2" xfId="44136"/>
    <cellStyle name="Input [yellow] 4 3 2 3 2 3" xfId="48045"/>
    <cellStyle name="Input [yellow] 4 3 2 3 2 4" xfId="36227"/>
    <cellStyle name="Input [yellow] 4 3 2 3 3" xfId="19266"/>
    <cellStyle name="Input [yellow] 4 3 2 3 3 2" xfId="44788"/>
    <cellStyle name="Input [yellow] 4 3 2 3 3 3" xfId="48694"/>
    <cellStyle name="Input [yellow] 4 3 2 3 3 4" xfId="36830"/>
    <cellStyle name="Input [yellow] 4 3 2 3 4" xfId="20119"/>
    <cellStyle name="Input [yellow] 4 3 2 3 4 2" xfId="45641"/>
    <cellStyle name="Input [yellow] 4 3 2 3 4 3" xfId="49547"/>
    <cellStyle name="Input [yellow] 4 3 2 3 4 4" xfId="37591"/>
    <cellStyle name="Input [yellow] 4 3 2 3 5" xfId="21017"/>
    <cellStyle name="Input [yellow] 4 3 2 3 5 2" xfId="46539"/>
    <cellStyle name="Input [yellow] 4 3 2 3 5 3" xfId="50445"/>
    <cellStyle name="Input [yellow] 4 3 2 3 5 4" xfId="38409"/>
    <cellStyle name="Input [yellow] 4 3 2 3 6" xfId="21670"/>
    <cellStyle name="Input [yellow] 4 3 2 3 6 2" xfId="47192"/>
    <cellStyle name="Input [yellow] 4 3 2 3 6 3" xfId="51098"/>
    <cellStyle name="Input [yellow] 4 3 2 3 7" xfId="40995"/>
    <cellStyle name="Input [yellow] 4 3 2 3 8" xfId="40350"/>
    <cellStyle name="Input [yellow] 4 3 2 4" xfId="10167"/>
    <cellStyle name="Input [yellow] 4 3 2 4 2" xfId="17954"/>
    <cellStyle name="Input [yellow] 4 3 2 4 2 2" xfId="43729"/>
    <cellStyle name="Input [yellow] 4 3 2 4 2 3" xfId="47652"/>
    <cellStyle name="Input [yellow] 4 3 2 4 2 4" xfId="35577"/>
    <cellStyle name="Input [yellow] 4 3 2 4 3" xfId="19615"/>
    <cellStyle name="Input [yellow] 4 3 2 4 3 2" xfId="45137"/>
    <cellStyle name="Input [yellow] 4 3 2 4 3 3" xfId="49043"/>
    <cellStyle name="Input [yellow] 4 3 2 4 3 4" xfId="37140"/>
    <cellStyle name="Input [yellow] 4 3 2 4 4" xfId="19235"/>
    <cellStyle name="Input [yellow] 4 3 2 4 4 2" xfId="44757"/>
    <cellStyle name="Input [yellow] 4 3 2 4 4 3" xfId="48663"/>
    <cellStyle name="Input [yellow] 4 3 2 4 4 4" xfId="36799"/>
    <cellStyle name="Input [yellow] 4 3 2 4 5" xfId="20624"/>
    <cellStyle name="Input [yellow] 4 3 2 4 5 2" xfId="46146"/>
    <cellStyle name="Input [yellow] 4 3 2 4 5 3" xfId="50052"/>
    <cellStyle name="Input [yellow] 4 3 2 4 5 4" xfId="38016"/>
    <cellStyle name="Input [yellow] 4 3 2 4 6" xfId="21277"/>
    <cellStyle name="Input [yellow] 4 3 2 4 6 2" xfId="46799"/>
    <cellStyle name="Input [yellow] 4 3 2 4 6 3" xfId="50705"/>
    <cellStyle name="Input [yellow] 4 3 2 4 7" xfId="40588"/>
    <cellStyle name="Input [yellow] 4 3 2 4 8" xfId="43505"/>
    <cellStyle name="Input [yellow] 4 3 2 5" xfId="14777"/>
    <cellStyle name="Input [yellow] 4 3 2 5 2" xfId="42875"/>
    <cellStyle name="Input [yellow] 4 3 2 5 3" xfId="42649"/>
    <cellStyle name="Input [yellow] 4 3 2 5 4" xfId="32398"/>
    <cellStyle name="Input [yellow] 4 3 2 6" xfId="13065"/>
    <cellStyle name="Input [yellow] 4 3 2 6 2" xfId="42267"/>
    <cellStyle name="Input [yellow] 4 3 2 6 3" xfId="43441"/>
    <cellStyle name="Input [yellow] 4 3 2 6 4" xfId="30700"/>
    <cellStyle name="Input [yellow] 4 3 2 7" xfId="13236"/>
    <cellStyle name="Input [yellow] 4 3 2 7 2" xfId="42398"/>
    <cellStyle name="Input [yellow] 4 3 2 7 3" xfId="43547"/>
    <cellStyle name="Input [yellow] 4 3 2 7 4" xfId="30867"/>
    <cellStyle name="Input [yellow] 4 3 2 8" xfId="20360"/>
    <cellStyle name="Input [yellow] 4 3 2 8 2" xfId="45882"/>
    <cellStyle name="Input [yellow] 4 3 2 8 3" xfId="49788"/>
    <cellStyle name="Input [yellow] 4 3 2 8 4" xfId="37802"/>
    <cellStyle name="Input [yellow] 4 3 2 9" xfId="19850"/>
    <cellStyle name="Input [yellow] 4 3 2 9 2" xfId="45372"/>
    <cellStyle name="Input [yellow] 4 3 2 9 3" xfId="49278"/>
    <cellStyle name="Input [yellow] 4 3 2 9 4" xfId="37350"/>
    <cellStyle name="Input [yellow] 4 3 3" xfId="10441"/>
    <cellStyle name="Input [yellow] 4 3 3 2" xfId="18228"/>
    <cellStyle name="Input [yellow] 4 3 3 2 2" xfId="43760"/>
    <cellStyle name="Input [yellow] 4 3 3 2 3" xfId="47669"/>
    <cellStyle name="Input [yellow] 4 3 3 2 4" xfId="35851"/>
    <cellStyle name="Input [yellow] 4 3 3 3" xfId="20036"/>
    <cellStyle name="Input [yellow] 4 3 3 3 2" xfId="45558"/>
    <cellStyle name="Input [yellow] 4 3 3 3 3" xfId="49464"/>
    <cellStyle name="Input [yellow] 4 3 3 3 4" xfId="37520"/>
    <cellStyle name="Input [yellow] 4 3 3 4" xfId="20180"/>
    <cellStyle name="Input [yellow] 4 3 3 4 2" xfId="45702"/>
    <cellStyle name="Input [yellow] 4 3 3 4 3" xfId="49608"/>
    <cellStyle name="Input [yellow] 4 3 3 4 4" xfId="37649"/>
    <cellStyle name="Input [yellow] 4 3 3 5" xfId="20641"/>
    <cellStyle name="Input [yellow] 4 3 3 5 2" xfId="46163"/>
    <cellStyle name="Input [yellow] 4 3 3 5 3" xfId="50069"/>
    <cellStyle name="Input [yellow] 4 3 3 5 4" xfId="38033"/>
    <cellStyle name="Input [yellow] 4 3 3 6" xfId="21294"/>
    <cellStyle name="Input [yellow] 4 3 3 6 2" xfId="46816"/>
    <cellStyle name="Input [yellow] 4 3 3 6 3" xfId="50722"/>
    <cellStyle name="Input [yellow] 4 3 3 7" xfId="40619"/>
    <cellStyle name="Input [yellow] 4 3 3 8" xfId="40002"/>
    <cellStyle name="Input [yellow] 4 3 4" xfId="7780"/>
    <cellStyle name="Input [yellow] 4 3 4 2" xfId="15571"/>
    <cellStyle name="Input [yellow] 4 3 4 2 2" xfId="43233"/>
    <cellStyle name="Input [yellow] 4 3 4 2 3" xfId="39026"/>
    <cellStyle name="Input [yellow] 4 3 4 2 4" xfId="33192"/>
    <cellStyle name="Input [yellow] 4 3 4 3" xfId="13255"/>
    <cellStyle name="Input [yellow] 4 3 4 3 2" xfId="42406"/>
    <cellStyle name="Input [yellow] 4 3 4 3 3" xfId="42658"/>
    <cellStyle name="Input [yellow] 4 3 4 3 4" xfId="30886"/>
    <cellStyle name="Input [yellow] 4 3 4 4" xfId="19834"/>
    <cellStyle name="Input [yellow] 4 3 4 4 2" xfId="45356"/>
    <cellStyle name="Input [yellow] 4 3 4 4 3" xfId="49262"/>
    <cellStyle name="Input [yellow] 4 3 4 4 4" xfId="37336"/>
    <cellStyle name="Input [yellow] 4 3 4 5" xfId="11666"/>
    <cellStyle name="Input [yellow] 4 3 4 5 2" xfId="41657"/>
    <cellStyle name="Input [yellow] 4 3 4 5 3" xfId="40429"/>
    <cellStyle name="Input [yellow] 4 3 4 5 4" xfId="29346"/>
    <cellStyle name="Input [yellow] 4 3 4 6" xfId="18997"/>
    <cellStyle name="Input [yellow] 4 3 4 6 2" xfId="44519"/>
    <cellStyle name="Input [yellow] 4 3 4 6 3" xfId="48425"/>
    <cellStyle name="Input [yellow] 4 3 4 7" xfId="40092"/>
    <cellStyle name="Input [yellow] 4 3 4 8" xfId="40252"/>
    <cellStyle name="Input [yellow] 4 4" xfId="6993"/>
    <cellStyle name="Input [yellow] 4 4 10" xfId="39733"/>
    <cellStyle name="Input [yellow] 4 4 11" xfId="47577"/>
    <cellStyle name="Input [yellow] 4 4 2" xfId="10520"/>
    <cellStyle name="Input [yellow] 4 4 2 2" xfId="18307"/>
    <cellStyle name="Input [yellow] 4 4 2 2 2" xfId="43839"/>
    <cellStyle name="Input [yellow] 4 4 2 2 3" xfId="47748"/>
    <cellStyle name="Input [yellow] 4 4 2 2 4" xfId="35930"/>
    <cellStyle name="Input [yellow] 4 4 2 3" xfId="19748"/>
    <cellStyle name="Input [yellow] 4 4 2 3 2" xfId="45270"/>
    <cellStyle name="Input [yellow] 4 4 2 3 3" xfId="49176"/>
    <cellStyle name="Input [yellow] 4 4 2 3 4" xfId="37261"/>
    <cellStyle name="Input [yellow] 4 4 2 4" xfId="12643"/>
    <cellStyle name="Input [yellow] 4 4 2 4 2" xfId="42103"/>
    <cellStyle name="Input [yellow] 4 4 2 4 3" xfId="42669"/>
    <cellStyle name="Input [yellow] 4 4 2 4 4" xfId="30294"/>
    <cellStyle name="Input [yellow] 4 4 2 5" xfId="20720"/>
    <cellStyle name="Input [yellow] 4 4 2 5 2" xfId="46242"/>
    <cellStyle name="Input [yellow] 4 4 2 5 3" xfId="50148"/>
    <cellStyle name="Input [yellow] 4 4 2 5 4" xfId="38112"/>
    <cellStyle name="Input [yellow] 4 4 2 6" xfId="21373"/>
    <cellStyle name="Input [yellow] 4 4 2 6 2" xfId="46895"/>
    <cellStyle name="Input [yellow] 4 4 2 6 3" xfId="50801"/>
    <cellStyle name="Input [yellow] 4 4 2 7" xfId="40698"/>
    <cellStyle name="Input [yellow] 4 4 2 8" xfId="39686"/>
    <cellStyle name="Input [yellow] 4 4 3" xfId="10815"/>
    <cellStyle name="Input [yellow] 4 4 3 2" xfId="18602"/>
    <cellStyle name="Input [yellow] 4 4 3 2 2" xfId="44134"/>
    <cellStyle name="Input [yellow] 4 4 3 2 3" xfId="48043"/>
    <cellStyle name="Input [yellow] 4 4 3 2 4" xfId="36225"/>
    <cellStyle name="Input [yellow] 4 4 3 3" xfId="19393"/>
    <cellStyle name="Input [yellow] 4 4 3 3 2" xfId="44915"/>
    <cellStyle name="Input [yellow] 4 4 3 3 3" xfId="48821"/>
    <cellStyle name="Input [yellow] 4 4 3 3 4" xfId="36944"/>
    <cellStyle name="Input [yellow] 4 4 3 4" xfId="18871"/>
    <cellStyle name="Input [yellow] 4 4 3 4 2" xfId="44393"/>
    <cellStyle name="Input [yellow] 4 4 3 4 3" xfId="48299"/>
    <cellStyle name="Input [yellow] 4 4 3 4 4" xfId="36494"/>
    <cellStyle name="Input [yellow] 4 4 3 5" xfId="21015"/>
    <cellStyle name="Input [yellow] 4 4 3 5 2" xfId="46537"/>
    <cellStyle name="Input [yellow] 4 4 3 5 3" xfId="50443"/>
    <cellStyle name="Input [yellow] 4 4 3 5 4" xfId="38407"/>
    <cellStyle name="Input [yellow] 4 4 3 6" xfId="21668"/>
    <cellStyle name="Input [yellow] 4 4 3 6 2" xfId="47190"/>
    <cellStyle name="Input [yellow] 4 4 3 6 3" xfId="51096"/>
    <cellStyle name="Input [yellow] 4 4 3 7" xfId="40993"/>
    <cellStyle name="Input [yellow] 4 4 3 8" xfId="42574"/>
    <cellStyle name="Input [yellow] 4 4 4" xfId="10165"/>
    <cellStyle name="Input [yellow] 4 4 4 2" xfId="17952"/>
    <cellStyle name="Input [yellow] 4 4 4 2 2" xfId="43727"/>
    <cellStyle name="Input [yellow] 4 4 4 2 3" xfId="47650"/>
    <cellStyle name="Input [yellow] 4 4 4 2 4" xfId="35575"/>
    <cellStyle name="Input [yellow] 4 4 4 3" xfId="11466"/>
    <cellStyle name="Input [yellow] 4 4 4 3 2" xfId="41457"/>
    <cellStyle name="Input [yellow] 4 4 4 3 3" xfId="39145"/>
    <cellStyle name="Input [yellow] 4 4 4 3 4" xfId="29168"/>
    <cellStyle name="Input [yellow] 4 4 4 4" xfId="19839"/>
    <cellStyle name="Input [yellow] 4 4 4 4 2" xfId="45361"/>
    <cellStyle name="Input [yellow] 4 4 4 4 3" xfId="49267"/>
    <cellStyle name="Input [yellow] 4 4 4 4 4" xfId="37341"/>
    <cellStyle name="Input [yellow] 4 4 4 5" xfId="20622"/>
    <cellStyle name="Input [yellow] 4 4 4 5 2" xfId="46144"/>
    <cellStyle name="Input [yellow] 4 4 4 5 3" xfId="50050"/>
    <cellStyle name="Input [yellow] 4 4 4 5 4" xfId="38014"/>
    <cellStyle name="Input [yellow] 4 4 4 6" xfId="21275"/>
    <cellStyle name="Input [yellow] 4 4 4 6 2" xfId="46797"/>
    <cellStyle name="Input [yellow] 4 4 4 6 3" xfId="50703"/>
    <cellStyle name="Input [yellow] 4 4 4 7" xfId="40586"/>
    <cellStyle name="Input [yellow] 4 4 4 8" xfId="42592"/>
    <cellStyle name="Input [yellow] 4 4 5" xfId="14775"/>
    <cellStyle name="Input [yellow] 4 4 5 2" xfId="42873"/>
    <cellStyle name="Input [yellow] 4 4 5 3" xfId="40505"/>
    <cellStyle name="Input [yellow] 4 4 5 4" xfId="32396"/>
    <cellStyle name="Input [yellow] 4 4 6" xfId="13063"/>
    <cellStyle name="Input [yellow] 4 4 6 2" xfId="42265"/>
    <cellStyle name="Input [yellow] 4 4 6 3" xfId="39520"/>
    <cellStyle name="Input [yellow] 4 4 6 4" xfId="30698"/>
    <cellStyle name="Input [yellow] 4 4 7" xfId="19562"/>
    <cellStyle name="Input [yellow] 4 4 7 2" xfId="45084"/>
    <cellStyle name="Input [yellow] 4 4 7 3" xfId="48990"/>
    <cellStyle name="Input [yellow] 4 4 7 4" xfId="37088"/>
    <cellStyle name="Input [yellow] 4 4 8" xfId="19773"/>
    <cellStyle name="Input [yellow] 4 4 8 2" xfId="45295"/>
    <cellStyle name="Input [yellow] 4 4 8 3" xfId="49201"/>
    <cellStyle name="Input [yellow] 4 4 8 4" xfId="37284"/>
    <cellStyle name="Input [yellow] 4 4 9" xfId="20051"/>
    <cellStyle name="Input [yellow] 4 4 9 2" xfId="45573"/>
    <cellStyle name="Input [yellow] 4 4 9 3" xfId="49479"/>
    <cellStyle name="Input [yellow] 4 4 9 4" xfId="37532"/>
    <cellStyle name="Input [yellow] 4 5" xfId="10439"/>
    <cellStyle name="Input [yellow] 4 5 2" xfId="18226"/>
    <cellStyle name="Input [yellow] 4 5 2 2" xfId="43758"/>
    <cellStyle name="Input [yellow] 4 5 2 3" xfId="47667"/>
    <cellStyle name="Input [yellow] 4 5 2 4" xfId="35849"/>
    <cellStyle name="Input [yellow] 4 5 3" xfId="20170"/>
    <cellStyle name="Input [yellow] 4 5 3 2" xfId="45692"/>
    <cellStyle name="Input [yellow] 4 5 3 3" xfId="49598"/>
    <cellStyle name="Input [yellow] 4 5 3 4" xfId="37641"/>
    <cellStyle name="Input [yellow] 4 5 4" xfId="19177"/>
    <cellStyle name="Input [yellow] 4 5 4 2" xfId="44699"/>
    <cellStyle name="Input [yellow] 4 5 4 3" xfId="48605"/>
    <cellStyle name="Input [yellow] 4 5 4 4" xfId="36750"/>
    <cellStyle name="Input [yellow] 4 5 5" xfId="20639"/>
    <cellStyle name="Input [yellow] 4 5 5 2" xfId="46161"/>
    <cellStyle name="Input [yellow] 4 5 5 3" xfId="50067"/>
    <cellStyle name="Input [yellow] 4 5 5 4" xfId="38031"/>
    <cellStyle name="Input [yellow] 4 5 6" xfId="21292"/>
    <cellStyle name="Input [yellow] 4 5 6 2" xfId="46814"/>
    <cellStyle name="Input [yellow] 4 5 6 3" xfId="50720"/>
    <cellStyle name="Input [yellow] 4 5 7" xfId="40617"/>
    <cellStyle name="Input [yellow] 4 5 8" xfId="39178"/>
    <cellStyle name="Input [yellow] 4 6" xfId="7778"/>
    <cellStyle name="Input [yellow] 4 6 2" xfId="15569"/>
    <cellStyle name="Input [yellow] 4 6 2 2" xfId="43231"/>
    <cellStyle name="Input [yellow] 4 6 2 3" xfId="40120"/>
    <cellStyle name="Input [yellow] 4 6 2 4" xfId="33190"/>
    <cellStyle name="Input [yellow] 4 6 3" xfId="19797"/>
    <cellStyle name="Input [yellow] 4 6 3 2" xfId="45319"/>
    <cellStyle name="Input [yellow] 4 6 3 3" xfId="49225"/>
    <cellStyle name="Input [yellow] 4 6 3 4" xfId="37304"/>
    <cellStyle name="Input [yellow] 4 6 4" xfId="19168"/>
    <cellStyle name="Input [yellow] 4 6 4 2" xfId="44690"/>
    <cellStyle name="Input [yellow] 4 6 4 3" xfId="48596"/>
    <cellStyle name="Input [yellow] 4 6 4 4" xfId="36742"/>
    <cellStyle name="Input [yellow] 4 6 5" xfId="20511"/>
    <cellStyle name="Input [yellow] 4 6 5 2" xfId="46033"/>
    <cellStyle name="Input [yellow] 4 6 5 3" xfId="49939"/>
    <cellStyle name="Input [yellow] 4 6 5 4" xfId="37930"/>
    <cellStyle name="Input [yellow] 4 6 6" xfId="19312"/>
    <cellStyle name="Input [yellow] 4 6 6 2" xfId="44834"/>
    <cellStyle name="Input [yellow] 4 6 6 3" xfId="48740"/>
    <cellStyle name="Input [yellow] 4 6 7" xfId="40090"/>
    <cellStyle name="Input [yellow] 4 6 8" xfId="42156"/>
    <cellStyle name="Input [yellow] 4 7" xfId="52952"/>
    <cellStyle name="Input [yellow] 4_BallGrid" xfId="1787"/>
    <cellStyle name="Input [yellow] 5" xfId="1788"/>
    <cellStyle name="Input [yellow] 5 2" xfId="1789"/>
    <cellStyle name="Input [yellow] 5 2 2" xfId="6997"/>
    <cellStyle name="Input [yellow] 5 2 2 10" xfId="39737"/>
    <cellStyle name="Input [yellow] 5 2 2 11" xfId="43080"/>
    <cellStyle name="Input [yellow] 5 2 2 2" xfId="10524"/>
    <cellStyle name="Input [yellow] 5 2 2 2 2" xfId="18311"/>
    <cellStyle name="Input [yellow] 5 2 2 2 2 2" xfId="43843"/>
    <cellStyle name="Input [yellow] 5 2 2 2 2 3" xfId="47752"/>
    <cellStyle name="Input [yellow] 5 2 2 2 2 4" xfId="35934"/>
    <cellStyle name="Input [yellow] 5 2 2 2 3" xfId="20159"/>
    <cellStyle name="Input [yellow] 5 2 2 2 3 2" xfId="45681"/>
    <cellStyle name="Input [yellow] 5 2 2 2 3 3" xfId="49587"/>
    <cellStyle name="Input [yellow] 5 2 2 2 3 4" xfId="37631"/>
    <cellStyle name="Input [yellow] 5 2 2 2 4" xfId="12635"/>
    <cellStyle name="Input [yellow] 5 2 2 2 4 2" xfId="42095"/>
    <cellStyle name="Input [yellow] 5 2 2 2 4 3" xfId="39083"/>
    <cellStyle name="Input [yellow] 5 2 2 2 4 4" xfId="30286"/>
    <cellStyle name="Input [yellow] 5 2 2 2 5" xfId="20724"/>
    <cellStyle name="Input [yellow] 5 2 2 2 5 2" xfId="46246"/>
    <cellStyle name="Input [yellow] 5 2 2 2 5 3" xfId="50152"/>
    <cellStyle name="Input [yellow] 5 2 2 2 5 4" xfId="38116"/>
    <cellStyle name="Input [yellow] 5 2 2 2 6" xfId="21377"/>
    <cellStyle name="Input [yellow] 5 2 2 2 6 2" xfId="46899"/>
    <cellStyle name="Input [yellow] 5 2 2 2 6 3" xfId="50805"/>
    <cellStyle name="Input [yellow] 5 2 2 2 7" xfId="40702"/>
    <cellStyle name="Input [yellow] 5 2 2 2 8" xfId="39580"/>
    <cellStyle name="Input [yellow] 5 2 2 3" xfId="10819"/>
    <cellStyle name="Input [yellow] 5 2 2 3 2" xfId="18606"/>
    <cellStyle name="Input [yellow] 5 2 2 3 2 2" xfId="44138"/>
    <cellStyle name="Input [yellow] 5 2 2 3 2 3" xfId="48047"/>
    <cellStyle name="Input [yellow] 5 2 2 3 2 4" xfId="36229"/>
    <cellStyle name="Input [yellow] 5 2 2 3 3" xfId="19098"/>
    <cellStyle name="Input [yellow] 5 2 2 3 3 2" xfId="44620"/>
    <cellStyle name="Input [yellow] 5 2 2 3 3 3" xfId="48526"/>
    <cellStyle name="Input [yellow] 5 2 2 3 3 4" xfId="36679"/>
    <cellStyle name="Input [yellow] 5 2 2 3 4" xfId="19853"/>
    <cellStyle name="Input [yellow] 5 2 2 3 4 2" xfId="45375"/>
    <cellStyle name="Input [yellow] 5 2 2 3 4 3" xfId="49281"/>
    <cellStyle name="Input [yellow] 5 2 2 3 4 4" xfId="37353"/>
    <cellStyle name="Input [yellow] 5 2 2 3 5" xfId="21019"/>
    <cellStyle name="Input [yellow] 5 2 2 3 5 2" xfId="46541"/>
    <cellStyle name="Input [yellow] 5 2 2 3 5 3" xfId="50447"/>
    <cellStyle name="Input [yellow] 5 2 2 3 5 4" xfId="38411"/>
    <cellStyle name="Input [yellow] 5 2 2 3 6" xfId="21672"/>
    <cellStyle name="Input [yellow] 5 2 2 3 6 2" xfId="47194"/>
    <cellStyle name="Input [yellow] 5 2 2 3 6 3" xfId="51100"/>
    <cellStyle name="Input [yellow] 5 2 2 3 7" xfId="40997"/>
    <cellStyle name="Input [yellow] 5 2 2 3 8" xfId="42033"/>
    <cellStyle name="Input [yellow] 5 2 2 4" xfId="10169"/>
    <cellStyle name="Input [yellow] 5 2 2 4 2" xfId="17956"/>
    <cellStyle name="Input [yellow] 5 2 2 4 2 2" xfId="43731"/>
    <cellStyle name="Input [yellow] 5 2 2 4 2 3" xfId="47654"/>
    <cellStyle name="Input [yellow] 5 2 2 4 2 4" xfId="35579"/>
    <cellStyle name="Input [yellow] 5 2 2 4 3" xfId="19432"/>
    <cellStyle name="Input [yellow] 5 2 2 4 3 2" xfId="44954"/>
    <cellStyle name="Input [yellow] 5 2 2 4 3 3" xfId="48860"/>
    <cellStyle name="Input [yellow] 5 2 2 4 3 4" xfId="36983"/>
    <cellStyle name="Input [yellow] 5 2 2 4 4" xfId="12117"/>
    <cellStyle name="Input [yellow] 5 2 2 4 4 2" xfId="41842"/>
    <cellStyle name="Input [yellow] 5 2 2 4 4 3" xfId="47470"/>
    <cellStyle name="Input [yellow] 5 2 2 4 4 4" xfId="29776"/>
    <cellStyle name="Input [yellow] 5 2 2 4 5" xfId="20626"/>
    <cellStyle name="Input [yellow] 5 2 2 4 5 2" xfId="46148"/>
    <cellStyle name="Input [yellow] 5 2 2 4 5 3" xfId="50054"/>
    <cellStyle name="Input [yellow] 5 2 2 4 5 4" xfId="38018"/>
    <cellStyle name="Input [yellow] 5 2 2 4 6" xfId="21279"/>
    <cellStyle name="Input [yellow] 5 2 2 4 6 2" xfId="46801"/>
    <cellStyle name="Input [yellow] 5 2 2 4 6 3" xfId="50707"/>
    <cellStyle name="Input [yellow] 5 2 2 4 7" xfId="40590"/>
    <cellStyle name="Input [yellow] 5 2 2 4 8" xfId="39480"/>
    <cellStyle name="Input [yellow] 5 2 2 5" xfId="14779"/>
    <cellStyle name="Input [yellow] 5 2 2 5 2" xfId="42877"/>
    <cellStyle name="Input [yellow] 5 2 2 5 3" xfId="40398"/>
    <cellStyle name="Input [yellow] 5 2 2 5 4" xfId="32400"/>
    <cellStyle name="Input [yellow] 5 2 2 6" xfId="13067"/>
    <cellStyle name="Input [yellow] 5 2 2 6 2" xfId="42269"/>
    <cellStyle name="Input [yellow] 5 2 2 6 3" xfId="39420"/>
    <cellStyle name="Input [yellow] 5 2 2 6 4" xfId="30702"/>
    <cellStyle name="Input [yellow] 5 2 2 7" xfId="19787"/>
    <cellStyle name="Input [yellow] 5 2 2 7 2" xfId="45309"/>
    <cellStyle name="Input [yellow] 5 2 2 7 3" xfId="49215"/>
    <cellStyle name="Input [yellow] 5 2 2 7 4" xfId="37296"/>
    <cellStyle name="Input [yellow] 5 2 2 8" xfId="19350"/>
    <cellStyle name="Input [yellow] 5 2 2 8 2" xfId="44872"/>
    <cellStyle name="Input [yellow] 5 2 2 8 3" xfId="48778"/>
    <cellStyle name="Input [yellow] 5 2 2 8 4" xfId="36904"/>
    <cellStyle name="Input [yellow] 5 2 2 9" xfId="12672"/>
    <cellStyle name="Input [yellow] 5 2 2 9 2" xfId="42132"/>
    <cellStyle name="Input [yellow] 5 2 2 9 3" xfId="43303"/>
    <cellStyle name="Input [yellow] 5 2 2 9 4" xfId="30320"/>
    <cellStyle name="Input [yellow] 5 2 3" xfId="10443"/>
    <cellStyle name="Input [yellow] 5 2 3 2" xfId="18230"/>
    <cellStyle name="Input [yellow] 5 2 3 2 2" xfId="43762"/>
    <cellStyle name="Input [yellow] 5 2 3 2 3" xfId="47671"/>
    <cellStyle name="Input [yellow] 5 2 3 2 4" xfId="35853"/>
    <cellStyle name="Input [yellow] 5 2 3 3" xfId="19911"/>
    <cellStyle name="Input [yellow] 5 2 3 3 2" xfId="45433"/>
    <cellStyle name="Input [yellow] 5 2 3 3 3" xfId="49339"/>
    <cellStyle name="Input [yellow] 5 2 3 3 4" xfId="37411"/>
    <cellStyle name="Input [yellow] 5 2 3 4" xfId="19938"/>
    <cellStyle name="Input [yellow] 5 2 3 4 2" xfId="45460"/>
    <cellStyle name="Input [yellow] 5 2 3 4 3" xfId="49366"/>
    <cellStyle name="Input [yellow] 5 2 3 4 4" xfId="37430"/>
    <cellStyle name="Input [yellow] 5 2 3 5" xfId="20643"/>
    <cellStyle name="Input [yellow] 5 2 3 5 2" xfId="46165"/>
    <cellStyle name="Input [yellow] 5 2 3 5 3" xfId="50071"/>
    <cellStyle name="Input [yellow] 5 2 3 5 4" xfId="38035"/>
    <cellStyle name="Input [yellow] 5 2 3 6" xfId="21296"/>
    <cellStyle name="Input [yellow] 5 2 3 6 2" xfId="46818"/>
    <cellStyle name="Input [yellow] 5 2 3 6 3" xfId="50724"/>
    <cellStyle name="Input [yellow] 5 2 3 7" xfId="40621"/>
    <cellStyle name="Input [yellow] 5 2 3 8" xfId="43375"/>
    <cellStyle name="Input [yellow] 5 2 4" xfId="7782"/>
    <cellStyle name="Input [yellow] 5 2 4 2" xfId="15573"/>
    <cellStyle name="Input [yellow] 5 2 4 2 2" xfId="43235"/>
    <cellStyle name="Input [yellow] 5 2 4 2 3" xfId="43147"/>
    <cellStyle name="Input [yellow] 5 2 4 2 4" xfId="33194"/>
    <cellStyle name="Input [yellow] 5 2 4 3" xfId="20202"/>
    <cellStyle name="Input [yellow] 5 2 4 3 2" xfId="45724"/>
    <cellStyle name="Input [yellow] 5 2 4 3 3" xfId="49630"/>
    <cellStyle name="Input [yellow] 5 2 4 3 4" xfId="37665"/>
    <cellStyle name="Input [yellow] 5 2 4 4" xfId="20457"/>
    <cellStyle name="Input [yellow] 5 2 4 4 2" xfId="45979"/>
    <cellStyle name="Input [yellow] 5 2 4 4 3" xfId="49885"/>
    <cellStyle name="Input [yellow] 5 2 4 4 4" xfId="37896"/>
    <cellStyle name="Input [yellow] 5 2 4 5" xfId="12659"/>
    <cellStyle name="Input [yellow] 5 2 4 5 2" xfId="42119"/>
    <cellStyle name="Input [yellow] 5 2 4 5 3" xfId="42774"/>
    <cellStyle name="Input [yellow] 5 2 4 5 4" xfId="30309"/>
    <cellStyle name="Input [yellow] 5 2 4 6" xfId="11541"/>
    <cellStyle name="Input [yellow] 5 2 4 6 2" xfId="41532"/>
    <cellStyle name="Input [yellow] 5 2 4 6 3" xfId="39438"/>
    <cellStyle name="Input [yellow] 5 2 4 7" xfId="40094"/>
    <cellStyle name="Input [yellow] 5 2 4 8" xfId="39208"/>
    <cellStyle name="Input [yellow] 5 2 5" xfId="52955"/>
    <cellStyle name="Input [yellow] 5 3" xfId="1790"/>
    <cellStyle name="Input [yellow] 5 3 2" xfId="6998"/>
    <cellStyle name="Input [yellow] 5 3 2 10" xfId="39738"/>
    <cellStyle name="Input [yellow] 5 3 2 11" xfId="43747"/>
    <cellStyle name="Input [yellow] 5 3 2 2" xfId="10525"/>
    <cellStyle name="Input [yellow] 5 3 2 2 2" xfId="18312"/>
    <cellStyle name="Input [yellow] 5 3 2 2 2 2" xfId="43844"/>
    <cellStyle name="Input [yellow] 5 3 2 2 2 3" xfId="47753"/>
    <cellStyle name="Input [yellow] 5 3 2 2 2 4" xfId="35935"/>
    <cellStyle name="Input [yellow] 5 3 2 2 3" xfId="19418"/>
    <cellStyle name="Input [yellow] 5 3 2 2 3 2" xfId="44940"/>
    <cellStyle name="Input [yellow] 5 3 2 2 3 3" xfId="48846"/>
    <cellStyle name="Input [yellow] 5 3 2 2 3 4" xfId="36969"/>
    <cellStyle name="Input [yellow] 5 3 2 2 4" xfId="20313"/>
    <cellStyle name="Input [yellow] 5 3 2 2 4 2" xfId="45835"/>
    <cellStyle name="Input [yellow] 5 3 2 2 4 3" xfId="49741"/>
    <cellStyle name="Input [yellow] 5 3 2 2 4 4" xfId="37763"/>
    <cellStyle name="Input [yellow] 5 3 2 2 5" xfId="20725"/>
    <cellStyle name="Input [yellow] 5 3 2 2 5 2" xfId="46247"/>
    <cellStyle name="Input [yellow] 5 3 2 2 5 3" xfId="50153"/>
    <cellStyle name="Input [yellow] 5 3 2 2 5 4" xfId="38117"/>
    <cellStyle name="Input [yellow] 5 3 2 2 6" xfId="21378"/>
    <cellStyle name="Input [yellow] 5 3 2 2 6 2" xfId="46900"/>
    <cellStyle name="Input [yellow] 5 3 2 2 6 3" xfId="50806"/>
    <cellStyle name="Input [yellow] 5 3 2 2 7" xfId="40703"/>
    <cellStyle name="Input [yellow] 5 3 2 2 8" xfId="42588"/>
    <cellStyle name="Input [yellow] 5 3 2 3" xfId="10820"/>
    <cellStyle name="Input [yellow] 5 3 2 3 2" xfId="18607"/>
    <cellStyle name="Input [yellow] 5 3 2 3 2 2" xfId="44139"/>
    <cellStyle name="Input [yellow] 5 3 2 3 2 3" xfId="48048"/>
    <cellStyle name="Input [yellow] 5 3 2 3 2 4" xfId="36230"/>
    <cellStyle name="Input [yellow] 5 3 2 3 3" xfId="11506"/>
    <cellStyle name="Input [yellow] 5 3 2 3 3 2" xfId="41497"/>
    <cellStyle name="Input [yellow] 5 3 2 3 3 3" xfId="39143"/>
    <cellStyle name="Input [yellow] 5 3 2 3 3 4" xfId="29207"/>
    <cellStyle name="Input [yellow] 5 3 2 3 4" xfId="11676"/>
    <cellStyle name="Input [yellow] 5 3 2 3 4 2" xfId="41667"/>
    <cellStyle name="Input [yellow] 5 3 2 3 4 3" xfId="39134"/>
    <cellStyle name="Input [yellow] 5 3 2 3 4 4" xfId="29355"/>
    <cellStyle name="Input [yellow] 5 3 2 3 5" xfId="21020"/>
    <cellStyle name="Input [yellow] 5 3 2 3 5 2" xfId="46542"/>
    <cellStyle name="Input [yellow] 5 3 2 3 5 3" xfId="50448"/>
    <cellStyle name="Input [yellow] 5 3 2 3 5 4" xfId="38412"/>
    <cellStyle name="Input [yellow] 5 3 2 3 6" xfId="21673"/>
    <cellStyle name="Input [yellow] 5 3 2 3 6 2" xfId="47195"/>
    <cellStyle name="Input [yellow] 5 3 2 3 6 3" xfId="51101"/>
    <cellStyle name="Input [yellow] 5 3 2 3 7" xfId="40998"/>
    <cellStyle name="Input [yellow] 5 3 2 3 8" xfId="43352"/>
    <cellStyle name="Input [yellow] 5 3 2 4" xfId="10170"/>
    <cellStyle name="Input [yellow] 5 3 2 4 2" xfId="17957"/>
    <cellStyle name="Input [yellow] 5 3 2 4 2 2" xfId="43732"/>
    <cellStyle name="Input [yellow] 5 3 2 4 2 3" xfId="47655"/>
    <cellStyle name="Input [yellow] 5 3 2 4 2 4" xfId="35580"/>
    <cellStyle name="Input [yellow] 5 3 2 4 3" xfId="20041"/>
    <cellStyle name="Input [yellow] 5 3 2 4 3 2" xfId="45563"/>
    <cellStyle name="Input [yellow] 5 3 2 4 3 3" xfId="49469"/>
    <cellStyle name="Input [yellow] 5 3 2 4 3 4" xfId="37523"/>
    <cellStyle name="Input [yellow] 5 3 2 4 4" xfId="11876"/>
    <cellStyle name="Input [yellow] 5 3 2 4 4 2" xfId="41746"/>
    <cellStyle name="Input [yellow] 5 3 2 4 4 3" xfId="42783"/>
    <cellStyle name="Input [yellow] 5 3 2 4 4 4" xfId="29545"/>
    <cellStyle name="Input [yellow] 5 3 2 4 5" xfId="20627"/>
    <cellStyle name="Input [yellow] 5 3 2 4 5 2" xfId="46149"/>
    <cellStyle name="Input [yellow] 5 3 2 4 5 3" xfId="50055"/>
    <cellStyle name="Input [yellow] 5 3 2 4 5 4" xfId="38019"/>
    <cellStyle name="Input [yellow] 5 3 2 4 6" xfId="21280"/>
    <cellStyle name="Input [yellow] 5 3 2 4 6 2" xfId="46802"/>
    <cellStyle name="Input [yellow] 5 3 2 4 6 3" xfId="50708"/>
    <cellStyle name="Input [yellow] 5 3 2 4 7" xfId="40591"/>
    <cellStyle name="Input [yellow] 5 3 2 4 8" xfId="47491"/>
    <cellStyle name="Input [yellow] 5 3 2 5" xfId="14780"/>
    <cellStyle name="Input [yellow] 5 3 2 5 2" xfId="42878"/>
    <cellStyle name="Input [yellow] 5 3 2 5 3" xfId="39507"/>
    <cellStyle name="Input [yellow] 5 3 2 5 4" xfId="32401"/>
    <cellStyle name="Input [yellow] 5 3 2 6" xfId="13068"/>
    <cellStyle name="Input [yellow] 5 3 2 6 2" xfId="42270"/>
    <cellStyle name="Input [yellow] 5 3 2 6 3" xfId="39277"/>
    <cellStyle name="Input [yellow] 5 3 2 6 4" xfId="30703"/>
    <cellStyle name="Input [yellow] 5 3 2 7" xfId="20364"/>
    <cellStyle name="Input [yellow] 5 3 2 7 2" xfId="45886"/>
    <cellStyle name="Input [yellow] 5 3 2 7 3" xfId="49792"/>
    <cellStyle name="Input [yellow] 5 3 2 7 4" xfId="37806"/>
    <cellStyle name="Input [yellow] 5 3 2 8" xfId="20280"/>
    <cellStyle name="Input [yellow] 5 3 2 8 2" xfId="45802"/>
    <cellStyle name="Input [yellow] 5 3 2 8 3" xfId="49708"/>
    <cellStyle name="Input [yellow] 5 3 2 8 4" xfId="37733"/>
    <cellStyle name="Input [yellow] 5 3 2 9" xfId="18989"/>
    <cellStyle name="Input [yellow] 5 3 2 9 2" xfId="44511"/>
    <cellStyle name="Input [yellow] 5 3 2 9 3" xfId="48417"/>
    <cellStyle name="Input [yellow] 5 3 2 9 4" xfId="36597"/>
    <cellStyle name="Input [yellow] 5 3 3" xfId="10444"/>
    <cellStyle name="Input [yellow] 5 3 3 2" xfId="18231"/>
    <cellStyle name="Input [yellow] 5 3 3 2 2" xfId="43763"/>
    <cellStyle name="Input [yellow] 5 3 3 2 3" xfId="47672"/>
    <cellStyle name="Input [yellow] 5 3 3 2 4" xfId="35854"/>
    <cellStyle name="Input [yellow] 5 3 3 3" xfId="19134"/>
    <cellStyle name="Input [yellow] 5 3 3 3 2" xfId="44656"/>
    <cellStyle name="Input [yellow] 5 3 3 3 3" xfId="48562"/>
    <cellStyle name="Input [yellow] 5 3 3 3 4" xfId="36715"/>
    <cellStyle name="Input [yellow] 5 3 3 4" xfId="19020"/>
    <cellStyle name="Input [yellow] 5 3 3 4 2" xfId="44542"/>
    <cellStyle name="Input [yellow] 5 3 3 4 3" xfId="48448"/>
    <cellStyle name="Input [yellow] 5 3 3 4 4" xfId="36612"/>
    <cellStyle name="Input [yellow] 5 3 3 5" xfId="20644"/>
    <cellStyle name="Input [yellow] 5 3 3 5 2" xfId="46166"/>
    <cellStyle name="Input [yellow] 5 3 3 5 3" xfId="50072"/>
    <cellStyle name="Input [yellow] 5 3 3 5 4" xfId="38036"/>
    <cellStyle name="Input [yellow] 5 3 3 6" xfId="21297"/>
    <cellStyle name="Input [yellow] 5 3 3 6 2" xfId="46819"/>
    <cellStyle name="Input [yellow] 5 3 3 6 3" xfId="50725"/>
    <cellStyle name="Input [yellow] 5 3 3 7" xfId="40622"/>
    <cellStyle name="Input [yellow] 5 3 3 8" xfId="40237"/>
    <cellStyle name="Input [yellow] 5 3 4" xfId="7783"/>
    <cellStyle name="Input [yellow] 5 3 4 2" xfId="15574"/>
    <cellStyle name="Input [yellow] 5 3 4 2 2" xfId="43236"/>
    <cellStyle name="Input [yellow] 5 3 4 2 3" xfId="40005"/>
    <cellStyle name="Input [yellow] 5 3 4 2 4" xfId="33195"/>
    <cellStyle name="Input [yellow] 5 3 4 3" xfId="19469"/>
    <cellStyle name="Input [yellow] 5 3 4 3 2" xfId="44991"/>
    <cellStyle name="Input [yellow] 5 3 4 3 3" xfId="48897"/>
    <cellStyle name="Input [yellow] 5 3 4 3 4" xfId="37011"/>
    <cellStyle name="Input [yellow] 5 3 4 4" xfId="13287"/>
    <cellStyle name="Input [yellow] 5 3 4 4 2" xfId="42438"/>
    <cellStyle name="Input [yellow] 5 3 4 4 3" xfId="39043"/>
    <cellStyle name="Input [yellow] 5 3 4 4 4" xfId="30917"/>
    <cellStyle name="Input [yellow] 5 3 4 5" xfId="20337"/>
    <cellStyle name="Input [yellow] 5 3 4 5 2" xfId="45859"/>
    <cellStyle name="Input [yellow] 5 3 4 5 3" xfId="49765"/>
    <cellStyle name="Input [yellow] 5 3 4 5 4" xfId="37781"/>
    <cellStyle name="Input [yellow] 5 3 4 6" xfId="20330"/>
    <cellStyle name="Input [yellow] 5 3 4 6 2" xfId="45852"/>
    <cellStyle name="Input [yellow] 5 3 4 6 3" xfId="49758"/>
    <cellStyle name="Input [yellow] 5 3 4 7" xfId="40095"/>
    <cellStyle name="Input [yellow] 5 3 4 8" xfId="47447"/>
    <cellStyle name="Input [yellow] 5 4" xfId="6996"/>
    <cellStyle name="Input [yellow] 5 4 10" xfId="39736"/>
    <cellStyle name="Input [yellow] 5 4 11" xfId="40111"/>
    <cellStyle name="Input [yellow] 5 4 2" xfId="10523"/>
    <cellStyle name="Input [yellow] 5 4 2 2" xfId="18310"/>
    <cellStyle name="Input [yellow] 5 4 2 2 2" xfId="43842"/>
    <cellStyle name="Input [yellow] 5 4 2 2 3" xfId="47751"/>
    <cellStyle name="Input [yellow] 5 4 2 2 4" xfId="35933"/>
    <cellStyle name="Input [yellow] 5 4 2 3" xfId="19604"/>
    <cellStyle name="Input [yellow] 5 4 2 3 2" xfId="45126"/>
    <cellStyle name="Input [yellow] 5 4 2 3 3" xfId="49032"/>
    <cellStyle name="Input [yellow] 5 4 2 3 4" xfId="37130"/>
    <cellStyle name="Input [yellow] 5 4 2 4" xfId="19314"/>
    <cellStyle name="Input [yellow] 5 4 2 4 2" xfId="44836"/>
    <cellStyle name="Input [yellow] 5 4 2 4 3" xfId="48742"/>
    <cellStyle name="Input [yellow] 5 4 2 4 4" xfId="36876"/>
    <cellStyle name="Input [yellow] 5 4 2 5" xfId="20723"/>
    <cellStyle name="Input [yellow] 5 4 2 5 2" xfId="46245"/>
    <cellStyle name="Input [yellow] 5 4 2 5 3" xfId="50151"/>
    <cellStyle name="Input [yellow] 5 4 2 5 4" xfId="38115"/>
    <cellStyle name="Input [yellow] 5 4 2 6" xfId="21376"/>
    <cellStyle name="Input [yellow] 5 4 2 6 2" xfId="46898"/>
    <cellStyle name="Input [yellow] 5 4 2 6 3" xfId="50804"/>
    <cellStyle name="Input [yellow] 5 4 2 7" xfId="40701"/>
    <cellStyle name="Input [yellow] 5 4 2 8" xfId="40470"/>
    <cellStyle name="Input [yellow] 5 4 3" xfId="10818"/>
    <cellStyle name="Input [yellow] 5 4 3 2" xfId="18605"/>
    <cellStyle name="Input [yellow] 5 4 3 2 2" xfId="44137"/>
    <cellStyle name="Input [yellow] 5 4 3 2 3" xfId="48046"/>
    <cellStyle name="Input [yellow] 5 4 3 2 4" xfId="36228"/>
    <cellStyle name="Input [yellow] 5 4 3 3" xfId="19875"/>
    <cellStyle name="Input [yellow] 5 4 3 3 2" xfId="45397"/>
    <cellStyle name="Input [yellow] 5 4 3 3 3" xfId="49303"/>
    <cellStyle name="Input [yellow] 5 4 3 3 4" xfId="37375"/>
    <cellStyle name="Input [yellow] 5 4 3 4" xfId="12132"/>
    <cellStyle name="Input [yellow] 5 4 3 4 2" xfId="41857"/>
    <cellStyle name="Input [yellow] 5 4 3 4 3" xfId="43563"/>
    <cellStyle name="Input [yellow] 5 4 3 4 4" xfId="29790"/>
    <cellStyle name="Input [yellow] 5 4 3 5" xfId="21018"/>
    <cellStyle name="Input [yellow] 5 4 3 5 2" xfId="46540"/>
    <cellStyle name="Input [yellow] 5 4 3 5 3" xfId="50446"/>
    <cellStyle name="Input [yellow] 5 4 3 5 4" xfId="38410"/>
    <cellStyle name="Input [yellow] 5 4 3 6" xfId="21671"/>
    <cellStyle name="Input [yellow] 5 4 3 6 2" xfId="47193"/>
    <cellStyle name="Input [yellow] 5 4 3 6 3" xfId="51099"/>
    <cellStyle name="Input [yellow] 5 4 3 7" xfId="40996"/>
    <cellStyle name="Input [yellow] 5 4 3 8" xfId="39462"/>
    <cellStyle name="Input [yellow] 5 4 4" xfId="10168"/>
    <cellStyle name="Input [yellow] 5 4 4 2" xfId="17955"/>
    <cellStyle name="Input [yellow] 5 4 4 2 2" xfId="43730"/>
    <cellStyle name="Input [yellow] 5 4 4 2 3" xfId="47653"/>
    <cellStyle name="Input [yellow] 5 4 4 2 4" xfId="35578"/>
    <cellStyle name="Input [yellow] 5 4 4 3" xfId="20175"/>
    <cellStyle name="Input [yellow] 5 4 4 3 2" xfId="45697"/>
    <cellStyle name="Input [yellow] 5 4 4 3 3" xfId="49603"/>
    <cellStyle name="Input [yellow] 5 4 4 3 4" xfId="37645"/>
    <cellStyle name="Input [yellow] 5 4 4 4" xfId="20204"/>
    <cellStyle name="Input [yellow] 5 4 4 4 2" xfId="45726"/>
    <cellStyle name="Input [yellow] 5 4 4 4 3" xfId="49632"/>
    <cellStyle name="Input [yellow] 5 4 4 4 4" xfId="37667"/>
    <cellStyle name="Input [yellow] 5 4 4 5" xfId="20625"/>
    <cellStyle name="Input [yellow] 5 4 4 5 2" xfId="46147"/>
    <cellStyle name="Input [yellow] 5 4 4 5 3" xfId="50053"/>
    <cellStyle name="Input [yellow] 5 4 4 5 4" xfId="38017"/>
    <cellStyle name="Input [yellow] 5 4 4 6" xfId="21278"/>
    <cellStyle name="Input [yellow] 5 4 4 6 2" xfId="46800"/>
    <cellStyle name="Input [yellow] 5 4 4 6 3" xfId="50706"/>
    <cellStyle name="Input [yellow] 5 4 4 7" xfId="40589"/>
    <cellStyle name="Input [yellow] 5 4 4 8" xfId="40368"/>
    <cellStyle name="Input [yellow] 5 4 5" xfId="14778"/>
    <cellStyle name="Input [yellow] 5 4 5 2" xfId="42876"/>
    <cellStyle name="Input [yellow] 5 4 5 3" xfId="43537"/>
    <cellStyle name="Input [yellow] 5 4 5 4" xfId="32399"/>
    <cellStyle name="Input [yellow] 5 4 6" xfId="13066"/>
    <cellStyle name="Input [yellow] 5 4 6 2" xfId="42268"/>
    <cellStyle name="Input [yellow] 5 4 6 3" xfId="40303"/>
    <cellStyle name="Input [yellow] 5 4 6 4" xfId="30701"/>
    <cellStyle name="Input [yellow] 5 4 7" xfId="19304"/>
    <cellStyle name="Input [yellow] 5 4 7 2" xfId="44826"/>
    <cellStyle name="Input [yellow] 5 4 7 3" xfId="48732"/>
    <cellStyle name="Input [yellow] 5 4 7 4" xfId="36868"/>
    <cellStyle name="Input [yellow] 5 4 8" xfId="20091"/>
    <cellStyle name="Input [yellow] 5 4 8 2" xfId="45613"/>
    <cellStyle name="Input [yellow] 5 4 8 3" xfId="49519"/>
    <cellStyle name="Input [yellow] 5 4 8 4" xfId="37566"/>
    <cellStyle name="Input [yellow] 5 4 9" xfId="20610"/>
    <cellStyle name="Input [yellow] 5 4 9 2" xfId="46132"/>
    <cellStyle name="Input [yellow] 5 4 9 3" xfId="50038"/>
    <cellStyle name="Input [yellow] 5 4 9 4" xfId="38005"/>
    <cellStyle name="Input [yellow] 5 5" xfId="10442"/>
    <cellStyle name="Input [yellow] 5 5 2" xfId="18229"/>
    <cellStyle name="Input [yellow] 5 5 2 2" xfId="43761"/>
    <cellStyle name="Input [yellow] 5 5 2 3" xfId="47670"/>
    <cellStyle name="Input [yellow] 5 5 2 4" xfId="35852"/>
    <cellStyle name="Input [yellow] 5 5 3" xfId="19302"/>
    <cellStyle name="Input [yellow] 5 5 3 2" xfId="44824"/>
    <cellStyle name="Input [yellow] 5 5 3 3" xfId="48730"/>
    <cellStyle name="Input [yellow] 5 5 3 4" xfId="36866"/>
    <cellStyle name="Input [yellow] 5 5 4" xfId="11564"/>
    <cellStyle name="Input [yellow] 5 5 4 2" xfId="41555"/>
    <cellStyle name="Input [yellow] 5 5 4 3" xfId="40046"/>
    <cellStyle name="Input [yellow] 5 5 4 4" xfId="29261"/>
    <cellStyle name="Input [yellow] 5 5 5" xfId="20642"/>
    <cellStyle name="Input [yellow] 5 5 5 2" xfId="46164"/>
    <cellStyle name="Input [yellow] 5 5 5 3" xfId="50070"/>
    <cellStyle name="Input [yellow] 5 5 5 4" xfId="38034"/>
    <cellStyle name="Input [yellow] 5 5 6" xfId="21295"/>
    <cellStyle name="Input [yellow] 5 5 6 2" xfId="46817"/>
    <cellStyle name="Input [yellow] 5 5 6 3" xfId="50723"/>
    <cellStyle name="Input [yellow] 5 5 7" xfId="40620"/>
    <cellStyle name="Input [yellow] 5 5 8" xfId="42056"/>
    <cellStyle name="Input [yellow] 5 6" xfId="7781"/>
    <cellStyle name="Input [yellow] 5 6 2" xfId="15572"/>
    <cellStyle name="Input [yellow] 5 6 2 2" xfId="43234"/>
    <cellStyle name="Input [yellow] 5 6 2 3" xfId="41251"/>
    <cellStyle name="Input [yellow] 5 6 2 4" xfId="33193"/>
    <cellStyle name="Input [yellow] 5 6 3" xfId="19642"/>
    <cellStyle name="Input [yellow] 5 6 3 2" xfId="45164"/>
    <cellStyle name="Input [yellow] 5 6 3 3" xfId="49070"/>
    <cellStyle name="Input [yellow] 5 6 3 4" xfId="37162"/>
    <cellStyle name="Input [yellow] 5 6 4" xfId="19472"/>
    <cellStyle name="Input [yellow] 5 6 4 2" xfId="44994"/>
    <cellStyle name="Input [yellow] 5 6 4 3" xfId="48900"/>
    <cellStyle name="Input [yellow] 5 6 4 4" xfId="37014"/>
    <cellStyle name="Input [yellow] 5 6 5" xfId="11578"/>
    <cellStyle name="Input [yellow] 5 6 5 2" xfId="41569"/>
    <cellStyle name="Input [yellow] 5 6 5 3" xfId="43320"/>
    <cellStyle name="Input [yellow] 5 6 5 4" xfId="29273"/>
    <cellStyle name="Input [yellow] 5 6 6" xfId="20491"/>
    <cellStyle name="Input [yellow] 5 6 6 2" xfId="46013"/>
    <cellStyle name="Input [yellow] 5 6 6 3" xfId="49919"/>
    <cellStyle name="Input [yellow] 5 6 7" xfId="40093"/>
    <cellStyle name="Input [yellow] 5 6 8" xfId="39379"/>
    <cellStyle name="Input [yellow] 5 7" xfId="52954"/>
    <cellStyle name="Input [yellow] 5_BallGrid" xfId="1791"/>
    <cellStyle name="Input [yellow] 6" xfId="1792"/>
    <cellStyle name="Input [yellow] 6 2" xfId="1793"/>
    <cellStyle name="Input [yellow] 6 2 2" xfId="7000"/>
    <cellStyle name="Input [yellow] 6 2 2 10" xfId="39740"/>
    <cellStyle name="Input [yellow] 6 2 2 11" xfId="39940"/>
    <cellStyle name="Input [yellow] 6 2 2 2" xfId="10527"/>
    <cellStyle name="Input [yellow] 6 2 2 2 2" xfId="18314"/>
    <cellStyle name="Input [yellow] 6 2 2 2 2 2" xfId="43846"/>
    <cellStyle name="Input [yellow] 6 2 2 2 2 3" xfId="47755"/>
    <cellStyle name="Input [yellow] 6 2 2 2 2 4" xfId="35937"/>
    <cellStyle name="Input [yellow] 6 2 2 2 3" xfId="19291"/>
    <cellStyle name="Input [yellow] 6 2 2 2 3 2" xfId="44813"/>
    <cellStyle name="Input [yellow] 6 2 2 2 3 3" xfId="48719"/>
    <cellStyle name="Input [yellow] 6 2 2 2 3 4" xfId="36855"/>
    <cellStyle name="Input [yellow] 6 2 2 2 4" xfId="19378"/>
    <cellStyle name="Input [yellow] 6 2 2 2 4 2" xfId="44900"/>
    <cellStyle name="Input [yellow] 6 2 2 2 4 3" xfId="48806"/>
    <cellStyle name="Input [yellow] 6 2 2 2 4 4" xfId="36929"/>
    <cellStyle name="Input [yellow] 6 2 2 2 5" xfId="20727"/>
    <cellStyle name="Input [yellow] 6 2 2 2 5 2" xfId="46249"/>
    <cellStyle name="Input [yellow] 6 2 2 2 5 3" xfId="50155"/>
    <cellStyle name="Input [yellow] 6 2 2 2 5 4" xfId="38119"/>
    <cellStyle name="Input [yellow] 6 2 2 2 6" xfId="21380"/>
    <cellStyle name="Input [yellow] 6 2 2 2 6 2" xfId="46902"/>
    <cellStyle name="Input [yellow] 6 2 2 2 6 3" xfId="50808"/>
    <cellStyle name="Input [yellow] 6 2 2 2 7" xfId="40705"/>
    <cellStyle name="Input [yellow] 6 2 2 2 8" xfId="40364"/>
    <cellStyle name="Input [yellow] 6 2 2 3" xfId="10822"/>
    <cellStyle name="Input [yellow] 6 2 2 3 2" xfId="18609"/>
    <cellStyle name="Input [yellow] 6 2 2 3 2 2" xfId="44141"/>
    <cellStyle name="Input [yellow] 6 2 2 3 2 3" xfId="48050"/>
    <cellStyle name="Input [yellow] 6 2 2 3 2 4" xfId="36232"/>
    <cellStyle name="Input [yellow] 6 2 2 3 3" xfId="20133"/>
    <cellStyle name="Input [yellow] 6 2 2 3 3 2" xfId="45655"/>
    <cellStyle name="Input [yellow] 6 2 2 3 3 3" xfId="49561"/>
    <cellStyle name="Input [yellow] 6 2 2 3 3 4" xfId="37605"/>
    <cellStyle name="Input [yellow] 6 2 2 3 4" xfId="19067"/>
    <cellStyle name="Input [yellow] 6 2 2 3 4 2" xfId="44589"/>
    <cellStyle name="Input [yellow] 6 2 2 3 4 3" xfId="48495"/>
    <cellStyle name="Input [yellow] 6 2 2 3 4 4" xfId="36649"/>
    <cellStyle name="Input [yellow] 6 2 2 3 5" xfId="21022"/>
    <cellStyle name="Input [yellow] 6 2 2 3 5 2" xfId="46544"/>
    <cellStyle name="Input [yellow] 6 2 2 3 5 3" xfId="50450"/>
    <cellStyle name="Input [yellow] 6 2 2 3 5 4" xfId="38414"/>
    <cellStyle name="Input [yellow] 6 2 2 3 6" xfId="21675"/>
    <cellStyle name="Input [yellow] 6 2 2 3 6 2" xfId="47197"/>
    <cellStyle name="Input [yellow] 6 2 2 3 6 3" xfId="51103"/>
    <cellStyle name="Input [yellow] 6 2 2 3 7" xfId="41000"/>
    <cellStyle name="Input [yellow] 6 2 2 3 8" xfId="39354"/>
    <cellStyle name="Input [yellow] 6 2 2 4" xfId="10172"/>
    <cellStyle name="Input [yellow] 6 2 2 4 2" xfId="17959"/>
    <cellStyle name="Input [yellow] 6 2 2 4 2 2" xfId="43734"/>
    <cellStyle name="Input [yellow] 6 2 2 4 2 3" xfId="47657"/>
    <cellStyle name="Input [yellow] 6 2 2 4 2 4" xfId="35582"/>
    <cellStyle name="Input [yellow] 6 2 2 4 3" xfId="19917"/>
    <cellStyle name="Input [yellow] 6 2 2 4 3 2" xfId="45439"/>
    <cellStyle name="Input [yellow] 6 2 2 4 3 3" xfId="49345"/>
    <cellStyle name="Input [yellow] 6 2 2 4 3 4" xfId="37415"/>
    <cellStyle name="Input [yellow] 6 2 2 4 4" xfId="19465"/>
    <cellStyle name="Input [yellow] 6 2 2 4 4 2" xfId="44987"/>
    <cellStyle name="Input [yellow] 6 2 2 4 4 3" xfId="48893"/>
    <cellStyle name="Input [yellow] 6 2 2 4 4 4" xfId="37008"/>
    <cellStyle name="Input [yellow] 6 2 2 4 5" xfId="20629"/>
    <cellStyle name="Input [yellow] 6 2 2 4 5 2" xfId="46151"/>
    <cellStyle name="Input [yellow] 6 2 2 4 5 3" xfId="50057"/>
    <cellStyle name="Input [yellow] 6 2 2 4 5 4" xfId="38021"/>
    <cellStyle name="Input [yellow] 6 2 2 4 6" xfId="21282"/>
    <cellStyle name="Input [yellow] 6 2 2 4 6 2" xfId="46804"/>
    <cellStyle name="Input [yellow] 6 2 2 4 6 3" xfId="50710"/>
    <cellStyle name="Input [yellow] 6 2 2 4 7" xfId="40593"/>
    <cellStyle name="Input [yellow] 6 2 2 4 8" xfId="43256"/>
    <cellStyle name="Input [yellow] 6 2 2 5" xfId="14782"/>
    <cellStyle name="Input [yellow] 6 2 2 5 2" xfId="42880"/>
    <cellStyle name="Input [yellow] 6 2 2 5 3" xfId="43428"/>
    <cellStyle name="Input [yellow] 6 2 2 5 4" xfId="32403"/>
    <cellStyle name="Input [yellow] 6 2 2 6" xfId="11274"/>
    <cellStyle name="Input [yellow] 6 2 2 6 2" xfId="41301"/>
    <cellStyle name="Input [yellow] 6 2 2 6 3" xfId="43192"/>
    <cellStyle name="Input [yellow] 6 2 2 6 4" xfId="28988"/>
    <cellStyle name="Input [yellow] 6 2 2 7" xfId="19931"/>
    <cellStyle name="Input [yellow] 6 2 2 7 2" xfId="45453"/>
    <cellStyle name="Input [yellow] 6 2 2 7 3" xfId="49359"/>
    <cellStyle name="Input [yellow] 6 2 2 7 4" xfId="37426"/>
    <cellStyle name="Input [yellow] 6 2 2 8" xfId="20064"/>
    <cellStyle name="Input [yellow] 6 2 2 8 2" xfId="45586"/>
    <cellStyle name="Input [yellow] 6 2 2 8 3" xfId="49492"/>
    <cellStyle name="Input [yellow] 6 2 2 8 4" xfId="37544"/>
    <cellStyle name="Input [yellow] 6 2 2 9" xfId="12488"/>
    <cellStyle name="Input [yellow] 6 2 2 9 2" xfId="41982"/>
    <cellStyle name="Input [yellow] 6 2 2 9 3" xfId="40526"/>
    <cellStyle name="Input [yellow] 6 2 2 9 4" xfId="30145"/>
    <cellStyle name="Input [yellow] 6 2 3" xfId="10446"/>
    <cellStyle name="Input [yellow] 6 2 3 2" xfId="18233"/>
    <cellStyle name="Input [yellow] 6 2 3 2 2" xfId="43765"/>
    <cellStyle name="Input [yellow] 6 2 3 2 3" xfId="47674"/>
    <cellStyle name="Input [yellow] 6 2 3 2 4" xfId="35856"/>
    <cellStyle name="Input [yellow] 6 2 3 3" xfId="19612"/>
    <cellStyle name="Input [yellow] 6 2 3 3 2" xfId="45134"/>
    <cellStyle name="Input [yellow] 6 2 3 3 3" xfId="49040"/>
    <cellStyle name="Input [yellow] 6 2 3 3 4" xfId="37138"/>
    <cellStyle name="Input [yellow] 6 2 3 4" xfId="19923"/>
    <cellStyle name="Input [yellow] 6 2 3 4 2" xfId="45445"/>
    <cellStyle name="Input [yellow] 6 2 3 4 3" xfId="49351"/>
    <cellStyle name="Input [yellow] 6 2 3 4 4" xfId="37419"/>
    <cellStyle name="Input [yellow] 6 2 3 5" xfId="20646"/>
    <cellStyle name="Input [yellow] 6 2 3 5 2" xfId="46168"/>
    <cellStyle name="Input [yellow] 6 2 3 5 3" xfId="50074"/>
    <cellStyle name="Input [yellow] 6 2 3 5 4" xfId="38038"/>
    <cellStyle name="Input [yellow] 6 2 3 6" xfId="21299"/>
    <cellStyle name="Input [yellow] 6 2 3 6 2" xfId="46821"/>
    <cellStyle name="Input [yellow] 6 2 3 6 3" xfId="50727"/>
    <cellStyle name="Input [yellow] 6 2 3 7" xfId="40624"/>
    <cellStyle name="Input [yellow] 6 2 3 8" xfId="42055"/>
    <cellStyle name="Input [yellow] 6 2 4" xfId="7785"/>
    <cellStyle name="Input [yellow] 6 2 4 2" xfId="15576"/>
    <cellStyle name="Input [yellow] 6 2 4 2 2" xfId="43238"/>
    <cellStyle name="Input [yellow] 6 2 4 2 3" xfId="43633"/>
    <cellStyle name="Input [yellow] 6 2 4 2 4" xfId="33197"/>
    <cellStyle name="Input [yellow] 6 2 4 3" xfId="19332"/>
    <cellStyle name="Input [yellow] 6 2 4 3 2" xfId="44854"/>
    <cellStyle name="Input [yellow] 6 2 4 3 3" xfId="48760"/>
    <cellStyle name="Input [yellow] 6 2 4 3 4" xfId="36890"/>
    <cellStyle name="Input [yellow] 6 2 4 4" xfId="12653"/>
    <cellStyle name="Input [yellow] 6 2 4 4 2" xfId="42113"/>
    <cellStyle name="Input [yellow] 6 2 4 4 3" xfId="40163"/>
    <cellStyle name="Input [yellow] 6 2 4 4 4" xfId="30303"/>
    <cellStyle name="Input [yellow] 6 2 4 5" xfId="19914"/>
    <cellStyle name="Input [yellow] 6 2 4 5 2" xfId="45436"/>
    <cellStyle name="Input [yellow] 6 2 4 5 3" xfId="49342"/>
    <cellStyle name="Input [yellow] 6 2 4 5 4" xfId="37414"/>
    <cellStyle name="Input [yellow] 6 2 4 6" xfId="19015"/>
    <cellStyle name="Input [yellow] 6 2 4 6 2" xfId="44537"/>
    <cellStyle name="Input [yellow] 6 2 4 6 3" xfId="48443"/>
    <cellStyle name="Input [yellow] 6 2 4 7" xfId="40097"/>
    <cellStyle name="Input [yellow] 6 2 4 8" xfId="43240"/>
    <cellStyle name="Input [yellow] 6 3" xfId="6999"/>
    <cellStyle name="Input [yellow] 6 3 10" xfId="39739"/>
    <cellStyle name="Input [yellow] 6 3 11" xfId="40606"/>
    <cellStyle name="Input [yellow] 6 3 2" xfId="10526"/>
    <cellStyle name="Input [yellow] 6 3 2 2" xfId="18313"/>
    <cellStyle name="Input [yellow] 6 3 2 2 2" xfId="43845"/>
    <cellStyle name="Input [yellow] 6 3 2 2 3" xfId="47754"/>
    <cellStyle name="Input [yellow] 6 3 2 2 4" xfId="35936"/>
    <cellStyle name="Input [yellow] 6 3 2 3" xfId="20025"/>
    <cellStyle name="Input [yellow] 6 3 2 3 2" xfId="45547"/>
    <cellStyle name="Input [yellow] 6 3 2 3 3" xfId="49453"/>
    <cellStyle name="Input [yellow] 6 3 2 3 4" xfId="37509"/>
    <cellStyle name="Input [yellow] 6 3 2 4" xfId="19986"/>
    <cellStyle name="Input [yellow] 6 3 2 4 2" xfId="45508"/>
    <cellStyle name="Input [yellow] 6 3 2 4 3" xfId="49414"/>
    <cellStyle name="Input [yellow] 6 3 2 4 4" xfId="37470"/>
    <cellStyle name="Input [yellow] 6 3 2 5" xfId="20726"/>
    <cellStyle name="Input [yellow] 6 3 2 5 2" xfId="46248"/>
    <cellStyle name="Input [yellow] 6 3 2 5 3" xfId="50154"/>
    <cellStyle name="Input [yellow] 6 3 2 5 4" xfId="38118"/>
    <cellStyle name="Input [yellow] 6 3 2 6" xfId="21379"/>
    <cellStyle name="Input [yellow] 6 3 2 6 2" xfId="46901"/>
    <cellStyle name="Input [yellow] 6 3 2 6 3" xfId="50807"/>
    <cellStyle name="Input [yellow] 6 3 2 7" xfId="40704"/>
    <cellStyle name="Input [yellow] 6 3 2 8" xfId="43501"/>
    <cellStyle name="Input [yellow] 6 3 3" xfId="10821"/>
    <cellStyle name="Input [yellow] 6 3 3 2" xfId="18608"/>
    <cellStyle name="Input [yellow] 6 3 3 2 2" xfId="44140"/>
    <cellStyle name="Input [yellow] 6 3 3 2 3" xfId="48049"/>
    <cellStyle name="Input [yellow] 6 3 3 2 4" xfId="36231"/>
    <cellStyle name="Input [yellow] 6 3 3 3" xfId="19581"/>
    <cellStyle name="Input [yellow] 6 3 3 3 2" xfId="45103"/>
    <cellStyle name="Input [yellow] 6 3 3 3 3" xfId="49009"/>
    <cellStyle name="Input [yellow] 6 3 3 3 4" xfId="37107"/>
    <cellStyle name="Input [yellow] 6 3 3 4" xfId="19038"/>
    <cellStyle name="Input [yellow] 6 3 3 4 2" xfId="44560"/>
    <cellStyle name="Input [yellow] 6 3 3 4 3" xfId="48466"/>
    <cellStyle name="Input [yellow] 6 3 3 4 4" xfId="36624"/>
    <cellStyle name="Input [yellow] 6 3 3 5" xfId="21021"/>
    <cellStyle name="Input [yellow] 6 3 3 5 2" xfId="46543"/>
    <cellStyle name="Input [yellow] 6 3 3 5 3" xfId="50449"/>
    <cellStyle name="Input [yellow] 6 3 3 5 4" xfId="38413"/>
    <cellStyle name="Input [yellow] 6 3 3 6" xfId="21674"/>
    <cellStyle name="Input [yellow] 6 3 3 6 2" xfId="47196"/>
    <cellStyle name="Input [yellow] 6 3 3 6 3" xfId="51102"/>
    <cellStyle name="Input [yellow] 6 3 3 7" xfId="40999"/>
    <cellStyle name="Input [yellow] 6 3 3 8" xfId="40214"/>
    <cellStyle name="Input [yellow] 6 3 4" xfId="10171"/>
    <cellStyle name="Input [yellow] 6 3 4 2" xfId="17958"/>
    <cellStyle name="Input [yellow] 6 3 4 2 2" xfId="43733"/>
    <cellStyle name="Input [yellow] 6 3 4 2 3" xfId="47656"/>
    <cellStyle name="Input [yellow] 6 3 4 2 4" xfId="35581"/>
    <cellStyle name="Input [yellow] 6 3 4 3" xfId="19305"/>
    <cellStyle name="Input [yellow] 6 3 4 3 2" xfId="44827"/>
    <cellStyle name="Input [yellow] 6 3 4 3 3" xfId="48733"/>
    <cellStyle name="Input [yellow] 6 3 4 3 4" xfId="36869"/>
    <cellStyle name="Input [yellow] 6 3 4 4" xfId="11642"/>
    <cellStyle name="Input [yellow] 6 3 4 4 2" xfId="41633"/>
    <cellStyle name="Input [yellow] 6 3 4 4 3" xfId="39645"/>
    <cellStyle name="Input [yellow] 6 3 4 4 4" xfId="29327"/>
    <cellStyle name="Input [yellow] 6 3 4 5" xfId="20628"/>
    <cellStyle name="Input [yellow] 6 3 4 5 2" xfId="46150"/>
    <cellStyle name="Input [yellow] 6 3 4 5 3" xfId="50056"/>
    <cellStyle name="Input [yellow] 6 3 4 5 4" xfId="38020"/>
    <cellStyle name="Input [yellow] 6 3 4 6" xfId="21281"/>
    <cellStyle name="Input [yellow] 6 3 4 6 2" xfId="46803"/>
    <cellStyle name="Input [yellow] 6 3 4 6 3" xfId="50709"/>
    <cellStyle name="Input [yellow] 6 3 4 7" xfId="40592"/>
    <cellStyle name="Input [yellow] 6 3 4 8" xfId="41900"/>
    <cellStyle name="Input [yellow] 6 3 5" xfId="14781"/>
    <cellStyle name="Input [yellow] 6 3 5 2" xfId="42879"/>
    <cellStyle name="Input [yellow] 6 3 5 3" xfId="42517"/>
    <cellStyle name="Input [yellow] 6 3 5 4" xfId="32402"/>
    <cellStyle name="Input [yellow] 6 3 6" xfId="11273"/>
    <cellStyle name="Input [yellow] 6 3 6 2" xfId="41300"/>
    <cellStyle name="Input [yellow] 6 3 6 3" xfId="41389"/>
    <cellStyle name="Input [yellow] 6 3 6 4" xfId="28987"/>
    <cellStyle name="Input [yellow] 6 3 7" xfId="20325"/>
    <cellStyle name="Input [yellow] 6 3 7 2" xfId="45847"/>
    <cellStyle name="Input [yellow] 6 3 7 3" xfId="49753"/>
    <cellStyle name="Input [yellow] 6 3 7 4" xfId="37774"/>
    <cellStyle name="Input [yellow] 6 3 8" xfId="12027"/>
    <cellStyle name="Input [yellow] 6 3 8 2" xfId="41763"/>
    <cellStyle name="Input [yellow] 6 3 8 3" xfId="40000"/>
    <cellStyle name="Input [yellow] 6 3 8 4" xfId="29692"/>
    <cellStyle name="Input [yellow] 6 3 9" xfId="18888"/>
    <cellStyle name="Input [yellow] 6 3 9 2" xfId="44410"/>
    <cellStyle name="Input [yellow] 6 3 9 3" xfId="48316"/>
    <cellStyle name="Input [yellow] 6 3 9 4" xfId="36507"/>
    <cellStyle name="Input [yellow] 6 4" xfId="10445"/>
    <cellStyle name="Input [yellow] 6 4 2" xfId="18232"/>
    <cellStyle name="Input [yellow] 6 4 2 2" xfId="43764"/>
    <cellStyle name="Input [yellow] 6 4 2 3" xfId="47673"/>
    <cellStyle name="Input [yellow] 6 4 2 4" xfId="35855"/>
    <cellStyle name="Input [yellow] 6 4 3" xfId="11475"/>
    <cellStyle name="Input [yellow] 6 4 3 2" xfId="41466"/>
    <cellStyle name="Input [yellow] 6 4 3 3" xfId="43578"/>
    <cellStyle name="Input [yellow] 6 4 3 4" xfId="29176"/>
    <cellStyle name="Input [yellow] 6 4 4" xfId="11671"/>
    <cellStyle name="Input [yellow] 6 4 4 2" xfId="41662"/>
    <cellStyle name="Input [yellow] 6 4 4 3" xfId="39434"/>
    <cellStyle name="Input [yellow] 6 4 4 4" xfId="29350"/>
    <cellStyle name="Input [yellow] 6 4 5" xfId="20645"/>
    <cellStyle name="Input [yellow] 6 4 5 2" xfId="46167"/>
    <cellStyle name="Input [yellow] 6 4 5 3" xfId="50073"/>
    <cellStyle name="Input [yellow] 6 4 5 4" xfId="38037"/>
    <cellStyle name="Input [yellow] 6 4 6" xfId="21298"/>
    <cellStyle name="Input [yellow] 6 4 6 2" xfId="46820"/>
    <cellStyle name="Input [yellow] 6 4 6 3" xfId="50726"/>
    <cellStyle name="Input [yellow] 6 4 7" xfId="40623"/>
    <cellStyle name="Input [yellow] 6 4 8" xfId="39377"/>
    <cellStyle name="Input [yellow] 6 5" xfId="7784"/>
    <cellStyle name="Input [yellow] 6 5 2" xfId="15575"/>
    <cellStyle name="Input [yellow] 6 5 2 2" xfId="43237"/>
    <cellStyle name="Input [yellow] 6 5 2 3" xfId="42745"/>
    <cellStyle name="Input [yellow] 6 5 2 4" xfId="33196"/>
    <cellStyle name="Input [yellow] 6 5 3" xfId="20070"/>
    <cellStyle name="Input [yellow] 6 5 3 2" xfId="45592"/>
    <cellStyle name="Input [yellow] 6 5 3 3" xfId="49498"/>
    <cellStyle name="Input [yellow] 6 5 3 4" xfId="37549"/>
    <cellStyle name="Input [yellow] 6 5 4" xfId="12799"/>
    <cellStyle name="Input [yellow] 6 5 4 2" xfId="42195"/>
    <cellStyle name="Input [yellow] 6 5 4 3" xfId="40306"/>
    <cellStyle name="Input [yellow] 6 5 4 4" xfId="30441"/>
    <cellStyle name="Input [yellow] 6 5 5" xfId="19662"/>
    <cellStyle name="Input [yellow] 6 5 5 2" xfId="45184"/>
    <cellStyle name="Input [yellow] 6 5 5 3" xfId="49090"/>
    <cellStyle name="Input [yellow] 6 5 5 4" xfId="37181"/>
    <cellStyle name="Input [yellow] 6 5 6" xfId="19916"/>
    <cellStyle name="Input [yellow] 6 5 6 2" xfId="45438"/>
    <cellStyle name="Input [yellow] 6 5 6 3" xfId="49344"/>
    <cellStyle name="Input [yellow] 6 5 7" xfId="40096"/>
    <cellStyle name="Input [yellow] 6 5 8" xfId="41675"/>
    <cellStyle name="Input [yellow] 6 6" xfId="52956"/>
    <cellStyle name="Input [yellow] 7" xfId="1794"/>
    <cellStyle name="Input [yellow] 7 2" xfId="7001"/>
    <cellStyle name="Input [yellow] 7 2 10" xfId="39741"/>
    <cellStyle name="Input [yellow] 7 2 11" xfId="42740"/>
    <cellStyle name="Input [yellow] 7 2 2" xfId="10528"/>
    <cellStyle name="Input [yellow] 7 2 2 2" xfId="18315"/>
    <cellStyle name="Input [yellow] 7 2 2 2 2" xfId="43847"/>
    <cellStyle name="Input [yellow] 7 2 2 2 3" xfId="47756"/>
    <cellStyle name="Input [yellow] 7 2 2 2 4" xfId="35938"/>
    <cellStyle name="Input [yellow] 7 2 2 3" xfId="19900"/>
    <cellStyle name="Input [yellow] 7 2 2 3 2" xfId="45422"/>
    <cellStyle name="Input [yellow] 7 2 2 3 3" xfId="49328"/>
    <cellStyle name="Input [yellow] 7 2 2 3 4" xfId="37400"/>
    <cellStyle name="Input [yellow] 7 2 2 4" xfId="19170"/>
    <cellStyle name="Input [yellow] 7 2 2 4 2" xfId="44692"/>
    <cellStyle name="Input [yellow] 7 2 2 4 3" xfId="48598"/>
    <cellStyle name="Input [yellow] 7 2 2 4 4" xfId="36743"/>
    <cellStyle name="Input [yellow] 7 2 2 5" xfId="20728"/>
    <cellStyle name="Input [yellow] 7 2 2 5 2" xfId="46250"/>
    <cellStyle name="Input [yellow] 7 2 2 5 3" xfId="50156"/>
    <cellStyle name="Input [yellow] 7 2 2 5 4" xfId="38120"/>
    <cellStyle name="Input [yellow] 7 2 2 6" xfId="21381"/>
    <cellStyle name="Input [yellow] 7 2 2 6 2" xfId="46903"/>
    <cellStyle name="Input [yellow] 7 2 2 6 3" xfId="50809"/>
    <cellStyle name="Input [yellow] 7 2 2 7" xfId="40706"/>
    <cellStyle name="Input [yellow] 7 2 2 8" xfId="39476"/>
    <cellStyle name="Input [yellow] 7 2 3" xfId="10823"/>
    <cellStyle name="Input [yellow] 7 2 3 2" xfId="18610"/>
    <cellStyle name="Input [yellow] 7 2 3 2 2" xfId="44142"/>
    <cellStyle name="Input [yellow] 7 2 3 2 3" xfId="48051"/>
    <cellStyle name="Input [yellow] 7 2 3 2 4" xfId="36233"/>
    <cellStyle name="Input [yellow] 7 2 3 3" xfId="19392"/>
    <cellStyle name="Input [yellow] 7 2 3 3 2" xfId="44914"/>
    <cellStyle name="Input [yellow] 7 2 3 3 3" xfId="48820"/>
    <cellStyle name="Input [yellow] 7 2 3 3 4" xfId="36943"/>
    <cellStyle name="Input [yellow] 7 2 3 4" xfId="12129"/>
    <cellStyle name="Input [yellow] 7 2 3 4 2" xfId="41854"/>
    <cellStyle name="Input [yellow] 7 2 3 4 3" xfId="39638"/>
    <cellStyle name="Input [yellow] 7 2 3 4 4" xfId="29788"/>
    <cellStyle name="Input [yellow] 7 2 3 5" xfId="21023"/>
    <cellStyle name="Input [yellow] 7 2 3 5 2" xfId="46545"/>
    <cellStyle name="Input [yellow] 7 2 3 5 3" xfId="50451"/>
    <cellStyle name="Input [yellow] 7 2 3 5 4" xfId="38415"/>
    <cellStyle name="Input [yellow] 7 2 3 6" xfId="21676"/>
    <cellStyle name="Input [yellow] 7 2 3 6 2" xfId="47198"/>
    <cellStyle name="Input [yellow] 7 2 3 6 3" xfId="51104"/>
    <cellStyle name="Input [yellow] 7 2 3 7" xfId="41001"/>
    <cellStyle name="Input [yellow] 7 2 3 8" xfId="39161"/>
    <cellStyle name="Input [yellow] 7 2 4" xfId="10173"/>
    <cellStyle name="Input [yellow] 7 2 4 2" xfId="17960"/>
    <cellStyle name="Input [yellow] 7 2 4 2 2" xfId="43735"/>
    <cellStyle name="Input [yellow] 7 2 4 2 3" xfId="47658"/>
    <cellStyle name="Input [yellow] 7 2 4 2 4" xfId="35583"/>
    <cellStyle name="Input [yellow] 7 2 4 3" xfId="19138"/>
    <cellStyle name="Input [yellow] 7 2 4 3 2" xfId="44660"/>
    <cellStyle name="Input [yellow] 7 2 4 3 3" xfId="48566"/>
    <cellStyle name="Input [yellow] 7 2 4 3 4" xfId="36718"/>
    <cellStyle name="Input [yellow] 7 2 4 4" xfId="20116"/>
    <cellStyle name="Input [yellow] 7 2 4 4 2" xfId="45638"/>
    <cellStyle name="Input [yellow] 7 2 4 4 3" xfId="49544"/>
    <cellStyle name="Input [yellow] 7 2 4 4 4" xfId="37588"/>
    <cellStyle name="Input [yellow] 7 2 4 5" xfId="20630"/>
    <cellStyle name="Input [yellow] 7 2 4 5 2" xfId="46152"/>
    <cellStyle name="Input [yellow] 7 2 4 5 3" xfId="50058"/>
    <cellStyle name="Input [yellow] 7 2 4 5 4" xfId="38022"/>
    <cellStyle name="Input [yellow] 7 2 4 6" xfId="21283"/>
    <cellStyle name="Input [yellow] 7 2 4 6 2" xfId="46805"/>
    <cellStyle name="Input [yellow] 7 2 4 6 3" xfId="50711"/>
    <cellStyle name="Input [yellow] 7 2 4 7" xfId="40594"/>
    <cellStyle name="Input [yellow] 7 2 4 8" xfId="40115"/>
    <cellStyle name="Input [yellow] 7 2 5" xfId="14783"/>
    <cellStyle name="Input [yellow] 7 2 5 2" xfId="42881"/>
    <cellStyle name="Input [yellow] 7 2 5 3" xfId="40290"/>
    <cellStyle name="Input [yellow] 7 2 5 4" xfId="32404"/>
    <cellStyle name="Input [yellow] 7 2 6" xfId="13069"/>
    <cellStyle name="Input [yellow] 7 2 6 2" xfId="42271"/>
    <cellStyle name="Input [yellow] 7 2 6 3" xfId="41281"/>
    <cellStyle name="Input [yellow] 7 2 6 4" xfId="30704"/>
    <cellStyle name="Input [yellow] 7 2 7" xfId="19653"/>
    <cellStyle name="Input [yellow] 7 2 7 2" xfId="45175"/>
    <cellStyle name="Input [yellow] 7 2 7 3" xfId="49081"/>
    <cellStyle name="Input [yellow] 7 2 7 4" xfId="37173"/>
    <cellStyle name="Input [yellow] 7 2 8" xfId="12699"/>
    <cellStyle name="Input [yellow] 7 2 8 2" xfId="42155"/>
    <cellStyle name="Input [yellow] 7 2 8 3" xfId="43557"/>
    <cellStyle name="Input [yellow] 7 2 8 4" xfId="30343"/>
    <cellStyle name="Input [yellow] 7 2 9" xfId="19851"/>
    <cellStyle name="Input [yellow] 7 2 9 2" xfId="45373"/>
    <cellStyle name="Input [yellow] 7 2 9 3" xfId="49279"/>
    <cellStyle name="Input [yellow] 7 2 9 4" xfId="37351"/>
    <cellStyle name="Input [yellow] 7 3" xfId="10447"/>
    <cellStyle name="Input [yellow] 7 3 2" xfId="18234"/>
    <cellStyle name="Input [yellow] 7 3 2 2" xfId="43766"/>
    <cellStyle name="Input [yellow] 7 3 2 3" xfId="47675"/>
    <cellStyle name="Input [yellow] 7 3 2 4" xfId="35857"/>
    <cellStyle name="Input [yellow] 7 3 3" xfId="20169"/>
    <cellStyle name="Input [yellow] 7 3 3 2" xfId="45691"/>
    <cellStyle name="Input [yellow] 7 3 3 3" xfId="49597"/>
    <cellStyle name="Input [yellow] 7 3 3 4" xfId="37640"/>
    <cellStyle name="Input [yellow] 7 3 4" xfId="20449"/>
    <cellStyle name="Input [yellow] 7 3 4 2" xfId="45971"/>
    <cellStyle name="Input [yellow] 7 3 4 3" xfId="49877"/>
    <cellStyle name="Input [yellow] 7 3 4 4" xfId="37888"/>
    <cellStyle name="Input [yellow] 7 3 5" xfId="20647"/>
    <cellStyle name="Input [yellow] 7 3 5 2" xfId="46169"/>
    <cellStyle name="Input [yellow] 7 3 5 3" xfId="50075"/>
    <cellStyle name="Input [yellow] 7 3 5 4" xfId="38039"/>
    <cellStyle name="Input [yellow] 7 3 6" xfId="21300"/>
    <cellStyle name="Input [yellow] 7 3 6 2" xfId="46822"/>
    <cellStyle name="Input [yellow] 7 3 6 3" xfId="50728"/>
    <cellStyle name="Input [yellow] 7 3 7" xfId="40625"/>
    <cellStyle name="Input [yellow] 7 3 8" xfId="43374"/>
    <cellStyle name="Input [yellow] 7 4" xfId="7786"/>
    <cellStyle name="Input [yellow] 7 4 2" xfId="15577"/>
    <cellStyle name="Input [yellow] 7 4 2 2" xfId="43239"/>
    <cellStyle name="Input [yellow] 7 4 2 3" xfId="40491"/>
    <cellStyle name="Input [yellow] 7 4 2 4" xfId="33198"/>
    <cellStyle name="Input [yellow] 7 4 3" xfId="19943"/>
    <cellStyle name="Input [yellow] 7 4 3 2" xfId="45465"/>
    <cellStyle name="Input [yellow] 7 4 3 3" xfId="49371"/>
    <cellStyle name="Input [yellow] 7 4 3 4" xfId="37434"/>
    <cellStyle name="Input [yellow] 7 4 4" xfId="19159"/>
    <cellStyle name="Input [yellow] 7 4 4 2" xfId="44681"/>
    <cellStyle name="Input [yellow] 7 4 4 3" xfId="48587"/>
    <cellStyle name="Input [yellow] 7 4 4 4" xfId="36736"/>
    <cellStyle name="Input [yellow] 7 4 5" xfId="11371"/>
    <cellStyle name="Input [yellow] 7 4 5 2" xfId="41387"/>
    <cellStyle name="Input [yellow] 7 4 5 3" xfId="42009"/>
    <cellStyle name="Input [yellow] 7 4 5 4" xfId="29079"/>
    <cellStyle name="Input [yellow] 7 4 6" xfId="20073"/>
    <cellStyle name="Input [yellow] 7 4 6 2" xfId="45595"/>
    <cellStyle name="Input [yellow] 7 4 6 3" xfId="49501"/>
    <cellStyle name="Input [yellow] 7 4 7" xfId="40098"/>
    <cellStyle name="Input [yellow] 7 4 8" xfId="40099"/>
    <cellStyle name="Input [yellow] 8" xfId="6986"/>
    <cellStyle name="Input [yellow] 8 10" xfId="39726"/>
    <cellStyle name="Input [yellow] 8 11" xfId="40381"/>
    <cellStyle name="Input [yellow] 8 2" xfId="10513"/>
    <cellStyle name="Input [yellow] 8 2 2" xfId="18300"/>
    <cellStyle name="Input [yellow] 8 2 2 2" xfId="43832"/>
    <cellStyle name="Input [yellow] 8 2 2 3" xfId="47741"/>
    <cellStyle name="Input [yellow] 8 2 2 4" xfId="35923"/>
    <cellStyle name="Input [yellow] 8 2 3" xfId="19606"/>
    <cellStyle name="Input [yellow] 8 2 3 2" xfId="45128"/>
    <cellStyle name="Input [yellow] 8 2 3 3" xfId="49034"/>
    <cellStyle name="Input [yellow] 8 2 3 4" xfId="37132"/>
    <cellStyle name="Input [yellow] 8 2 4" xfId="19156"/>
    <cellStyle name="Input [yellow] 8 2 4 2" xfId="44678"/>
    <cellStyle name="Input [yellow] 8 2 4 3" xfId="48584"/>
    <cellStyle name="Input [yellow] 8 2 4 4" xfId="36734"/>
    <cellStyle name="Input [yellow] 8 2 5" xfId="20713"/>
    <cellStyle name="Input [yellow] 8 2 5 2" xfId="46235"/>
    <cellStyle name="Input [yellow] 8 2 5 3" xfId="50141"/>
    <cellStyle name="Input [yellow] 8 2 5 4" xfId="38105"/>
    <cellStyle name="Input [yellow] 8 2 6" xfId="21366"/>
    <cellStyle name="Input [yellow] 8 2 6 2" xfId="46888"/>
    <cellStyle name="Input [yellow] 8 2 6 3" xfId="50794"/>
    <cellStyle name="Input [yellow] 8 2 7" xfId="40691"/>
    <cellStyle name="Input [yellow] 8 2 8" xfId="39174"/>
    <cellStyle name="Input [yellow] 8 3" xfId="10808"/>
    <cellStyle name="Input [yellow] 8 3 2" xfId="18595"/>
    <cellStyle name="Input [yellow] 8 3 2 2" xfId="44127"/>
    <cellStyle name="Input [yellow] 8 3 2 3" xfId="48036"/>
    <cellStyle name="Input [yellow] 8 3 2 4" xfId="36218"/>
    <cellStyle name="Input [yellow] 8 3 3" xfId="19264"/>
    <cellStyle name="Input [yellow] 8 3 3 2" xfId="44786"/>
    <cellStyle name="Input [yellow] 8 3 3 3" xfId="48692"/>
    <cellStyle name="Input [yellow] 8 3 3 4" xfId="36828"/>
    <cellStyle name="Input [yellow] 8 3 4" xfId="11650"/>
    <cellStyle name="Input [yellow] 8 3 4 2" xfId="41641"/>
    <cellStyle name="Input [yellow] 8 3 4 3" xfId="39435"/>
    <cellStyle name="Input [yellow] 8 3 4 4" xfId="29335"/>
    <cellStyle name="Input [yellow] 8 3 5" xfId="21008"/>
    <cellStyle name="Input [yellow] 8 3 5 2" xfId="46530"/>
    <cellStyle name="Input [yellow] 8 3 5 3" xfId="50436"/>
    <cellStyle name="Input [yellow] 8 3 5 4" xfId="38400"/>
    <cellStyle name="Input [yellow] 8 3 6" xfId="21661"/>
    <cellStyle name="Input [yellow] 8 3 6 2" xfId="47183"/>
    <cellStyle name="Input [yellow] 8 3 6 3" xfId="51089"/>
    <cellStyle name="Input [yellow] 8 3 7" xfId="40986"/>
    <cellStyle name="Input [yellow] 8 3 8" xfId="43702"/>
    <cellStyle name="Input [yellow] 8 4" xfId="10158"/>
    <cellStyle name="Input [yellow] 8 4 2" xfId="17945"/>
    <cellStyle name="Input [yellow] 8 4 2 2" xfId="43720"/>
    <cellStyle name="Input [yellow] 8 4 2 3" xfId="47643"/>
    <cellStyle name="Input [yellow] 8 4 2 4" xfId="35568"/>
    <cellStyle name="Input [yellow] 8 4 3" xfId="20176"/>
    <cellStyle name="Input [yellow] 8 4 3 2" xfId="45698"/>
    <cellStyle name="Input [yellow] 8 4 3 3" xfId="49604"/>
    <cellStyle name="Input [yellow] 8 4 3 4" xfId="37646"/>
    <cellStyle name="Input [yellow] 8 4 4" xfId="20181"/>
    <cellStyle name="Input [yellow] 8 4 4 2" xfId="45703"/>
    <cellStyle name="Input [yellow] 8 4 4 3" xfId="49609"/>
    <cellStyle name="Input [yellow] 8 4 4 4" xfId="37650"/>
    <cellStyle name="Input [yellow] 8 4 5" xfId="20615"/>
    <cellStyle name="Input [yellow] 8 4 5 2" xfId="46137"/>
    <cellStyle name="Input [yellow] 8 4 5 3" xfId="50043"/>
    <cellStyle name="Input [yellow] 8 4 5 4" xfId="38007"/>
    <cellStyle name="Input [yellow] 8 4 6" xfId="21268"/>
    <cellStyle name="Input [yellow] 8 4 6 2" xfId="46790"/>
    <cellStyle name="Input [yellow] 8 4 6 3" xfId="50696"/>
    <cellStyle name="Input [yellow] 8 4 7" xfId="40579"/>
    <cellStyle name="Input [yellow] 8 4 8" xfId="39690"/>
    <cellStyle name="Input [yellow] 8 5" xfId="14768"/>
    <cellStyle name="Input [yellow] 8 5 2" xfId="42866"/>
    <cellStyle name="Input [yellow] 8 5 3" xfId="39251"/>
    <cellStyle name="Input [yellow] 8 5 4" xfId="32389"/>
    <cellStyle name="Input [yellow] 8 6" xfId="13056"/>
    <cellStyle name="Input [yellow] 8 6 2" xfId="42258"/>
    <cellStyle name="Input [yellow] 8 6 3" xfId="42771"/>
    <cellStyle name="Input [yellow] 8 6 4" xfId="30691"/>
    <cellStyle name="Input [yellow] 8 7" xfId="20038"/>
    <cellStyle name="Input [yellow] 8 7 2" xfId="45560"/>
    <cellStyle name="Input [yellow] 8 7 3" xfId="49466"/>
    <cellStyle name="Input [yellow] 8 7 4" xfId="37522"/>
    <cellStyle name="Input [yellow] 8 8" xfId="11787"/>
    <cellStyle name="Input [yellow] 8 8 2" xfId="41717"/>
    <cellStyle name="Input [yellow] 8 8 3" xfId="39126"/>
    <cellStyle name="Input [yellow] 8 8 4" xfId="29459"/>
    <cellStyle name="Input [yellow] 8 9" xfId="20611"/>
    <cellStyle name="Input [yellow] 8 9 2" xfId="46133"/>
    <cellStyle name="Input [yellow] 8 9 3" xfId="50039"/>
    <cellStyle name="Input [yellow] 8 9 4" xfId="38006"/>
    <cellStyle name="Input [yellow] 9" xfId="10432"/>
    <cellStyle name="Input [yellow] 9 2" xfId="18219"/>
    <cellStyle name="Input [yellow] 9 2 2" xfId="43751"/>
    <cellStyle name="Input [yellow] 9 2 3" xfId="47660"/>
    <cellStyle name="Input [yellow] 9 2 4" xfId="35842"/>
    <cellStyle name="Input [yellow] 9 3" xfId="20034"/>
    <cellStyle name="Input [yellow] 9 3 2" xfId="45556"/>
    <cellStyle name="Input [yellow] 9 3 3" xfId="49462"/>
    <cellStyle name="Input [yellow] 9 3 4" xfId="37518"/>
    <cellStyle name="Input [yellow] 9 4" xfId="19354"/>
    <cellStyle name="Input [yellow] 9 4 2" xfId="44876"/>
    <cellStyle name="Input [yellow] 9 4 3" xfId="48782"/>
    <cellStyle name="Input [yellow] 9 4 4" xfId="36908"/>
    <cellStyle name="Input [yellow] 9 5" xfId="20632"/>
    <cellStyle name="Input [yellow] 9 5 2" xfId="46154"/>
    <cellStyle name="Input [yellow] 9 5 3" xfId="50060"/>
    <cellStyle name="Input [yellow] 9 5 4" xfId="38024"/>
    <cellStyle name="Input [yellow] 9 6" xfId="21285"/>
    <cellStyle name="Input [yellow] 9 6 2" xfId="46807"/>
    <cellStyle name="Input [yellow] 9 6 3" xfId="50713"/>
    <cellStyle name="Input [yellow] 9 7" xfId="40610"/>
    <cellStyle name="Input [yellow] 9 8" xfId="41419"/>
    <cellStyle name="Input [yellow]_BallGrid" xfId="1795"/>
    <cellStyle name="Input 10" xfId="1796"/>
    <cellStyle name="Input 10 2" xfId="1797"/>
    <cellStyle name="Input 10 2 2" xfId="1798"/>
    <cellStyle name="Input 10 2 2 2" xfId="7004"/>
    <cellStyle name="Input 10 2 2 2 10" xfId="39596"/>
    <cellStyle name="Input 10 2 2 2 2" xfId="10531"/>
    <cellStyle name="Input 10 2 2 2 2 2" xfId="18318"/>
    <cellStyle name="Input 10 2 2 2 2 2 2" xfId="43850"/>
    <cellStyle name="Input 10 2 2 2 2 2 3" xfId="47759"/>
    <cellStyle name="Input 10 2 2 2 2 2 4" xfId="35941"/>
    <cellStyle name="Input 10 2 2 2 2 3" xfId="11484"/>
    <cellStyle name="Input 10 2 2 2 2 3 2" xfId="41475"/>
    <cellStyle name="Input 10 2 2 2 2 3 3" xfId="40187"/>
    <cellStyle name="Input 10 2 2 2 2 3 4" xfId="29185"/>
    <cellStyle name="Input 10 2 2 2 2 4" xfId="19523"/>
    <cellStyle name="Input 10 2 2 2 2 4 2" xfId="45045"/>
    <cellStyle name="Input 10 2 2 2 2 4 3" xfId="48951"/>
    <cellStyle name="Input 10 2 2 2 2 4 4" xfId="37056"/>
    <cellStyle name="Input 10 2 2 2 2 5" xfId="20731"/>
    <cellStyle name="Input 10 2 2 2 2 5 2" xfId="46253"/>
    <cellStyle name="Input 10 2 2 2 2 5 3" xfId="50159"/>
    <cellStyle name="Input 10 2 2 2 2 5 4" xfId="38123"/>
    <cellStyle name="Input 10 2 2 2 2 6" xfId="21384"/>
    <cellStyle name="Input 10 2 2 2 2 6 2" xfId="46906"/>
    <cellStyle name="Input 10 2 2 2 2 6 3" xfId="50812"/>
    <cellStyle name="Input 10 2 2 2 2 7" xfId="40709"/>
    <cellStyle name="Input 10 2 2 2 2 8" xfId="40231"/>
    <cellStyle name="Input 10 2 2 2 3" xfId="10826"/>
    <cellStyle name="Input 10 2 2 2 3 2" xfId="18613"/>
    <cellStyle name="Input 10 2 2 2 3 2 2" xfId="44145"/>
    <cellStyle name="Input 10 2 2 2 3 2 3" xfId="48054"/>
    <cellStyle name="Input 10 2 2 2 3 2 4" xfId="36236"/>
    <cellStyle name="Input 10 2 2 2 3 3" xfId="19874"/>
    <cellStyle name="Input 10 2 2 2 3 3 2" xfId="45396"/>
    <cellStyle name="Input 10 2 2 2 3 3 3" xfId="49302"/>
    <cellStyle name="Input 10 2 2 2 3 3 4" xfId="37374"/>
    <cellStyle name="Input 10 2 2 2 3 4" xfId="12922"/>
    <cellStyle name="Input 10 2 2 2 3 4 2" xfId="42229"/>
    <cellStyle name="Input 10 2 2 2 3 4 3" xfId="39278"/>
    <cellStyle name="Input 10 2 2 2 3 4 4" xfId="30558"/>
    <cellStyle name="Input 10 2 2 2 3 5" xfId="21026"/>
    <cellStyle name="Input 10 2 2 2 3 5 2" xfId="46548"/>
    <cellStyle name="Input 10 2 2 2 3 5 3" xfId="50454"/>
    <cellStyle name="Input 10 2 2 2 3 5 4" xfId="38418"/>
    <cellStyle name="Input 10 2 2 2 3 6" xfId="21679"/>
    <cellStyle name="Input 10 2 2 2 3 6 2" xfId="47201"/>
    <cellStyle name="Input 10 2 2 2 3 6 3" xfId="51107"/>
    <cellStyle name="Input 10 2 2 2 3 7" xfId="41004"/>
    <cellStyle name="Input 10 2 2 2 3 8" xfId="40213"/>
    <cellStyle name="Input 10 2 2 2 4" xfId="14786"/>
    <cellStyle name="Input 10 2 2 2 4 2" xfId="42884"/>
    <cellStyle name="Input 10 2 2 2 4 3" xfId="43276"/>
    <cellStyle name="Input 10 2 2 2 4 4" xfId="32407"/>
    <cellStyle name="Input 10 2 2 2 5" xfId="12456"/>
    <cellStyle name="Input 10 2 2 2 5 2" xfId="41958"/>
    <cellStyle name="Input 10 2 2 2 5 3" xfId="43454"/>
    <cellStyle name="Input 10 2 2 2 5 4" xfId="30113"/>
    <cellStyle name="Input 10 2 2 2 6" xfId="12843"/>
    <cellStyle name="Input 10 2 2 2 6 2" xfId="42207"/>
    <cellStyle name="Input 10 2 2 2 6 3" xfId="40157"/>
    <cellStyle name="Input 10 2 2 2 6 4" xfId="30483"/>
    <cellStyle name="Input 10 2 2 2 7" xfId="20226"/>
    <cellStyle name="Input 10 2 2 2 7 2" xfId="45748"/>
    <cellStyle name="Input 10 2 2 2 7 3" xfId="49654"/>
    <cellStyle name="Input 10 2 2 2 7 4" xfId="37685"/>
    <cellStyle name="Input 10 2 2 2 8" xfId="11574"/>
    <cellStyle name="Input 10 2 2 2 8 2" xfId="41565"/>
    <cellStyle name="Input 10 2 2 2 8 3" xfId="43466"/>
    <cellStyle name="Input 10 2 2 2 9" xfId="39744"/>
    <cellStyle name="Input 10 2 2 3" xfId="52959"/>
    <cellStyle name="Input 10 2 3" xfId="7003"/>
    <cellStyle name="Input 10 2 3 10" xfId="40486"/>
    <cellStyle name="Input 10 2 3 2" xfId="10530"/>
    <cellStyle name="Input 10 2 3 2 2" xfId="18317"/>
    <cellStyle name="Input 10 2 3 2 2 2" xfId="43849"/>
    <cellStyle name="Input 10 2 3 2 2 3" xfId="47758"/>
    <cellStyle name="Input 10 2 3 2 2 4" xfId="35940"/>
    <cellStyle name="Input 10 2 3 2 3" xfId="19745"/>
    <cellStyle name="Input 10 2 3 2 3 2" xfId="45267"/>
    <cellStyle name="Input 10 2 3 2 3 3" xfId="49173"/>
    <cellStyle name="Input 10 2 3 2 3 4" xfId="37258"/>
    <cellStyle name="Input 10 2 3 2 4" xfId="19243"/>
    <cellStyle name="Input 10 2 3 2 4 2" xfId="44765"/>
    <cellStyle name="Input 10 2 3 2 4 3" xfId="48671"/>
    <cellStyle name="Input 10 2 3 2 4 4" xfId="36807"/>
    <cellStyle name="Input 10 2 3 2 5" xfId="20730"/>
    <cellStyle name="Input 10 2 3 2 5 2" xfId="46252"/>
    <cellStyle name="Input 10 2 3 2 5 3" xfId="50158"/>
    <cellStyle name="Input 10 2 3 2 5 4" xfId="38122"/>
    <cellStyle name="Input 10 2 3 2 6" xfId="21383"/>
    <cellStyle name="Input 10 2 3 2 6 2" xfId="46905"/>
    <cellStyle name="Input 10 2 3 2 6 3" xfId="50811"/>
    <cellStyle name="Input 10 2 3 2 7" xfId="40708"/>
    <cellStyle name="Input 10 2 3 2 8" xfId="43369"/>
    <cellStyle name="Input 10 2 3 3" xfId="10825"/>
    <cellStyle name="Input 10 2 3 3 2" xfId="18612"/>
    <cellStyle name="Input 10 2 3 3 2 2" xfId="44144"/>
    <cellStyle name="Input 10 2 3 3 2 3" xfId="48053"/>
    <cellStyle name="Input 10 2 3 3 2 4" xfId="36235"/>
    <cellStyle name="Input 10 2 3 3 3" xfId="19265"/>
    <cellStyle name="Input 10 2 3 3 3 2" xfId="44787"/>
    <cellStyle name="Input 10 2 3 3 3 3" xfId="48693"/>
    <cellStyle name="Input 10 2 3 3 3 4" xfId="36829"/>
    <cellStyle name="Input 10 2 3 3 4" xfId="19377"/>
    <cellStyle name="Input 10 2 3 3 4 2" xfId="44899"/>
    <cellStyle name="Input 10 2 3 3 4 3" xfId="48805"/>
    <cellStyle name="Input 10 2 3 3 4 4" xfId="36928"/>
    <cellStyle name="Input 10 2 3 3 5" xfId="21025"/>
    <cellStyle name="Input 10 2 3 3 5 2" xfId="46547"/>
    <cellStyle name="Input 10 2 3 3 5 3" xfId="50453"/>
    <cellStyle name="Input 10 2 3 3 5 4" xfId="38417"/>
    <cellStyle name="Input 10 2 3 3 6" xfId="21678"/>
    <cellStyle name="Input 10 2 3 3 6 2" xfId="47200"/>
    <cellStyle name="Input 10 2 3 3 6 3" xfId="51106"/>
    <cellStyle name="Input 10 2 3 3 7" xfId="41003"/>
    <cellStyle name="Input 10 2 3 3 8" xfId="43351"/>
    <cellStyle name="Input 10 2 3 4" xfId="14785"/>
    <cellStyle name="Input 10 2 3 4 2" xfId="42883"/>
    <cellStyle name="Input 10 2 3 4 3" xfId="41922"/>
    <cellStyle name="Input 10 2 3 4 4" xfId="32406"/>
    <cellStyle name="Input 10 2 3 5" xfId="13071"/>
    <cellStyle name="Input 10 2 3 5 2" xfId="42273"/>
    <cellStyle name="Input 10 2 3 5 3" xfId="40028"/>
    <cellStyle name="Input 10 2 3 5 4" xfId="30706"/>
    <cellStyle name="Input 10 2 3 6" xfId="12850"/>
    <cellStyle name="Input 10 2 3 6 2" xfId="42214"/>
    <cellStyle name="Input 10 2 3 6 3" xfId="43660"/>
    <cellStyle name="Input 10 2 3 6 4" xfId="30488"/>
    <cellStyle name="Input 10 2 3 7" xfId="20479"/>
    <cellStyle name="Input 10 2 3 7 2" xfId="46001"/>
    <cellStyle name="Input 10 2 3 7 3" xfId="49907"/>
    <cellStyle name="Input 10 2 3 7 4" xfId="37910"/>
    <cellStyle name="Input 10 2 3 8" xfId="11621"/>
    <cellStyle name="Input 10 2 3 8 2" xfId="41612"/>
    <cellStyle name="Input 10 2 3 8 3" xfId="40180"/>
    <cellStyle name="Input 10 2 3 9" xfId="39743"/>
    <cellStyle name="Input 10 2 4" xfId="52958"/>
    <cellStyle name="Input 10 2_Sheet1" xfId="1799"/>
    <cellStyle name="Input 10 3" xfId="1800"/>
    <cellStyle name="Input 10 3 2" xfId="7005"/>
    <cellStyle name="Input 10 3 2 10" xfId="42604"/>
    <cellStyle name="Input 10 3 2 2" xfId="10532"/>
    <cellStyle name="Input 10 3 2 2 2" xfId="18319"/>
    <cellStyle name="Input 10 3 2 2 2 2" xfId="43851"/>
    <cellStyle name="Input 10 3 2 2 2 3" xfId="47760"/>
    <cellStyle name="Input 10 3 2 2 2 4" xfId="35942"/>
    <cellStyle name="Input 10 3 2 2 3" xfId="19747"/>
    <cellStyle name="Input 10 3 2 2 3 2" xfId="45269"/>
    <cellStyle name="Input 10 3 2 2 3 3" xfId="49175"/>
    <cellStyle name="Input 10 3 2 2 3 4" xfId="37260"/>
    <cellStyle name="Input 10 3 2 2 4" xfId="19241"/>
    <cellStyle name="Input 10 3 2 2 4 2" xfId="44763"/>
    <cellStyle name="Input 10 3 2 2 4 3" xfId="48669"/>
    <cellStyle name="Input 10 3 2 2 4 4" xfId="36805"/>
    <cellStyle name="Input 10 3 2 2 5" xfId="20732"/>
    <cellStyle name="Input 10 3 2 2 5 2" xfId="46254"/>
    <cellStyle name="Input 10 3 2 2 5 3" xfId="50160"/>
    <cellStyle name="Input 10 3 2 2 5 4" xfId="38124"/>
    <cellStyle name="Input 10 3 2 2 6" xfId="21385"/>
    <cellStyle name="Input 10 3 2 2 6 2" xfId="46907"/>
    <cellStyle name="Input 10 3 2 2 6 3" xfId="50813"/>
    <cellStyle name="Input 10 3 2 2 7" xfId="40710"/>
    <cellStyle name="Input 10 3 2 2 8" xfId="39371"/>
    <cellStyle name="Input 10 3 2 3" xfId="10827"/>
    <cellStyle name="Input 10 3 2 3 2" xfId="18614"/>
    <cellStyle name="Input 10 3 2 3 2 2" xfId="44146"/>
    <cellStyle name="Input 10 3 2 3 2 3" xfId="48055"/>
    <cellStyle name="Input 10 3 2 3 2 4" xfId="36237"/>
    <cellStyle name="Input 10 3 2 3 3" xfId="19097"/>
    <cellStyle name="Input 10 3 2 3 3 2" xfId="44619"/>
    <cellStyle name="Input 10 3 2 3 3 3" xfId="48525"/>
    <cellStyle name="Input 10 3 2 3 3 4" xfId="36678"/>
    <cellStyle name="Input 10 3 2 3 4" xfId="18903"/>
    <cellStyle name="Input 10 3 2 3 4 2" xfId="44425"/>
    <cellStyle name="Input 10 3 2 3 4 3" xfId="48331"/>
    <cellStyle name="Input 10 3 2 3 4 4" xfId="36519"/>
    <cellStyle name="Input 10 3 2 3 5" xfId="21027"/>
    <cellStyle name="Input 10 3 2 3 5 2" xfId="46549"/>
    <cellStyle name="Input 10 3 2 3 5 3" xfId="50455"/>
    <cellStyle name="Input 10 3 2 3 5 4" xfId="38419"/>
    <cellStyle name="Input 10 3 2 3 6" xfId="21680"/>
    <cellStyle name="Input 10 3 2 3 6 2" xfId="47202"/>
    <cellStyle name="Input 10 3 2 3 6 3" xfId="51108"/>
    <cellStyle name="Input 10 3 2 3 7" xfId="41005"/>
    <cellStyle name="Input 10 3 2 3 8" xfId="39353"/>
    <cellStyle name="Input 10 3 2 4" xfId="14787"/>
    <cellStyle name="Input 10 3 2 4 2" xfId="42885"/>
    <cellStyle name="Input 10 3 2 4 3" xfId="40135"/>
    <cellStyle name="Input 10 3 2 4 4" xfId="32408"/>
    <cellStyle name="Input 10 3 2 5" xfId="12457"/>
    <cellStyle name="Input 10 3 2 5 2" xfId="41959"/>
    <cellStyle name="Input 10 3 2 5 3" xfId="40314"/>
    <cellStyle name="Input 10 3 2 5 4" xfId="30114"/>
    <cellStyle name="Input 10 3 2 6" xfId="13908"/>
    <cellStyle name="Input 10 3 2 6 2" xfId="42624"/>
    <cellStyle name="Input 10 3 2 6 3" xfId="43160"/>
    <cellStyle name="Input 10 3 2 6 4" xfId="31530"/>
    <cellStyle name="Input 10 3 2 7" xfId="11460"/>
    <cellStyle name="Input 10 3 2 7 2" xfId="41451"/>
    <cellStyle name="Input 10 3 2 7 3" xfId="40188"/>
    <cellStyle name="Input 10 3 2 7 4" xfId="29163"/>
    <cellStyle name="Input 10 3 2 8" xfId="11658"/>
    <cellStyle name="Input 10 3 2 8 2" xfId="41649"/>
    <cellStyle name="Input 10 3 2 8 3" xfId="43181"/>
    <cellStyle name="Input 10 3 2 9" xfId="39745"/>
    <cellStyle name="Input 10 3 3" xfId="52960"/>
    <cellStyle name="Input 10 4" xfId="7002"/>
    <cellStyle name="Input 10 4 10" xfId="43628"/>
    <cellStyle name="Input 10 4 11" xfId="52961"/>
    <cellStyle name="Input 10 4 2" xfId="10529"/>
    <cellStyle name="Input 10 4 2 2" xfId="18316"/>
    <cellStyle name="Input 10 4 2 2 2" xfId="43848"/>
    <cellStyle name="Input 10 4 2 2 3" xfId="47757"/>
    <cellStyle name="Input 10 4 2 2 4" xfId="35939"/>
    <cellStyle name="Input 10 4 2 3" xfId="19123"/>
    <cellStyle name="Input 10 4 2 3 2" xfId="44645"/>
    <cellStyle name="Input 10 4 2 3 3" xfId="48551"/>
    <cellStyle name="Input 10 4 2 3 4" xfId="36704"/>
    <cellStyle name="Input 10 4 2 4" xfId="19019"/>
    <cellStyle name="Input 10 4 2 4 2" xfId="44541"/>
    <cellStyle name="Input 10 4 2 4 3" xfId="48447"/>
    <cellStyle name="Input 10 4 2 4 4" xfId="36611"/>
    <cellStyle name="Input 10 4 2 5" xfId="20729"/>
    <cellStyle name="Input 10 4 2 5 2" xfId="46251"/>
    <cellStyle name="Input 10 4 2 5 3" xfId="50157"/>
    <cellStyle name="Input 10 4 2 5 4" xfId="38121"/>
    <cellStyle name="Input 10 4 2 6" xfId="21382"/>
    <cellStyle name="Input 10 4 2 6 2" xfId="46904"/>
    <cellStyle name="Input 10 4 2 6 3" xfId="50810"/>
    <cellStyle name="Input 10 4 2 7" xfId="40707"/>
    <cellStyle name="Input 10 4 2 8" xfId="42050"/>
    <cellStyle name="Input 10 4 3" xfId="10824"/>
    <cellStyle name="Input 10 4 3 2" xfId="18611"/>
    <cellStyle name="Input 10 4 3 2 2" xfId="44143"/>
    <cellStyle name="Input 10 4 3 2 3" xfId="48052"/>
    <cellStyle name="Input 10 4 3 2 4" xfId="36234"/>
    <cellStyle name="Input 10 4 3 3" xfId="19999"/>
    <cellStyle name="Input 10 4 3 3 2" xfId="45521"/>
    <cellStyle name="Input 10 4 3 3 3" xfId="49427"/>
    <cellStyle name="Input 10 4 3 3 4" xfId="37483"/>
    <cellStyle name="Input 10 4 3 4" xfId="13293"/>
    <cellStyle name="Input 10 4 3 4 2" xfId="42444"/>
    <cellStyle name="Input 10 4 3 4 3" xfId="40509"/>
    <cellStyle name="Input 10 4 3 4 4" xfId="30923"/>
    <cellStyle name="Input 10 4 3 5" xfId="21024"/>
    <cellStyle name="Input 10 4 3 5 2" xfId="46546"/>
    <cellStyle name="Input 10 4 3 5 3" xfId="50452"/>
    <cellStyle name="Input 10 4 3 5 4" xfId="38416"/>
    <cellStyle name="Input 10 4 3 6" xfId="21677"/>
    <cellStyle name="Input 10 4 3 6 2" xfId="47199"/>
    <cellStyle name="Input 10 4 3 6 3" xfId="51105"/>
    <cellStyle name="Input 10 4 3 7" xfId="41002"/>
    <cellStyle name="Input 10 4 3 8" xfId="42032"/>
    <cellStyle name="Input 10 4 4" xfId="14784"/>
    <cellStyle name="Input 10 4 4 2" xfId="42882"/>
    <cellStyle name="Input 10 4 4 3" xfId="39407"/>
    <cellStyle name="Input 10 4 4 4" xfId="32405"/>
    <cellStyle name="Input 10 4 5" xfId="13070"/>
    <cellStyle name="Input 10 4 5 2" xfId="42272"/>
    <cellStyle name="Input 10 4 5 3" xfId="43169"/>
    <cellStyle name="Input 10 4 5 4" xfId="30705"/>
    <cellStyle name="Input 10 4 6" xfId="19452"/>
    <cellStyle name="Input 10 4 6 2" xfId="44974"/>
    <cellStyle name="Input 10 4 6 3" xfId="48880"/>
    <cellStyle name="Input 10 4 6 4" xfId="36996"/>
    <cellStyle name="Input 10 4 7" xfId="20096"/>
    <cellStyle name="Input 10 4 7 2" xfId="45618"/>
    <cellStyle name="Input 10 4 7 3" xfId="49524"/>
    <cellStyle name="Input 10 4 7 4" xfId="37570"/>
    <cellStyle name="Input 10 4 8" xfId="19689"/>
    <cellStyle name="Input 10 4 8 2" xfId="45211"/>
    <cellStyle name="Input 10 4 8 3" xfId="49117"/>
    <cellStyle name="Input 10 4 9" xfId="39742"/>
    <cellStyle name="Input 10 5" xfId="22414"/>
    <cellStyle name="Input 10 6" xfId="22908"/>
    <cellStyle name="Input 10 7" xfId="52957"/>
    <cellStyle name="Input 10_Sheet1" xfId="1801"/>
    <cellStyle name="Input 11" xfId="1802"/>
    <cellStyle name="Input 11 2" xfId="1803"/>
    <cellStyle name="Input 11 2 2" xfId="1804"/>
    <cellStyle name="Input 11 2 2 2" xfId="7008"/>
    <cellStyle name="Input 11 2 2 2 10" xfId="39492"/>
    <cellStyle name="Input 11 2 2 2 2" xfId="10535"/>
    <cellStyle name="Input 11 2 2 2 2 2" xfId="18322"/>
    <cellStyle name="Input 11 2 2 2 2 2 2" xfId="43854"/>
    <cellStyle name="Input 11 2 2 2 2 2 3" xfId="47763"/>
    <cellStyle name="Input 11 2 2 2 2 2 4" xfId="35945"/>
    <cellStyle name="Input 11 2 2 2 2 3" xfId="20027"/>
    <cellStyle name="Input 11 2 2 2 2 3 2" xfId="45549"/>
    <cellStyle name="Input 11 2 2 2 2 3 3" xfId="49455"/>
    <cellStyle name="Input 11 2 2 2 2 3 4" xfId="37511"/>
    <cellStyle name="Input 11 2 2 2 2 4" xfId="12607"/>
    <cellStyle name="Input 11 2 2 2 2 4 2" xfId="42067"/>
    <cellStyle name="Input 11 2 2 2 2 4 3" xfId="42538"/>
    <cellStyle name="Input 11 2 2 2 2 4 4" xfId="30259"/>
    <cellStyle name="Input 11 2 2 2 2 5" xfId="20735"/>
    <cellStyle name="Input 11 2 2 2 2 5 2" xfId="46257"/>
    <cellStyle name="Input 11 2 2 2 2 5 3" xfId="50163"/>
    <cellStyle name="Input 11 2 2 2 2 5 4" xfId="38127"/>
    <cellStyle name="Input 11 2 2 2 2 6" xfId="21388"/>
    <cellStyle name="Input 11 2 2 2 2 6 2" xfId="46910"/>
    <cellStyle name="Input 11 2 2 2 2 6 3" xfId="50816"/>
    <cellStyle name="Input 11 2 2 2 2 7" xfId="40713"/>
    <cellStyle name="Input 11 2 2 2 2 8" xfId="43216"/>
    <cellStyle name="Input 11 2 2 2 3" xfId="10830"/>
    <cellStyle name="Input 11 2 2 2 3 2" xfId="18617"/>
    <cellStyle name="Input 11 2 2 2 3 2 2" xfId="44149"/>
    <cellStyle name="Input 11 2 2 2 3 2 3" xfId="48058"/>
    <cellStyle name="Input 11 2 2 2 3 2 4" xfId="36240"/>
    <cellStyle name="Input 11 2 2 2 3 3" xfId="12159"/>
    <cellStyle name="Input 11 2 2 2 3 3 2" xfId="41884"/>
    <cellStyle name="Input 11 2 2 2 3 3 3" xfId="40317"/>
    <cellStyle name="Input 11 2 2 2 3 3 4" xfId="29817"/>
    <cellStyle name="Input 11 2 2 2 3 4" xfId="20351"/>
    <cellStyle name="Input 11 2 2 2 3 4 2" xfId="45873"/>
    <cellStyle name="Input 11 2 2 2 3 4 3" xfId="49779"/>
    <cellStyle name="Input 11 2 2 2 3 4 4" xfId="37793"/>
    <cellStyle name="Input 11 2 2 2 3 5" xfId="21030"/>
    <cellStyle name="Input 11 2 2 2 3 5 2" xfId="46552"/>
    <cellStyle name="Input 11 2 2 2 3 5 3" xfId="50458"/>
    <cellStyle name="Input 11 2 2 2 3 5 4" xfId="38422"/>
    <cellStyle name="Input 11 2 2 2 3 6" xfId="21683"/>
    <cellStyle name="Input 11 2 2 2 3 6 2" xfId="47205"/>
    <cellStyle name="Input 11 2 2 2 3 6 3" xfId="51111"/>
    <cellStyle name="Input 11 2 2 2 3 7" xfId="41008"/>
    <cellStyle name="Input 11 2 2 2 3 8" xfId="40212"/>
    <cellStyle name="Input 11 2 2 2 4" xfId="14790"/>
    <cellStyle name="Input 11 2 2 2 4 2" xfId="42888"/>
    <cellStyle name="Input 11 2 2 2 4 3" xfId="41264"/>
    <cellStyle name="Input 11 2 2 2 4 4" xfId="32411"/>
    <cellStyle name="Input 11 2 2 2 5" xfId="13073"/>
    <cellStyle name="Input 11 2 2 2 5 2" xfId="42275"/>
    <cellStyle name="Input 11 2 2 2 5 3" xfId="43658"/>
    <cellStyle name="Input 11 2 2 2 5 4" xfId="30708"/>
    <cellStyle name="Input 11 2 2 2 6" xfId="12030"/>
    <cellStyle name="Input 11 2 2 2 6 2" xfId="41766"/>
    <cellStyle name="Input 11 2 2 2 6 3" xfId="47561"/>
    <cellStyle name="Input 11 2 2 2 6 4" xfId="29695"/>
    <cellStyle name="Input 11 2 2 2 7" xfId="20517"/>
    <cellStyle name="Input 11 2 2 2 7 2" xfId="46039"/>
    <cellStyle name="Input 11 2 2 2 7 3" xfId="49945"/>
    <cellStyle name="Input 11 2 2 2 7 4" xfId="37932"/>
    <cellStyle name="Input 11 2 2 2 8" xfId="11542"/>
    <cellStyle name="Input 11 2 2 2 8 2" xfId="41533"/>
    <cellStyle name="Input 11 2 2 2 8 3" xfId="41996"/>
    <cellStyle name="Input 11 2 2 2 9" xfId="39748"/>
    <cellStyle name="Input 11 2 2 3" xfId="52964"/>
    <cellStyle name="Input 11 2 3" xfId="7007"/>
    <cellStyle name="Input 11 2 3 10" xfId="40380"/>
    <cellStyle name="Input 11 2 3 11" xfId="52965"/>
    <cellStyle name="Input 11 2 3 2" xfId="10534"/>
    <cellStyle name="Input 11 2 3 2 2" xfId="18321"/>
    <cellStyle name="Input 11 2 3 2 2 2" xfId="43853"/>
    <cellStyle name="Input 11 2 3 2 2 3" xfId="47762"/>
    <cellStyle name="Input 11 2 3 2 2 4" xfId="35944"/>
    <cellStyle name="Input 11 2 3 2 3" xfId="19420"/>
    <cellStyle name="Input 11 2 3 2 3 2" xfId="44942"/>
    <cellStyle name="Input 11 2 3 2 3 3" xfId="48848"/>
    <cellStyle name="Input 11 2 3 2 3 4" xfId="36971"/>
    <cellStyle name="Input 11 2 3 2 4" xfId="11554"/>
    <cellStyle name="Input 11 2 3 2 4 2" xfId="41545"/>
    <cellStyle name="Input 11 2 3 2 4 3" xfId="43575"/>
    <cellStyle name="Input 11 2 3 2 4 4" xfId="29251"/>
    <cellStyle name="Input 11 2 3 2 5" xfId="20734"/>
    <cellStyle name="Input 11 2 3 2 5 2" xfId="46256"/>
    <cellStyle name="Input 11 2 3 2 5 3" xfId="50162"/>
    <cellStyle name="Input 11 2 3 2 5 4" xfId="38126"/>
    <cellStyle name="Input 11 2 3 2 6" xfId="21387"/>
    <cellStyle name="Input 11 2 3 2 6 2" xfId="46909"/>
    <cellStyle name="Input 11 2 3 2 6 3" xfId="50815"/>
    <cellStyle name="Input 11 2 3 2 7" xfId="40712"/>
    <cellStyle name="Input 11 2 3 2 8" xfId="41413"/>
    <cellStyle name="Input 11 2 3 3" xfId="10829"/>
    <cellStyle name="Input 11 2 3 3 2" xfId="18616"/>
    <cellStyle name="Input 11 2 3 3 2 2" xfId="44148"/>
    <cellStyle name="Input 11 2 3 3 2 3" xfId="48057"/>
    <cellStyle name="Input 11 2 3 3 2 4" xfId="36239"/>
    <cellStyle name="Input 11 2 3 3 3" xfId="11507"/>
    <cellStyle name="Input 11 2 3 3 3 2" xfId="41498"/>
    <cellStyle name="Input 11 2 3 3 3 3" xfId="41367"/>
    <cellStyle name="Input 11 2 3 3 3 4" xfId="29208"/>
    <cellStyle name="Input 11 2 3 3 4" xfId="18890"/>
    <cellStyle name="Input 11 2 3 3 4 2" xfId="44412"/>
    <cellStyle name="Input 11 2 3 3 4 3" xfId="48318"/>
    <cellStyle name="Input 11 2 3 3 4 4" xfId="36509"/>
    <cellStyle name="Input 11 2 3 3 5" xfId="21029"/>
    <cellStyle name="Input 11 2 3 3 5 2" xfId="46551"/>
    <cellStyle name="Input 11 2 3 3 5 3" xfId="50457"/>
    <cellStyle name="Input 11 2 3 3 5 4" xfId="38421"/>
    <cellStyle name="Input 11 2 3 3 6" xfId="21682"/>
    <cellStyle name="Input 11 2 3 3 6 2" xfId="47204"/>
    <cellStyle name="Input 11 2 3 3 6 3" xfId="51110"/>
    <cellStyle name="Input 11 2 3 3 7" xfId="41007"/>
    <cellStyle name="Input 11 2 3 3 8" xfId="43350"/>
    <cellStyle name="Input 11 2 3 4" xfId="14789"/>
    <cellStyle name="Input 11 2 3 4 2" xfId="42887"/>
    <cellStyle name="Input 11 2 3 4 3" xfId="39036"/>
    <cellStyle name="Input 11 2 3 4 4" xfId="32410"/>
    <cellStyle name="Input 11 2 3 5" xfId="13072"/>
    <cellStyle name="Input 11 2 3 5 2" xfId="42274"/>
    <cellStyle name="Input 11 2 3 5 3" xfId="42770"/>
    <cellStyle name="Input 11 2 3 5 4" xfId="30707"/>
    <cellStyle name="Input 11 2 3 6" xfId="19446"/>
    <cellStyle name="Input 11 2 3 6 2" xfId="44968"/>
    <cellStyle name="Input 11 2 3 6 3" xfId="48874"/>
    <cellStyle name="Input 11 2 3 6 4" xfId="36991"/>
    <cellStyle name="Input 11 2 3 7" xfId="11465"/>
    <cellStyle name="Input 11 2 3 7 2" xfId="41456"/>
    <cellStyle name="Input 11 2 3 7 3" xfId="39330"/>
    <cellStyle name="Input 11 2 3 7 4" xfId="29167"/>
    <cellStyle name="Input 11 2 3 8" xfId="19445"/>
    <cellStyle name="Input 11 2 3 8 2" xfId="44967"/>
    <cellStyle name="Input 11 2 3 8 3" xfId="48873"/>
    <cellStyle name="Input 11 2 3 9" xfId="39747"/>
    <cellStyle name="Input 11 2 4" xfId="22416"/>
    <cellStyle name="Input 11 2 5" xfId="52963"/>
    <cellStyle name="Input 11 2_Sheet1" xfId="1805"/>
    <cellStyle name="Input 11 3" xfId="1806"/>
    <cellStyle name="Input 11 3 2" xfId="7009"/>
    <cellStyle name="Input 11 3 2 10" xfId="42173"/>
    <cellStyle name="Input 11 3 2 2" xfId="10536"/>
    <cellStyle name="Input 11 3 2 2 2" xfId="18323"/>
    <cellStyle name="Input 11 3 2 2 2 2" xfId="43855"/>
    <cellStyle name="Input 11 3 2 2 2 3" xfId="47764"/>
    <cellStyle name="Input 11 3 2 2 2 4" xfId="35946"/>
    <cellStyle name="Input 11 3 2 2 3" xfId="19293"/>
    <cellStyle name="Input 11 3 2 2 3 2" xfId="44815"/>
    <cellStyle name="Input 11 3 2 2 3 3" xfId="48721"/>
    <cellStyle name="Input 11 3 2 2 3 4" xfId="36857"/>
    <cellStyle name="Input 11 3 2 2 4" xfId="19551"/>
    <cellStyle name="Input 11 3 2 2 4 2" xfId="45073"/>
    <cellStyle name="Input 11 3 2 2 4 3" xfId="48979"/>
    <cellStyle name="Input 11 3 2 2 4 4" xfId="37078"/>
    <cellStyle name="Input 11 3 2 2 5" xfId="20736"/>
    <cellStyle name="Input 11 3 2 2 5 2" xfId="46258"/>
    <cellStyle name="Input 11 3 2 2 5 3" xfId="50164"/>
    <cellStyle name="Input 11 3 2 2 5 4" xfId="38128"/>
    <cellStyle name="Input 11 3 2 2 6" xfId="21389"/>
    <cellStyle name="Input 11 3 2 2 6 2" xfId="46911"/>
    <cellStyle name="Input 11 3 2 2 6 3" xfId="50817"/>
    <cellStyle name="Input 11 3 2 2 7" xfId="40714"/>
    <cellStyle name="Input 11 3 2 2 8" xfId="40075"/>
    <cellStyle name="Input 11 3 2 3" xfId="10831"/>
    <cellStyle name="Input 11 3 2 3 2" xfId="18618"/>
    <cellStyle name="Input 11 3 2 3 2 2" xfId="44150"/>
    <cellStyle name="Input 11 3 2 3 2 3" xfId="48059"/>
    <cellStyle name="Input 11 3 2 3 2 4" xfId="36241"/>
    <cellStyle name="Input 11 3 2 3 3" xfId="13326"/>
    <cellStyle name="Input 11 3 2 3 3 2" xfId="42477"/>
    <cellStyle name="Input 11 3 2 3 3 3" xfId="42764"/>
    <cellStyle name="Input 11 3 2 3 3 4" xfId="30952"/>
    <cellStyle name="Input 11 3 2 3 4" xfId="18950"/>
    <cellStyle name="Input 11 3 2 3 4 2" xfId="44472"/>
    <cellStyle name="Input 11 3 2 3 4 3" xfId="48378"/>
    <cellStyle name="Input 11 3 2 3 4 4" xfId="36562"/>
    <cellStyle name="Input 11 3 2 3 5" xfId="21031"/>
    <cellStyle name="Input 11 3 2 3 5 2" xfId="46553"/>
    <cellStyle name="Input 11 3 2 3 5 3" xfId="50459"/>
    <cellStyle name="Input 11 3 2 3 5 4" xfId="38423"/>
    <cellStyle name="Input 11 3 2 3 6" xfId="21684"/>
    <cellStyle name="Input 11 3 2 3 6 2" xfId="47206"/>
    <cellStyle name="Input 11 3 2 3 6 3" xfId="51112"/>
    <cellStyle name="Input 11 3 2 3 7" xfId="41009"/>
    <cellStyle name="Input 11 3 2 3 8" xfId="39352"/>
    <cellStyle name="Input 11 3 2 4" xfId="14791"/>
    <cellStyle name="Input 11 3 2 4 2" xfId="42889"/>
    <cellStyle name="Input 11 3 2 4 3" xfId="43157"/>
    <cellStyle name="Input 11 3 2 4 4" xfId="32412"/>
    <cellStyle name="Input 11 3 2 5" xfId="13074"/>
    <cellStyle name="Input 11 3 2 5 2" xfId="42276"/>
    <cellStyle name="Input 11 3 2 5 3" xfId="40516"/>
    <cellStyle name="Input 11 3 2 5 4" xfId="30709"/>
    <cellStyle name="Input 11 3 2 6" xfId="19913"/>
    <cellStyle name="Input 11 3 2 6 2" xfId="45435"/>
    <cellStyle name="Input 11 3 2 6 3" xfId="49341"/>
    <cellStyle name="Input 11 3 2 6 4" xfId="37413"/>
    <cellStyle name="Input 11 3 2 7" xfId="20458"/>
    <cellStyle name="Input 11 3 2 7 2" xfId="45980"/>
    <cellStyle name="Input 11 3 2 7 3" xfId="49886"/>
    <cellStyle name="Input 11 3 2 7 4" xfId="37897"/>
    <cellStyle name="Input 11 3 2 8" xfId="19044"/>
    <cellStyle name="Input 11 3 2 8 2" xfId="44566"/>
    <cellStyle name="Input 11 3 2 8 3" xfId="48472"/>
    <cellStyle name="Input 11 3 2 9" xfId="39749"/>
    <cellStyle name="Input 11 3 3" xfId="52966"/>
    <cellStyle name="Input 11 4" xfId="7006"/>
    <cellStyle name="Input 11 4 10" xfId="43517"/>
    <cellStyle name="Input 11 4 11" xfId="52967"/>
    <cellStyle name="Input 11 4 2" xfId="10533"/>
    <cellStyle name="Input 11 4 2 2" xfId="18320"/>
    <cellStyle name="Input 11 4 2 2 2" xfId="43852"/>
    <cellStyle name="Input 11 4 2 2 3" xfId="47761"/>
    <cellStyle name="Input 11 4 2 2 4" xfId="35943"/>
    <cellStyle name="Input 11 4 2 3" xfId="20161"/>
    <cellStyle name="Input 11 4 2 3 2" xfId="45683"/>
    <cellStyle name="Input 11 4 2 3 3" xfId="49589"/>
    <cellStyle name="Input 11 4 2 3 4" xfId="37633"/>
    <cellStyle name="Input 11 4 2 4" xfId="11613"/>
    <cellStyle name="Input 11 4 2 4 2" xfId="41604"/>
    <cellStyle name="Input 11 4 2 4 3" xfId="40431"/>
    <cellStyle name="Input 11 4 2 4 4" xfId="29302"/>
    <cellStyle name="Input 11 4 2 5" xfId="20733"/>
    <cellStyle name="Input 11 4 2 5 2" xfId="46255"/>
    <cellStyle name="Input 11 4 2 5 3" xfId="50161"/>
    <cellStyle name="Input 11 4 2 5 4" xfId="38125"/>
    <cellStyle name="Input 11 4 2 6" xfId="21386"/>
    <cellStyle name="Input 11 4 2 6 2" xfId="46908"/>
    <cellStyle name="Input 11 4 2 6 3" xfId="50814"/>
    <cellStyle name="Input 11 4 2 7" xfId="40711"/>
    <cellStyle name="Input 11 4 2 8" xfId="39173"/>
    <cellStyle name="Input 11 4 3" xfId="10828"/>
    <cellStyle name="Input 11 4 3 2" xfId="18615"/>
    <cellStyle name="Input 11 4 3 2 2" xfId="44147"/>
    <cellStyle name="Input 11 4 3 2 3" xfId="48056"/>
    <cellStyle name="Input 11 4 3 2 4" xfId="36238"/>
    <cellStyle name="Input 11 4 3 3" xfId="19711"/>
    <cellStyle name="Input 11 4 3 3 2" xfId="45233"/>
    <cellStyle name="Input 11 4 3 3 3" xfId="49139"/>
    <cellStyle name="Input 11 4 3 3 4" xfId="37224"/>
    <cellStyle name="Input 11 4 3 4" xfId="11416"/>
    <cellStyle name="Input 11 4 3 4 2" xfId="41421"/>
    <cellStyle name="Input 11 4 3 4 3" xfId="39148"/>
    <cellStyle name="Input 11 4 3 4 4" xfId="29124"/>
    <cellStyle name="Input 11 4 3 5" xfId="21028"/>
    <cellStyle name="Input 11 4 3 5 2" xfId="46550"/>
    <cellStyle name="Input 11 4 3 5 3" xfId="50456"/>
    <cellStyle name="Input 11 4 3 5 4" xfId="38420"/>
    <cellStyle name="Input 11 4 3 6" xfId="21681"/>
    <cellStyle name="Input 11 4 3 6 2" xfId="47203"/>
    <cellStyle name="Input 11 4 3 6 3" xfId="51109"/>
    <cellStyle name="Input 11 4 3 7" xfId="41006"/>
    <cellStyle name="Input 11 4 3 8" xfId="42031"/>
    <cellStyle name="Input 11 4 4" xfId="14788"/>
    <cellStyle name="Input 11 4 4 2" xfId="42886"/>
    <cellStyle name="Input 11 4 4 3" xfId="39249"/>
    <cellStyle name="Input 11 4 4 4" xfId="32409"/>
    <cellStyle name="Input 11 4 5" xfId="12460"/>
    <cellStyle name="Input 11 4 5 2" xfId="41962"/>
    <cellStyle name="Input 11 4 5 3" xfId="43308"/>
    <cellStyle name="Input 11 4 5 4" xfId="30117"/>
    <cellStyle name="Input 11 4 6" xfId="11333"/>
    <cellStyle name="Input 11 4 6 2" xfId="41352"/>
    <cellStyle name="Input 11 4 6 3" xfId="40051"/>
    <cellStyle name="Input 11 4 6 4" xfId="29045"/>
    <cellStyle name="Input 11 4 7" xfId="18974"/>
    <cellStyle name="Input 11 4 7 2" xfId="44496"/>
    <cellStyle name="Input 11 4 7 3" xfId="48402"/>
    <cellStyle name="Input 11 4 7 4" xfId="36584"/>
    <cellStyle name="Input 11 4 8" xfId="19614"/>
    <cellStyle name="Input 11 4 8 2" xfId="45136"/>
    <cellStyle name="Input 11 4 8 3" xfId="49042"/>
    <cellStyle name="Input 11 4 9" xfId="39746"/>
    <cellStyle name="Input 11 5" xfId="22415"/>
    <cellStyle name="Input 11 6" xfId="52962"/>
    <cellStyle name="Input 11_Sheet1" xfId="1807"/>
    <cellStyle name="Input 12" xfId="1808"/>
    <cellStyle name="Input 12 2" xfId="1809"/>
    <cellStyle name="Input 12 2 2" xfId="1810"/>
    <cellStyle name="Input 12 2 2 2" xfId="7012"/>
    <cellStyle name="Input 12 2 2 2 10" xfId="39390"/>
    <cellStyle name="Input 12 2 2 2 2" xfId="10539"/>
    <cellStyle name="Input 12 2 2 2 2 2" xfId="18326"/>
    <cellStyle name="Input 12 2 2 2 2 2 2" xfId="43858"/>
    <cellStyle name="Input 12 2 2 2 2 2 3" xfId="47767"/>
    <cellStyle name="Input 12 2 2 2 2 2 4" xfId="35949"/>
    <cellStyle name="Input 12 2 2 2 2 3" xfId="12615"/>
    <cellStyle name="Input 12 2 2 2 2 3 2" xfId="42075"/>
    <cellStyle name="Input 12 2 2 2 2 3 3" xfId="39084"/>
    <cellStyle name="Input 12 2 2 2 2 3 4" xfId="30266"/>
    <cellStyle name="Input 12 2 2 2 2 4" xfId="20217"/>
    <cellStyle name="Input 12 2 2 2 2 4 2" xfId="45739"/>
    <cellStyle name="Input 12 2 2 2 2 4 3" xfId="49645"/>
    <cellStyle name="Input 12 2 2 2 2 4 4" xfId="37678"/>
    <cellStyle name="Input 12 2 2 2 2 5" xfId="20739"/>
    <cellStyle name="Input 12 2 2 2 2 5 2" xfId="46261"/>
    <cellStyle name="Input 12 2 2 2 2 5 3" xfId="50167"/>
    <cellStyle name="Input 12 2 2 2 2 5 4" xfId="38131"/>
    <cellStyle name="Input 12 2 2 2 2 6" xfId="21392"/>
    <cellStyle name="Input 12 2 2 2 2 6 2" xfId="46914"/>
    <cellStyle name="Input 12 2 2 2 2 6 3" xfId="50820"/>
    <cellStyle name="Input 12 2 2 2 2 7" xfId="40717"/>
    <cellStyle name="Input 12 2 2 2 2 8" xfId="40572"/>
    <cellStyle name="Input 12 2 2 2 3" xfId="10834"/>
    <cellStyle name="Input 12 2 2 2 3 2" xfId="18621"/>
    <cellStyle name="Input 12 2 2 2 3 2 2" xfId="44153"/>
    <cellStyle name="Input 12 2 2 2 3 2 3" xfId="48062"/>
    <cellStyle name="Input 12 2 2 2 3 2 4" xfId="36244"/>
    <cellStyle name="Input 12 2 2 2 3 3" xfId="19390"/>
    <cellStyle name="Input 12 2 2 2 3 3 2" xfId="44912"/>
    <cellStyle name="Input 12 2 2 2 3 3 3" xfId="48818"/>
    <cellStyle name="Input 12 2 2 2 3 3 4" xfId="36941"/>
    <cellStyle name="Input 12 2 2 2 3 4" xfId="20186"/>
    <cellStyle name="Input 12 2 2 2 3 4 2" xfId="45708"/>
    <cellStyle name="Input 12 2 2 2 3 4 3" xfId="49614"/>
    <cellStyle name="Input 12 2 2 2 3 4 4" xfId="37654"/>
    <cellStyle name="Input 12 2 2 2 3 5" xfId="21034"/>
    <cellStyle name="Input 12 2 2 2 3 5 2" xfId="46556"/>
    <cellStyle name="Input 12 2 2 2 3 5 3" xfId="50462"/>
    <cellStyle name="Input 12 2 2 2 3 5 4" xfId="38426"/>
    <cellStyle name="Input 12 2 2 2 3 6" xfId="21687"/>
    <cellStyle name="Input 12 2 2 2 3 6 2" xfId="47209"/>
    <cellStyle name="Input 12 2 2 2 3 6 3" xfId="51115"/>
    <cellStyle name="Input 12 2 2 2 3 7" xfId="41012"/>
    <cellStyle name="Input 12 2 2 2 3 8" xfId="40064"/>
    <cellStyle name="Input 12 2 2 2 4" xfId="14794"/>
    <cellStyle name="Input 12 2 2 2 4 2" xfId="42892"/>
    <cellStyle name="Input 12 2 2 2 4 3" xfId="43645"/>
    <cellStyle name="Input 12 2 2 2 4 4" xfId="32415"/>
    <cellStyle name="Input 12 2 2 2 5" xfId="13077"/>
    <cellStyle name="Input 12 2 2 2 5 2" xfId="42279"/>
    <cellStyle name="Input 12 2 2 2 5 3" xfId="43551"/>
    <cellStyle name="Input 12 2 2 2 5 4" xfId="30712"/>
    <cellStyle name="Input 12 2 2 2 6" xfId="20255"/>
    <cellStyle name="Input 12 2 2 2 6 2" xfId="45777"/>
    <cellStyle name="Input 12 2 2 2 6 3" xfId="49683"/>
    <cellStyle name="Input 12 2 2 2 6 4" xfId="37711"/>
    <cellStyle name="Input 12 2 2 2 7" xfId="19665"/>
    <cellStyle name="Input 12 2 2 2 7 2" xfId="45187"/>
    <cellStyle name="Input 12 2 2 2 7 3" xfId="49093"/>
    <cellStyle name="Input 12 2 2 2 7 4" xfId="37183"/>
    <cellStyle name="Input 12 2 2 2 8" xfId="19141"/>
    <cellStyle name="Input 12 2 2 2 8 2" xfId="44663"/>
    <cellStyle name="Input 12 2 2 2 8 3" xfId="48569"/>
    <cellStyle name="Input 12 2 2 2 9" xfId="39752"/>
    <cellStyle name="Input 12 2 2 3" xfId="52970"/>
    <cellStyle name="Input 12 2 3" xfId="7011"/>
    <cellStyle name="Input 12 2 3 10" xfId="40262"/>
    <cellStyle name="Input 12 2 3 2" xfId="10538"/>
    <cellStyle name="Input 12 2 3 2 2" xfId="18325"/>
    <cellStyle name="Input 12 2 3 2 2 2" xfId="43857"/>
    <cellStyle name="Input 12 2 3 2 2 3" xfId="47766"/>
    <cellStyle name="Input 12 2 3 2 2 4" xfId="35948"/>
    <cellStyle name="Input 12 2 3 2 3" xfId="19125"/>
    <cellStyle name="Input 12 2 3 2 3 2" xfId="44647"/>
    <cellStyle name="Input 12 2 3 2 3 3" xfId="48553"/>
    <cellStyle name="Input 12 2 3 2 3 4" xfId="36706"/>
    <cellStyle name="Input 12 2 3 2 4" xfId="19980"/>
    <cellStyle name="Input 12 2 3 2 4 2" xfId="45502"/>
    <cellStyle name="Input 12 2 3 2 4 3" xfId="49408"/>
    <cellStyle name="Input 12 2 3 2 4 4" xfId="37464"/>
    <cellStyle name="Input 12 2 3 2 5" xfId="20738"/>
    <cellStyle name="Input 12 2 3 2 5 2" xfId="46260"/>
    <cellStyle name="Input 12 2 3 2 5 3" xfId="50166"/>
    <cellStyle name="Input 12 2 3 2 5 4" xfId="38130"/>
    <cellStyle name="Input 12 2 3 2 6" xfId="21391"/>
    <cellStyle name="Input 12 2 3 2 6 2" xfId="46913"/>
    <cellStyle name="Input 12 2 3 2 6 3" xfId="50819"/>
    <cellStyle name="Input 12 2 3 2 7" xfId="40716"/>
    <cellStyle name="Input 12 2 3 2 8" xfId="43713"/>
    <cellStyle name="Input 12 2 3 3" xfId="10833"/>
    <cellStyle name="Input 12 2 3 3 2" xfId="18620"/>
    <cellStyle name="Input 12 2 3 3 2 2" xfId="44152"/>
    <cellStyle name="Input 12 2 3 3 2 3" xfId="48061"/>
    <cellStyle name="Input 12 2 3 3 2 4" xfId="36243"/>
    <cellStyle name="Input 12 2 3 3 3" xfId="20131"/>
    <cellStyle name="Input 12 2 3 3 3 2" xfId="45653"/>
    <cellStyle name="Input 12 2 3 3 3 3" xfId="49559"/>
    <cellStyle name="Input 12 2 3 3 3 4" xfId="37603"/>
    <cellStyle name="Input 12 2 3 3 4" xfId="19066"/>
    <cellStyle name="Input 12 2 3 3 4 2" xfId="44588"/>
    <cellStyle name="Input 12 2 3 3 4 3" xfId="48494"/>
    <cellStyle name="Input 12 2 3 3 4 4" xfId="36648"/>
    <cellStyle name="Input 12 2 3 3 5" xfId="21033"/>
    <cellStyle name="Input 12 2 3 3 5 2" xfId="46555"/>
    <cellStyle name="Input 12 2 3 3 5 3" xfId="50461"/>
    <cellStyle name="Input 12 2 3 3 5 4" xfId="38425"/>
    <cellStyle name="Input 12 2 3 3 6" xfId="21686"/>
    <cellStyle name="Input 12 2 3 3 6 2" xfId="47208"/>
    <cellStyle name="Input 12 2 3 3 6 3" xfId="51114"/>
    <cellStyle name="Input 12 2 3 3 7" xfId="41011"/>
    <cellStyle name="Input 12 2 3 3 8" xfId="43205"/>
    <cellStyle name="Input 12 2 3 4" xfId="14793"/>
    <cellStyle name="Input 12 2 3 4 2" xfId="42891"/>
    <cellStyle name="Input 12 2 3 4 3" xfId="42758"/>
    <cellStyle name="Input 12 2 3 4 4" xfId="32414"/>
    <cellStyle name="Input 12 2 3 5" xfId="13076"/>
    <cellStyle name="Input 12 2 3 5 2" xfId="42278"/>
    <cellStyle name="Input 12 2 3 5 3" xfId="42663"/>
    <cellStyle name="Input 12 2 3 5 4" xfId="30711"/>
    <cellStyle name="Input 12 2 3 6" xfId="20307"/>
    <cellStyle name="Input 12 2 3 6 2" xfId="45829"/>
    <cellStyle name="Input 12 2 3 6 3" xfId="49735"/>
    <cellStyle name="Input 12 2 3 6 4" xfId="37757"/>
    <cellStyle name="Input 12 2 3 7" xfId="20048"/>
    <cellStyle name="Input 12 2 3 7 2" xfId="45570"/>
    <cellStyle name="Input 12 2 3 7 3" xfId="49476"/>
    <cellStyle name="Input 12 2 3 7 4" xfId="37529"/>
    <cellStyle name="Input 12 2 3 8" xfId="19639"/>
    <cellStyle name="Input 12 2 3 8 2" xfId="45161"/>
    <cellStyle name="Input 12 2 3 8 3" xfId="49067"/>
    <cellStyle name="Input 12 2 3 9" xfId="39751"/>
    <cellStyle name="Input 12 2 4" xfId="52969"/>
    <cellStyle name="Input 12 2_Sheet1" xfId="1811"/>
    <cellStyle name="Input 12 3" xfId="1812"/>
    <cellStyle name="Input 12 3 2" xfId="7013"/>
    <cellStyle name="Input 12 3 2 10" xfId="39225"/>
    <cellStyle name="Input 12 3 2 2" xfId="10540"/>
    <cellStyle name="Input 12 3 2 2 2" xfId="18327"/>
    <cellStyle name="Input 12 3 2 2 2 2" xfId="43859"/>
    <cellStyle name="Input 12 3 2 2 2 3" xfId="47768"/>
    <cellStyle name="Input 12 3 2 2 2 4" xfId="35950"/>
    <cellStyle name="Input 12 3 2 2 3" xfId="19605"/>
    <cellStyle name="Input 12 3 2 2 3 2" xfId="45127"/>
    <cellStyle name="Input 12 3 2 2 3 3" xfId="49033"/>
    <cellStyle name="Input 12 3 2 2 3 4" xfId="37131"/>
    <cellStyle name="Input 12 3 2 2 4" xfId="11814"/>
    <cellStyle name="Input 12 3 2 2 4 2" xfId="41732"/>
    <cellStyle name="Input 12 3 2 2 4 3" xfId="39120"/>
    <cellStyle name="Input 12 3 2 2 4 4" xfId="29486"/>
    <cellStyle name="Input 12 3 2 2 5" xfId="20740"/>
    <cellStyle name="Input 12 3 2 2 5 2" xfId="46262"/>
    <cellStyle name="Input 12 3 2 2 5 3" xfId="50168"/>
    <cellStyle name="Input 12 3 2 2 5 4" xfId="38132"/>
    <cellStyle name="Input 12 3 2 2 6" xfId="21393"/>
    <cellStyle name="Input 12 3 2 2 6 2" xfId="46915"/>
    <cellStyle name="Input 12 3 2 2 6 3" xfId="50821"/>
    <cellStyle name="Input 12 3 2 2 7" xfId="40718"/>
    <cellStyle name="Input 12 3 2 2 8" xfId="39683"/>
    <cellStyle name="Input 12 3 2 3" xfId="10835"/>
    <cellStyle name="Input 12 3 2 3 2" xfId="18622"/>
    <cellStyle name="Input 12 3 2 3 2 2" xfId="44154"/>
    <cellStyle name="Input 12 3 2 3 2 3" xfId="48063"/>
    <cellStyle name="Input 12 3 2 3 2 4" xfId="36245"/>
    <cellStyle name="Input 12 3 2 3 3" xfId="19997"/>
    <cellStyle name="Input 12 3 2 3 3 2" xfId="45519"/>
    <cellStyle name="Input 12 3 2 3 3 3" xfId="49425"/>
    <cellStyle name="Input 12 3 2 3 3 4" xfId="37481"/>
    <cellStyle name="Input 12 3 2 3 4" xfId="19309"/>
    <cellStyle name="Input 12 3 2 3 4 2" xfId="44831"/>
    <cellStyle name="Input 12 3 2 3 4 3" xfId="48737"/>
    <cellStyle name="Input 12 3 2 3 4 4" xfId="36873"/>
    <cellStyle name="Input 12 3 2 3 5" xfId="21035"/>
    <cellStyle name="Input 12 3 2 3 5 2" xfId="46557"/>
    <cellStyle name="Input 12 3 2 3 5 3" xfId="50463"/>
    <cellStyle name="Input 12 3 2 3 5 4" xfId="38427"/>
    <cellStyle name="Input 12 3 2 3 6" xfId="21688"/>
    <cellStyle name="Input 12 3 2 3 6 2" xfId="47210"/>
    <cellStyle name="Input 12 3 2 3 6 3" xfId="51116"/>
    <cellStyle name="Input 12 3 2 3 7" xfId="41013"/>
    <cellStyle name="Input 12 3 2 3 8" xfId="42812"/>
    <cellStyle name="Input 12 3 2 4" xfId="14795"/>
    <cellStyle name="Input 12 3 2 4 2" xfId="42893"/>
    <cellStyle name="Input 12 3 2 4 3" xfId="40504"/>
    <cellStyle name="Input 12 3 2 4 4" xfId="32416"/>
    <cellStyle name="Input 12 3 2 5" xfId="13078"/>
    <cellStyle name="Input 12 3 2 5 2" xfId="42280"/>
    <cellStyle name="Input 12 3 2 5 3" xfId="40412"/>
    <cellStyle name="Input 12 3 2 5 4" xfId="30713"/>
    <cellStyle name="Input 12 3 2 6" xfId="20056"/>
    <cellStyle name="Input 12 3 2 6 2" xfId="45578"/>
    <cellStyle name="Input 12 3 2 6 3" xfId="49484"/>
    <cellStyle name="Input 12 3 2 6 4" xfId="37536"/>
    <cellStyle name="Input 12 3 2 7" xfId="11687"/>
    <cellStyle name="Input 12 3 2 7 2" xfId="41674"/>
    <cellStyle name="Input 12 3 2 7 3" xfId="40428"/>
    <cellStyle name="Input 12 3 2 7 4" xfId="29366"/>
    <cellStyle name="Input 12 3 2 8" xfId="20192"/>
    <cellStyle name="Input 12 3 2 8 2" xfId="45714"/>
    <cellStyle name="Input 12 3 2 8 3" xfId="49620"/>
    <cellStyle name="Input 12 3 2 9" xfId="39753"/>
    <cellStyle name="Input 12 3 3" xfId="52971"/>
    <cellStyle name="Input 12 4" xfId="7010"/>
    <cellStyle name="Input 12 4 10" xfId="43400"/>
    <cellStyle name="Input 12 4 11" xfId="52972"/>
    <cellStyle name="Input 12 4 2" xfId="10537"/>
    <cellStyle name="Input 12 4 2 2" xfId="18324"/>
    <cellStyle name="Input 12 4 2 2 2" xfId="43856"/>
    <cellStyle name="Input 12 4 2 2 3" xfId="47765"/>
    <cellStyle name="Input 12 4 2 2 4" xfId="35947"/>
    <cellStyle name="Input 12 4 2 3" xfId="19902"/>
    <cellStyle name="Input 12 4 2 3 2" xfId="45424"/>
    <cellStyle name="Input 12 4 2 3 3" xfId="49330"/>
    <cellStyle name="Input 12 4 2 3 4" xfId="37402"/>
    <cellStyle name="Input 12 4 2 4" xfId="19176"/>
    <cellStyle name="Input 12 4 2 4 2" xfId="44698"/>
    <cellStyle name="Input 12 4 2 4 3" xfId="48604"/>
    <cellStyle name="Input 12 4 2 4 4" xfId="36749"/>
    <cellStyle name="Input 12 4 2 5" xfId="20737"/>
    <cellStyle name="Input 12 4 2 5 2" xfId="46259"/>
    <cellStyle name="Input 12 4 2 5 3" xfId="50165"/>
    <cellStyle name="Input 12 4 2 5 4" xfId="38129"/>
    <cellStyle name="Input 12 4 2 6" xfId="21390"/>
    <cellStyle name="Input 12 4 2 6 2" xfId="46912"/>
    <cellStyle name="Input 12 4 2 6 3" xfId="50818"/>
    <cellStyle name="Input 12 4 2 7" xfId="40715"/>
    <cellStyle name="Input 12 4 2 8" xfId="42824"/>
    <cellStyle name="Input 12 4 3" xfId="10832"/>
    <cellStyle name="Input 12 4 3 2" xfId="18619"/>
    <cellStyle name="Input 12 4 3 2 2" xfId="44151"/>
    <cellStyle name="Input 12 4 3 2 3" xfId="48060"/>
    <cellStyle name="Input 12 4 3 2 4" xfId="36242"/>
    <cellStyle name="Input 12 4 3 3" xfId="19579"/>
    <cellStyle name="Input 12 4 3 3 2" xfId="45101"/>
    <cellStyle name="Input 12 4 3 3 3" xfId="49007"/>
    <cellStyle name="Input 12 4 3 3 4" xfId="37105"/>
    <cellStyle name="Input 12 4 3 4" xfId="19039"/>
    <cellStyle name="Input 12 4 3 4 2" xfId="44561"/>
    <cellStyle name="Input 12 4 3 4 3" xfId="48467"/>
    <cellStyle name="Input 12 4 3 4 4" xfId="36625"/>
    <cellStyle name="Input 12 4 3 5" xfId="21032"/>
    <cellStyle name="Input 12 4 3 5 2" xfId="46554"/>
    <cellStyle name="Input 12 4 3 5 3" xfId="50460"/>
    <cellStyle name="Input 12 4 3 5 4" xfId="38424"/>
    <cellStyle name="Input 12 4 3 6" xfId="21685"/>
    <cellStyle name="Input 12 4 3 6 2" xfId="47207"/>
    <cellStyle name="Input 12 4 3 6 3" xfId="51113"/>
    <cellStyle name="Input 12 4 3 7" xfId="41010"/>
    <cellStyle name="Input 12 4 3 8" xfId="41402"/>
    <cellStyle name="Input 12 4 4" xfId="14792"/>
    <cellStyle name="Input 12 4 4 2" xfId="42890"/>
    <cellStyle name="Input 12 4 4 3" xfId="40016"/>
    <cellStyle name="Input 12 4 4 4" xfId="32413"/>
    <cellStyle name="Input 12 4 5" xfId="13075"/>
    <cellStyle name="Input 12 4 5 2" xfId="42277"/>
    <cellStyle name="Input 12 4 5 3" xfId="39626"/>
    <cellStyle name="Input 12 4 5 4" xfId="30710"/>
    <cellStyle name="Input 12 4 6" xfId="11447"/>
    <cellStyle name="Input 12 4 6 2" xfId="41438"/>
    <cellStyle name="Input 12 4 6 3" xfId="43685"/>
    <cellStyle name="Input 12 4 6 4" xfId="29152"/>
    <cellStyle name="Input 12 4 7" xfId="12116"/>
    <cellStyle name="Input 12 4 7 2" xfId="41841"/>
    <cellStyle name="Input 12 4 7 3" xfId="47469"/>
    <cellStyle name="Input 12 4 7 4" xfId="29775"/>
    <cellStyle name="Input 12 4 8" xfId="20609"/>
    <cellStyle name="Input 12 4 8 2" xfId="46131"/>
    <cellStyle name="Input 12 4 8 3" xfId="50037"/>
    <cellStyle name="Input 12 4 9" xfId="39750"/>
    <cellStyle name="Input 12 5" xfId="22417"/>
    <cellStyle name="Input 12 6" xfId="22907"/>
    <cellStyle name="Input 12 7" xfId="52968"/>
    <cellStyle name="Input 12_Sheet1" xfId="1813"/>
    <cellStyle name="Input 13" xfId="1814"/>
    <cellStyle name="Input 13 2" xfId="1815"/>
    <cellStyle name="Input 13 2 2" xfId="1816"/>
    <cellStyle name="Input 13 2 2 2" xfId="7016"/>
    <cellStyle name="Input 13 2 2 2 10" xfId="43251"/>
    <cellStyle name="Input 13 2 2 2 2" xfId="10543"/>
    <cellStyle name="Input 13 2 2 2 2 2" xfId="18330"/>
    <cellStyle name="Input 13 2 2 2 2 2 2" xfId="43862"/>
    <cellStyle name="Input 13 2 2 2 2 2 3" xfId="47771"/>
    <cellStyle name="Input 13 2 2 2 2 2 4" xfId="35953"/>
    <cellStyle name="Input 13 2 2 2 2 3" xfId="20026"/>
    <cellStyle name="Input 13 2 2 2 2 3 2" xfId="45548"/>
    <cellStyle name="Input 13 2 2 2 2 3 3" xfId="49454"/>
    <cellStyle name="Input 13 2 2 2 2 3 4" xfId="37510"/>
    <cellStyle name="Input 13 2 2 2 2 4" xfId="13245"/>
    <cellStyle name="Input 13 2 2 2 2 4 2" xfId="42404"/>
    <cellStyle name="Input 13 2 2 2 2 4 3" xfId="40147"/>
    <cellStyle name="Input 13 2 2 2 2 4 4" xfId="30876"/>
    <cellStyle name="Input 13 2 2 2 2 5" xfId="20743"/>
    <cellStyle name="Input 13 2 2 2 2 5 2" xfId="46265"/>
    <cellStyle name="Input 13 2 2 2 2 5 3" xfId="50171"/>
    <cellStyle name="Input 13 2 2 2 2 5 4" xfId="38135"/>
    <cellStyle name="Input 13 2 2 2 2 6" xfId="21396"/>
    <cellStyle name="Input 13 2 2 2 2 6 2" xfId="46918"/>
    <cellStyle name="Input 13 2 2 2 2 6 3" xfId="50824"/>
    <cellStyle name="Input 13 2 2 2 2 7" xfId="40721"/>
    <cellStyle name="Input 13 2 2 2 2 8" xfId="40467"/>
    <cellStyle name="Input 13 2 2 2 3" xfId="10838"/>
    <cellStyle name="Input 13 2 2 2 3 2" xfId="18625"/>
    <cellStyle name="Input 13 2 2 2 3 2 2" xfId="44157"/>
    <cellStyle name="Input 13 2 2 2 3 2 3" xfId="48066"/>
    <cellStyle name="Input 13 2 2 2 3 2 4" xfId="36248"/>
    <cellStyle name="Input 13 2 2 2 3 3" xfId="19095"/>
    <cellStyle name="Input 13 2 2 2 3 3 2" xfId="44617"/>
    <cellStyle name="Input 13 2 2 2 3 3 3" xfId="48523"/>
    <cellStyle name="Input 13 2 2 2 3 3 4" xfId="36676"/>
    <cellStyle name="Input 13 2 2 2 3 4" xfId="20244"/>
    <cellStyle name="Input 13 2 2 2 3 4 2" xfId="45766"/>
    <cellStyle name="Input 13 2 2 2 3 4 3" xfId="49672"/>
    <cellStyle name="Input 13 2 2 2 3 4 4" xfId="37701"/>
    <cellStyle name="Input 13 2 2 2 3 5" xfId="21038"/>
    <cellStyle name="Input 13 2 2 2 3 5 2" xfId="46560"/>
    <cellStyle name="Input 13 2 2 2 3 5 3" xfId="50466"/>
    <cellStyle name="Input 13 2 2 2 3 5 4" xfId="38430"/>
    <cellStyle name="Input 13 2 2 2 3 6" xfId="21691"/>
    <cellStyle name="Input 13 2 2 2 3 6 2" xfId="47213"/>
    <cellStyle name="Input 13 2 2 2 3 6 3" xfId="51119"/>
    <cellStyle name="Input 13 2 2 2 3 7" xfId="41016"/>
    <cellStyle name="Input 13 2 2 2 3 8" xfId="39671"/>
    <cellStyle name="Input 13 2 2 2 4" xfId="14798"/>
    <cellStyle name="Input 13 2 2 2 4 2" xfId="42896"/>
    <cellStyle name="Input 13 2 2 2 4 3" xfId="43536"/>
    <cellStyle name="Input 13 2 2 2 4 4" xfId="32419"/>
    <cellStyle name="Input 13 2 2 2 5" xfId="11280"/>
    <cellStyle name="Input 13 2 2 2 5 2" xfId="41307"/>
    <cellStyle name="Input 13 2 2 2 5 3" xfId="42694"/>
    <cellStyle name="Input 13 2 2 2 5 4" xfId="28994"/>
    <cellStyle name="Input 13 2 2 2 6" xfId="20219"/>
    <cellStyle name="Input 13 2 2 2 6 2" xfId="45741"/>
    <cellStyle name="Input 13 2 2 2 6 3" xfId="49647"/>
    <cellStyle name="Input 13 2 2 2 6 4" xfId="37679"/>
    <cellStyle name="Input 13 2 2 2 7" xfId="19022"/>
    <cellStyle name="Input 13 2 2 2 7 2" xfId="44544"/>
    <cellStyle name="Input 13 2 2 2 7 3" xfId="48450"/>
    <cellStyle name="Input 13 2 2 2 7 4" xfId="36614"/>
    <cellStyle name="Input 13 2 2 2 8" xfId="12859"/>
    <cellStyle name="Input 13 2 2 2 8 2" xfId="42223"/>
    <cellStyle name="Input 13 2 2 2 8 3" xfId="40304"/>
    <cellStyle name="Input 13 2 2 2 9" xfId="39756"/>
    <cellStyle name="Input 13 2 2 3" xfId="52975"/>
    <cellStyle name="Input 13 2 3" xfId="7015"/>
    <cellStyle name="Input 13 2 3 10" xfId="41701"/>
    <cellStyle name="Input 13 2 3 2" xfId="10542"/>
    <cellStyle name="Input 13 2 3 2 2" xfId="18329"/>
    <cellStyle name="Input 13 2 3 2 2 2" xfId="43861"/>
    <cellStyle name="Input 13 2 3 2 2 3" xfId="47770"/>
    <cellStyle name="Input 13 2 3 2 2 4" xfId="35952"/>
    <cellStyle name="Input 13 2 3 2 3" xfId="19419"/>
    <cellStyle name="Input 13 2 3 2 3 2" xfId="44941"/>
    <cellStyle name="Input 13 2 3 2 3 3" xfId="48847"/>
    <cellStyle name="Input 13 2 3 2 3 4" xfId="36970"/>
    <cellStyle name="Input 13 2 3 2 4" xfId="20372"/>
    <cellStyle name="Input 13 2 3 2 4 2" xfId="45894"/>
    <cellStyle name="Input 13 2 3 2 4 3" xfId="49800"/>
    <cellStyle name="Input 13 2 3 2 4 4" xfId="37812"/>
    <cellStyle name="Input 13 2 3 2 5" xfId="20742"/>
    <cellStyle name="Input 13 2 3 2 5 2" xfId="46264"/>
    <cellStyle name="Input 13 2 3 2 5 3" xfId="50170"/>
    <cellStyle name="Input 13 2 3 2 5 4" xfId="38134"/>
    <cellStyle name="Input 13 2 3 2 6" xfId="21395"/>
    <cellStyle name="Input 13 2 3 2 6 2" xfId="46917"/>
    <cellStyle name="Input 13 2 3 2 6 3" xfId="50823"/>
    <cellStyle name="Input 13 2 3 2 7" xfId="40720"/>
    <cellStyle name="Input 13 2 3 2 8" xfId="43609"/>
    <cellStyle name="Input 13 2 3 3" xfId="10837"/>
    <cellStyle name="Input 13 2 3 3 2" xfId="18624"/>
    <cellStyle name="Input 13 2 3 3 2 2" xfId="44156"/>
    <cellStyle name="Input 13 2 3 3 2 3" xfId="48065"/>
    <cellStyle name="Input 13 2 3 3 2 4" xfId="36247"/>
    <cellStyle name="Input 13 2 3 3 3" xfId="19872"/>
    <cellStyle name="Input 13 2 3 3 3 2" xfId="45394"/>
    <cellStyle name="Input 13 2 3 3 3 3" xfId="49300"/>
    <cellStyle name="Input 13 2 3 3 3 4" xfId="37372"/>
    <cellStyle name="Input 13 2 3 3 4" xfId="12059"/>
    <cellStyle name="Input 13 2 3 3 4 2" xfId="41790"/>
    <cellStyle name="Input 13 2 3 3 4 3" xfId="39641"/>
    <cellStyle name="Input 13 2 3 3 4 4" xfId="29723"/>
    <cellStyle name="Input 13 2 3 3 5" xfId="21037"/>
    <cellStyle name="Input 13 2 3 3 5 2" xfId="46559"/>
    <cellStyle name="Input 13 2 3 3 5 3" xfId="50465"/>
    <cellStyle name="Input 13 2 3 3 5 4" xfId="38429"/>
    <cellStyle name="Input 13 2 3 3 6" xfId="21690"/>
    <cellStyle name="Input 13 2 3 3 6 2" xfId="47212"/>
    <cellStyle name="Input 13 2 3 3 6 3" xfId="51118"/>
    <cellStyle name="Input 13 2 3 3 7" xfId="41015"/>
    <cellStyle name="Input 13 2 3 3 8" xfId="40560"/>
    <cellStyle name="Input 13 2 3 4" xfId="14797"/>
    <cellStyle name="Input 13 2 3 4 2" xfId="42895"/>
    <cellStyle name="Input 13 2 3 4 3" xfId="42648"/>
    <cellStyle name="Input 13 2 3 4 4" xfId="32418"/>
    <cellStyle name="Input 13 2 3 5" xfId="11278"/>
    <cellStyle name="Input 13 2 3 5 2" xfId="41305"/>
    <cellStyle name="Input 13 2 3 5 3" xfId="40546"/>
    <cellStyle name="Input 13 2 3 5 4" xfId="28992"/>
    <cellStyle name="Input 13 2 3 6" xfId="13256"/>
    <cellStyle name="Input 13 2 3 6 2" xfId="42407"/>
    <cellStyle name="Input 13 2 3 6 3" xfId="43546"/>
    <cellStyle name="Input 13 2 3 6 4" xfId="30887"/>
    <cellStyle name="Input 13 2 3 7" xfId="11070"/>
    <cellStyle name="Input 13 2 3 7 2" xfId="41248"/>
    <cellStyle name="Input 13 2 3 7 3" xfId="39450"/>
    <cellStyle name="Input 13 2 3 7 4" xfId="28786"/>
    <cellStyle name="Input 13 2 3 8" xfId="18887"/>
    <cellStyle name="Input 13 2 3 8 2" xfId="44409"/>
    <cellStyle name="Input 13 2 3 8 3" xfId="48315"/>
    <cellStyle name="Input 13 2 3 9" xfId="39755"/>
    <cellStyle name="Input 13 2 4" xfId="52974"/>
    <cellStyle name="Input 13 2_Sheet1" xfId="1817"/>
    <cellStyle name="Input 13 3" xfId="1818"/>
    <cellStyle name="Input 13 3 2" xfId="7017"/>
    <cellStyle name="Input 13 3 2 10" xfId="40110"/>
    <cellStyle name="Input 13 3 2 2" xfId="10544"/>
    <cellStyle name="Input 13 3 2 2 2" xfId="18331"/>
    <cellStyle name="Input 13 3 2 2 2 2" xfId="43863"/>
    <cellStyle name="Input 13 3 2 2 2 3" xfId="47772"/>
    <cellStyle name="Input 13 3 2 2 2 4" xfId="35954"/>
    <cellStyle name="Input 13 3 2 2 3" xfId="19292"/>
    <cellStyle name="Input 13 3 2 2 3 2" xfId="44814"/>
    <cellStyle name="Input 13 3 2 2 3 3" xfId="48720"/>
    <cellStyle name="Input 13 3 2 2 3 4" xfId="36856"/>
    <cellStyle name="Input 13 3 2 2 4" xfId="20120"/>
    <cellStyle name="Input 13 3 2 2 4 2" xfId="45642"/>
    <cellStyle name="Input 13 3 2 2 4 3" xfId="49548"/>
    <cellStyle name="Input 13 3 2 2 4 4" xfId="37592"/>
    <cellStyle name="Input 13 3 2 2 5" xfId="20744"/>
    <cellStyle name="Input 13 3 2 2 5 2" xfId="46266"/>
    <cellStyle name="Input 13 3 2 2 5 3" xfId="50172"/>
    <cellStyle name="Input 13 3 2 2 5 4" xfId="38136"/>
    <cellStyle name="Input 13 3 2 2 6" xfId="21397"/>
    <cellStyle name="Input 13 3 2 2 6 2" xfId="46919"/>
    <cellStyle name="Input 13 3 2 2 6 3" xfId="50825"/>
    <cellStyle name="Input 13 3 2 2 7" xfId="40722"/>
    <cellStyle name="Input 13 3 2 2 8" xfId="39577"/>
    <cellStyle name="Input 13 3 2 3" xfId="10839"/>
    <cellStyle name="Input 13 3 2 3 2" xfId="18626"/>
    <cellStyle name="Input 13 3 2 3 2 2" xfId="44158"/>
    <cellStyle name="Input 13 3 2 3 2 3" xfId="48067"/>
    <cellStyle name="Input 13 3 2 3 2 4" xfId="36249"/>
    <cellStyle name="Input 13 3 2 3 3" xfId="19709"/>
    <cellStyle name="Input 13 3 2 3 3 2" xfId="45231"/>
    <cellStyle name="Input 13 3 2 3 3 3" xfId="49137"/>
    <cellStyle name="Input 13 3 2 3 3 4" xfId="37222"/>
    <cellStyle name="Input 13 3 2 3 4" xfId="19193"/>
    <cellStyle name="Input 13 3 2 3 4 2" xfId="44715"/>
    <cellStyle name="Input 13 3 2 3 4 3" xfId="48621"/>
    <cellStyle name="Input 13 3 2 3 4 4" xfId="36764"/>
    <cellStyle name="Input 13 3 2 3 5" xfId="21039"/>
    <cellStyle name="Input 13 3 2 3 5 2" xfId="46561"/>
    <cellStyle name="Input 13 3 2 3 5 3" xfId="50467"/>
    <cellStyle name="Input 13 3 2 3 5 4" xfId="38431"/>
    <cellStyle name="Input 13 3 2 3 6" xfId="21692"/>
    <cellStyle name="Input 13 3 2 3 6 2" xfId="47214"/>
    <cellStyle name="Input 13 3 2 3 6 3" xfId="51120"/>
    <cellStyle name="Input 13 3 2 3 7" xfId="41017"/>
    <cellStyle name="Input 13 3 2 3 8" xfId="42708"/>
    <cellStyle name="Input 13 3 2 4" xfId="14799"/>
    <cellStyle name="Input 13 3 2 4 2" xfId="42897"/>
    <cellStyle name="Input 13 3 2 4 3" xfId="40397"/>
    <cellStyle name="Input 13 3 2 4 4" xfId="32420"/>
    <cellStyle name="Input 13 3 2 5" xfId="11279"/>
    <cellStyle name="Input 13 3 2 5 2" xfId="41306"/>
    <cellStyle name="Input 13 3 2 5 3" xfId="39657"/>
    <cellStyle name="Input 13 3 2 5 4" xfId="28993"/>
    <cellStyle name="Input 13 3 2 6" xfId="19369"/>
    <cellStyle name="Input 13 3 2 6 2" xfId="44891"/>
    <cellStyle name="Input 13 3 2 6 3" xfId="48797"/>
    <cellStyle name="Input 13 3 2 6 4" xfId="36921"/>
    <cellStyle name="Input 13 3 2 7" xfId="19564"/>
    <cellStyle name="Input 13 3 2 7 2" xfId="45086"/>
    <cellStyle name="Input 13 3 2 7 3" xfId="48992"/>
    <cellStyle name="Input 13 3 2 7 4" xfId="37090"/>
    <cellStyle name="Input 13 3 2 8" xfId="19442"/>
    <cellStyle name="Input 13 3 2 8 2" xfId="44964"/>
    <cellStyle name="Input 13 3 2 8 3" xfId="48870"/>
    <cellStyle name="Input 13 3 2 9" xfId="39757"/>
    <cellStyle name="Input 13 3 3" xfId="52976"/>
    <cellStyle name="Input 13 4" xfId="7014"/>
    <cellStyle name="Input 13 4 10" xfId="47568"/>
    <cellStyle name="Input 13 4 11" xfId="52977"/>
    <cellStyle name="Input 13 4 2" xfId="10541"/>
    <cellStyle name="Input 13 4 2 2" xfId="18328"/>
    <cellStyle name="Input 13 4 2 2 2" xfId="43860"/>
    <cellStyle name="Input 13 4 2 2 3" xfId="47769"/>
    <cellStyle name="Input 13 4 2 2 4" xfId="35951"/>
    <cellStyle name="Input 13 4 2 3" xfId="20160"/>
    <cellStyle name="Input 13 4 2 3 2" xfId="45682"/>
    <cellStyle name="Input 13 4 2 3 3" xfId="49588"/>
    <cellStyle name="Input 13 4 2 3 4" xfId="37632"/>
    <cellStyle name="Input 13 4 2 4" xfId="18940"/>
    <cellStyle name="Input 13 4 2 4 2" xfId="44462"/>
    <cellStyle name="Input 13 4 2 4 3" xfId="48368"/>
    <cellStyle name="Input 13 4 2 4 4" xfId="36552"/>
    <cellStyle name="Input 13 4 2 5" xfId="20741"/>
    <cellStyle name="Input 13 4 2 5 2" xfId="46263"/>
    <cellStyle name="Input 13 4 2 5 3" xfId="50169"/>
    <cellStyle name="Input 13 4 2 5 4" xfId="38133"/>
    <cellStyle name="Input 13 4 2 6" xfId="21394"/>
    <cellStyle name="Input 13 4 2 6 2" xfId="46916"/>
    <cellStyle name="Input 13 4 2 6 3" xfId="50822"/>
    <cellStyle name="Input 13 4 2 7" xfId="40719"/>
    <cellStyle name="Input 13 4 2 8" xfId="42720"/>
    <cellStyle name="Input 13 4 3" xfId="10836"/>
    <cellStyle name="Input 13 4 3 2" xfId="18623"/>
    <cellStyle name="Input 13 4 3 2 2" xfId="44155"/>
    <cellStyle name="Input 13 4 3 2 3" xfId="48064"/>
    <cellStyle name="Input 13 4 3 2 4" xfId="36246"/>
    <cellStyle name="Input 13 4 3 3" xfId="19263"/>
    <cellStyle name="Input 13 4 3 3 2" xfId="44785"/>
    <cellStyle name="Input 13 4 3 3 3" xfId="48691"/>
    <cellStyle name="Input 13 4 3 3 4" xfId="36827"/>
    <cellStyle name="Input 13 4 3 4" xfId="19984"/>
    <cellStyle name="Input 13 4 3 4 2" xfId="45506"/>
    <cellStyle name="Input 13 4 3 4 3" xfId="49412"/>
    <cellStyle name="Input 13 4 3 4 4" xfId="37468"/>
    <cellStyle name="Input 13 4 3 5" xfId="21036"/>
    <cellStyle name="Input 13 4 3 5 2" xfId="46558"/>
    <cellStyle name="Input 13 4 3 5 3" xfId="50464"/>
    <cellStyle name="Input 13 4 3 5 4" xfId="38428"/>
    <cellStyle name="Input 13 4 3 6" xfId="21689"/>
    <cellStyle name="Input 13 4 3 6 2" xfId="47211"/>
    <cellStyle name="Input 13 4 3 6 3" xfId="51117"/>
    <cellStyle name="Input 13 4 3 7" xfId="41014"/>
    <cellStyle name="Input 13 4 3 8" xfId="43701"/>
    <cellStyle name="Input 13 4 4" xfId="14796"/>
    <cellStyle name="Input 13 4 4 2" xfId="42894"/>
    <cellStyle name="Input 13 4 4 3" xfId="39612"/>
    <cellStyle name="Input 13 4 4 4" xfId="32417"/>
    <cellStyle name="Input 13 4 5" xfId="11277"/>
    <cellStyle name="Input 13 4 5 2" xfId="41304"/>
    <cellStyle name="Input 13 4 5 3" xfId="43688"/>
    <cellStyle name="Input 13 4 5 4" xfId="28991"/>
    <cellStyle name="Input 13 4 6" xfId="11470"/>
    <cellStyle name="Input 13 4 6 2" xfId="41461"/>
    <cellStyle name="Input 13 4 6 3" xfId="42795"/>
    <cellStyle name="Input 13 4 6 4" xfId="29172"/>
    <cellStyle name="Input 13 4 7" xfId="20295"/>
    <cellStyle name="Input 13 4 7 2" xfId="45817"/>
    <cellStyle name="Input 13 4 7 3" xfId="49723"/>
    <cellStyle name="Input 13 4 7 4" xfId="37747"/>
    <cellStyle name="Input 13 4 8" xfId="20490"/>
    <cellStyle name="Input 13 4 8 2" xfId="46012"/>
    <cellStyle name="Input 13 4 8 3" xfId="49918"/>
    <cellStyle name="Input 13 4 9" xfId="39754"/>
    <cellStyle name="Input 13 5" xfId="22418"/>
    <cellStyle name="Input 13 6" xfId="22906"/>
    <cellStyle name="Input 13 7" xfId="52973"/>
    <cellStyle name="Input 13_Sheet1" xfId="1819"/>
    <cellStyle name="Input 14" xfId="1820"/>
    <cellStyle name="Input 14 2" xfId="1821"/>
    <cellStyle name="Input 14 2 2" xfId="1822"/>
    <cellStyle name="Input 14 2 2 2" xfId="7020"/>
    <cellStyle name="Input 14 2 2 2 10" xfId="40605"/>
    <cellStyle name="Input 14 2 2 2 2" xfId="10547"/>
    <cellStyle name="Input 14 2 2 2 2 2" xfId="18334"/>
    <cellStyle name="Input 14 2 2 2 2 2 2" xfId="43866"/>
    <cellStyle name="Input 14 2 2 2 2 2 3" xfId="47775"/>
    <cellStyle name="Input 14 2 2 2 2 2 4" xfId="35957"/>
    <cellStyle name="Input 14 2 2 2 2 3" xfId="19746"/>
    <cellStyle name="Input 14 2 2 2 2 3 2" xfId="45268"/>
    <cellStyle name="Input 14 2 2 2 2 3 3" xfId="49174"/>
    <cellStyle name="Input 14 2 2 2 2 3 4" xfId="37259"/>
    <cellStyle name="Input 14 2 2 2 2 4" xfId="19047"/>
    <cellStyle name="Input 14 2 2 2 2 4 2" xfId="44569"/>
    <cellStyle name="Input 14 2 2 2 2 4 3" xfId="48475"/>
    <cellStyle name="Input 14 2 2 2 2 4 4" xfId="36632"/>
    <cellStyle name="Input 14 2 2 2 2 5" xfId="20747"/>
    <cellStyle name="Input 14 2 2 2 2 5 2" xfId="46269"/>
    <cellStyle name="Input 14 2 2 2 2 5 3" xfId="50175"/>
    <cellStyle name="Input 14 2 2 2 2 5 4" xfId="38139"/>
    <cellStyle name="Input 14 2 2 2 2 6" xfId="21400"/>
    <cellStyle name="Input 14 2 2 2 2 6 2" xfId="46922"/>
    <cellStyle name="Input 14 2 2 2 2 6 3" xfId="50828"/>
    <cellStyle name="Input 14 2 2 2 2 7" xfId="40725"/>
    <cellStyle name="Input 14 2 2 2 2 8" xfId="40361"/>
    <cellStyle name="Input 14 2 2 2 3" xfId="10842"/>
    <cellStyle name="Input 14 2 2 2 3 2" xfId="18629"/>
    <cellStyle name="Input 14 2 2 2 3 2 2" xfId="44161"/>
    <cellStyle name="Input 14 2 2 2 3 2 3" xfId="48070"/>
    <cellStyle name="Input 14 2 2 2 3 2 4" xfId="36252"/>
    <cellStyle name="Input 14 2 2 2 3 3" xfId="19578"/>
    <cellStyle name="Input 14 2 2 2 3 3 2" xfId="45100"/>
    <cellStyle name="Input 14 2 2 2 3 3 3" xfId="49006"/>
    <cellStyle name="Input 14 2 2 2 3 3 4" xfId="37104"/>
    <cellStyle name="Input 14 2 2 2 3 4" xfId="11625"/>
    <cellStyle name="Input 14 2 2 2 3 4 2" xfId="41616"/>
    <cellStyle name="Input 14 2 2 2 3 4 3" xfId="41362"/>
    <cellStyle name="Input 14 2 2 2 3 4 4" xfId="29312"/>
    <cellStyle name="Input 14 2 2 2 3 5" xfId="21042"/>
    <cellStyle name="Input 14 2 2 2 3 5 2" xfId="46564"/>
    <cellStyle name="Input 14 2 2 2 3 5 3" xfId="50470"/>
    <cellStyle name="Input 14 2 2 2 3 5 4" xfId="38434"/>
    <cellStyle name="Input 14 2 2 2 3 6" xfId="21695"/>
    <cellStyle name="Input 14 2 2 2 3 6 2" xfId="47217"/>
    <cellStyle name="Input 14 2 2 2 3 6 3" xfId="51123"/>
    <cellStyle name="Input 14 2 2 2 3 7" xfId="41020"/>
    <cellStyle name="Input 14 2 2 2 3 8" xfId="39565"/>
    <cellStyle name="Input 14 2 2 2 4" xfId="14802"/>
    <cellStyle name="Input 14 2 2 2 4 2" xfId="42900"/>
    <cellStyle name="Input 14 2 2 2 4 3" xfId="43427"/>
    <cellStyle name="Input 14 2 2 2 4 4" xfId="32423"/>
    <cellStyle name="Input 14 2 2 2 5" xfId="12015"/>
    <cellStyle name="Input 14 2 2 2 5 2" xfId="41752"/>
    <cellStyle name="Input 14 2 2 2 5 3" xfId="39308"/>
    <cellStyle name="Input 14 2 2 2 5 4" xfId="29683"/>
    <cellStyle name="Input 14 2 2 2 6" xfId="12031"/>
    <cellStyle name="Input 14 2 2 2 6 2" xfId="41767"/>
    <cellStyle name="Input 14 2 2 2 6 3" xfId="43671"/>
    <cellStyle name="Input 14 2 2 2 6 4" xfId="29696"/>
    <cellStyle name="Input 14 2 2 2 7" xfId="11792"/>
    <cellStyle name="Input 14 2 2 2 7 2" xfId="41722"/>
    <cellStyle name="Input 14 2 2 2 7 3" xfId="39121"/>
    <cellStyle name="Input 14 2 2 2 7 4" xfId="29464"/>
    <cellStyle name="Input 14 2 2 2 8" xfId="19937"/>
    <cellStyle name="Input 14 2 2 2 8 2" xfId="45459"/>
    <cellStyle name="Input 14 2 2 2 8 3" xfId="49365"/>
    <cellStyle name="Input 14 2 2 2 9" xfId="39760"/>
    <cellStyle name="Input 14 2 2 3" xfId="52980"/>
    <cellStyle name="Input 14 2 3" xfId="7019"/>
    <cellStyle name="Input 14 2 3 10" xfId="43746"/>
    <cellStyle name="Input 14 2 3 2" xfId="10546"/>
    <cellStyle name="Input 14 2 3 2 2" xfId="18333"/>
    <cellStyle name="Input 14 2 3 2 2 2" xfId="43865"/>
    <cellStyle name="Input 14 2 3 2 2 3" xfId="47774"/>
    <cellStyle name="Input 14 2 3 2 2 4" xfId="35956"/>
    <cellStyle name="Input 14 2 3 2 3" xfId="19124"/>
    <cellStyle name="Input 14 2 3 2 3 2" xfId="44646"/>
    <cellStyle name="Input 14 2 3 2 3 3" xfId="48552"/>
    <cellStyle name="Input 14 2 3 2 3 4" xfId="36705"/>
    <cellStyle name="Input 14 2 3 2 4" xfId="19216"/>
    <cellStyle name="Input 14 2 3 2 4 2" xfId="44738"/>
    <cellStyle name="Input 14 2 3 2 4 3" xfId="48644"/>
    <cellStyle name="Input 14 2 3 2 4 4" xfId="36785"/>
    <cellStyle name="Input 14 2 3 2 5" xfId="20746"/>
    <cellStyle name="Input 14 2 3 2 5 2" xfId="46268"/>
    <cellStyle name="Input 14 2 3 2 5 3" xfId="50174"/>
    <cellStyle name="Input 14 2 3 2 5 4" xfId="38138"/>
    <cellStyle name="Input 14 2 3 2 6" xfId="21399"/>
    <cellStyle name="Input 14 2 3 2 6 2" xfId="46921"/>
    <cellStyle name="Input 14 2 3 2 6 3" xfId="50827"/>
    <cellStyle name="Input 14 2 3 2 7" xfId="40724"/>
    <cellStyle name="Input 14 2 3 2 8" xfId="43498"/>
    <cellStyle name="Input 14 2 3 3" xfId="10841"/>
    <cellStyle name="Input 14 2 3 3 2" xfId="18628"/>
    <cellStyle name="Input 14 2 3 3 2 2" xfId="44160"/>
    <cellStyle name="Input 14 2 3 3 2 3" xfId="48069"/>
    <cellStyle name="Input 14 2 3 3 2 4" xfId="36251"/>
    <cellStyle name="Input 14 2 3 3 3" xfId="12160"/>
    <cellStyle name="Input 14 2 3 3 3 2" xfId="41885"/>
    <cellStyle name="Input 14 2 3 3 3 3" xfId="39430"/>
    <cellStyle name="Input 14 2 3 3 3 4" xfId="29818"/>
    <cellStyle name="Input 14 2 3 3 4" xfId="20290"/>
    <cellStyle name="Input 14 2 3 3 4 2" xfId="45812"/>
    <cellStyle name="Input 14 2 3 3 4 3" xfId="49718"/>
    <cellStyle name="Input 14 2 3 3 4 4" xfId="37742"/>
    <cellStyle name="Input 14 2 3 3 5" xfId="21041"/>
    <cellStyle name="Input 14 2 3 3 5 2" xfId="46563"/>
    <cellStyle name="Input 14 2 3 3 5 3" xfId="50469"/>
    <cellStyle name="Input 14 2 3 3 5 4" xfId="38433"/>
    <cellStyle name="Input 14 2 3 3 6" xfId="21694"/>
    <cellStyle name="Input 14 2 3 3 6 2" xfId="47216"/>
    <cellStyle name="Input 14 2 3 3 6 3" xfId="51122"/>
    <cellStyle name="Input 14 2 3 3 7" xfId="41019"/>
    <cellStyle name="Input 14 2 3 3 8" xfId="40455"/>
    <cellStyle name="Input 14 2 3 4" xfId="14801"/>
    <cellStyle name="Input 14 2 3 4 2" xfId="42899"/>
    <cellStyle name="Input 14 2 3 4 3" xfId="42516"/>
    <cellStyle name="Input 14 2 3 4 4" xfId="32422"/>
    <cellStyle name="Input 14 2 3 5" xfId="13080"/>
    <cellStyle name="Input 14 2 3 5 2" xfId="42282"/>
    <cellStyle name="Input 14 2 3 5 3" xfId="42529"/>
    <cellStyle name="Input 14 2 3 5 4" xfId="30715"/>
    <cellStyle name="Input 14 2 3 6" xfId="20047"/>
    <cellStyle name="Input 14 2 3 6 2" xfId="45569"/>
    <cellStyle name="Input 14 2 3 6 3" xfId="49475"/>
    <cellStyle name="Input 14 2 3 6 4" xfId="37528"/>
    <cellStyle name="Input 14 2 3 7" xfId="20057"/>
    <cellStyle name="Input 14 2 3 7 2" xfId="45579"/>
    <cellStyle name="Input 14 2 3 7 3" xfId="49485"/>
    <cellStyle name="Input 14 2 3 7 4" xfId="37537"/>
    <cellStyle name="Input 14 2 3 8" xfId="11323"/>
    <cellStyle name="Input 14 2 3 8 2" xfId="41348"/>
    <cellStyle name="Input 14 2 3 8 3" xfId="42011"/>
    <cellStyle name="Input 14 2 3 9" xfId="39759"/>
    <cellStyle name="Input 14 2 4" xfId="52979"/>
    <cellStyle name="Input 14 2_Sheet1" xfId="1823"/>
    <cellStyle name="Input 14 3" xfId="1824"/>
    <cellStyle name="Input 14 3 2" xfId="7021"/>
    <cellStyle name="Input 14 3 2 10" xfId="39939"/>
    <cellStyle name="Input 14 3 2 2" xfId="10548"/>
    <cellStyle name="Input 14 3 2 2 2" xfId="18335"/>
    <cellStyle name="Input 14 3 2 2 2 2" xfId="43867"/>
    <cellStyle name="Input 14 3 2 2 2 3" xfId="47776"/>
    <cellStyle name="Input 14 3 2 2 2 4" xfId="35958"/>
    <cellStyle name="Input 14 3 2 2 3" xfId="11483"/>
    <cellStyle name="Input 14 3 2 2 3 2" xfId="41474"/>
    <cellStyle name="Input 14 3 2 2 3 3" xfId="43324"/>
    <cellStyle name="Input 14 3 2 2 3 4" xfId="29184"/>
    <cellStyle name="Input 14 3 2 2 4" xfId="19208"/>
    <cellStyle name="Input 14 3 2 2 4 2" xfId="44730"/>
    <cellStyle name="Input 14 3 2 2 4 3" xfId="48636"/>
    <cellStyle name="Input 14 3 2 2 4 4" xfId="36779"/>
    <cellStyle name="Input 14 3 2 2 5" xfId="20748"/>
    <cellStyle name="Input 14 3 2 2 5 2" xfId="46270"/>
    <cellStyle name="Input 14 3 2 2 5 3" xfId="50176"/>
    <cellStyle name="Input 14 3 2 2 5 4" xfId="38140"/>
    <cellStyle name="Input 14 3 2 2 6" xfId="21401"/>
    <cellStyle name="Input 14 3 2 2 6 2" xfId="46923"/>
    <cellStyle name="Input 14 3 2 2 6 3" xfId="50829"/>
    <cellStyle name="Input 14 3 2 2 7" xfId="40726"/>
    <cellStyle name="Input 14 3 2 2 8" xfId="39473"/>
    <cellStyle name="Input 14 3 2 3" xfId="10843"/>
    <cellStyle name="Input 14 3 2 3 2" xfId="18630"/>
    <cellStyle name="Input 14 3 2 3 2 2" xfId="44162"/>
    <cellStyle name="Input 14 3 2 3 2 3" xfId="48071"/>
    <cellStyle name="Input 14 3 2 3 2 4" xfId="36253"/>
    <cellStyle name="Input 14 3 2 3 3" xfId="20130"/>
    <cellStyle name="Input 14 3 2 3 3 2" xfId="45652"/>
    <cellStyle name="Input 14 3 2 3 3 3" xfId="49558"/>
    <cellStyle name="Input 14 3 2 3 3 4" xfId="37602"/>
    <cellStyle name="Input 14 3 2 3 4" xfId="18937"/>
    <cellStyle name="Input 14 3 2 3 4 2" xfId="44459"/>
    <cellStyle name="Input 14 3 2 3 4 3" xfId="48365"/>
    <cellStyle name="Input 14 3 2 3 4 4" xfId="36549"/>
    <cellStyle name="Input 14 3 2 3 5" xfId="21043"/>
    <cellStyle name="Input 14 3 2 3 5 2" xfId="46565"/>
    <cellStyle name="Input 14 3 2 3 5 3" xfId="50471"/>
    <cellStyle name="Input 14 3 2 3 5 4" xfId="38435"/>
    <cellStyle name="Input 14 3 2 3 6" xfId="21696"/>
    <cellStyle name="Input 14 3 2 3 6 2" xfId="47218"/>
    <cellStyle name="Input 14 3 2 3 6 3" xfId="51124"/>
    <cellStyle name="Input 14 3 2 3 7" xfId="41021"/>
    <cellStyle name="Input 14 3 2 3 8" xfId="42573"/>
    <cellStyle name="Input 14 3 2 4" xfId="14803"/>
    <cellStyle name="Input 14 3 2 4 2" xfId="42901"/>
    <cellStyle name="Input 14 3 2 4 3" xfId="40289"/>
    <cellStyle name="Input 14 3 2 4 4" xfId="32424"/>
    <cellStyle name="Input 14 3 2 5" xfId="13081"/>
    <cellStyle name="Input 14 3 2 5 2" xfId="42283"/>
    <cellStyle name="Input 14 3 2 5 3" xfId="43440"/>
    <cellStyle name="Input 14 3 2 5 4" xfId="30716"/>
    <cellStyle name="Input 14 3 2 6" xfId="19136"/>
    <cellStyle name="Input 14 3 2 6 2" xfId="44658"/>
    <cellStyle name="Input 14 3 2 6 3" xfId="48564"/>
    <cellStyle name="Input 14 3 2 6 4" xfId="36717"/>
    <cellStyle name="Input 14 3 2 7" xfId="12851"/>
    <cellStyle name="Input 14 3 2 7 2" xfId="42215"/>
    <cellStyle name="Input 14 3 2 7 3" xfId="40519"/>
    <cellStyle name="Input 14 3 2 7 4" xfId="30489"/>
    <cellStyle name="Input 14 3 2 8" xfId="11714"/>
    <cellStyle name="Input 14 3 2 8 2" xfId="41683"/>
    <cellStyle name="Input 14 3 2 8 3" xfId="40321"/>
    <cellStyle name="Input 14 3 2 9" xfId="39761"/>
    <cellStyle name="Input 14 3 3" xfId="52981"/>
    <cellStyle name="Input 14 4" xfId="7018"/>
    <cellStyle name="Input 14 4 10" xfId="43079"/>
    <cellStyle name="Input 14 4 11" xfId="52982"/>
    <cellStyle name="Input 14 4 2" xfId="10545"/>
    <cellStyle name="Input 14 4 2 2" xfId="18332"/>
    <cellStyle name="Input 14 4 2 2 2" xfId="43864"/>
    <cellStyle name="Input 14 4 2 2 3" xfId="47773"/>
    <cellStyle name="Input 14 4 2 2 4" xfId="35955"/>
    <cellStyle name="Input 14 4 2 3" xfId="19901"/>
    <cellStyle name="Input 14 4 2 3 2" xfId="45423"/>
    <cellStyle name="Input 14 4 2 3 3" xfId="49329"/>
    <cellStyle name="Input 14 4 2 3 4" xfId="37401"/>
    <cellStyle name="Input 14 4 2 4" xfId="19960"/>
    <cellStyle name="Input 14 4 2 4 2" xfId="45482"/>
    <cellStyle name="Input 14 4 2 4 3" xfId="49388"/>
    <cellStyle name="Input 14 4 2 4 4" xfId="37450"/>
    <cellStyle name="Input 14 4 2 5" xfId="20745"/>
    <cellStyle name="Input 14 4 2 5 2" xfId="46267"/>
    <cellStyle name="Input 14 4 2 5 3" xfId="50173"/>
    <cellStyle name="Input 14 4 2 5 4" xfId="38137"/>
    <cellStyle name="Input 14 4 2 6" xfId="21398"/>
    <cellStyle name="Input 14 4 2 6 2" xfId="46920"/>
    <cellStyle name="Input 14 4 2 6 3" xfId="50826"/>
    <cellStyle name="Input 14 4 2 7" xfId="40723"/>
    <cellStyle name="Input 14 4 2 8" xfId="42585"/>
    <cellStyle name="Input 14 4 3" xfId="10840"/>
    <cellStyle name="Input 14 4 3 2" xfId="18627"/>
    <cellStyle name="Input 14 4 3 2 2" xfId="44159"/>
    <cellStyle name="Input 14 4 3 2 3" xfId="48068"/>
    <cellStyle name="Input 14 4 3 2 4" xfId="36250"/>
    <cellStyle name="Input 14 4 3 3" xfId="12628"/>
    <cellStyle name="Input 14 4 3 3 2" xfId="42088"/>
    <cellStyle name="Input 14 4 3 3 3" xfId="43450"/>
    <cellStyle name="Input 14 4 3 3 4" xfId="30279"/>
    <cellStyle name="Input 14 4 3 4" xfId="18891"/>
    <cellStyle name="Input 14 4 3 4 2" xfId="44413"/>
    <cellStyle name="Input 14 4 3 4 3" xfId="48319"/>
    <cellStyle name="Input 14 4 3 4 4" xfId="36510"/>
    <cellStyle name="Input 14 4 3 5" xfId="21040"/>
    <cellStyle name="Input 14 4 3 5 2" xfId="46562"/>
    <cellStyle name="Input 14 4 3 5 3" xfId="50468"/>
    <cellStyle name="Input 14 4 3 5 4" xfId="38432"/>
    <cellStyle name="Input 14 4 3 6" xfId="21693"/>
    <cellStyle name="Input 14 4 3 6 2" xfId="47215"/>
    <cellStyle name="Input 14 4 3 6 3" xfId="51121"/>
    <cellStyle name="Input 14 4 3 7" xfId="41018"/>
    <cellStyle name="Input 14 4 3 8" xfId="43597"/>
    <cellStyle name="Input 14 4 4" xfId="14800"/>
    <cellStyle name="Input 14 4 4 2" xfId="42898"/>
    <cellStyle name="Input 14 4 4 3" xfId="39506"/>
    <cellStyle name="Input 14 4 4 4" xfId="32421"/>
    <cellStyle name="Input 14 4 5" xfId="13079"/>
    <cellStyle name="Input 14 4 5 2" xfId="42281"/>
    <cellStyle name="Input 14 4 5 3" xfId="39519"/>
    <cellStyle name="Input 14 4 5 4" xfId="30714"/>
    <cellStyle name="Input 14 4 6" xfId="12849"/>
    <cellStyle name="Input 14 4 6 2" xfId="42213"/>
    <cellStyle name="Input 14 4 6 3" xfId="42773"/>
    <cellStyle name="Input 14 4 6 4" xfId="30487"/>
    <cellStyle name="Input 14 4 7" xfId="19005"/>
    <cellStyle name="Input 14 4 7 2" xfId="44527"/>
    <cellStyle name="Input 14 4 7 3" xfId="48433"/>
    <cellStyle name="Input 14 4 7 4" xfId="36599"/>
    <cellStyle name="Input 14 4 8" xfId="20281"/>
    <cellStyle name="Input 14 4 8 2" xfId="45803"/>
    <cellStyle name="Input 14 4 8 3" xfId="49709"/>
    <cellStyle name="Input 14 4 9" xfId="39758"/>
    <cellStyle name="Input 14 5" xfId="22419"/>
    <cellStyle name="Input 14 6" xfId="22905"/>
    <cellStyle name="Input 14 7" xfId="52978"/>
    <cellStyle name="Input 14_Sheet1" xfId="1825"/>
    <cellStyle name="Input 15" xfId="1826"/>
    <cellStyle name="Input 15 2" xfId="1827"/>
    <cellStyle name="Input 15 2 2" xfId="1828"/>
    <cellStyle name="Input 15 2 2 2" xfId="7024"/>
    <cellStyle name="Input 15 2 2 2 10" xfId="40485"/>
    <cellStyle name="Input 15 2 2 2 2" xfId="10551"/>
    <cellStyle name="Input 15 2 2 2 2 2" xfId="18338"/>
    <cellStyle name="Input 15 2 2 2 2 2 2" xfId="43870"/>
    <cellStyle name="Input 15 2 2 2 2 2 3" xfId="47779"/>
    <cellStyle name="Input 15 2 2 2 2 2 4" xfId="35961"/>
    <cellStyle name="Input 15 2 2 2 2 3" xfId="19603"/>
    <cellStyle name="Input 15 2 2 2 2 3 2" xfId="45125"/>
    <cellStyle name="Input 15 2 2 2 2 3 3" xfId="49031"/>
    <cellStyle name="Input 15 2 2 2 2 3 4" xfId="37129"/>
    <cellStyle name="Input 15 2 2 2 2 4" xfId="12990"/>
    <cellStyle name="Input 15 2 2 2 2 4 2" xfId="42236"/>
    <cellStyle name="Input 15 2 2 2 2 4 3" xfId="43295"/>
    <cellStyle name="Input 15 2 2 2 2 4 4" xfId="30625"/>
    <cellStyle name="Input 15 2 2 2 2 5" xfId="20751"/>
    <cellStyle name="Input 15 2 2 2 2 5 2" xfId="46273"/>
    <cellStyle name="Input 15 2 2 2 2 5 3" xfId="50179"/>
    <cellStyle name="Input 15 2 2 2 2 5 4" xfId="38143"/>
    <cellStyle name="Input 15 2 2 2 2 6" xfId="21404"/>
    <cellStyle name="Input 15 2 2 2 2 6 2" xfId="46926"/>
    <cellStyle name="Input 15 2 2 2 2 6 3" xfId="50832"/>
    <cellStyle name="Input 15 2 2 2 2 7" xfId="40729"/>
    <cellStyle name="Input 15 2 2 2 2 8" xfId="40228"/>
    <cellStyle name="Input 15 2 2 2 3" xfId="10846"/>
    <cellStyle name="Input 15 2 2 2 3 2" xfId="18633"/>
    <cellStyle name="Input 15 2 2 2 3 2 2" xfId="44165"/>
    <cellStyle name="Input 15 2 2 2 3 2 3" xfId="48074"/>
    <cellStyle name="Input 15 2 2 2 3 2 4" xfId="36256"/>
    <cellStyle name="Input 15 2 2 2 3 3" xfId="19262"/>
    <cellStyle name="Input 15 2 2 2 3 3 2" xfId="44784"/>
    <cellStyle name="Input 15 2 2 2 3 3 3" xfId="48690"/>
    <cellStyle name="Input 15 2 2 2 3 3 4" xfId="36826"/>
    <cellStyle name="Input 15 2 2 2 3 4" xfId="19222"/>
    <cellStyle name="Input 15 2 2 2 3 4 2" xfId="44744"/>
    <cellStyle name="Input 15 2 2 2 3 4 3" xfId="48650"/>
    <cellStyle name="Input 15 2 2 2 3 4 4" xfId="36789"/>
    <cellStyle name="Input 15 2 2 2 3 5" xfId="21046"/>
    <cellStyle name="Input 15 2 2 2 3 5 2" xfId="46568"/>
    <cellStyle name="Input 15 2 2 2 3 5 3" xfId="50474"/>
    <cellStyle name="Input 15 2 2 2 3 5 4" xfId="38438"/>
    <cellStyle name="Input 15 2 2 2 3 6" xfId="21699"/>
    <cellStyle name="Input 15 2 2 2 3 6 2" xfId="47221"/>
    <cellStyle name="Input 15 2 2 2 3 6 3" xfId="51127"/>
    <cellStyle name="Input 15 2 2 2 3 7" xfId="41024"/>
    <cellStyle name="Input 15 2 2 2 3 8" xfId="39461"/>
    <cellStyle name="Input 15 2 2 2 4" xfId="14806"/>
    <cellStyle name="Input 15 2 2 2 4 2" xfId="42904"/>
    <cellStyle name="Input 15 2 2 2 4 3" xfId="43275"/>
    <cellStyle name="Input 15 2 2 2 4 4" xfId="32427"/>
    <cellStyle name="Input 15 2 2 2 5" xfId="13083"/>
    <cellStyle name="Input 15 2 2 2 5 2" xfId="42285"/>
    <cellStyle name="Input 15 2 2 2 5 3" xfId="39419"/>
    <cellStyle name="Input 15 2 2 2 5 4" xfId="30718"/>
    <cellStyle name="Input 15 2 2 2 6" xfId="19518"/>
    <cellStyle name="Input 15 2 2 2 6 2" xfId="45040"/>
    <cellStyle name="Input 15 2 2 2 6 3" xfId="48946"/>
    <cellStyle name="Input 15 2 2 2 6 4" xfId="37051"/>
    <cellStyle name="Input 15 2 2 2 7" xfId="12788"/>
    <cellStyle name="Input 15 2 2 2 7 2" xfId="42189"/>
    <cellStyle name="Input 15 2 2 2 7 3" xfId="40030"/>
    <cellStyle name="Input 15 2 2 2 7 4" xfId="30431"/>
    <cellStyle name="Input 15 2 2 2 8" xfId="20078"/>
    <cellStyle name="Input 15 2 2 2 8 2" xfId="45600"/>
    <cellStyle name="Input 15 2 2 2 8 3" xfId="49506"/>
    <cellStyle name="Input 15 2 2 2 9" xfId="39764"/>
    <cellStyle name="Input 15 2 2 3" xfId="52985"/>
    <cellStyle name="Input 15 2 3" xfId="7023"/>
    <cellStyle name="Input 15 2 3 10" xfId="43627"/>
    <cellStyle name="Input 15 2 3 11" xfId="52986"/>
    <cellStyle name="Input 15 2 3 2" xfId="10550"/>
    <cellStyle name="Input 15 2 3 2 2" xfId="18337"/>
    <cellStyle name="Input 15 2 3 2 2 2" xfId="43869"/>
    <cellStyle name="Input 15 2 3 2 2 3" xfId="47778"/>
    <cellStyle name="Input 15 2 3 2 2 4" xfId="35960"/>
    <cellStyle name="Input 15 2 3 2 3" xfId="13314"/>
    <cellStyle name="Input 15 2 3 2 3 2" xfId="42465"/>
    <cellStyle name="Input 15 2 3 2 3 3" xfId="42656"/>
    <cellStyle name="Input 15 2 3 2 3 4" xfId="30940"/>
    <cellStyle name="Input 15 2 3 2 4" xfId="12680"/>
    <cellStyle name="Input 15 2 3 2 4 2" xfId="42140"/>
    <cellStyle name="Input 15 2 3 2 4 3" xfId="40522"/>
    <cellStyle name="Input 15 2 3 2 4 4" xfId="30327"/>
    <cellStyle name="Input 15 2 3 2 5" xfId="20750"/>
    <cellStyle name="Input 15 2 3 2 5 2" xfId="46272"/>
    <cellStyle name="Input 15 2 3 2 5 3" xfId="50178"/>
    <cellStyle name="Input 15 2 3 2 5 4" xfId="38142"/>
    <cellStyle name="Input 15 2 3 2 6" xfId="21403"/>
    <cellStyle name="Input 15 2 3 2 6 2" xfId="46925"/>
    <cellStyle name="Input 15 2 3 2 6 3" xfId="50831"/>
    <cellStyle name="Input 15 2 3 2 7" xfId="40728"/>
    <cellStyle name="Input 15 2 3 2 8" xfId="43366"/>
    <cellStyle name="Input 15 2 3 3" xfId="10845"/>
    <cellStyle name="Input 15 2 3 3 2" xfId="18632"/>
    <cellStyle name="Input 15 2 3 3 2 2" xfId="44164"/>
    <cellStyle name="Input 15 2 3 3 2 3" xfId="48073"/>
    <cellStyle name="Input 15 2 3 3 2 4" xfId="36255"/>
    <cellStyle name="Input 15 2 3 3 3" xfId="19996"/>
    <cellStyle name="Input 15 2 3 3 3 2" xfId="45518"/>
    <cellStyle name="Input 15 2 3 3 3 3" xfId="49424"/>
    <cellStyle name="Input 15 2 3 3 3 4" xfId="37480"/>
    <cellStyle name="Input 15 2 3 3 4" xfId="12531"/>
    <cellStyle name="Input 15 2 3 3 4 2" xfId="42014"/>
    <cellStyle name="Input 15 2 3 3 4 3" xfId="40423"/>
    <cellStyle name="Input 15 2 3 3 4 4" xfId="30185"/>
    <cellStyle name="Input 15 2 3 3 5" xfId="21045"/>
    <cellStyle name="Input 15 2 3 3 5 2" xfId="46567"/>
    <cellStyle name="Input 15 2 3 3 5 3" xfId="50473"/>
    <cellStyle name="Input 15 2 3 3 5 4" xfId="38437"/>
    <cellStyle name="Input 15 2 3 3 6" xfId="21698"/>
    <cellStyle name="Input 15 2 3 3 6 2" xfId="47220"/>
    <cellStyle name="Input 15 2 3 3 6 3" xfId="51126"/>
    <cellStyle name="Input 15 2 3 3 7" xfId="41023"/>
    <cellStyle name="Input 15 2 3 3 8" xfId="40349"/>
    <cellStyle name="Input 15 2 3 4" xfId="14805"/>
    <cellStyle name="Input 15 2 3 4 2" xfId="42903"/>
    <cellStyle name="Input 15 2 3 4 3" xfId="41921"/>
    <cellStyle name="Input 15 2 3 4 4" xfId="32426"/>
    <cellStyle name="Input 15 2 3 5" xfId="13082"/>
    <cellStyle name="Input 15 2 3 5 2" xfId="42284"/>
    <cellStyle name="Input 15 2 3 5 3" xfId="40302"/>
    <cellStyle name="Input 15 2 3 5 4" xfId="30717"/>
    <cellStyle name="Input 15 2 3 6" xfId="13896"/>
    <cellStyle name="Input 15 2 3 6 2" xfId="42612"/>
    <cellStyle name="Input 15 2 3 6 3" xfId="42519"/>
    <cellStyle name="Input 15 2 3 6 4" xfId="31521"/>
    <cellStyle name="Input 15 2 3 7" xfId="19363"/>
    <cellStyle name="Input 15 2 3 7 2" xfId="44885"/>
    <cellStyle name="Input 15 2 3 7 3" xfId="48791"/>
    <cellStyle name="Input 15 2 3 7 4" xfId="36915"/>
    <cellStyle name="Input 15 2 3 8" xfId="19962"/>
    <cellStyle name="Input 15 2 3 8 2" xfId="45484"/>
    <cellStyle name="Input 15 2 3 8 3" xfId="49390"/>
    <cellStyle name="Input 15 2 3 9" xfId="39763"/>
    <cellStyle name="Input 15 2 4" xfId="22421"/>
    <cellStyle name="Input 15 2 5" xfId="52984"/>
    <cellStyle name="Input 15 2_Sheet1" xfId="1829"/>
    <cellStyle name="Input 15 3" xfId="1830"/>
    <cellStyle name="Input 15 3 2" xfId="7025"/>
    <cellStyle name="Input 15 3 2 10" xfId="39595"/>
    <cellStyle name="Input 15 3 2 2" xfId="10552"/>
    <cellStyle name="Input 15 3 2 2 2" xfId="18339"/>
    <cellStyle name="Input 15 3 2 2 2 2" xfId="43871"/>
    <cellStyle name="Input 15 3 2 2 2 3" xfId="47780"/>
    <cellStyle name="Input 15 3 2 2 2 4" xfId="35962"/>
    <cellStyle name="Input 15 3 2 2 3" xfId="20158"/>
    <cellStyle name="Input 15 3 2 2 3 2" xfId="45680"/>
    <cellStyle name="Input 15 3 2 2 3 3" xfId="49586"/>
    <cellStyle name="Input 15 3 2 2 3 4" xfId="37630"/>
    <cellStyle name="Input 15 3 2 2 4" xfId="19075"/>
    <cellStyle name="Input 15 3 2 2 4 2" xfId="44597"/>
    <cellStyle name="Input 15 3 2 2 4 3" xfId="48503"/>
    <cellStyle name="Input 15 3 2 2 4 4" xfId="36657"/>
    <cellStyle name="Input 15 3 2 2 5" xfId="20752"/>
    <cellStyle name="Input 15 3 2 2 5 2" xfId="46274"/>
    <cellStyle name="Input 15 3 2 2 5 3" xfId="50180"/>
    <cellStyle name="Input 15 3 2 2 5 4" xfId="38144"/>
    <cellStyle name="Input 15 3 2 2 6" xfId="21405"/>
    <cellStyle name="Input 15 3 2 2 6 2" xfId="46927"/>
    <cellStyle name="Input 15 3 2 2 6 3" xfId="50833"/>
    <cellStyle name="Input 15 3 2 2 7" xfId="40730"/>
    <cellStyle name="Input 15 3 2 2 8" xfId="39368"/>
    <cellStyle name="Input 15 3 2 3" xfId="10847"/>
    <cellStyle name="Input 15 3 2 3 2" xfId="18634"/>
    <cellStyle name="Input 15 3 2 3 2 2" xfId="44166"/>
    <cellStyle name="Input 15 3 2 3 2 3" xfId="48075"/>
    <cellStyle name="Input 15 3 2 3 2 4" xfId="36257"/>
    <cellStyle name="Input 15 3 2 3 3" xfId="19871"/>
    <cellStyle name="Input 15 3 2 3 3 2" xfId="45393"/>
    <cellStyle name="Input 15 3 2 3 3 3" xfId="49299"/>
    <cellStyle name="Input 15 3 2 3 3 4" xfId="37371"/>
    <cellStyle name="Input 15 3 2 3 4" xfId="19059"/>
    <cellStyle name="Input 15 3 2 3 4 2" xfId="44581"/>
    <cellStyle name="Input 15 3 2 3 4 3" xfId="48487"/>
    <cellStyle name="Input 15 3 2 3 4 4" xfId="36642"/>
    <cellStyle name="Input 15 3 2 3 5" xfId="21047"/>
    <cellStyle name="Input 15 3 2 3 5 2" xfId="46569"/>
    <cellStyle name="Input 15 3 2 3 5 3" xfId="50475"/>
    <cellStyle name="Input 15 3 2 3 5 4" xfId="38439"/>
    <cellStyle name="Input 15 3 2 3 6" xfId="21700"/>
    <cellStyle name="Input 15 3 2 3 6 2" xfId="47222"/>
    <cellStyle name="Input 15 3 2 3 6 3" xfId="51128"/>
    <cellStyle name="Input 15 3 2 3 7" xfId="41025"/>
    <cellStyle name="Input 15 3 2 3 8" xfId="42029"/>
    <cellStyle name="Input 15 3 2 4" xfId="14807"/>
    <cellStyle name="Input 15 3 2 4 2" xfId="42905"/>
    <cellStyle name="Input 15 3 2 4 3" xfId="40134"/>
    <cellStyle name="Input 15 3 2 4 4" xfId="32428"/>
    <cellStyle name="Input 15 3 2 5" xfId="13084"/>
    <cellStyle name="Input 15 3 2 5 2" xfId="42286"/>
    <cellStyle name="Input 15 3 2 5 3" xfId="41945"/>
    <cellStyle name="Input 15 3 2 5 4" xfId="30719"/>
    <cellStyle name="Input 15 3 2 6" xfId="20211"/>
    <cellStyle name="Input 15 3 2 6 2" xfId="45733"/>
    <cellStyle name="Input 15 3 2 6 3" xfId="49639"/>
    <cellStyle name="Input 15 3 2 6 4" xfId="37674"/>
    <cellStyle name="Input 15 3 2 7" xfId="19148"/>
    <cellStyle name="Input 15 3 2 7 2" xfId="44670"/>
    <cellStyle name="Input 15 3 2 7 3" xfId="48576"/>
    <cellStyle name="Input 15 3 2 7 4" xfId="36726"/>
    <cellStyle name="Input 15 3 2 8" xfId="11446"/>
    <cellStyle name="Input 15 3 2 8 2" xfId="41437"/>
    <cellStyle name="Input 15 3 2 8 3" xfId="42796"/>
    <cellStyle name="Input 15 3 2 9" xfId="39765"/>
    <cellStyle name="Input 15 3 3" xfId="52987"/>
    <cellStyle name="Input 15 4" xfId="7022"/>
    <cellStyle name="Input 15 4 10" xfId="42739"/>
    <cellStyle name="Input 15 4 11" xfId="52988"/>
    <cellStyle name="Input 15 4 2" xfId="10549"/>
    <cellStyle name="Input 15 4 2 2" xfId="18336"/>
    <cellStyle name="Input 15 4 2 2 2" xfId="43868"/>
    <cellStyle name="Input 15 4 2 2 3" xfId="47777"/>
    <cellStyle name="Input 15 4 2 2 4" xfId="35959"/>
    <cellStyle name="Input 15 4 2 3" xfId="12151"/>
    <cellStyle name="Input 15 4 2 3 2" xfId="41876"/>
    <cellStyle name="Input 15 4 2 3 3" xfId="40530"/>
    <cellStyle name="Input 15 4 2 3 4" xfId="29809"/>
    <cellStyle name="Input 15 4 2 4" xfId="11747"/>
    <cellStyle name="Input 15 4 2 4 2" xfId="41704"/>
    <cellStyle name="Input 15 4 2 4 3" xfId="39316"/>
    <cellStyle name="Input 15 4 2 4 4" xfId="29420"/>
    <cellStyle name="Input 15 4 2 5" xfId="20749"/>
    <cellStyle name="Input 15 4 2 5 2" xfId="46271"/>
    <cellStyle name="Input 15 4 2 5 3" xfId="50177"/>
    <cellStyle name="Input 15 4 2 5 4" xfId="38141"/>
    <cellStyle name="Input 15 4 2 6" xfId="21402"/>
    <cellStyle name="Input 15 4 2 6 2" xfId="46924"/>
    <cellStyle name="Input 15 4 2 6 3" xfId="50830"/>
    <cellStyle name="Input 15 4 2 7" xfId="40727"/>
    <cellStyle name="Input 15 4 2 8" xfId="42047"/>
    <cellStyle name="Input 15 4 3" xfId="10844"/>
    <cellStyle name="Input 15 4 3 2" xfId="18631"/>
    <cellStyle name="Input 15 4 3 2 2" xfId="44163"/>
    <cellStyle name="Input 15 4 3 2 3" xfId="48072"/>
    <cellStyle name="Input 15 4 3 2 4" xfId="36254"/>
    <cellStyle name="Input 15 4 3 3" xfId="19389"/>
    <cellStyle name="Input 15 4 3 3 2" xfId="44911"/>
    <cellStyle name="Input 15 4 3 3 3" xfId="48817"/>
    <cellStyle name="Input 15 4 3 3 4" xfId="36940"/>
    <cellStyle name="Input 15 4 3 4" xfId="12010"/>
    <cellStyle name="Input 15 4 3 4 2" xfId="41750"/>
    <cellStyle name="Input 15 4 3 4 3" xfId="40319"/>
    <cellStyle name="Input 15 4 3 4 4" xfId="29678"/>
    <cellStyle name="Input 15 4 3 5" xfId="21044"/>
    <cellStyle name="Input 15 4 3 5 2" xfId="46566"/>
    <cellStyle name="Input 15 4 3 5 3" xfId="50472"/>
    <cellStyle name="Input 15 4 3 5 4" xfId="38436"/>
    <cellStyle name="Input 15 4 3 6" xfId="21697"/>
    <cellStyle name="Input 15 4 3 6 2" xfId="47219"/>
    <cellStyle name="Input 15 4 3 6 3" xfId="51125"/>
    <cellStyle name="Input 15 4 3 7" xfId="41022"/>
    <cellStyle name="Input 15 4 3 8" xfId="43486"/>
    <cellStyle name="Input 15 4 4" xfId="14804"/>
    <cellStyle name="Input 15 4 4 2" xfId="42902"/>
    <cellStyle name="Input 15 4 4 3" xfId="39406"/>
    <cellStyle name="Input 15 4 4 4" xfId="32425"/>
    <cellStyle name="Input 15 4 5" xfId="11281"/>
    <cellStyle name="Input 15 4 5 2" xfId="41308"/>
    <cellStyle name="Input 15 4 5 3" xfId="43582"/>
    <cellStyle name="Input 15 4 5 4" xfId="28995"/>
    <cellStyle name="Input 15 4 6" xfId="19975"/>
    <cellStyle name="Input 15 4 6 2" xfId="45497"/>
    <cellStyle name="Input 15 4 6 3" xfId="49403"/>
    <cellStyle name="Input 15 4 6 4" xfId="37460"/>
    <cellStyle name="Input 15 4 7" xfId="19374"/>
    <cellStyle name="Input 15 4 7 2" xfId="44896"/>
    <cellStyle name="Input 15 4 7 3" xfId="48802"/>
    <cellStyle name="Input 15 4 7 4" xfId="36926"/>
    <cellStyle name="Input 15 4 8" xfId="20608"/>
    <cellStyle name="Input 15 4 8 2" xfId="46130"/>
    <cellStyle name="Input 15 4 8 3" xfId="50036"/>
    <cellStyle name="Input 15 4 9" xfId="39762"/>
    <cellStyle name="Input 15 5" xfId="22420"/>
    <cellStyle name="Input 15 6" xfId="52983"/>
    <cellStyle name="Input 15_Sheet1" xfId="1831"/>
    <cellStyle name="Input 16" xfId="1832"/>
    <cellStyle name="Input 16 2" xfId="1833"/>
    <cellStyle name="Input 16 2 2" xfId="1834"/>
    <cellStyle name="Input 16 2 2 2" xfId="7028"/>
    <cellStyle name="Input 16 2 2 2 10" xfId="40379"/>
    <cellStyle name="Input 16 2 2 2 2" xfId="10555"/>
    <cellStyle name="Input 16 2 2 2 2 2" xfId="18342"/>
    <cellStyle name="Input 16 2 2 2 2 2 2" xfId="43874"/>
    <cellStyle name="Input 16 2 2 2 2 2 3" xfId="47783"/>
    <cellStyle name="Input 16 2 2 2 2 2 4" xfId="35965"/>
    <cellStyle name="Input 16 2 2 2 2 3" xfId="19290"/>
    <cellStyle name="Input 16 2 2 2 2 3 2" xfId="44812"/>
    <cellStyle name="Input 16 2 2 2 2 3 3" xfId="48718"/>
    <cellStyle name="Input 16 2 2 2 2 3 4" xfId="36854"/>
    <cellStyle name="Input 16 2 2 2 2 4" xfId="11645"/>
    <cellStyle name="Input 16 2 2 2 2 4 2" xfId="41636"/>
    <cellStyle name="Input 16 2 2 2 2 4 3" xfId="40430"/>
    <cellStyle name="Input 16 2 2 2 2 4 4" xfId="29330"/>
    <cellStyle name="Input 16 2 2 2 2 5" xfId="20755"/>
    <cellStyle name="Input 16 2 2 2 2 5 2" xfId="46277"/>
    <cellStyle name="Input 16 2 2 2 2 5 3" xfId="50183"/>
    <cellStyle name="Input 16 2 2 2 2 5 4" xfId="38147"/>
    <cellStyle name="Input 16 2 2 2 2 6" xfId="21408"/>
    <cellStyle name="Input 16 2 2 2 2 6 2" xfId="46930"/>
    <cellStyle name="Input 16 2 2 2 2 6 3" xfId="50836"/>
    <cellStyle name="Input 16 2 2 2 2 7" xfId="40733"/>
    <cellStyle name="Input 16 2 2 2 2 8" xfId="40230"/>
    <cellStyle name="Input 16 2 2 2 3" xfId="10850"/>
    <cellStyle name="Input 16 2 2 2 3 2" xfId="18637"/>
    <cellStyle name="Input 16 2 2 2 3 2 2" xfId="44169"/>
    <cellStyle name="Input 16 2 2 2 3 2 3" xfId="48078"/>
    <cellStyle name="Input 16 2 2 2 3 2 4" xfId="36260"/>
    <cellStyle name="Input 16 2 2 2 3 3" xfId="11508"/>
    <cellStyle name="Input 16 2 2 2 3 3 2" xfId="41499"/>
    <cellStyle name="Input 16 2 2 2 3 3 3" xfId="43188"/>
    <cellStyle name="Input 16 2 2 2 3 3 4" xfId="29209"/>
    <cellStyle name="Input 16 2 2 2 3 4" xfId="19522"/>
    <cellStyle name="Input 16 2 2 2 3 4 2" xfId="45044"/>
    <cellStyle name="Input 16 2 2 2 3 4 3" xfId="48950"/>
    <cellStyle name="Input 16 2 2 2 3 4 4" xfId="37055"/>
    <cellStyle name="Input 16 2 2 2 3 5" xfId="21050"/>
    <cellStyle name="Input 16 2 2 2 3 5 2" xfId="46572"/>
    <cellStyle name="Input 16 2 2 2 3 5 3" xfId="50478"/>
    <cellStyle name="Input 16 2 2 2 3 5 4" xfId="38442"/>
    <cellStyle name="Input 16 2 2 2 3 6" xfId="21703"/>
    <cellStyle name="Input 16 2 2 2 3 6 2" xfId="47225"/>
    <cellStyle name="Input 16 2 2 2 3 6 3" xfId="51131"/>
    <cellStyle name="Input 16 2 2 2 3 7" xfId="41028"/>
    <cellStyle name="Input 16 2 2 2 3 8" xfId="39350"/>
    <cellStyle name="Input 16 2 2 2 4" xfId="14810"/>
    <cellStyle name="Input 16 2 2 2 4 2" xfId="42908"/>
    <cellStyle name="Input 16 2 2 2 4 3" xfId="41263"/>
    <cellStyle name="Input 16 2 2 2 4 4" xfId="32431"/>
    <cellStyle name="Input 16 2 2 2 5" xfId="13086"/>
    <cellStyle name="Input 16 2 2 2 5 2" xfId="42288"/>
    <cellStyle name="Input 16 2 2 2 5 3" xfId="40153"/>
    <cellStyle name="Input 16 2 2 2 5 4" xfId="30721"/>
    <cellStyle name="Input 16 2 2 2 6" xfId="12848"/>
    <cellStyle name="Input 16 2 2 2 6 2" xfId="42212"/>
    <cellStyle name="Input 16 2 2 2 6 3" xfId="40029"/>
    <cellStyle name="Input 16 2 2 2 6 4" xfId="30486"/>
    <cellStyle name="Input 16 2 2 2 7" xfId="13294"/>
    <cellStyle name="Input 16 2 2 2 7 2" xfId="42445"/>
    <cellStyle name="Input 16 2 2 2 7 3" xfId="39618"/>
    <cellStyle name="Input 16 2 2 2 7 4" xfId="30924"/>
    <cellStyle name="Input 16 2 2 2 8" xfId="20258"/>
    <cellStyle name="Input 16 2 2 2 8 2" xfId="45780"/>
    <cellStyle name="Input 16 2 2 2 8 3" xfId="49686"/>
    <cellStyle name="Input 16 2 2 2 9" xfId="39768"/>
    <cellStyle name="Input 16 2 2 3" xfId="52991"/>
    <cellStyle name="Input 16 2 3" xfId="7027"/>
    <cellStyle name="Input 16 2 3 10" xfId="43516"/>
    <cellStyle name="Input 16 2 3 11" xfId="52992"/>
    <cellStyle name="Input 16 2 3 2" xfId="10554"/>
    <cellStyle name="Input 16 2 3 2 2" xfId="18341"/>
    <cellStyle name="Input 16 2 3 2 2 2" xfId="43873"/>
    <cellStyle name="Input 16 2 3 2 2 3" xfId="47782"/>
    <cellStyle name="Input 16 2 3 2 2 4" xfId="35964"/>
    <cellStyle name="Input 16 2 3 2 3" xfId="20024"/>
    <cellStyle name="Input 16 2 3 2 3 2" xfId="45546"/>
    <cellStyle name="Input 16 2 3 2 3 3" xfId="49452"/>
    <cellStyle name="Input 16 2 3 2 3 4" xfId="37508"/>
    <cellStyle name="Input 16 2 3 2 4" xfId="19826"/>
    <cellStyle name="Input 16 2 3 2 4 2" xfId="45348"/>
    <cellStyle name="Input 16 2 3 2 4 3" xfId="49254"/>
    <cellStyle name="Input 16 2 3 2 4 4" xfId="37330"/>
    <cellStyle name="Input 16 2 3 2 5" xfId="20754"/>
    <cellStyle name="Input 16 2 3 2 5 2" xfId="46276"/>
    <cellStyle name="Input 16 2 3 2 5 3" xfId="50182"/>
    <cellStyle name="Input 16 2 3 2 5 4" xfId="38146"/>
    <cellStyle name="Input 16 2 3 2 6" xfId="21407"/>
    <cellStyle name="Input 16 2 3 2 6 2" xfId="46929"/>
    <cellStyle name="Input 16 2 3 2 6 3" xfId="50835"/>
    <cellStyle name="Input 16 2 3 2 7" xfId="40732"/>
    <cellStyle name="Input 16 2 3 2 8" xfId="43368"/>
    <cellStyle name="Input 16 2 3 3" xfId="10849"/>
    <cellStyle name="Input 16 2 3 3 2" xfId="18636"/>
    <cellStyle name="Input 16 2 3 3 2 2" xfId="44168"/>
    <cellStyle name="Input 16 2 3 3 2 3" xfId="48077"/>
    <cellStyle name="Input 16 2 3 3 2 4" xfId="36259"/>
    <cellStyle name="Input 16 2 3 3 3" xfId="19707"/>
    <cellStyle name="Input 16 2 3 3 3 2" xfId="45229"/>
    <cellStyle name="Input 16 2 3 3 3 3" xfId="49135"/>
    <cellStyle name="Input 16 2 3 3 3 4" xfId="37220"/>
    <cellStyle name="Input 16 2 3 3 4" xfId="20271"/>
    <cellStyle name="Input 16 2 3 3 4 2" xfId="45793"/>
    <cellStyle name="Input 16 2 3 3 4 3" xfId="49699"/>
    <cellStyle name="Input 16 2 3 3 4 4" xfId="37725"/>
    <cellStyle name="Input 16 2 3 3 5" xfId="21049"/>
    <cellStyle name="Input 16 2 3 3 5 2" xfId="46571"/>
    <cellStyle name="Input 16 2 3 3 5 3" xfId="50477"/>
    <cellStyle name="Input 16 2 3 3 5 4" xfId="38441"/>
    <cellStyle name="Input 16 2 3 3 6" xfId="21702"/>
    <cellStyle name="Input 16 2 3 3 6 2" xfId="47224"/>
    <cellStyle name="Input 16 2 3 3 6 3" xfId="51130"/>
    <cellStyle name="Input 16 2 3 3 7" xfId="41027"/>
    <cellStyle name="Input 16 2 3 3 8" xfId="40210"/>
    <cellStyle name="Input 16 2 3 4" xfId="14809"/>
    <cellStyle name="Input 16 2 3 4 2" xfId="42907"/>
    <cellStyle name="Input 16 2 3 4 3" xfId="39035"/>
    <cellStyle name="Input 16 2 3 4 4" xfId="32430"/>
    <cellStyle name="Input 16 2 3 5" xfId="11282"/>
    <cellStyle name="Input 16 2 3 5 2" xfId="41309"/>
    <cellStyle name="Input 16 2 3 5 3" xfId="40441"/>
    <cellStyle name="Input 16 2 3 5 4" xfId="28996"/>
    <cellStyle name="Input 16 2 3 6" xfId="19210"/>
    <cellStyle name="Input 16 2 3 6 2" xfId="44732"/>
    <cellStyle name="Input 16 2 3 6 3" xfId="48638"/>
    <cellStyle name="Input 16 2 3 6 4" xfId="36781"/>
    <cellStyle name="Input 16 2 3 7" xfId="20469"/>
    <cellStyle name="Input 16 2 3 7 2" xfId="45991"/>
    <cellStyle name="Input 16 2 3 7 3" xfId="49897"/>
    <cellStyle name="Input 16 2 3 7 4" xfId="37905"/>
    <cellStyle name="Input 16 2 3 8" xfId="18991"/>
    <cellStyle name="Input 16 2 3 8 2" xfId="44513"/>
    <cellStyle name="Input 16 2 3 8 3" xfId="48419"/>
    <cellStyle name="Input 16 2 3 9" xfId="39767"/>
    <cellStyle name="Input 16 2 4" xfId="22423"/>
    <cellStyle name="Input 16 2 5" xfId="52990"/>
    <cellStyle name="Input 16 2_Sheet1" xfId="1835"/>
    <cellStyle name="Input 16 3" xfId="1836"/>
    <cellStyle name="Input 16 3 2" xfId="7029"/>
    <cellStyle name="Input 16 3 2 10" xfId="39491"/>
    <cellStyle name="Input 16 3 2 2" xfId="10556"/>
    <cellStyle name="Input 16 3 2 2 2" xfId="18343"/>
    <cellStyle name="Input 16 3 2 2 2 2" xfId="43875"/>
    <cellStyle name="Input 16 3 2 2 2 3" xfId="47784"/>
    <cellStyle name="Input 16 3 2 2 2 4" xfId="35966"/>
    <cellStyle name="Input 16 3 2 2 3" xfId="19899"/>
    <cellStyle name="Input 16 3 2 2 3 2" xfId="45421"/>
    <cellStyle name="Input 16 3 2 2 3 3" xfId="49327"/>
    <cellStyle name="Input 16 3 2 2 3 4" xfId="37399"/>
    <cellStyle name="Input 16 3 2 2 4" xfId="19195"/>
    <cellStyle name="Input 16 3 2 2 4 2" xfId="44717"/>
    <cellStyle name="Input 16 3 2 2 4 3" xfId="48623"/>
    <cellStyle name="Input 16 3 2 2 4 4" xfId="36766"/>
    <cellStyle name="Input 16 3 2 2 5" xfId="20756"/>
    <cellStyle name="Input 16 3 2 2 5 2" xfId="46278"/>
    <cellStyle name="Input 16 3 2 2 5 3" xfId="50184"/>
    <cellStyle name="Input 16 3 2 2 5 4" xfId="38148"/>
    <cellStyle name="Input 16 3 2 2 6" xfId="21409"/>
    <cellStyle name="Input 16 3 2 2 6 2" xfId="46931"/>
    <cellStyle name="Input 16 3 2 2 6 3" xfId="50837"/>
    <cellStyle name="Input 16 3 2 2 7" xfId="40734"/>
    <cellStyle name="Input 16 3 2 2 8" xfId="42826"/>
    <cellStyle name="Input 16 3 2 3" xfId="10851"/>
    <cellStyle name="Input 16 3 2 3 2" xfId="18638"/>
    <cellStyle name="Input 16 3 2 3 2 2" xfId="44170"/>
    <cellStyle name="Input 16 3 2 3 2 3" xfId="48079"/>
    <cellStyle name="Input 16 3 2 3 2 4" xfId="36261"/>
    <cellStyle name="Input 16 3 2 3 3" xfId="19708"/>
    <cellStyle name="Input 16 3 2 3 3 2" xfId="45230"/>
    <cellStyle name="Input 16 3 2 3 3 3" xfId="49136"/>
    <cellStyle name="Input 16 3 2 3 3 4" xfId="37221"/>
    <cellStyle name="Input 16 3 2 3 4" xfId="19330"/>
    <cellStyle name="Input 16 3 2 3 4 2" xfId="44852"/>
    <cellStyle name="Input 16 3 2 3 4 3" xfId="48758"/>
    <cellStyle name="Input 16 3 2 3 4 4" xfId="36888"/>
    <cellStyle name="Input 16 3 2 3 5" xfId="21051"/>
    <cellStyle name="Input 16 3 2 3 5 2" xfId="46573"/>
    <cellStyle name="Input 16 3 2 3 5 3" xfId="50479"/>
    <cellStyle name="Input 16 3 2 3 5 4" xfId="38443"/>
    <cellStyle name="Input 16 3 2 3 6" xfId="21704"/>
    <cellStyle name="Input 16 3 2 3 6 2" xfId="47226"/>
    <cellStyle name="Input 16 3 2 3 6 3" xfId="51132"/>
    <cellStyle name="Input 16 3 2 3 7" xfId="41029"/>
    <cellStyle name="Input 16 3 2 3 8" xfId="42030"/>
    <cellStyle name="Input 16 3 2 4" xfId="14811"/>
    <cellStyle name="Input 16 3 2 4 2" xfId="42909"/>
    <cellStyle name="Input 16 3 2 4 3" xfId="43156"/>
    <cellStyle name="Input 16 3 2 4 4" xfId="32432"/>
    <cellStyle name="Input 16 3 2 5" xfId="13087"/>
    <cellStyle name="Input 16 3 2 5 2" xfId="42289"/>
    <cellStyle name="Input 16 3 2 5 3" xfId="39276"/>
    <cellStyle name="Input 16 3 2 5 4" xfId="30722"/>
    <cellStyle name="Input 16 3 2 6" xfId="19311"/>
    <cellStyle name="Input 16 3 2 6 2" xfId="44833"/>
    <cellStyle name="Input 16 3 2 6 3" xfId="48739"/>
    <cellStyle name="Input 16 3 2 6 4" xfId="36875"/>
    <cellStyle name="Input 16 3 2 7" xfId="11587"/>
    <cellStyle name="Input 16 3 2 7 2" xfId="41578"/>
    <cellStyle name="Input 16 3 2 7 3" xfId="43678"/>
    <cellStyle name="Input 16 3 2 7 4" xfId="29280"/>
    <cellStyle name="Input 16 3 2 8" xfId="11338"/>
    <cellStyle name="Input 16 3 2 8 2" xfId="41357"/>
    <cellStyle name="Input 16 3 2 8 3" xfId="42693"/>
    <cellStyle name="Input 16 3 2 9" xfId="39769"/>
    <cellStyle name="Input 16 3 3" xfId="52993"/>
    <cellStyle name="Input 16 4" xfId="7026"/>
    <cellStyle name="Input 16 4 10" xfId="42603"/>
    <cellStyle name="Input 16 4 11" xfId="52994"/>
    <cellStyle name="Input 16 4 2" xfId="10553"/>
    <cellStyle name="Input 16 4 2 2" xfId="18340"/>
    <cellStyle name="Input 16 4 2 2 2" xfId="43872"/>
    <cellStyle name="Input 16 4 2 2 3" xfId="47781"/>
    <cellStyle name="Input 16 4 2 2 4" xfId="35963"/>
    <cellStyle name="Input 16 4 2 3" xfId="19417"/>
    <cellStyle name="Input 16 4 2 3 2" xfId="44939"/>
    <cellStyle name="Input 16 4 2 3 3" xfId="48845"/>
    <cellStyle name="Input 16 4 2 3 4" xfId="36968"/>
    <cellStyle name="Input 16 4 2 4" xfId="19557"/>
    <cellStyle name="Input 16 4 2 4 2" xfId="45079"/>
    <cellStyle name="Input 16 4 2 4 3" xfId="48985"/>
    <cellStyle name="Input 16 4 2 4 4" xfId="37084"/>
    <cellStyle name="Input 16 4 2 5" xfId="20753"/>
    <cellStyle name="Input 16 4 2 5 2" xfId="46275"/>
    <cellStyle name="Input 16 4 2 5 3" xfId="50181"/>
    <cellStyle name="Input 16 4 2 5 4" xfId="38145"/>
    <cellStyle name="Input 16 4 2 6" xfId="21406"/>
    <cellStyle name="Input 16 4 2 6 2" xfId="46928"/>
    <cellStyle name="Input 16 4 2 6 3" xfId="50834"/>
    <cellStyle name="Input 16 4 2 7" xfId="40731"/>
    <cellStyle name="Input 16 4 2 8" xfId="42049"/>
    <cellStyle name="Input 16 4 3" xfId="10848"/>
    <cellStyle name="Input 16 4 3 2" xfId="18635"/>
    <cellStyle name="Input 16 4 3 2 2" xfId="44167"/>
    <cellStyle name="Input 16 4 3 2 3" xfId="48076"/>
    <cellStyle name="Input 16 4 3 2 4" xfId="36258"/>
    <cellStyle name="Input 16 4 3 3" xfId="19094"/>
    <cellStyle name="Input 16 4 3 3 2" xfId="44616"/>
    <cellStyle name="Input 16 4 3 3 3" xfId="48522"/>
    <cellStyle name="Input 16 4 3 3 4" xfId="36675"/>
    <cellStyle name="Input 16 4 3 4" xfId="19545"/>
    <cellStyle name="Input 16 4 3 4 2" xfId="45067"/>
    <cellStyle name="Input 16 4 3 4 3" xfId="48973"/>
    <cellStyle name="Input 16 4 3 4 4" xfId="37072"/>
    <cellStyle name="Input 16 4 3 5" xfId="21048"/>
    <cellStyle name="Input 16 4 3 5 2" xfId="46570"/>
    <cellStyle name="Input 16 4 3 5 3" xfId="50476"/>
    <cellStyle name="Input 16 4 3 5 4" xfId="38440"/>
    <cellStyle name="Input 16 4 3 6" xfId="21701"/>
    <cellStyle name="Input 16 4 3 6 2" xfId="47223"/>
    <cellStyle name="Input 16 4 3 6 3" xfId="51129"/>
    <cellStyle name="Input 16 4 3 7" xfId="41026"/>
    <cellStyle name="Input 16 4 3 8" xfId="43348"/>
    <cellStyle name="Input 16 4 4" xfId="14808"/>
    <cellStyle name="Input 16 4 4 2" xfId="42906"/>
    <cellStyle name="Input 16 4 4 3" xfId="39248"/>
    <cellStyle name="Input 16 4 4 4" xfId="32429"/>
    <cellStyle name="Input 16 4 5" xfId="13085"/>
    <cellStyle name="Input 16 4 5 2" xfId="42287"/>
    <cellStyle name="Input 16 4 5 3" xfId="43293"/>
    <cellStyle name="Input 16 4 5 4" xfId="30720"/>
    <cellStyle name="Input 16 4 6" xfId="19318"/>
    <cellStyle name="Input 16 4 6 2" xfId="44840"/>
    <cellStyle name="Input 16 4 6 3" xfId="48746"/>
    <cellStyle name="Input 16 4 6 4" xfId="36879"/>
    <cellStyle name="Input 16 4 7" xfId="20090"/>
    <cellStyle name="Input 16 4 7 2" xfId="45612"/>
    <cellStyle name="Input 16 4 7 3" xfId="49518"/>
    <cellStyle name="Input 16 4 7 4" xfId="37565"/>
    <cellStyle name="Input 16 4 8" xfId="19939"/>
    <cellStyle name="Input 16 4 8 2" xfId="45461"/>
    <cellStyle name="Input 16 4 8 3" xfId="49367"/>
    <cellStyle name="Input 16 4 9" xfId="39766"/>
    <cellStyle name="Input 16 5" xfId="22422"/>
    <cellStyle name="Input 16 6" xfId="52989"/>
    <cellStyle name="Input 16_Sheet1" xfId="1837"/>
    <cellStyle name="Input 17" xfId="1838"/>
    <cellStyle name="Input 17 2" xfId="1839"/>
    <cellStyle name="Input 17 2 2" xfId="1840"/>
    <cellStyle name="Input 17 2 2 2" xfId="7032"/>
    <cellStyle name="Input 17 2 2 2 10" xfId="40261"/>
    <cellStyle name="Input 17 2 2 2 2" xfId="10559"/>
    <cellStyle name="Input 17 2 2 2 2 2" xfId="18346"/>
    <cellStyle name="Input 17 2 2 2 2 2 2" xfId="43878"/>
    <cellStyle name="Input 17 2 2 2 2 2 3" xfId="47787"/>
    <cellStyle name="Input 17 2 2 2 2 2 4" xfId="35969"/>
    <cellStyle name="Input 17 2 2 2 2 3" xfId="11485"/>
    <cellStyle name="Input 17 2 2 2 2 3 2" xfId="41476"/>
    <cellStyle name="Input 17 2 2 2 2 3 3" xfId="39328"/>
    <cellStyle name="Input 17 2 2 2 2 3 4" xfId="29186"/>
    <cellStyle name="Input 17 2 2 2 2 4" xfId="19838"/>
    <cellStyle name="Input 17 2 2 2 2 4 2" xfId="45360"/>
    <cellStyle name="Input 17 2 2 2 2 4 3" xfId="49266"/>
    <cellStyle name="Input 17 2 2 2 2 4 4" xfId="37340"/>
    <cellStyle name="Input 17 2 2 2 2 5" xfId="20759"/>
    <cellStyle name="Input 17 2 2 2 2 5 2" xfId="46281"/>
    <cellStyle name="Input 17 2 2 2 2 5 3" xfId="50187"/>
    <cellStyle name="Input 17 2 2 2 2 5 4" xfId="38151"/>
    <cellStyle name="Input 17 2 2 2 2 6" xfId="21412"/>
    <cellStyle name="Input 17 2 2 2 2 6 2" xfId="46934"/>
    <cellStyle name="Input 17 2 2 2 2 6 3" xfId="50840"/>
    <cellStyle name="Input 17 2 2 2 2 7" xfId="40737"/>
    <cellStyle name="Input 17 2 2 2 2 8" xfId="39685"/>
    <cellStyle name="Input 17 2 2 2 3" xfId="10854"/>
    <cellStyle name="Input 17 2 2 2 3 2" xfId="18641"/>
    <cellStyle name="Input 17 2 2 2 3 2 2" xfId="44173"/>
    <cellStyle name="Input 17 2 2 2 3 2 3" xfId="48082"/>
    <cellStyle name="Input 17 2 2 2 3 2 4" xfId="36264"/>
    <cellStyle name="Input 17 2 2 2 3 3" xfId="11509"/>
    <cellStyle name="Input 17 2 2 2 3 3 2" xfId="41500"/>
    <cellStyle name="Input 17 2 2 2 3 3 3" xfId="40047"/>
    <cellStyle name="Input 17 2 2 2 3 3 4" xfId="29210"/>
    <cellStyle name="Input 17 2 2 2 3 4" xfId="19971"/>
    <cellStyle name="Input 17 2 2 2 3 4 2" xfId="45493"/>
    <cellStyle name="Input 17 2 2 2 3 4 3" xfId="49399"/>
    <cellStyle name="Input 17 2 2 2 3 4 4" xfId="37456"/>
    <cellStyle name="Input 17 2 2 2 3 5" xfId="21054"/>
    <cellStyle name="Input 17 2 2 2 3 5 2" xfId="46576"/>
    <cellStyle name="Input 17 2 2 2 3 5 3" xfId="50482"/>
    <cellStyle name="Input 17 2 2 2 3 5 4" xfId="38446"/>
    <cellStyle name="Input 17 2 2 2 3 6" xfId="21707"/>
    <cellStyle name="Input 17 2 2 2 3 6 2" xfId="47229"/>
    <cellStyle name="Input 17 2 2 2 3 6 3" xfId="51135"/>
    <cellStyle name="Input 17 2 2 2 3 7" xfId="41032"/>
    <cellStyle name="Input 17 2 2 2 3 8" xfId="39351"/>
    <cellStyle name="Input 17 2 2 2 4" xfId="14814"/>
    <cellStyle name="Input 17 2 2 2 4 2" xfId="42912"/>
    <cellStyle name="Input 17 2 2 2 4 3" xfId="43644"/>
    <cellStyle name="Input 17 2 2 2 4 4" xfId="32435"/>
    <cellStyle name="Input 17 2 2 2 5" xfId="13089"/>
    <cellStyle name="Input 17 2 2 2 5 2" xfId="42291"/>
    <cellStyle name="Input 17 2 2 2 5 3" xfId="47461"/>
    <cellStyle name="Input 17 2 2 2 5 4" xfId="30724"/>
    <cellStyle name="Input 17 2 2 2 6" xfId="19761"/>
    <cellStyle name="Input 17 2 2 2 6 2" xfId="45283"/>
    <cellStyle name="Input 17 2 2 2 6 3" xfId="49189"/>
    <cellStyle name="Input 17 2 2 2 6 4" xfId="37274"/>
    <cellStyle name="Input 17 2 2 2 7" xfId="12903"/>
    <cellStyle name="Input 17 2 2 2 7 2" xfId="42227"/>
    <cellStyle name="Input 17 2 2 2 7 3" xfId="47581"/>
    <cellStyle name="Input 17 2 2 2 7 4" xfId="30539"/>
    <cellStyle name="Input 17 2 2 2 8" xfId="20607"/>
    <cellStyle name="Input 17 2 2 2 8 2" xfId="46129"/>
    <cellStyle name="Input 17 2 2 2 8 3" xfId="50035"/>
    <cellStyle name="Input 17 2 2 2 9" xfId="39772"/>
    <cellStyle name="Input 17 2 2 3" xfId="52997"/>
    <cellStyle name="Input 17 2 3" xfId="7031"/>
    <cellStyle name="Input 17 2 3 10" xfId="43399"/>
    <cellStyle name="Input 17 2 3 11" xfId="52998"/>
    <cellStyle name="Input 17 2 3 2" xfId="10558"/>
    <cellStyle name="Input 17 2 3 2 2" xfId="18345"/>
    <cellStyle name="Input 17 2 3 2 2 2" xfId="43877"/>
    <cellStyle name="Input 17 2 3 2 2 3" xfId="47786"/>
    <cellStyle name="Input 17 2 3 2 2 4" xfId="35968"/>
    <cellStyle name="Input 17 2 3 2 3" xfId="19744"/>
    <cellStyle name="Input 17 2 3 2 3 2" xfId="45266"/>
    <cellStyle name="Input 17 2 3 2 3 3" xfId="49172"/>
    <cellStyle name="Input 17 2 3 2 3 4" xfId="37257"/>
    <cellStyle name="Input 17 2 3 2 4" xfId="19049"/>
    <cellStyle name="Input 17 2 3 2 4 2" xfId="44571"/>
    <cellStyle name="Input 17 2 3 2 4 3" xfId="48477"/>
    <cellStyle name="Input 17 2 3 2 4 4" xfId="36634"/>
    <cellStyle name="Input 17 2 3 2 5" xfId="20758"/>
    <cellStyle name="Input 17 2 3 2 5 2" xfId="46280"/>
    <cellStyle name="Input 17 2 3 2 5 3" xfId="50186"/>
    <cellStyle name="Input 17 2 3 2 5 4" xfId="38150"/>
    <cellStyle name="Input 17 2 3 2 6" xfId="21411"/>
    <cellStyle name="Input 17 2 3 2 6 2" xfId="46933"/>
    <cellStyle name="Input 17 2 3 2 6 3" xfId="50839"/>
    <cellStyle name="Input 17 2 3 2 7" xfId="40736"/>
    <cellStyle name="Input 17 2 3 2 8" xfId="40574"/>
    <cellStyle name="Input 17 2 3 3" xfId="10853"/>
    <cellStyle name="Input 17 2 3 3 2" xfId="18640"/>
    <cellStyle name="Input 17 2 3 3 2 2" xfId="44172"/>
    <cellStyle name="Input 17 2 3 3 2 3" xfId="48081"/>
    <cellStyle name="Input 17 2 3 3 2 4" xfId="36263"/>
    <cellStyle name="Input 17 2 3 3 3" xfId="13327"/>
    <cellStyle name="Input 17 2 3 3 3 2" xfId="42478"/>
    <cellStyle name="Input 17 2 3 3 3 3" xfId="43651"/>
    <cellStyle name="Input 17 2 3 3 3 4" xfId="30953"/>
    <cellStyle name="Input 17 2 3 3 4" xfId="18948"/>
    <cellStyle name="Input 17 2 3 3 4 2" xfId="44470"/>
    <cellStyle name="Input 17 2 3 3 4 3" xfId="48376"/>
    <cellStyle name="Input 17 2 3 3 4 4" xfId="36560"/>
    <cellStyle name="Input 17 2 3 3 5" xfId="21053"/>
    <cellStyle name="Input 17 2 3 3 5 2" xfId="46575"/>
    <cellStyle name="Input 17 2 3 3 5 3" xfId="50481"/>
    <cellStyle name="Input 17 2 3 3 5 4" xfId="38445"/>
    <cellStyle name="Input 17 2 3 3 6" xfId="21706"/>
    <cellStyle name="Input 17 2 3 3 6 2" xfId="47228"/>
    <cellStyle name="Input 17 2 3 3 6 3" xfId="51134"/>
    <cellStyle name="Input 17 2 3 3 7" xfId="41031"/>
    <cellStyle name="Input 17 2 3 3 8" xfId="40211"/>
    <cellStyle name="Input 17 2 3 4" xfId="14813"/>
    <cellStyle name="Input 17 2 3 4 2" xfId="42911"/>
    <cellStyle name="Input 17 2 3 4 3" xfId="42757"/>
    <cellStyle name="Input 17 2 3 4 4" xfId="32434"/>
    <cellStyle name="Input 17 2 3 5" xfId="13088"/>
    <cellStyle name="Input 17 2 3 5 2" xfId="42290"/>
    <cellStyle name="Input 17 2 3 5 3" xfId="39078"/>
    <cellStyle name="Input 17 2 3 5 4" xfId="30723"/>
    <cellStyle name="Input 17 2 3 6" xfId="12516"/>
    <cellStyle name="Input 17 2 3 6 2" xfId="42005"/>
    <cellStyle name="Input 17 2 3 6 3" xfId="40167"/>
    <cellStyle name="Input 17 2 3 6 4" xfId="30170"/>
    <cellStyle name="Input 17 2 3 7" xfId="19929"/>
    <cellStyle name="Input 17 2 3 7 2" xfId="45451"/>
    <cellStyle name="Input 17 2 3 7 3" xfId="49357"/>
    <cellStyle name="Input 17 2 3 7 4" xfId="37424"/>
    <cellStyle name="Input 17 2 3 8" xfId="19322"/>
    <cellStyle name="Input 17 2 3 8 2" xfId="44844"/>
    <cellStyle name="Input 17 2 3 8 3" xfId="48750"/>
    <cellStyle name="Input 17 2 3 9" xfId="39771"/>
    <cellStyle name="Input 17 2 4" xfId="22425"/>
    <cellStyle name="Input 17 2 5" xfId="52996"/>
    <cellStyle name="Input 17 2_Sheet1" xfId="1841"/>
    <cellStyle name="Input 17 3" xfId="1842"/>
    <cellStyle name="Input 17 3 2" xfId="7033"/>
    <cellStyle name="Input 17 3 2 10" xfId="39389"/>
    <cellStyle name="Input 17 3 2 2" xfId="10560"/>
    <cellStyle name="Input 17 3 2 2 2" xfId="18347"/>
    <cellStyle name="Input 17 3 2 2 2 2" xfId="43879"/>
    <cellStyle name="Input 17 3 2 2 2 3" xfId="47788"/>
    <cellStyle name="Input 17 3 2 2 2 4" xfId="35970"/>
    <cellStyle name="Input 17 3 2 2 3" xfId="12152"/>
    <cellStyle name="Input 17 3 2 2 3 2" xfId="41877"/>
    <cellStyle name="Input 17 3 2 2 3 3" xfId="39639"/>
    <cellStyle name="Input 17 3 2 2 3 4" xfId="29810"/>
    <cellStyle name="Input 17 3 2 2 4" xfId="12751"/>
    <cellStyle name="Input 17 3 2 2 4 2" xfId="42177"/>
    <cellStyle name="Input 17 3 2 2 4 3" xfId="40159"/>
    <cellStyle name="Input 17 3 2 2 4 4" xfId="30395"/>
    <cellStyle name="Input 17 3 2 2 5" xfId="20760"/>
    <cellStyle name="Input 17 3 2 2 5 2" xfId="46282"/>
    <cellStyle name="Input 17 3 2 2 5 3" xfId="50188"/>
    <cellStyle name="Input 17 3 2 2 5 4" xfId="38152"/>
    <cellStyle name="Input 17 3 2 2 6" xfId="21413"/>
    <cellStyle name="Input 17 3 2 2 6 2" xfId="46935"/>
    <cellStyle name="Input 17 3 2 2 6 3" xfId="50841"/>
    <cellStyle name="Input 17 3 2 2 7" xfId="40738"/>
    <cellStyle name="Input 17 3 2 2 8" xfId="42722"/>
    <cellStyle name="Input 17 3 2 3" xfId="10855"/>
    <cellStyle name="Input 17 3 2 3 2" xfId="18642"/>
    <cellStyle name="Input 17 3 2 3 2 2" xfId="44174"/>
    <cellStyle name="Input 17 3 2 3 2 3" xfId="48083"/>
    <cellStyle name="Input 17 3 2 3 2 4" xfId="36265"/>
    <cellStyle name="Input 17 3 2 3 3" xfId="11510"/>
    <cellStyle name="Input 17 3 2 3 3 2" xfId="41501"/>
    <cellStyle name="Input 17 3 2 3 3 3" xfId="42793"/>
    <cellStyle name="Input 17 3 2 3 3 4" xfId="29211"/>
    <cellStyle name="Input 17 3 2 3 4" xfId="19206"/>
    <cellStyle name="Input 17 3 2 3 4 2" xfId="44728"/>
    <cellStyle name="Input 17 3 2 3 4 3" xfId="48634"/>
    <cellStyle name="Input 17 3 2 3 4 4" xfId="36777"/>
    <cellStyle name="Input 17 3 2 3 5" xfId="21055"/>
    <cellStyle name="Input 17 3 2 3 5 2" xfId="46577"/>
    <cellStyle name="Input 17 3 2 3 5 3" xfId="50483"/>
    <cellStyle name="Input 17 3 2 3 5 4" xfId="38447"/>
    <cellStyle name="Input 17 3 2 3 6" xfId="21708"/>
    <cellStyle name="Input 17 3 2 3 6 2" xfId="47230"/>
    <cellStyle name="Input 17 3 2 3 6 3" xfId="51136"/>
    <cellStyle name="Input 17 3 2 3 7" xfId="41033"/>
    <cellStyle name="Input 17 3 2 3 8" xfId="39160"/>
    <cellStyle name="Input 17 3 2 4" xfId="14815"/>
    <cellStyle name="Input 17 3 2 4 2" xfId="42913"/>
    <cellStyle name="Input 17 3 2 4 3" xfId="40503"/>
    <cellStyle name="Input 17 3 2 4 4" xfId="32436"/>
    <cellStyle name="Input 17 3 2 5" xfId="13090"/>
    <cellStyle name="Input 17 3 2 5 2" xfId="42292"/>
    <cellStyle name="Input 17 3 2 5 3" xfId="39077"/>
    <cellStyle name="Input 17 3 2 5 4" xfId="30725"/>
    <cellStyle name="Input 17 3 2 6" xfId="13281"/>
    <cellStyle name="Input 17 3 2 6 2" xfId="42432"/>
    <cellStyle name="Input 17 3 2 6 3" xfId="40296"/>
    <cellStyle name="Input 17 3 2 6 4" xfId="30912"/>
    <cellStyle name="Input 17 3 2 7" xfId="18877"/>
    <cellStyle name="Input 17 3 2 7 2" xfId="44399"/>
    <cellStyle name="Input 17 3 2 7 3" xfId="48305"/>
    <cellStyle name="Input 17 3 2 7 4" xfId="36499"/>
    <cellStyle name="Input 17 3 2 8" xfId="13907"/>
    <cellStyle name="Input 17 3 2 8 2" xfId="42623"/>
    <cellStyle name="Input 17 3 2 8 3" xfId="41271"/>
    <cellStyle name="Input 17 3 2 9" xfId="39773"/>
    <cellStyle name="Input 17 3 3" xfId="52999"/>
    <cellStyle name="Input 17 4" xfId="7030"/>
    <cellStyle name="Input 17 4 10" xfId="42172"/>
    <cellStyle name="Input 17 4 11" xfId="53000"/>
    <cellStyle name="Input 17 4 2" xfId="10557"/>
    <cellStyle name="Input 17 4 2 2" xfId="18344"/>
    <cellStyle name="Input 17 4 2 2 2" xfId="43876"/>
    <cellStyle name="Input 17 4 2 2 3" xfId="47785"/>
    <cellStyle name="Input 17 4 2 2 4" xfId="35967"/>
    <cellStyle name="Input 17 4 2 3" xfId="19122"/>
    <cellStyle name="Input 17 4 2 3 2" xfId="44644"/>
    <cellStyle name="Input 17 4 2 3 3" xfId="48550"/>
    <cellStyle name="Input 17 4 2 3 4" xfId="36703"/>
    <cellStyle name="Input 17 4 2 4" xfId="19855"/>
    <cellStyle name="Input 17 4 2 4 2" xfId="45377"/>
    <cellStyle name="Input 17 4 2 4 3" xfId="49283"/>
    <cellStyle name="Input 17 4 2 4 4" xfId="37355"/>
    <cellStyle name="Input 17 4 2 5" xfId="20757"/>
    <cellStyle name="Input 17 4 2 5 2" xfId="46279"/>
    <cellStyle name="Input 17 4 2 5 3" xfId="50185"/>
    <cellStyle name="Input 17 4 2 5 4" xfId="38149"/>
    <cellStyle name="Input 17 4 2 6" xfId="21410"/>
    <cellStyle name="Input 17 4 2 6 2" xfId="46932"/>
    <cellStyle name="Input 17 4 2 6 3" xfId="50838"/>
    <cellStyle name="Input 17 4 2 7" xfId="40735"/>
    <cellStyle name="Input 17 4 2 8" xfId="43715"/>
    <cellStyle name="Input 17 4 3" xfId="10852"/>
    <cellStyle name="Input 17 4 3 2" xfId="18639"/>
    <cellStyle name="Input 17 4 3 2 2" xfId="44171"/>
    <cellStyle name="Input 17 4 3 2 3" xfId="48080"/>
    <cellStyle name="Input 17 4 3 2 4" xfId="36262"/>
    <cellStyle name="Input 17 4 3 3" xfId="12629"/>
    <cellStyle name="Input 17 4 3 3 2" xfId="42089"/>
    <cellStyle name="Input 17 4 3 3 3" xfId="40311"/>
    <cellStyle name="Input 17 4 3 3 4" xfId="30280"/>
    <cellStyle name="Input 17 4 3 4" xfId="19183"/>
    <cellStyle name="Input 17 4 3 4 2" xfId="44705"/>
    <cellStyle name="Input 17 4 3 4 3" xfId="48611"/>
    <cellStyle name="Input 17 4 3 4 4" xfId="36756"/>
    <cellStyle name="Input 17 4 3 5" xfId="21052"/>
    <cellStyle name="Input 17 4 3 5 2" xfId="46574"/>
    <cellStyle name="Input 17 4 3 5 3" xfId="50480"/>
    <cellStyle name="Input 17 4 3 5 4" xfId="38444"/>
    <cellStyle name="Input 17 4 3 6" xfId="21705"/>
    <cellStyle name="Input 17 4 3 6 2" xfId="47227"/>
    <cellStyle name="Input 17 4 3 6 3" xfId="51133"/>
    <cellStyle name="Input 17 4 3 7" xfId="41030"/>
    <cellStyle name="Input 17 4 3 8" xfId="43349"/>
    <cellStyle name="Input 17 4 4" xfId="14812"/>
    <cellStyle name="Input 17 4 4 2" xfId="42910"/>
    <cellStyle name="Input 17 4 4 3" xfId="40015"/>
    <cellStyle name="Input 17 4 4 4" xfId="32433"/>
    <cellStyle name="Input 17 4 5" xfId="19566"/>
    <cellStyle name="Input 17 4 5 2" xfId="45088"/>
    <cellStyle name="Input 17 4 5 3" xfId="48994"/>
    <cellStyle name="Input 17 4 5 4" xfId="37092"/>
    <cellStyle name="Input 17 4 6" xfId="19229"/>
    <cellStyle name="Input 17 4 6 2" xfId="44751"/>
    <cellStyle name="Input 17 4 6 3" xfId="48657"/>
    <cellStyle name="Input 17 4 6 4" xfId="36793"/>
    <cellStyle name="Input 17 4 7" xfId="11550"/>
    <cellStyle name="Input 17 4 7 2" xfId="41541"/>
    <cellStyle name="Input 17 4 7 3" xfId="43681"/>
    <cellStyle name="Input 17 4 7 4" xfId="29248"/>
    <cellStyle name="Input 17 4 8" xfId="11111"/>
    <cellStyle name="Input 17 4 8 2" xfId="41252"/>
    <cellStyle name="Input 17 4 8 3" xfId="42697"/>
    <cellStyle name="Input 17 4 9" xfId="39770"/>
    <cellStyle name="Input 17 5" xfId="22424"/>
    <cellStyle name="Input 17 6" xfId="52995"/>
    <cellStyle name="Input 17_Sheet1" xfId="1843"/>
    <cellStyle name="Input 18" xfId="1844"/>
    <cellStyle name="Input 18 2" xfId="1845"/>
    <cellStyle name="Input 18 2 2" xfId="1846"/>
    <cellStyle name="Input 18 2 2 2" xfId="7036"/>
    <cellStyle name="Input 18 2 2 2 10" xfId="41700"/>
    <cellStyle name="Input 18 2 2 2 2" xfId="10563"/>
    <cellStyle name="Input 18 2 2 2 2 2" xfId="18350"/>
    <cellStyle name="Input 18 2 2 2 2 2 2" xfId="43882"/>
    <cellStyle name="Input 18 2 2 2 2 2 3" xfId="47791"/>
    <cellStyle name="Input 18 2 2 2 2 2 4" xfId="35973"/>
    <cellStyle name="Input 18 2 2 2 2 3" xfId="19416"/>
    <cellStyle name="Input 18 2 2 2 2 3 2" xfId="44938"/>
    <cellStyle name="Input 18 2 2 2 2 3 3" xfId="48844"/>
    <cellStyle name="Input 18 2 2 2 2 3 4" xfId="36967"/>
    <cellStyle name="Input 18 2 2 2 2 4" xfId="11555"/>
    <cellStyle name="Input 18 2 2 2 2 4 2" xfId="41546"/>
    <cellStyle name="Input 18 2 2 2 2 4 3" xfId="40435"/>
    <cellStyle name="Input 18 2 2 2 2 4 4" xfId="29252"/>
    <cellStyle name="Input 18 2 2 2 2 5" xfId="20763"/>
    <cellStyle name="Input 18 2 2 2 2 5 2" xfId="46285"/>
    <cellStyle name="Input 18 2 2 2 2 5 3" xfId="50191"/>
    <cellStyle name="Input 18 2 2 2 2 5 4" xfId="38155"/>
    <cellStyle name="Input 18 2 2 2 2 6" xfId="21416"/>
    <cellStyle name="Input 18 2 2 2 2 6 2" xfId="46938"/>
    <cellStyle name="Input 18 2 2 2 2 6 3" xfId="50844"/>
    <cellStyle name="Input 18 2 2 2 2 7" xfId="40741"/>
    <cellStyle name="Input 18 2 2 2 2 8" xfId="39579"/>
    <cellStyle name="Input 18 2 2 2 3" xfId="10858"/>
    <cellStyle name="Input 18 2 2 2 3 2" xfId="18645"/>
    <cellStyle name="Input 18 2 2 2 3 2 2" xfId="44177"/>
    <cellStyle name="Input 18 2 2 2 3 2 3" xfId="48086"/>
    <cellStyle name="Input 18 2 2 2 3 2 4" xfId="36268"/>
    <cellStyle name="Input 18 2 2 2 3 3" xfId="13328"/>
    <cellStyle name="Input 18 2 2 2 3 3 2" xfId="42479"/>
    <cellStyle name="Input 18 2 2 2 3 3 3" xfId="40510"/>
    <cellStyle name="Input 18 2 2 2 3 3 4" xfId="30954"/>
    <cellStyle name="Input 18 2 2 2 3 4" xfId="18949"/>
    <cellStyle name="Input 18 2 2 2 3 4 2" xfId="44471"/>
    <cellStyle name="Input 18 2 2 2 3 4 3" xfId="48377"/>
    <cellStyle name="Input 18 2 2 2 3 4 4" xfId="36561"/>
    <cellStyle name="Input 18 2 2 2 3 5" xfId="21058"/>
    <cellStyle name="Input 18 2 2 2 3 5 2" xfId="46580"/>
    <cellStyle name="Input 18 2 2 2 3 5 3" xfId="50486"/>
    <cellStyle name="Input 18 2 2 2 3 5 4" xfId="38450"/>
    <cellStyle name="Input 18 2 2 2 3 6" xfId="21711"/>
    <cellStyle name="Input 18 2 2 2 3 6 2" xfId="47233"/>
    <cellStyle name="Input 18 2 2 2 3 6 3" xfId="51139"/>
    <cellStyle name="Input 18 2 2 2 3 7" xfId="41036"/>
    <cellStyle name="Input 18 2 2 2 3 8" xfId="40063"/>
    <cellStyle name="Input 18 2 2 2 4" xfId="14818"/>
    <cellStyle name="Input 18 2 2 2 4 2" xfId="42916"/>
    <cellStyle name="Input 18 2 2 2 4 3" xfId="43535"/>
    <cellStyle name="Input 18 2 2 2 4 4" xfId="32439"/>
    <cellStyle name="Input 18 2 2 2 5" xfId="12462"/>
    <cellStyle name="Input 18 2 2 2 5 2" xfId="41964"/>
    <cellStyle name="Input 18 2 2 2 5 3" xfId="39290"/>
    <cellStyle name="Input 18 2 2 2 5 4" xfId="30119"/>
    <cellStyle name="Input 18 2 2 2 6" xfId="13286"/>
    <cellStyle name="Input 18 2 2 2 6 2" xfId="42437"/>
    <cellStyle name="Input 18 2 2 2 6 3" xfId="39259"/>
    <cellStyle name="Input 18 2 2 2 6 4" xfId="30916"/>
    <cellStyle name="Input 18 2 2 2 7" xfId="18918"/>
    <cellStyle name="Input 18 2 2 2 7 2" xfId="44440"/>
    <cellStyle name="Input 18 2 2 2 7 3" xfId="48346"/>
    <cellStyle name="Input 18 2 2 2 7 4" xfId="36532"/>
    <cellStyle name="Input 18 2 2 2 8" xfId="19659"/>
    <cellStyle name="Input 18 2 2 2 8 2" xfId="45181"/>
    <cellStyle name="Input 18 2 2 2 8 3" xfId="49087"/>
    <cellStyle name="Input 18 2 2 2 9" xfId="39776"/>
    <cellStyle name="Input 18 2 2 3" xfId="53003"/>
    <cellStyle name="Input 18 2 3" xfId="7035"/>
    <cellStyle name="Input 18 2 3 10" xfId="47576"/>
    <cellStyle name="Input 18 2 3 11" xfId="53004"/>
    <cellStyle name="Input 18 2 3 2" xfId="10562"/>
    <cellStyle name="Input 18 2 3 2 2" xfId="18349"/>
    <cellStyle name="Input 18 2 3 2 2 2" xfId="43881"/>
    <cellStyle name="Input 18 2 3 2 2 3" xfId="47790"/>
    <cellStyle name="Input 18 2 3 2 2 4" xfId="35972"/>
    <cellStyle name="Input 18 2 3 2 3" xfId="20157"/>
    <cellStyle name="Input 18 2 3 2 3 2" xfId="45679"/>
    <cellStyle name="Input 18 2 3 2 3 3" xfId="49585"/>
    <cellStyle name="Input 18 2 3 2 3 4" xfId="37629"/>
    <cellStyle name="Input 18 2 3 2 4" xfId="19077"/>
    <cellStyle name="Input 18 2 3 2 4 2" xfId="44599"/>
    <cellStyle name="Input 18 2 3 2 4 3" xfId="48505"/>
    <cellStyle name="Input 18 2 3 2 4 4" xfId="36659"/>
    <cellStyle name="Input 18 2 3 2 5" xfId="20762"/>
    <cellStyle name="Input 18 2 3 2 5 2" xfId="46284"/>
    <cellStyle name="Input 18 2 3 2 5 3" xfId="50190"/>
    <cellStyle name="Input 18 2 3 2 5 4" xfId="38154"/>
    <cellStyle name="Input 18 2 3 2 6" xfId="21415"/>
    <cellStyle name="Input 18 2 3 2 6 2" xfId="46937"/>
    <cellStyle name="Input 18 2 3 2 6 3" xfId="50843"/>
    <cellStyle name="Input 18 2 3 2 7" xfId="40740"/>
    <cellStyle name="Input 18 2 3 2 8" xfId="40469"/>
    <cellStyle name="Input 18 2 3 3" xfId="10857"/>
    <cellStyle name="Input 18 2 3 3 2" xfId="18644"/>
    <cellStyle name="Input 18 2 3 3 2 2" xfId="44176"/>
    <cellStyle name="Input 18 2 3 3 2 3" xfId="48085"/>
    <cellStyle name="Input 18 2 3 3 2 4" xfId="36267"/>
    <cellStyle name="Input 18 2 3 3 3" xfId="12161"/>
    <cellStyle name="Input 18 2 3 3 3 2" xfId="41886"/>
    <cellStyle name="Input 18 2 3 3 3 3" xfId="41960"/>
    <cellStyle name="Input 18 2 3 3 3 4" xfId="29819"/>
    <cellStyle name="Input 18 2 3 3 4" xfId="19505"/>
    <cellStyle name="Input 18 2 3 3 4 2" xfId="45027"/>
    <cellStyle name="Input 18 2 3 3 4 3" xfId="48933"/>
    <cellStyle name="Input 18 2 3 3 4 4" xfId="37039"/>
    <cellStyle name="Input 18 2 3 3 5" xfId="21057"/>
    <cellStyle name="Input 18 2 3 3 5 2" xfId="46579"/>
    <cellStyle name="Input 18 2 3 3 5 3" xfId="50485"/>
    <cellStyle name="Input 18 2 3 3 5 4" xfId="38449"/>
    <cellStyle name="Input 18 2 3 3 6" xfId="21710"/>
    <cellStyle name="Input 18 2 3 3 6 2" xfId="47232"/>
    <cellStyle name="Input 18 2 3 3 6 3" xfId="51138"/>
    <cellStyle name="Input 18 2 3 3 7" xfId="41035"/>
    <cellStyle name="Input 18 2 3 3 8" xfId="43204"/>
    <cellStyle name="Input 18 2 3 4" xfId="14817"/>
    <cellStyle name="Input 18 2 3 4 2" xfId="42915"/>
    <cellStyle name="Input 18 2 3 4 3" xfId="42647"/>
    <cellStyle name="Input 18 2 3 4 4" xfId="32438"/>
    <cellStyle name="Input 18 2 3 5" xfId="12461"/>
    <cellStyle name="Input 18 2 3 5 2" xfId="41963"/>
    <cellStyle name="Input 18 2 3 5 3" xfId="40168"/>
    <cellStyle name="Input 18 2 3 5 4" xfId="30118"/>
    <cellStyle name="Input 18 2 3 6" xfId="20083"/>
    <cellStyle name="Input 18 2 3 6 2" xfId="45605"/>
    <cellStyle name="Input 18 2 3 6 3" xfId="49511"/>
    <cellStyle name="Input 18 2 3 6 4" xfId="37559"/>
    <cellStyle name="Input 18 2 3 7" xfId="20482"/>
    <cellStyle name="Input 18 2 3 7 2" xfId="46004"/>
    <cellStyle name="Input 18 2 3 7 3" xfId="49910"/>
    <cellStyle name="Input 18 2 3 7 4" xfId="37912"/>
    <cellStyle name="Input 18 2 3 8" xfId="11777"/>
    <cellStyle name="Input 18 2 3 8 2" xfId="41711"/>
    <cellStyle name="Input 18 2 3 8 3" xfId="39129"/>
    <cellStyle name="Input 18 2 3 9" xfId="39775"/>
    <cellStyle name="Input 18 2 4" xfId="22427"/>
    <cellStyle name="Input 18 2 5" xfId="53002"/>
    <cellStyle name="Input 18 2_Sheet1" xfId="1847"/>
    <cellStyle name="Input 18 3" xfId="1848"/>
    <cellStyle name="Input 18 3 2" xfId="7037"/>
    <cellStyle name="Input 18 3 2 10" xfId="43250"/>
    <cellStyle name="Input 18 3 2 2" xfId="10564"/>
    <cellStyle name="Input 18 3 2 2 2" xfId="18351"/>
    <cellStyle name="Input 18 3 2 2 2 2" xfId="43883"/>
    <cellStyle name="Input 18 3 2 2 2 3" xfId="47792"/>
    <cellStyle name="Input 18 3 2 2 2 4" xfId="35974"/>
    <cellStyle name="Input 18 3 2 2 3" xfId="20023"/>
    <cellStyle name="Input 18 3 2 2 3 2" xfId="45545"/>
    <cellStyle name="Input 18 3 2 2 3 3" xfId="49451"/>
    <cellStyle name="Input 18 3 2 2 3 4" xfId="37507"/>
    <cellStyle name="Input 18 3 2 2 4" xfId="13258"/>
    <cellStyle name="Input 18 3 2 2 4 2" xfId="42409"/>
    <cellStyle name="Input 18 3 2 2 4 3" xfId="39515"/>
    <cellStyle name="Input 18 3 2 2 4 4" xfId="30889"/>
    <cellStyle name="Input 18 3 2 2 5" xfId="20764"/>
    <cellStyle name="Input 18 3 2 2 5 2" xfId="46286"/>
    <cellStyle name="Input 18 3 2 2 5 3" xfId="50192"/>
    <cellStyle name="Input 18 3 2 2 5 4" xfId="38156"/>
    <cellStyle name="Input 18 3 2 2 6" xfId="21417"/>
    <cellStyle name="Input 18 3 2 2 6 2" xfId="46939"/>
    <cellStyle name="Input 18 3 2 2 6 3" xfId="50845"/>
    <cellStyle name="Input 18 3 2 2 7" xfId="40742"/>
    <cellStyle name="Input 18 3 2 2 8" xfId="42587"/>
    <cellStyle name="Input 18 3 2 3" xfId="10859"/>
    <cellStyle name="Input 18 3 2 3 2" xfId="18646"/>
    <cellStyle name="Input 18 3 2 3 2 2" xfId="44178"/>
    <cellStyle name="Input 18 3 2 3 2 3" xfId="48087"/>
    <cellStyle name="Input 18 3 2 3 2 4" xfId="36269"/>
    <cellStyle name="Input 18 3 2 3 3" xfId="12162"/>
    <cellStyle name="Input 18 3 2 3 3 2" xfId="41887"/>
    <cellStyle name="Input 18 3 2 3 3 3" xfId="43309"/>
    <cellStyle name="Input 18 3 2 3 3 4" xfId="29820"/>
    <cellStyle name="Input 18 3 2 3 4" xfId="12753"/>
    <cellStyle name="Input 18 3 2 3 4 2" xfId="42179"/>
    <cellStyle name="Input 18 3 2 3 4 3" xfId="39081"/>
    <cellStyle name="Input 18 3 2 3 4 4" xfId="30397"/>
    <cellStyle name="Input 18 3 2 3 5" xfId="21059"/>
    <cellStyle name="Input 18 3 2 3 5 2" xfId="46581"/>
    <cellStyle name="Input 18 3 2 3 5 3" xfId="50487"/>
    <cellStyle name="Input 18 3 2 3 5 4" xfId="38451"/>
    <cellStyle name="Input 18 3 2 3 6" xfId="21712"/>
    <cellStyle name="Input 18 3 2 3 6 2" xfId="47234"/>
    <cellStyle name="Input 18 3 2 3 6 3" xfId="51140"/>
    <cellStyle name="Input 18 3 2 3 7" xfId="41037"/>
    <cellStyle name="Input 18 3 2 3 8" xfId="42811"/>
    <cellStyle name="Input 18 3 2 4" xfId="14819"/>
    <cellStyle name="Input 18 3 2 4 2" xfId="42917"/>
    <cellStyle name="Input 18 3 2 4 3" xfId="40396"/>
    <cellStyle name="Input 18 3 2 4 4" xfId="32440"/>
    <cellStyle name="Input 18 3 2 5" xfId="13092"/>
    <cellStyle name="Input 18 3 2 5 2" xfId="42294"/>
    <cellStyle name="Input 18 3 2 5 3" xfId="41280"/>
    <cellStyle name="Input 18 3 2 5 4" xfId="30727"/>
    <cellStyle name="Input 18 3 2 6" xfId="20322"/>
    <cellStyle name="Input 18 3 2 6 2" xfId="45844"/>
    <cellStyle name="Input 18 3 2 6 3" xfId="49750"/>
    <cellStyle name="Input 18 3 2 6 4" xfId="37772"/>
    <cellStyle name="Input 18 3 2 7" xfId="19645"/>
    <cellStyle name="Input 18 3 2 7 2" xfId="45167"/>
    <cellStyle name="Input 18 3 2 7 3" xfId="49073"/>
    <cellStyle name="Input 18 3 2 7 4" xfId="37165"/>
    <cellStyle name="Input 18 3 2 8" xfId="19561"/>
    <cellStyle name="Input 18 3 2 8 2" xfId="45083"/>
    <cellStyle name="Input 18 3 2 8 3" xfId="48989"/>
    <cellStyle name="Input 18 3 2 9" xfId="39777"/>
    <cellStyle name="Input 18 3 3" xfId="53005"/>
    <cellStyle name="Input 18 4" xfId="7034"/>
    <cellStyle name="Input 18 4 10" xfId="39224"/>
    <cellStyle name="Input 18 4 11" xfId="53006"/>
    <cellStyle name="Input 18 4 2" xfId="10561"/>
    <cellStyle name="Input 18 4 2 2" xfId="18348"/>
    <cellStyle name="Input 18 4 2 2 2" xfId="43880"/>
    <cellStyle name="Input 18 4 2 2 3" xfId="47789"/>
    <cellStyle name="Input 18 4 2 2 4" xfId="35971"/>
    <cellStyle name="Input 18 4 2 3" xfId="19602"/>
    <cellStyle name="Input 18 4 2 3 2" xfId="45124"/>
    <cellStyle name="Input 18 4 2 3 3" xfId="49030"/>
    <cellStyle name="Input 18 4 2 3 4" xfId="37128"/>
    <cellStyle name="Input 18 4 2 4" xfId="19435"/>
    <cellStyle name="Input 18 4 2 4 2" xfId="44957"/>
    <cellStyle name="Input 18 4 2 4 3" xfId="48863"/>
    <cellStyle name="Input 18 4 2 4 4" xfId="36986"/>
    <cellStyle name="Input 18 4 2 5" xfId="20761"/>
    <cellStyle name="Input 18 4 2 5 2" xfId="46283"/>
    <cellStyle name="Input 18 4 2 5 3" xfId="50189"/>
    <cellStyle name="Input 18 4 2 5 4" xfId="38153"/>
    <cellStyle name="Input 18 4 2 6" xfId="21414"/>
    <cellStyle name="Input 18 4 2 6 2" xfId="46936"/>
    <cellStyle name="Input 18 4 2 6 3" xfId="50842"/>
    <cellStyle name="Input 18 4 2 7" xfId="40739"/>
    <cellStyle name="Input 18 4 2 8" xfId="43611"/>
    <cellStyle name="Input 18 4 3" xfId="10856"/>
    <cellStyle name="Input 18 4 3 2" xfId="18643"/>
    <cellStyle name="Input 18 4 3 2 2" xfId="44175"/>
    <cellStyle name="Input 18 4 3 2 3" xfId="48084"/>
    <cellStyle name="Input 18 4 3 2 4" xfId="36266"/>
    <cellStyle name="Input 18 4 3 3" xfId="12630"/>
    <cellStyle name="Input 18 4 3 3 2" xfId="42090"/>
    <cellStyle name="Input 18 4 3 3 3" xfId="39426"/>
    <cellStyle name="Input 18 4 3 3 4" xfId="30281"/>
    <cellStyle name="Input 18 4 3 4" xfId="19654"/>
    <cellStyle name="Input 18 4 3 4 2" xfId="45176"/>
    <cellStyle name="Input 18 4 3 4 3" xfId="49082"/>
    <cellStyle name="Input 18 4 3 4 4" xfId="37174"/>
    <cellStyle name="Input 18 4 3 5" xfId="21056"/>
    <cellStyle name="Input 18 4 3 5 2" xfId="46578"/>
    <cellStyle name="Input 18 4 3 5 3" xfId="50484"/>
    <cellStyle name="Input 18 4 3 5 4" xfId="38448"/>
    <cellStyle name="Input 18 4 3 6" xfId="21709"/>
    <cellStyle name="Input 18 4 3 6 2" xfId="47231"/>
    <cellStyle name="Input 18 4 3 6 3" xfId="51137"/>
    <cellStyle name="Input 18 4 3 7" xfId="41034"/>
    <cellStyle name="Input 18 4 3 8" xfId="41401"/>
    <cellStyle name="Input 18 4 4" xfId="14816"/>
    <cellStyle name="Input 18 4 4 2" xfId="42914"/>
    <cellStyle name="Input 18 4 4 3" xfId="39611"/>
    <cellStyle name="Input 18 4 4 4" xfId="32437"/>
    <cellStyle name="Input 18 4 5" xfId="13091"/>
    <cellStyle name="Input 18 4 5 2" xfId="42293"/>
    <cellStyle name="Input 18 4 5 3" xfId="47580"/>
    <cellStyle name="Input 18 4 5 4" xfId="30726"/>
    <cellStyle name="Input 18 4 6" xfId="20365"/>
    <cellStyle name="Input 18 4 6 2" xfId="45887"/>
    <cellStyle name="Input 18 4 6 3" xfId="49793"/>
    <cellStyle name="Input 18 4 6 4" xfId="37807"/>
    <cellStyle name="Input 18 4 7" xfId="19814"/>
    <cellStyle name="Input 18 4 7 2" xfId="45336"/>
    <cellStyle name="Input 18 4 7 3" xfId="49242"/>
    <cellStyle name="Input 18 4 7 4" xfId="37318"/>
    <cellStyle name="Input 18 4 8" xfId="20067"/>
    <cellStyle name="Input 18 4 8 2" xfId="45589"/>
    <cellStyle name="Input 18 4 8 3" xfId="49495"/>
    <cellStyle name="Input 18 4 9" xfId="39774"/>
    <cellStyle name="Input 18 5" xfId="22426"/>
    <cellStyle name="Input 18 6" xfId="53001"/>
    <cellStyle name="Input 18_Sheet1" xfId="1849"/>
    <cellStyle name="Input 19" xfId="1850"/>
    <cellStyle name="Input 19 2" xfId="1851"/>
    <cellStyle name="Input 19 2 2" xfId="1852"/>
    <cellStyle name="Input 19 2 2 2" xfId="7040"/>
    <cellStyle name="Input 19 2 2 2 10" xfId="43745"/>
    <cellStyle name="Input 19 2 2 2 2" xfId="10567"/>
    <cellStyle name="Input 19 2 2 2 2 2" xfId="18354"/>
    <cellStyle name="Input 19 2 2 2 2 2 2" xfId="43886"/>
    <cellStyle name="Input 19 2 2 2 2 2 3" xfId="47795"/>
    <cellStyle name="Input 19 2 2 2 2 2 4" xfId="35977"/>
    <cellStyle name="Input 19 2 2 2 2 3" xfId="19121"/>
    <cellStyle name="Input 19 2 2 2 2 3 2" xfId="44643"/>
    <cellStyle name="Input 19 2 2 2 2 3 3" xfId="48549"/>
    <cellStyle name="Input 19 2 2 2 2 3 4" xfId="36702"/>
    <cellStyle name="Input 19 2 2 2 2 4" xfId="20246"/>
    <cellStyle name="Input 19 2 2 2 2 4 2" xfId="45768"/>
    <cellStyle name="Input 19 2 2 2 2 4 3" xfId="49674"/>
    <cellStyle name="Input 19 2 2 2 2 4 4" xfId="37703"/>
    <cellStyle name="Input 19 2 2 2 2 5" xfId="20767"/>
    <cellStyle name="Input 19 2 2 2 2 5 2" xfId="46289"/>
    <cellStyle name="Input 19 2 2 2 2 5 3" xfId="50195"/>
    <cellStyle name="Input 19 2 2 2 2 5 4" xfId="38159"/>
    <cellStyle name="Input 19 2 2 2 2 6" xfId="21420"/>
    <cellStyle name="Input 19 2 2 2 2 6 2" xfId="46942"/>
    <cellStyle name="Input 19 2 2 2 2 6 3" xfId="50848"/>
    <cellStyle name="Input 19 2 2 2 2 7" xfId="40745"/>
    <cellStyle name="Input 19 2 2 2 2 8" xfId="39475"/>
    <cellStyle name="Input 19 2 2 2 3" xfId="10862"/>
    <cellStyle name="Input 19 2 2 2 3 2" xfId="18649"/>
    <cellStyle name="Input 19 2 2 2 3 2 2" xfId="44181"/>
    <cellStyle name="Input 19 2 2 2 3 2 3" xfId="48090"/>
    <cellStyle name="Input 19 2 2 2 3 2 4" xfId="36272"/>
    <cellStyle name="Input 19 2 2 2 3 3" xfId="13330"/>
    <cellStyle name="Input 19 2 2 2 3 3 2" xfId="42481"/>
    <cellStyle name="Input 19 2 2 2 3 3 3" xfId="42655"/>
    <cellStyle name="Input 19 2 2 2 3 3 4" xfId="30956"/>
    <cellStyle name="Input 19 2 2 2 3 4" xfId="11605"/>
    <cellStyle name="Input 19 2 2 2 3 4 2" xfId="41596"/>
    <cellStyle name="Input 19 2 2 2 3 4 3" xfId="43184"/>
    <cellStyle name="Input 19 2 2 2 3 4 4" xfId="29294"/>
    <cellStyle name="Input 19 2 2 2 3 5" xfId="21062"/>
    <cellStyle name="Input 19 2 2 2 3 5 2" xfId="46584"/>
    <cellStyle name="Input 19 2 2 2 3 5 3" xfId="50490"/>
    <cellStyle name="Input 19 2 2 2 3 5 4" xfId="38454"/>
    <cellStyle name="Input 19 2 2 2 3 6" xfId="21715"/>
    <cellStyle name="Input 19 2 2 2 3 6 2" xfId="47237"/>
    <cellStyle name="Input 19 2 2 2 3 6 3" xfId="51143"/>
    <cellStyle name="Input 19 2 2 2 3 7" xfId="41040"/>
    <cellStyle name="Input 19 2 2 2 3 8" xfId="39670"/>
    <cellStyle name="Input 19 2 2 2 4" xfId="14822"/>
    <cellStyle name="Input 19 2 2 2 4 2" xfId="42920"/>
    <cellStyle name="Input 19 2 2 2 4 3" xfId="43426"/>
    <cellStyle name="Input 19 2 2 2 4 4" xfId="32443"/>
    <cellStyle name="Input 19 2 2 2 5" xfId="11284"/>
    <cellStyle name="Input 19 2 2 2 5 2" xfId="41311"/>
    <cellStyle name="Input 19 2 2 2 5 3" xfId="42559"/>
    <cellStyle name="Input 19 2 2 2 5 4" xfId="28998"/>
    <cellStyle name="Input 19 2 2 2 6" xfId="12844"/>
    <cellStyle name="Input 19 2 2 2 6 2" xfId="42208"/>
    <cellStyle name="Input 19 2 2 2 6 3" xfId="39279"/>
    <cellStyle name="Input 19 2 2 2 6 4" xfId="30484"/>
    <cellStyle name="Input 19 2 2 2 7" xfId="12136"/>
    <cellStyle name="Input 19 2 2 2 7 2" xfId="41861"/>
    <cellStyle name="Input 19 2 2 2 7 3" xfId="42542"/>
    <cellStyle name="Input 19 2 2 2 7 4" xfId="29794"/>
    <cellStyle name="Input 19 2 2 2 8" xfId="19481"/>
    <cellStyle name="Input 19 2 2 2 8 2" xfId="45003"/>
    <cellStyle name="Input 19 2 2 2 8 3" xfId="48909"/>
    <cellStyle name="Input 19 2 2 2 9" xfId="39780"/>
    <cellStyle name="Input 19 2 2 3" xfId="53009"/>
    <cellStyle name="Input 19 2 3" xfId="7039"/>
    <cellStyle name="Input 19 2 3 10" xfId="43078"/>
    <cellStyle name="Input 19 2 3 11" xfId="53010"/>
    <cellStyle name="Input 19 2 3 2" xfId="10566"/>
    <cellStyle name="Input 19 2 3 2 2" xfId="18353"/>
    <cellStyle name="Input 19 2 3 2 2 2" xfId="43885"/>
    <cellStyle name="Input 19 2 3 2 2 3" xfId="47794"/>
    <cellStyle name="Input 19 2 3 2 2 4" xfId="35976"/>
    <cellStyle name="Input 19 2 3 2 3" xfId="19898"/>
    <cellStyle name="Input 19 2 3 2 3 2" xfId="45420"/>
    <cellStyle name="Input 19 2 3 2 3 3" xfId="49326"/>
    <cellStyle name="Input 19 2 3 2 3 4" xfId="37398"/>
    <cellStyle name="Input 19 2 3 2 4" xfId="19790"/>
    <cellStyle name="Input 19 2 3 2 4 2" xfId="45312"/>
    <cellStyle name="Input 19 2 3 2 4 3" xfId="49218"/>
    <cellStyle name="Input 19 2 3 2 4 4" xfId="37298"/>
    <cellStyle name="Input 19 2 3 2 5" xfId="20766"/>
    <cellStyle name="Input 19 2 3 2 5 2" xfId="46288"/>
    <cellStyle name="Input 19 2 3 2 5 3" xfId="50194"/>
    <cellStyle name="Input 19 2 3 2 5 4" xfId="38158"/>
    <cellStyle name="Input 19 2 3 2 6" xfId="21419"/>
    <cellStyle name="Input 19 2 3 2 6 2" xfId="46941"/>
    <cellStyle name="Input 19 2 3 2 6 3" xfId="50847"/>
    <cellStyle name="Input 19 2 3 2 7" xfId="40744"/>
    <cellStyle name="Input 19 2 3 2 8" xfId="40363"/>
    <cellStyle name="Input 19 2 3 3" xfId="10861"/>
    <cellStyle name="Input 19 2 3 3 2" xfId="18648"/>
    <cellStyle name="Input 19 2 3 3 2 2" xfId="44180"/>
    <cellStyle name="Input 19 2 3 3 2 3" xfId="48089"/>
    <cellStyle name="Input 19 2 3 3 2 4" xfId="36271"/>
    <cellStyle name="Input 19 2 3 3 3" xfId="12163"/>
    <cellStyle name="Input 19 2 3 3 3 2" xfId="41888"/>
    <cellStyle name="Input 19 2 3 3 3 3" xfId="40169"/>
    <cellStyle name="Input 19 2 3 3 3 4" xfId="29821"/>
    <cellStyle name="Input 19 2 3 3 4" xfId="11748"/>
    <cellStyle name="Input 19 2 3 3 4 2" xfId="41705"/>
    <cellStyle name="Input 19 2 3 3 4 3" xfId="47445"/>
    <cellStyle name="Input 19 2 3 3 4 4" xfId="29421"/>
    <cellStyle name="Input 19 2 3 3 5" xfId="21061"/>
    <cellStyle name="Input 19 2 3 3 5 2" xfId="46583"/>
    <cellStyle name="Input 19 2 3 3 5 3" xfId="50489"/>
    <cellStyle name="Input 19 2 3 3 5 4" xfId="38453"/>
    <cellStyle name="Input 19 2 3 3 6" xfId="21714"/>
    <cellStyle name="Input 19 2 3 3 6 2" xfId="47236"/>
    <cellStyle name="Input 19 2 3 3 6 3" xfId="51142"/>
    <cellStyle name="Input 19 2 3 3 7" xfId="41039"/>
    <cellStyle name="Input 19 2 3 3 8" xfId="40559"/>
    <cellStyle name="Input 19 2 3 4" xfId="14821"/>
    <cellStyle name="Input 19 2 3 4 2" xfId="42919"/>
    <cellStyle name="Input 19 2 3 4 3" xfId="42515"/>
    <cellStyle name="Input 19 2 3 4 4" xfId="32442"/>
    <cellStyle name="Input 19 2 3 5" xfId="11283"/>
    <cellStyle name="Input 19 2 3 5 2" xfId="41310"/>
    <cellStyle name="Input 19 2 3 5 3" xfId="39552"/>
    <cellStyle name="Input 19 2 3 5 4" xfId="28997"/>
    <cellStyle name="Input 19 2 3 6" xfId="19154"/>
    <cellStyle name="Input 19 2 3 6 2" xfId="44676"/>
    <cellStyle name="Input 19 2 3 6 3" xfId="48582"/>
    <cellStyle name="Input 19 2 3 6 4" xfId="36732"/>
    <cellStyle name="Input 19 2 3 7" xfId="11167"/>
    <cellStyle name="Input 19 2 3 7 2" xfId="41270"/>
    <cellStyle name="Input 19 2 3 7 3" xfId="42801"/>
    <cellStyle name="Input 19 2 3 7 4" xfId="28881"/>
    <cellStyle name="Input 19 2 3 8" xfId="11635"/>
    <cellStyle name="Input 19 2 3 8 2" xfId="41626"/>
    <cellStyle name="Input 19 2 3 8 3" xfId="47549"/>
    <cellStyle name="Input 19 2 3 9" xfId="39779"/>
    <cellStyle name="Input 19 2 4" xfId="22429"/>
    <cellStyle name="Input 19 2 5" xfId="53008"/>
    <cellStyle name="Input 19 2_Sheet1" xfId="1853"/>
    <cellStyle name="Input 19 3" xfId="1854"/>
    <cellStyle name="Input 19 3 2" xfId="7041"/>
    <cellStyle name="Input 19 3 2 10" xfId="40604"/>
    <cellStyle name="Input 19 3 2 2" xfId="10568"/>
    <cellStyle name="Input 19 3 2 2 2" xfId="18355"/>
    <cellStyle name="Input 19 3 2 2 2 2" xfId="43887"/>
    <cellStyle name="Input 19 3 2 2 2 3" xfId="47796"/>
    <cellStyle name="Input 19 3 2 2 2 4" xfId="35978"/>
    <cellStyle name="Input 19 3 2 2 3" xfId="19743"/>
    <cellStyle name="Input 19 3 2 2 3 2" xfId="45265"/>
    <cellStyle name="Input 19 3 2 2 3 3" xfId="49171"/>
    <cellStyle name="Input 19 3 2 2 3 4" xfId="37256"/>
    <cellStyle name="Input 19 3 2 2 4" xfId="19247"/>
    <cellStyle name="Input 19 3 2 2 4 2" xfId="44769"/>
    <cellStyle name="Input 19 3 2 2 4 3" xfId="48675"/>
    <cellStyle name="Input 19 3 2 2 4 4" xfId="36811"/>
    <cellStyle name="Input 19 3 2 2 5" xfId="20768"/>
    <cellStyle name="Input 19 3 2 2 5 2" xfId="46290"/>
    <cellStyle name="Input 19 3 2 2 5 3" xfId="50196"/>
    <cellStyle name="Input 19 3 2 2 5 4" xfId="38160"/>
    <cellStyle name="Input 19 3 2 2 6" xfId="21421"/>
    <cellStyle name="Input 19 3 2 2 6 2" xfId="46943"/>
    <cellStyle name="Input 19 3 2 2 6 3" xfId="50849"/>
    <cellStyle name="Input 19 3 2 2 7" xfId="40746"/>
    <cellStyle name="Input 19 3 2 2 8" xfId="39370"/>
    <cellStyle name="Input 19 3 2 3" xfId="10863"/>
    <cellStyle name="Input 19 3 2 3 2" xfId="18650"/>
    <cellStyle name="Input 19 3 2 3 2 2" xfId="44182"/>
    <cellStyle name="Input 19 3 2 3 2 3" xfId="48091"/>
    <cellStyle name="Input 19 3 2 3 2 4" xfId="36273"/>
    <cellStyle name="Input 19 3 2 3 3" xfId="12631"/>
    <cellStyle name="Input 19 3 2 3 3 2" xfId="42091"/>
    <cellStyle name="Input 19 3 2 3 3 3" xfId="41953"/>
    <cellStyle name="Input 19 3 2 3 3 4" xfId="30282"/>
    <cellStyle name="Input 19 3 2 3 4" xfId="19836"/>
    <cellStyle name="Input 19 3 2 3 4 2" xfId="45358"/>
    <cellStyle name="Input 19 3 2 3 4 3" xfId="49264"/>
    <cellStyle name="Input 19 3 2 3 4 4" xfId="37338"/>
    <cellStyle name="Input 19 3 2 3 5" xfId="21063"/>
    <cellStyle name="Input 19 3 2 3 5 2" xfId="46585"/>
    <cellStyle name="Input 19 3 2 3 5 3" xfId="50491"/>
    <cellStyle name="Input 19 3 2 3 5 4" xfId="38455"/>
    <cellStyle name="Input 19 3 2 3 6" xfId="21716"/>
    <cellStyle name="Input 19 3 2 3 6 2" xfId="47238"/>
    <cellStyle name="Input 19 3 2 3 6 3" xfId="51144"/>
    <cellStyle name="Input 19 3 2 3 7" xfId="41041"/>
    <cellStyle name="Input 19 3 2 3 8" xfId="42707"/>
    <cellStyle name="Input 19 3 2 4" xfId="14823"/>
    <cellStyle name="Input 19 3 2 4 2" xfId="42921"/>
    <cellStyle name="Input 19 3 2 4 3" xfId="40288"/>
    <cellStyle name="Input 19 3 2 4 4" xfId="32444"/>
    <cellStyle name="Input 19 3 2 5" xfId="13093"/>
    <cellStyle name="Input 19 3 2 5 2" xfId="42295"/>
    <cellStyle name="Input 19 3 2 5 3" xfId="43167"/>
    <cellStyle name="Input 19 3 2 5 4" xfId="30728"/>
    <cellStyle name="Input 19 3 2 6" xfId="19928"/>
    <cellStyle name="Input 19 3 2 6 2" xfId="45450"/>
    <cellStyle name="Input 19 3 2 6 3" xfId="49356"/>
    <cellStyle name="Input 19 3 2 6 4" xfId="37423"/>
    <cellStyle name="Input 19 3 2 7" xfId="11720"/>
    <cellStyle name="Input 19 3 2 7 2" xfId="41687"/>
    <cellStyle name="Input 19 3 2 7 3" xfId="39317"/>
    <cellStyle name="Input 19 3 2 7 4" xfId="29393"/>
    <cellStyle name="Input 19 3 2 8" xfId="11670"/>
    <cellStyle name="Input 19 3 2 8 2" xfId="41661"/>
    <cellStyle name="Input 19 3 2 8 3" xfId="40322"/>
    <cellStyle name="Input 19 3 2 9" xfId="39781"/>
    <cellStyle name="Input 19 3 3" xfId="53011"/>
    <cellStyle name="Input 19 4" xfId="7038"/>
    <cellStyle name="Input 19 4 10" xfId="40109"/>
    <cellStyle name="Input 19 4 11" xfId="53012"/>
    <cellStyle name="Input 19 4 2" xfId="10565"/>
    <cellStyle name="Input 19 4 2 2" xfId="18352"/>
    <cellStyle name="Input 19 4 2 2 2" xfId="43884"/>
    <cellStyle name="Input 19 4 2 2 3" xfId="47793"/>
    <cellStyle name="Input 19 4 2 2 4" xfId="35975"/>
    <cellStyle name="Input 19 4 2 3" xfId="19289"/>
    <cellStyle name="Input 19 4 2 3 2" xfId="44811"/>
    <cellStyle name="Input 19 4 2 3 3" xfId="48717"/>
    <cellStyle name="Input 19 4 2 3 4" xfId="36853"/>
    <cellStyle name="Input 19 4 2 4" xfId="19985"/>
    <cellStyle name="Input 19 4 2 4 2" xfId="45507"/>
    <cellStyle name="Input 19 4 2 4 3" xfId="49413"/>
    <cellStyle name="Input 19 4 2 4 4" xfId="37469"/>
    <cellStyle name="Input 19 4 2 5" xfId="20765"/>
    <cellStyle name="Input 19 4 2 5 2" xfId="46287"/>
    <cellStyle name="Input 19 4 2 5 3" xfId="50193"/>
    <cellStyle name="Input 19 4 2 5 4" xfId="38157"/>
    <cellStyle name="Input 19 4 2 6" xfId="21418"/>
    <cellStyle name="Input 19 4 2 6 2" xfId="46940"/>
    <cellStyle name="Input 19 4 2 6 3" xfId="50846"/>
    <cellStyle name="Input 19 4 2 7" xfId="40743"/>
    <cellStyle name="Input 19 4 2 8" xfId="43500"/>
    <cellStyle name="Input 19 4 3" xfId="10860"/>
    <cellStyle name="Input 19 4 3 2" xfId="18647"/>
    <cellStyle name="Input 19 4 3 2 2" xfId="44179"/>
    <cellStyle name="Input 19 4 3 2 3" xfId="48088"/>
    <cellStyle name="Input 19 4 3 2 4" xfId="36270"/>
    <cellStyle name="Input 19 4 3 3" xfId="13329"/>
    <cellStyle name="Input 19 4 3 3 2" xfId="42480"/>
    <cellStyle name="Input 19 4 3 3 3" xfId="39619"/>
    <cellStyle name="Input 19 4 3 3 4" xfId="30955"/>
    <cellStyle name="Input 19 4 3 4" xfId="11604"/>
    <cellStyle name="Input 19 4 3 4 2" xfId="41595"/>
    <cellStyle name="Input 19 4 3 4 3" xfId="41363"/>
    <cellStyle name="Input 19 4 3 4 4" xfId="29293"/>
    <cellStyle name="Input 19 4 3 5" xfId="21060"/>
    <cellStyle name="Input 19 4 3 5 2" xfId="46582"/>
    <cellStyle name="Input 19 4 3 5 3" xfId="50488"/>
    <cellStyle name="Input 19 4 3 5 4" xfId="38452"/>
    <cellStyle name="Input 19 4 3 6" xfId="21713"/>
    <cellStyle name="Input 19 4 3 6 2" xfId="47235"/>
    <cellStyle name="Input 19 4 3 6 3" xfId="51141"/>
    <cellStyle name="Input 19 4 3 7" xfId="41038"/>
    <cellStyle name="Input 19 4 3 8" xfId="43700"/>
    <cellStyle name="Input 19 4 4" xfId="14820"/>
    <cellStyle name="Input 19 4 4 2" xfId="42918"/>
    <cellStyle name="Input 19 4 4 3" xfId="39505"/>
    <cellStyle name="Input 19 4 4 4" xfId="32441"/>
    <cellStyle name="Input 19 4 5" xfId="12463"/>
    <cellStyle name="Input 19 4 5 2" xfId="41965"/>
    <cellStyle name="Input 19 4 5 3" xfId="39086"/>
    <cellStyle name="Input 19 4 5 4" xfId="30120"/>
    <cellStyle name="Input 19 4 6" xfId="20267"/>
    <cellStyle name="Input 19 4 6 2" xfId="45789"/>
    <cellStyle name="Input 19 4 6 3" xfId="49695"/>
    <cellStyle name="Input 19 4 6 4" xfId="37721"/>
    <cellStyle name="Input 19 4 7" xfId="20498"/>
    <cellStyle name="Input 19 4 7 2" xfId="46020"/>
    <cellStyle name="Input 19 4 7 3" xfId="49926"/>
    <cellStyle name="Input 19 4 7 4" xfId="37920"/>
    <cellStyle name="Input 19 4 8" xfId="12085"/>
    <cellStyle name="Input 19 4 8 2" xfId="41810"/>
    <cellStyle name="Input 19 4 8 3" xfId="39111"/>
    <cellStyle name="Input 19 4 9" xfId="39778"/>
    <cellStyle name="Input 19 5" xfId="22428"/>
    <cellStyle name="Input 19 6" xfId="53007"/>
    <cellStyle name="Input 19_Sheet1" xfId="1855"/>
    <cellStyle name="Input 2" xfId="106"/>
    <cellStyle name="Input 2 10" xfId="1857"/>
    <cellStyle name="Input 2 10 2" xfId="7043"/>
    <cellStyle name="Input 2 10 2 10" xfId="42738"/>
    <cellStyle name="Input 2 10 2 2" xfId="10570"/>
    <cellStyle name="Input 2 10 2 2 2" xfId="18357"/>
    <cellStyle name="Input 2 10 2 2 2 2" xfId="43889"/>
    <cellStyle name="Input 2 10 2 2 2 3" xfId="47798"/>
    <cellStyle name="Input 2 10 2 2 2 4" xfId="35980"/>
    <cellStyle name="Input 2 10 2 2 3" xfId="13315"/>
    <cellStyle name="Input 2 10 2 2 3 2" xfId="42466"/>
    <cellStyle name="Input 2 10 2 2 3 3" xfId="43544"/>
    <cellStyle name="Input 2 10 2 2 3 4" xfId="30941"/>
    <cellStyle name="Input 2 10 2 2 4" xfId="11603"/>
    <cellStyle name="Input 2 10 2 2 4 2" xfId="41594"/>
    <cellStyle name="Input 2 10 2 2 4 3" xfId="47484"/>
    <cellStyle name="Input 2 10 2 2 4 4" xfId="29292"/>
    <cellStyle name="Input 2 10 2 2 5" xfId="20770"/>
    <cellStyle name="Input 2 10 2 2 5 2" xfId="46292"/>
    <cellStyle name="Input 2 10 2 2 5 3" xfId="50198"/>
    <cellStyle name="Input 2 10 2 2 5 4" xfId="38162"/>
    <cellStyle name="Input 2 10 2 2 6" xfId="21423"/>
    <cellStyle name="Input 2 10 2 2 6 2" xfId="46945"/>
    <cellStyle name="Input 2 10 2 2 6 3" xfId="50851"/>
    <cellStyle name="Input 2 10 2 2 7" xfId="40748"/>
    <cellStyle name="Input 2 10 2 2 8" xfId="43217"/>
    <cellStyle name="Input 2 10 2 3" xfId="10865"/>
    <cellStyle name="Input 2 10 2 3 2" xfId="18652"/>
    <cellStyle name="Input 2 10 2 3 2 2" xfId="44184"/>
    <cellStyle name="Input 2 10 2 3 2 3" xfId="48093"/>
    <cellStyle name="Input 2 10 2 3 2 4" xfId="36275"/>
    <cellStyle name="Input 2 10 2 3 3" xfId="11512"/>
    <cellStyle name="Input 2 10 2 3 3 2" xfId="41503"/>
    <cellStyle name="Input 2 10 2 3 3 3" xfId="40540"/>
    <cellStyle name="Input 2 10 2 3 3 4" xfId="29213"/>
    <cellStyle name="Input 2 10 2 3 4" xfId="19521"/>
    <cellStyle name="Input 2 10 2 3 4 2" xfId="45043"/>
    <cellStyle name="Input 2 10 2 3 4 3" xfId="48949"/>
    <cellStyle name="Input 2 10 2 3 4 4" xfId="37054"/>
    <cellStyle name="Input 2 10 2 3 5" xfId="21065"/>
    <cellStyle name="Input 2 10 2 3 5 2" xfId="46587"/>
    <cellStyle name="Input 2 10 2 3 5 3" xfId="50493"/>
    <cellStyle name="Input 2 10 2 3 5 4" xfId="38457"/>
    <cellStyle name="Input 2 10 2 3 6" xfId="21718"/>
    <cellStyle name="Input 2 10 2 3 6 2" xfId="47240"/>
    <cellStyle name="Input 2 10 2 3 6 3" xfId="51146"/>
    <cellStyle name="Input 2 10 2 3 7" xfId="41043"/>
    <cellStyle name="Input 2 10 2 3 8" xfId="40454"/>
    <cellStyle name="Input 2 10 2 4" xfId="14825"/>
    <cellStyle name="Input 2 10 2 4 2" xfId="42923"/>
    <cellStyle name="Input 2 10 2 4 3" xfId="41920"/>
    <cellStyle name="Input 2 10 2 4 4" xfId="32446"/>
    <cellStyle name="Input 2 10 2 5" xfId="13095"/>
    <cellStyle name="Input 2 10 2 5 2" xfId="42297"/>
    <cellStyle name="Input 2 10 2 5 3" xfId="42768"/>
    <cellStyle name="Input 2 10 2 5 4" xfId="30730"/>
    <cellStyle name="Input 2 10 2 6" xfId="19921"/>
    <cellStyle name="Input 2 10 2 6 2" xfId="45443"/>
    <cellStyle name="Input 2 10 2 6 3" xfId="49349"/>
    <cellStyle name="Input 2 10 2 6 4" xfId="37418"/>
    <cellStyle name="Input 2 10 2 7" xfId="18878"/>
    <cellStyle name="Input 2 10 2 7 2" xfId="44400"/>
    <cellStyle name="Input 2 10 2 7 3" xfId="48306"/>
    <cellStyle name="Input 2 10 2 7 4" xfId="36500"/>
    <cellStyle name="Input 2 10 2 8" xfId="19932"/>
    <cellStyle name="Input 2 10 2 8 2" xfId="45454"/>
    <cellStyle name="Input 2 10 2 8 3" xfId="49360"/>
    <cellStyle name="Input 2 10 2 9" xfId="39783"/>
    <cellStyle name="Input 2 10 3" xfId="53014"/>
    <cellStyle name="Input 2 11" xfId="1858"/>
    <cellStyle name="Input 2 11 2" xfId="7044"/>
    <cellStyle name="Input 2 11 2 10" xfId="43626"/>
    <cellStyle name="Input 2 11 2 2" xfId="10571"/>
    <cellStyle name="Input 2 11 2 2 2" xfId="18358"/>
    <cellStyle name="Input 2 11 2 2 2 2" xfId="43890"/>
    <cellStyle name="Input 2 11 2 2 2 3" xfId="47799"/>
    <cellStyle name="Input 2 11 2 2 2 4" xfId="35981"/>
    <cellStyle name="Input 2 11 2 2 3" xfId="19742"/>
    <cellStyle name="Input 2 11 2 2 3 2" xfId="45264"/>
    <cellStyle name="Input 2 11 2 2 3 3" xfId="49170"/>
    <cellStyle name="Input 2 11 2 2 3 4" xfId="37255"/>
    <cellStyle name="Input 2 11 2 2 4" xfId="19053"/>
    <cellStyle name="Input 2 11 2 2 4 2" xfId="44575"/>
    <cellStyle name="Input 2 11 2 2 4 3" xfId="48481"/>
    <cellStyle name="Input 2 11 2 2 4 4" xfId="36638"/>
    <cellStyle name="Input 2 11 2 2 5" xfId="20771"/>
    <cellStyle name="Input 2 11 2 2 5 2" xfId="46293"/>
    <cellStyle name="Input 2 11 2 2 5 3" xfId="50199"/>
    <cellStyle name="Input 2 11 2 2 5 4" xfId="38163"/>
    <cellStyle name="Input 2 11 2 2 6" xfId="21424"/>
    <cellStyle name="Input 2 11 2 2 6 2" xfId="46946"/>
    <cellStyle name="Input 2 11 2 2 6 3" xfId="50852"/>
    <cellStyle name="Input 2 11 2 2 7" xfId="40749"/>
    <cellStyle name="Input 2 11 2 2 8" xfId="40076"/>
    <cellStyle name="Input 2 11 2 3" xfId="10866"/>
    <cellStyle name="Input 2 11 2 3 2" xfId="18653"/>
    <cellStyle name="Input 2 11 2 3 2 2" xfId="44185"/>
    <cellStyle name="Input 2 11 2 3 2 3" xfId="48094"/>
    <cellStyle name="Input 2 11 2 3 2 4" xfId="36276"/>
    <cellStyle name="Input 2 11 2 3 3" xfId="12164"/>
    <cellStyle name="Input 2 11 2 3 3 2" xfId="41889"/>
    <cellStyle name="Input 2 11 2 3 3 3" xfId="39293"/>
    <cellStyle name="Input 2 11 2 3 3 4" xfId="29822"/>
    <cellStyle name="Input 2 11 2 3 4" xfId="12754"/>
    <cellStyle name="Input 2 11 2 3 4 2" xfId="42180"/>
    <cellStyle name="Input 2 11 2 3 4 3" xfId="41948"/>
    <cellStyle name="Input 2 11 2 3 4 4" xfId="30398"/>
    <cellStyle name="Input 2 11 2 3 5" xfId="21066"/>
    <cellStyle name="Input 2 11 2 3 5 2" xfId="46588"/>
    <cellStyle name="Input 2 11 2 3 5 3" xfId="50494"/>
    <cellStyle name="Input 2 11 2 3 5 4" xfId="38458"/>
    <cellStyle name="Input 2 11 2 3 6" xfId="21719"/>
    <cellStyle name="Input 2 11 2 3 6 2" xfId="47241"/>
    <cellStyle name="Input 2 11 2 3 6 3" xfId="51147"/>
    <cellStyle name="Input 2 11 2 3 7" xfId="41044"/>
    <cellStyle name="Input 2 11 2 3 8" xfId="39564"/>
    <cellStyle name="Input 2 11 2 4" xfId="14826"/>
    <cellStyle name="Input 2 11 2 4 2" xfId="42924"/>
    <cellStyle name="Input 2 11 2 4 3" xfId="43274"/>
    <cellStyle name="Input 2 11 2 4 4" xfId="32447"/>
    <cellStyle name="Input 2 11 2 5" xfId="13096"/>
    <cellStyle name="Input 2 11 2 5 2" xfId="42298"/>
    <cellStyle name="Input 2 11 2 5 3" xfId="43656"/>
    <cellStyle name="Input 2 11 2 5 4" xfId="30731"/>
    <cellStyle name="Input 2 11 2 6" xfId="11355"/>
    <cellStyle name="Input 2 11 2 6 2" xfId="41371"/>
    <cellStyle name="Input 2 11 2 6 3" xfId="42797"/>
    <cellStyle name="Input 2 11 2 6 4" xfId="29064"/>
    <cellStyle name="Input 2 11 2 7" xfId="11784"/>
    <cellStyle name="Input 2 11 2 7 2" xfId="41716"/>
    <cellStyle name="Input 2 11 2 7 3" xfId="39311"/>
    <cellStyle name="Input 2 11 2 7 4" xfId="29456"/>
    <cellStyle name="Input 2 11 2 8" xfId="11699"/>
    <cellStyle name="Input 2 11 2 8 2" xfId="41677"/>
    <cellStyle name="Input 2 11 2 8 3" xfId="47446"/>
    <cellStyle name="Input 2 11 2 9" xfId="39784"/>
    <cellStyle name="Input 2 11 3" xfId="53015"/>
    <cellStyle name="Input 2 12" xfId="1859"/>
    <cellStyle name="Input 2 12 2" xfId="7045"/>
    <cellStyle name="Input 2 12 2 10" xfId="40484"/>
    <cellStyle name="Input 2 12 2 2" xfId="10572"/>
    <cellStyle name="Input 2 12 2 2 2" xfId="18359"/>
    <cellStyle name="Input 2 12 2 2 2 2" xfId="43891"/>
    <cellStyle name="Input 2 12 2 2 2 3" xfId="47800"/>
    <cellStyle name="Input 2 12 2 2 2 4" xfId="35982"/>
    <cellStyle name="Input 2 12 2 2 3" xfId="12616"/>
    <cellStyle name="Input 2 12 2 2 3 2" xfId="42076"/>
    <cellStyle name="Input 2 12 2 2 3 3" xfId="41286"/>
    <cellStyle name="Input 2 12 2 2 3 4" xfId="30267"/>
    <cellStyle name="Input 2 12 2 2 4" xfId="19344"/>
    <cellStyle name="Input 2 12 2 2 4 2" xfId="44866"/>
    <cellStyle name="Input 2 12 2 2 4 3" xfId="48772"/>
    <cellStyle name="Input 2 12 2 2 4 4" xfId="36899"/>
    <cellStyle name="Input 2 12 2 2 5" xfId="20772"/>
    <cellStyle name="Input 2 12 2 2 5 2" xfId="46294"/>
    <cellStyle name="Input 2 12 2 2 5 3" xfId="50200"/>
    <cellStyle name="Input 2 12 2 2 5 4" xfId="38164"/>
    <cellStyle name="Input 2 12 2 2 6" xfId="21425"/>
    <cellStyle name="Input 2 12 2 2 6 2" xfId="46947"/>
    <cellStyle name="Input 2 12 2 2 6 3" xfId="50853"/>
    <cellStyle name="Input 2 12 2 2 7" xfId="40750"/>
    <cellStyle name="Input 2 12 2 2 8" xfId="42825"/>
    <cellStyle name="Input 2 12 2 3" xfId="10867"/>
    <cellStyle name="Input 2 12 2 3 2" xfId="18654"/>
    <cellStyle name="Input 2 12 2 3 2 2" xfId="44186"/>
    <cellStyle name="Input 2 12 2 3 2 3" xfId="48095"/>
    <cellStyle name="Input 2 12 2 3 2 4" xfId="36277"/>
    <cellStyle name="Input 2 12 2 3 3" xfId="13331"/>
    <cellStyle name="Input 2 12 2 3 3 2" xfId="42482"/>
    <cellStyle name="Input 2 12 2 3 3 3" xfId="43543"/>
    <cellStyle name="Input 2 12 2 3 3 4" xfId="30957"/>
    <cellStyle name="Input 2 12 2 3 4" xfId="18947"/>
    <cellStyle name="Input 2 12 2 3 4 2" xfId="44469"/>
    <cellStyle name="Input 2 12 2 3 4 3" xfId="48375"/>
    <cellStyle name="Input 2 12 2 3 4 4" xfId="36559"/>
    <cellStyle name="Input 2 12 2 3 5" xfId="21067"/>
    <cellStyle name="Input 2 12 2 3 5 2" xfId="46589"/>
    <cellStyle name="Input 2 12 2 3 5 3" xfId="50495"/>
    <cellStyle name="Input 2 12 2 3 5 4" xfId="38459"/>
    <cellStyle name="Input 2 12 2 3 6" xfId="21720"/>
    <cellStyle name="Input 2 12 2 3 6 2" xfId="47242"/>
    <cellStyle name="Input 2 12 2 3 6 3" xfId="51148"/>
    <cellStyle name="Input 2 12 2 3 7" xfId="41045"/>
    <cellStyle name="Input 2 12 2 3 8" xfId="42572"/>
    <cellStyle name="Input 2 12 2 4" xfId="14827"/>
    <cellStyle name="Input 2 12 2 4 2" xfId="42925"/>
    <cellStyle name="Input 2 12 2 4 3" xfId="40133"/>
    <cellStyle name="Input 2 12 2 4 4" xfId="32448"/>
    <cellStyle name="Input 2 12 2 5" xfId="13097"/>
    <cellStyle name="Input 2 12 2 5 2" xfId="42299"/>
    <cellStyle name="Input 2 12 2 5 3" xfId="40514"/>
    <cellStyle name="Input 2 12 2 5 4" xfId="30732"/>
    <cellStyle name="Input 2 12 2 6" xfId="12609"/>
    <cellStyle name="Input 2 12 2 6 2" xfId="42069"/>
    <cellStyle name="Input 2 12 2 6 3" xfId="40312"/>
    <cellStyle name="Input 2 12 2 6 4" xfId="30260"/>
    <cellStyle name="Input 2 12 2 7" xfId="19461"/>
    <cellStyle name="Input 2 12 2 7 2" xfId="44983"/>
    <cellStyle name="Input 2 12 2 7 3" xfId="48889"/>
    <cellStyle name="Input 2 12 2 7 4" xfId="37005"/>
    <cellStyle name="Input 2 12 2 8" xfId="19970"/>
    <cellStyle name="Input 2 12 2 8 2" xfId="45492"/>
    <cellStyle name="Input 2 12 2 8 3" xfId="49398"/>
    <cellStyle name="Input 2 12 2 9" xfId="39785"/>
    <cellStyle name="Input 2 12 3" xfId="53016"/>
    <cellStyle name="Input 2 13" xfId="1860"/>
    <cellStyle name="Input 2 13 2" xfId="7046"/>
    <cellStyle name="Input 2 13 2 10" xfId="39594"/>
    <cellStyle name="Input 2 13 2 2" xfId="10573"/>
    <cellStyle name="Input 2 13 2 2 2" xfId="18360"/>
    <cellStyle name="Input 2 13 2 2 2 2" xfId="43892"/>
    <cellStyle name="Input 2 13 2 2 2 3" xfId="47801"/>
    <cellStyle name="Input 2 13 2 2 2 4" xfId="35983"/>
    <cellStyle name="Input 2 13 2 2 3" xfId="19741"/>
    <cellStyle name="Input 2 13 2 2 3 2" xfId="45263"/>
    <cellStyle name="Input 2 13 2 2 3 3" xfId="49169"/>
    <cellStyle name="Input 2 13 2 2 3 4" xfId="37254"/>
    <cellStyle name="Input 2 13 2 2 4" xfId="19245"/>
    <cellStyle name="Input 2 13 2 2 4 2" xfId="44767"/>
    <cellStyle name="Input 2 13 2 2 4 3" xfId="48673"/>
    <cellStyle name="Input 2 13 2 2 4 4" xfId="36809"/>
    <cellStyle name="Input 2 13 2 2 5" xfId="20773"/>
    <cellStyle name="Input 2 13 2 2 5 2" xfId="46295"/>
    <cellStyle name="Input 2 13 2 2 5 3" xfId="50201"/>
    <cellStyle name="Input 2 13 2 2 5 4" xfId="38165"/>
    <cellStyle name="Input 2 13 2 2 6" xfId="21426"/>
    <cellStyle name="Input 2 13 2 2 6 2" xfId="46948"/>
    <cellStyle name="Input 2 13 2 2 6 3" xfId="50854"/>
    <cellStyle name="Input 2 13 2 2 7" xfId="40751"/>
    <cellStyle name="Input 2 13 2 2 8" xfId="43714"/>
    <cellStyle name="Input 2 13 2 3" xfId="10868"/>
    <cellStyle name="Input 2 13 2 3 2" xfId="18655"/>
    <cellStyle name="Input 2 13 2 3 2 2" xfId="44187"/>
    <cellStyle name="Input 2 13 2 3 2 3" xfId="48096"/>
    <cellStyle name="Input 2 13 2 3 2 4" xfId="36278"/>
    <cellStyle name="Input 2 13 2 3 3" xfId="12165"/>
    <cellStyle name="Input 2 13 2 3 3 2" xfId="41890"/>
    <cellStyle name="Input 2 13 2 3 3 3" xfId="39295"/>
    <cellStyle name="Input 2 13 2 3 3 4" xfId="29823"/>
    <cellStyle name="Input 2 13 2 3 4" xfId="20345"/>
    <cellStyle name="Input 2 13 2 3 4 2" xfId="45867"/>
    <cellStyle name="Input 2 13 2 3 4 3" xfId="49773"/>
    <cellStyle name="Input 2 13 2 3 4 4" xfId="37787"/>
    <cellStyle name="Input 2 13 2 3 5" xfId="21068"/>
    <cellStyle name="Input 2 13 2 3 5 2" xfId="46590"/>
    <cellStyle name="Input 2 13 2 3 5 3" xfId="50496"/>
    <cellStyle name="Input 2 13 2 3 5 4" xfId="38460"/>
    <cellStyle name="Input 2 13 2 3 6" xfId="21721"/>
    <cellStyle name="Input 2 13 2 3 6 2" xfId="47243"/>
    <cellStyle name="Input 2 13 2 3 6 3" xfId="51149"/>
    <cellStyle name="Input 2 13 2 3 7" xfId="41046"/>
    <cellStyle name="Input 2 13 2 3 8" xfId="43485"/>
    <cellStyle name="Input 2 13 2 4" xfId="14828"/>
    <cellStyle name="Input 2 13 2 4 2" xfId="42926"/>
    <cellStyle name="Input 2 13 2 4 3" xfId="39247"/>
    <cellStyle name="Input 2 13 2 4 4" xfId="32449"/>
    <cellStyle name="Input 2 13 2 5" xfId="13098"/>
    <cellStyle name="Input 2 13 2 5 2" xfId="42300"/>
    <cellStyle name="Input 2 13 2 5 3" xfId="39624"/>
    <cellStyle name="Input 2 13 2 5 4" xfId="30733"/>
    <cellStyle name="Input 2 13 2 6" xfId="19634"/>
    <cellStyle name="Input 2 13 2 6 2" xfId="45156"/>
    <cellStyle name="Input 2 13 2 6 3" xfId="49062"/>
    <cellStyle name="Input 2 13 2 6 4" xfId="37156"/>
    <cellStyle name="Input 2 13 2 7" xfId="20454"/>
    <cellStyle name="Input 2 13 2 7 2" xfId="45976"/>
    <cellStyle name="Input 2 13 2 7 3" xfId="49882"/>
    <cellStyle name="Input 2 13 2 7 4" xfId="37893"/>
    <cellStyle name="Input 2 13 2 8" xfId="12858"/>
    <cellStyle name="Input 2 13 2 8 2" xfId="42222"/>
    <cellStyle name="Input 2 13 2 8 3" xfId="43443"/>
    <cellStyle name="Input 2 13 2 9" xfId="39786"/>
    <cellStyle name="Input 2 13 3" xfId="22430"/>
    <cellStyle name="Input 2 14" xfId="1861"/>
    <cellStyle name="Input 2 14 2" xfId="7047"/>
    <cellStyle name="Input 2 14 2 10" xfId="42602"/>
    <cellStyle name="Input 2 14 2 2" xfId="10574"/>
    <cellStyle name="Input 2 14 2 2 2" xfId="18361"/>
    <cellStyle name="Input 2 14 2 2 2 2" xfId="43893"/>
    <cellStyle name="Input 2 14 2 2 2 3" xfId="47802"/>
    <cellStyle name="Input 2 14 2 2 2 4" xfId="35984"/>
    <cellStyle name="Input 2 14 2 2 3" xfId="11487"/>
    <cellStyle name="Input 2 14 2 2 3 2" xfId="41478"/>
    <cellStyle name="Input 2 14 2 2 3 3" xfId="41368"/>
    <cellStyle name="Input 2 14 2 2 3 4" xfId="29188"/>
    <cellStyle name="Input 2 14 2 2 4" xfId="20082"/>
    <cellStyle name="Input 2 14 2 2 4 2" xfId="45604"/>
    <cellStyle name="Input 2 14 2 2 4 3" xfId="49510"/>
    <cellStyle name="Input 2 14 2 2 4 4" xfId="37558"/>
    <cellStyle name="Input 2 14 2 2 5" xfId="20774"/>
    <cellStyle name="Input 2 14 2 2 5 2" xfId="46296"/>
    <cellStyle name="Input 2 14 2 2 5 3" xfId="50202"/>
    <cellStyle name="Input 2 14 2 2 5 4" xfId="38166"/>
    <cellStyle name="Input 2 14 2 2 6" xfId="21427"/>
    <cellStyle name="Input 2 14 2 2 6 2" xfId="46949"/>
    <cellStyle name="Input 2 14 2 2 6 3" xfId="50855"/>
    <cellStyle name="Input 2 14 2 2 7" xfId="40752"/>
    <cellStyle name="Input 2 14 2 2 8" xfId="40573"/>
    <cellStyle name="Input 2 14 2 3" xfId="10869"/>
    <cellStyle name="Input 2 14 2 3 2" xfId="18656"/>
    <cellStyle name="Input 2 14 2 3 2 2" xfId="44188"/>
    <cellStyle name="Input 2 14 2 3 2 3" xfId="48097"/>
    <cellStyle name="Input 2 14 2 3 2 4" xfId="36279"/>
    <cellStyle name="Input 2 14 2 3 3" xfId="13332"/>
    <cellStyle name="Input 2 14 2 3 3 2" xfId="42483"/>
    <cellStyle name="Input 2 14 2 3 3 3" xfId="40404"/>
    <cellStyle name="Input 2 14 2 3 3 4" xfId="30958"/>
    <cellStyle name="Input 2 14 2 3 4" xfId="11606"/>
    <cellStyle name="Input 2 14 2 3 4 2" xfId="41597"/>
    <cellStyle name="Input 2 14 2 3 4 3" xfId="40043"/>
    <cellStyle name="Input 2 14 2 3 4 4" xfId="29295"/>
    <cellStyle name="Input 2 14 2 3 5" xfId="21069"/>
    <cellStyle name="Input 2 14 2 3 5 2" xfId="46591"/>
    <cellStyle name="Input 2 14 2 3 5 3" xfId="50497"/>
    <cellStyle name="Input 2 14 2 3 5 4" xfId="38461"/>
    <cellStyle name="Input 2 14 2 3 6" xfId="21722"/>
    <cellStyle name="Input 2 14 2 3 6 2" xfId="47244"/>
    <cellStyle name="Input 2 14 2 3 6 3" xfId="51150"/>
    <cellStyle name="Input 2 14 2 3 7" xfId="41047"/>
    <cellStyle name="Input 2 14 2 3 8" xfId="40348"/>
    <cellStyle name="Input 2 14 2 4" xfId="14829"/>
    <cellStyle name="Input 2 14 2 4 2" xfId="42927"/>
    <cellStyle name="Input 2 14 2 4 3" xfId="39034"/>
    <cellStyle name="Input 2 14 2 4 4" xfId="32450"/>
    <cellStyle name="Input 2 14 2 5" xfId="11285"/>
    <cellStyle name="Input 2 14 2 5 2" xfId="41312"/>
    <cellStyle name="Input 2 14 2 5 3" xfId="43473"/>
    <cellStyle name="Input 2 14 2 5 4" xfId="28999"/>
    <cellStyle name="Input 2 14 2 6" xfId="20379"/>
    <cellStyle name="Input 2 14 2 6 2" xfId="45901"/>
    <cellStyle name="Input 2 14 2 6 3" xfId="49807"/>
    <cellStyle name="Input 2 14 2 6 4" xfId="37819"/>
    <cellStyle name="Input 2 14 2 7" xfId="19140"/>
    <cellStyle name="Input 2 14 2 7 2" xfId="44662"/>
    <cellStyle name="Input 2 14 2 7 3" xfId="48568"/>
    <cellStyle name="Input 2 14 2 7 4" xfId="36720"/>
    <cellStyle name="Input 2 14 2 8" xfId="19347"/>
    <cellStyle name="Input 2 14 2 8 2" xfId="44869"/>
    <cellStyle name="Input 2 14 2 8 3" xfId="48775"/>
    <cellStyle name="Input 2 14 2 9" xfId="39787"/>
    <cellStyle name="Input 2 14 3" xfId="53017"/>
    <cellStyle name="Input 2 15" xfId="4228"/>
    <cellStyle name="Input 2 15 2" xfId="7048"/>
    <cellStyle name="Input 2 15 2 10" xfId="43515"/>
    <cellStyle name="Input 2 15 2 2" xfId="10575"/>
    <cellStyle name="Input 2 15 2 2 2" xfId="18362"/>
    <cellStyle name="Input 2 15 2 2 2 2" xfId="43894"/>
    <cellStyle name="Input 2 15 2 2 2 3" xfId="47803"/>
    <cellStyle name="Input 2 15 2 2 2 4" xfId="35985"/>
    <cellStyle name="Input 2 15 2 2 3" xfId="19601"/>
    <cellStyle name="Input 2 15 2 2 3 2" xfId="45123"/>
    <cellStyle name="Input 2 15 2 2 3 3" xfId="49029"/>
    <cellStyle name="Input 2 15 2 2 3 4" xfId="37127"/>
    <cellStyle name="Input 2 15 2 2 4" xfId="12049"/>
    <cellStyle name="Input 2 15 2 2 4 2" xfId="41783"/>
    <cellStyle name="Input 2 15 2 2 4 3" xfId="41901"/>
    <cellStyle name="Input 2 15 2 2 4 4" xfId="29714"/>
    <cellStyle name="Input 2 15 2 2 5" xfId="20775"/>
    <cellStyle name="Input 2 15 2 2 5 2" xfId="46297"/>
    <cellStyle name="Input 2 15 2 2 5 3" xfId="50203"/>
    <cellStyle name="Input 2 15 2 2 5 4" xfId="38167"/>
    <cellStyle name="Input 2 15 2 2 6" xfId="21428"/>
    <cellStyle name="Input 2 15 2 2 6 2" xfId="46950"/>
    <cellStyle name="Input 2 15 2 2 6 3" xfId="50856"/>
    <cellStyle name="Input 2 15 2 2 7" xfId="40753"/>
    <cellStyle name="Input 2 15 2 2 8" xfId="39684"/>
    <cellStyle name="Input 2 15 2 3" xfId="10870"/>
    <cellStyle name="Input 2 15 2 3 2" xfId="18657"/>
    <cellStyle name="Input 2 15 2 3 2 2" xfId="44189"/>
    <cellStyle name="Input 2 15 2 3 2 3" xfId="48098"/>
    <cellStyle name="Input 2 15 2 3 2 4" xfId="36280"/>
    <cellStyle name="Input 2 15 2 3 3" xfId="12166"/>
    <cellStyle name="Input 2 15 2 3 3 2" xfId="41891"/>
    <cellStyle name="Input 2 15 2 3 3 3" xfId="41961"/>
    <cellStyle name="Input 2 15 2 3 3 4" xfId="29824"/>
    <cellStyle name="Input 2 15 2 3 4" xfId="11607"/>
    <cellStyle name="Input 2 15 2 3 4 2" xfId="41598"/>
    <cellStyle name="Input 2 15 2 3 4 3" xfId="42788"/>
    <cellStyle name="Input 2 15 2 3 4 4" xfId="29296"/>
    <cellStyle name="Input 2 15 2 3 5" xfId="21070"/>
    <cellStyle name="Input 2 15 2 3 5 2" xfId="46592"/>
    <cellStyle name="Input 2 15 2 3 5 3" xfId="50498"/>
    <cellStyle name="Input 2 15 2 3 5 4" xfId="38462"/>
    <cellStyle name="Input 2 15 2 3 6" xfId="21723"/>
    <cellStyle name="Input 2 15 2 3 6 2" xfId="47245"/>
    <cellStyle name="Input 2 15 2 3 6 3" xfId="51151"/>
    <cellStyle name="Input 2 15 2 3 7" xfId="41048"/>
    <cellStyle name="Input 2 15 2 3 8" xfId="39460"/>
    <cellStyle name="Input 2 15 2 4" xfId="14830"/>
    <cellStyle name="Input 2 15 2 4 2" xfId="42928"/>
    <cellStyle name="Input 2 15 2 4 3" xfId="41261"/>
    <cellStyle name="Input 2 15 2 4 4" xfId="32451"/>
    <cellStyle name="Input 2 15 2 5" xfId="12464"/>
    <cellStyle name="Input 2 15 2 5 2" xfId="41966"/>
    <cellStyle name="Input 2 15 2 5 3" xfId="41287"/>
    <cellStyle name="Input 2 15 2 5 4" xfId="30121"/>
    <cellStyle name="Input 2 15 2 6" xfId="11334"/>
    <cellStyle name="Input 2 15 2 6 2" xfId="41353"/>
    <cellStyle name="Input 2 15 2 6 3" xfId="42798"/>
    <cellStyle name="Input 2 15 2 6 4" xfId="29046"/>
    <cellStyle name="Input 2 15 2 7" xfId="19064"/>
    <cellStyle name="Input 2 15 2 7 2" xfId="44586"/>
    <cellStyle name="Input 2 15 2 7 3" xfId="48492"/>
    <cellStyle name="Input 2 15 2 7 4" xfId="36646"/>
    <cellStyle name="Input 2 15 2 8" xfId="11655"/>
    <cellStyle name="Input 2 15 2 8 2" xfId="41646"/>
    <cellStyle name="Input 2 15 2 8 3" xfId="39135"/>
    <cellStyle name="Input 2 15 2 9" xfId="39788"/>
    <cellStyle name="Input 2 16" xfId="4229"/>
    <cellStyle name="Input 2 16 2" xfId="7049"/>
    <cellStyle name="Input 2 16 2 10" xfId="40378"/>
    <cellStyle name="Input 2 16 2 2" xfId="10576"/>
    <cellStyle name="Input 2 16 2 2 2" xfId="18363"/>
    <cellStyle name="Input 2 16 2 2 2 2" xfId="43895"/>
    <cellStyle name="Input 2 16 2 2 2 3" xfId="47804"/>
    <cellStyle name="Input 2 16 2 2 2 4" xfId="35986"/>
    <cellStyle name="Input 2 16 2 2 3" xfId="20156"/>
    <cellStyle name="Input 2 16 2 2 3 2" xfId="45678"/>
    <cellStyle name="Input 2 16 2 2 3 3" xfId="49584"/>
    <cellStyle name="Input 2 16 2 2 3 4" xfId="37628"/>
    <cellStyle name="Input 2 16 2 2 4" xfId="11614"/>
    <cellStyle name="Input 2 16 2 2 4 2" xfId="41605"/>
    <cellStyle name="Input 2 16 2 2 4 3" xfId="39542"/>
    <cellStyle name="Input 2 16 2 2 4 4" xfId="29303"/>
    <cellStyle name="Input 2 16 2 2 5" xfId="20776"/>
    <cellStyle name="Input 2 16 2 2 5 2" xfId="46298"/>
    <cellStyle name="Input 2 16 2 2 5 3" xfId="50204"/>
    <cellStyle name="Input 2 16 2 2 5 4" xfId="38168"/>
    <cellStyle name="Input 2 16 2 2 6" xfId="21429"/>
    <cellStyle name="Input 2 16 2 2 6 2" xfId="46951"/>
    <cellStyle name="Input 2 16 2 2 6 3" xfId="50857"/>
    <cellStyle name="Input 2 16 2 2 7" xfId="40754"/>
    <cellStyle name="Input 2 16 2 2 8" xfId="42721"/>
    <cellStyle name="Input 2 16 2 3" xfId="10871"/>
    <cellStyle name="Input 2 16 2 3 2" xfId="18658"/>
    <cellStyle name="Input 2 16 2 3 2 2" xfId="44190"/>
    <cellStyle name="Input 2 16 2 3 2 3" xfId="48099"/>
    <cellStyle name="Input 2 16 2 3 2 4" xfId="36281"/>
    <cellStyle name="Input 2 16 2 3 3" xfId="12167"/>
    <cellStyle name="Input 2 16 2 3 3 2" xfId="41892"/>
    <cellStyle name="Input 2 16 2 3 3 3" xfId="43310"/>
    <cellStyle name="Input 2 16 2 3 3 4" xfId="29825"/>
    <cellStyle name="Input 2 16 2 3 4" xfId="18945"/>
    <cellStyle name="Input 2 16 2 3 4 2" xfId="44467"/>
    <cellStyle name="Input 2 16 2 3 4 3" xfId="48373"/>
    <cellStyle name="Input 2 16 2 3 4 4" xfId="36557"/>
    <cellStyle name="Input 2 16 2 3 5" xfId="21071"/>
    <cellStyle name="Input 2 16 2 3 5 2" xfId="46593"/>
    <cellStyle name="Input 2 16 2 3 5 3" xfId="50499"/>
    <cellStyle name="Input 2 16 2 3 5 4" xfId="38463"/>
    <cellStyle name="Input 2 16 2 3 6" xfId="21724"/>
    <cellStyle name="Input 2 16 2 3 6 2" xfId="47246"/>
    <cellStyle name="Input 2 16 2 3 6 3" xfId="51152"/>
    <cellStyle name="Input 2 16 2 3 7" xfId="41049"/>
    <cellStyle name="Input 2 16 2 3 8" xfId="42028"/>
    <cellStyle name="Input 2 16 2 4" xfId="14831"/>
    <cellStyle name="Input 2 16 2 4 2" xfId="42929"/>
    <cellStyle name="Input 2 16 2 4 3" xfId="43154"/>
    <cellStyle name="Input 2 16 2 4 4" xfId="32452"/>
    <cellStyle name="Input 2 16 2 5" xfId="12465"/>
    <cellStyle name="Input 2 16 2 5 2" xfId="41967"/>
    <cellStyle name="Input 2 16 2 5 3" xfId="43174"/>
    <cellStyle name="Input 2 16 2 5 4" xfId="30122"/>
    <cellStyle name="Input 2 16 2 6" xfId="19764"/>
    <cellStyle name="Input 2 16 2 6 2" xfId="45286"/>
    <cellStyle name="Input 2 16 2 6 3" xfId="49192"/>
    <cellStyle name="Input 2 16 2 6 4" xfId="37277"/>
    <cellStyle name="Input 2 16 2 7" xfId="20354"/>
    <cellStyle name="Input 2 16 2 7 2" xfId="45876"/>
    <cellStyle name="Input 2 16 2 7 3" xfId="49782"/>
    <cellStyle name="Input 2 16 2 7 4" xfId="37796"/>
    <cellStyle name="Input 2 16 2 8" xfId="19789"/>
    <cellStyle name="Input 2 16 2 8 2" xfId="45311"/>
    <cellStyle name="Input 2 16 2 8 3" xfId="49217"/>
    <cellStyle name="Input 2 16 2 9" xfId="39789"/>
    <cellStyle name="Input 2 17" xfId="4230"/>
    <cellStyle name="Input 2 17 2" xfId="10454"/>
    <cellStyle name="Input 2 17 2 2" xfId="18241"/>
    <cellStyle name="Input 2 17 2 2 2" xfId="43773"/>
    <cellStyle name="Input 2 17 2 2 3" xfId="47682"/>
    <cellStyle name="Input 2 17 2 2 4" xfId="35864"/>
    <cellStyle name="Input 2 17 2 3" xfId="11476"/>
    <cellStyle name="Input 2 17 2 3 2" xfId="41467"/>
    <cellStyle name="Input 2 17 2 3 3" xfId="40438"/>
    <cellStyle name="Input 2 17 2 3 4" xfId="29177"/>
    <cellStyle name="Input 2 17 2 4" xfId="12673"/>
    <cellStyle name="Input 2 17 2 4 2" xfId="42133"/>
    <cellStyle name="Input 2 17 2 4 3" xfId="40161"/>
    <cellStyle name="Input 2 17 2 4 4" xfId="30321"/>
    <cellStyle name="Input 2 17 2 5" xfId="20654"/>
    <cellStyle name="Input 2 17 2 5 2" xfId="46176"/>
    <cellStyle name="Input 2 17 2 5 3" xfId="50082"/>
    <cellStyle name="Input 2 17 2 5 4" xfId="38046"/>
    <cellStyle name="Input 2 17 2 6" xfId="21307"/>
    <cellStyle name="Input 2 17 2 6 2" xfId="46829"/>
    <cellStyle name="Input 2 17 2 6 3" xfId="50735"/>
    <cellStyle name="Input 2 17 2 7" xfId="40632"/>
    <cellStyle name="Input 2 17 2 8" xfId="43719"/>
    <cellStyle name="Input 2 17 3" xfId="8457"/>
    <cellStyle name="Input 2 17 3 2" xfId="16247"/>
    <cellStyle name="Input 2 17 3 2 2" xfId="43382"/>
    <cellStyle name="Input 2 17 3 2 3" xfId="40490"/>
    <cellStyle name="Input 2 17 3 2 4" xfId="33868"/>
    <cellStyle name="Input 2 17 3 3" xfId="13283"/>
    <cellStyle name="Input 2 17 3 3 2" xfId="42434"/>
    <cellStyle name="Input 2 17 3 3 3" xfId="41936"/>
    <cellStyle name="Input 2 17 3 3 4" xfId="30914"/>
    <cellStyle name="Input 2 17 3 4" xfId="11782"/>
    <cellStyle name="Input 2 17 3 4 2" xfId="41715"/>
    <cellStyle name="Input 2 17 3 4 3" xfId="39127"/>
    <cellStyle name="Input 2 17 3 4 4" xfId="29454"/>
    <cellStyle name="Input 2 17 3 5" xfId="20062"/>
    <cellStyle name="Input 2 17 3 5 2" xfId="45584"/>
    <cellStyle name="Input 2 17 3 5 3" xfId="49490"/>
    <cellStyle name="Input 2 17 3 5 4" xfId="37542"/>
    <cellStyle name="Input 2 17 3 6" xfId="12784"/>
    <cellStyle name="Input 2 17 3 6 2" xfId="42186"/>
    <cellStyle name="Input 2 17 3 6 3" xfId="39281"/>
    <cellStyle name="Input 2 17 3 7" xfId="40244"/>
    <cellStyle name="Input 2 17 3 8" xfId="39202"/>
    <cellStyle name="Input 2 18" xfId="7042"/>
    <cellStyle name="Input 2 18 10" xfId="39938"/>
    <cellStyle name="Input 2 18 2" xfId="10569"/>
    <cellStyle name="Input 2 18 2 2" xfId="18356"/>
    <cellStyle name="Input 2 18 2 2 2" xfId="43888"/>
    <cellStyle name="Input 2 18 2 2 3" xfId="47797"/>
    <cellStyle name="Input 2 18 2 2 4" xfId="35979"/>
    <cellStyle name="Input 2 18 2 3" xfId="11486"/>
    <cellStyle name="Input 2 18 2 3 2" xfId="41477"/>
    <cellStyle name="Input 2 18 2 3 3" xfId="39144"/>
    <cellStyle name="Input 2 18 2 3 4" xfId="29187"/>
    <cellStyle name="Input 2 18 2 4" xfId="18970"/>
    <cellStyle name="Input 2 18 2 4 2" xfId="44492"/>
    <cellStyle name="Input 2 18 2 4 3" xfId="48398"/>
    <cellStyle name="Input 2 18 2 4 4" xfId="36580"/>
    <cellStyle name="Input 2 18 2 5" xfId="20769"/>
    <cellStyle name="Input 2 18 2 5 2" xfId="46291"/>
    <cellStyle name="Input 2 18 2 5 3" xfId="50197"/>
    <cellStyle name="Input 2 18 2 5 4" xfId="38161"/>
    <cellStyle name="Input 2 18 2 6" xfId="21422"/>
    <cellStyle name="Input 2 18 2 6 2" xfId="46944"/>
    <cellStyle name="Input 2 18 2 6 3" xfId="50850"/>
    <cellStyle name="Input 2 18 2 7" xfId="40747"/>
    <cellStyle name="Input 2 18 2 8" xfId="41414"/>
    <cellStyle name="Input 2 18 3" xfId="10864"/>
    <cellStyle name="Input 2 18 3 2" xfId="18651"/>
    <cellStyle name="Input 2 18 3 2 2" xfId="44183"/>
    <cellStyle name="Input 2 18 3 2 3" xfId="48092"/>
    <cellStyle name="Input 2 18 3 2 4" xfId="36274"/>
    <cellStyle name="Input 2 18 3 3" xfId="11511"/>
    <cellStyle name="Input 2 18 3 3 2" xfId="41502"/>
    <cellStyle name="Input 2 18 3 3 3" xfId="43682"/>
    <cellStyle name="Input 2 18 3 3 4" xfId="29212"/>
    <cellStyle name="Input 2 18 3 4" xfId="18968"/>
    <cellStyle name="Input 2 18 3 4 2" xfId="44490"/>
    <cellStyle name="Input 2 18 3 4 3" xfId="48396"/>
    <cellStyle name="Input 2 18 3 4 4" xfId="36578"/>
    <cellStyle name="Input 2 18 3 5" xfId="21064"/>
    <cellStyle name="Input 2 18 3 5 2" xfId="46586"/>
    <cellStyle name="Input 2 18 3 5 3" xfId="50492"/>
    <cellStyle name="Input 2 18 3 5 4" xfId="38456"/>
    <cellStyle name="Input 2 18 3 6" xfId="21717"/>
    <cellStyle name="Input 2 18 3 6 2" xfId="47239"/>
    <cellStyle name="Input 2 18 3 6 3" xfId="51145"/>
    <cellStyle name="Input 2 18 3 7" xfId="41042"/>
    <cellStyle name="Input 2 18 3 8" xfId="43596"/>
    <cellStyle name="Input 2 18 4" xfId="14824"/>
    <cellStyle name="Input 2 18 4 2" xfId="42922"/>
    <cellStyle name="Input 2 18 4 3" xfId="39405"/>
    <cellStyle name="Input 2 18 4 4" xfId="32445"/>
    <cellStyle name="Input 2 18 5" xfId="13094"/>
    <cellStyle name="Input 2 18 5 2" xfId="42296"/>
    <cellStyle name="Input 2 18 5 3" xfId="40026"/>
    <cellStyle name="Input 2 18 5 4" xfId="30729"/>
    <cellStyle name="Input 2 18 6" xfId="11842"/>
    <cellStyle name="Input 2 18 6 2" xfId="41740"/>
    <cellStyle name="Input 2 18 6 3" xfId="47562"/>
    <cellStyle name="Input 2 18 6 4" xfId="29512"/>
    <cellStyle name="Input 2 18 7" xfId="19348"/>
    <cellStyle name="Input 2 18 7 2" xfId="44870"/>
    <cellStyle name="Input 2 18 7 3" xfId="48776"/>
    <cellStyle name="Input 2 18 7 4" xfId="36902"/>
    <cellStyle name="Input 2 18 8" xfId="20606"/>
    <cellStyle name="Input 2 18 8 2" xfId="46128"/>
    <cellStyle name="Input 2 18 8 3" xfId="50034"/>
    <cellStyle name="Input 2 18 9" xfId="39782"/>
    <cellStyle name="Input 2 19" xfId="1856"/>
    <cellStyle name="Input 2 2" xfId="1862"/>
    <cellStyle name="Input 2 2 2" xfId="1863"/>
    <cellStyle name="Input 2 2 2 2" xfId="7051"/>
    <cellStyle name="Input 2 2 2 2 10" xfId="42171"/>
    <cellStyle name="Input 2 2 2 2 2" xfId="10578"/>
    <cellStyle name="Input 2 2 2 2 2 2" xfId="18365"/>
    <cellStyle name="Input 2 2 2 2 2 2 2" xfId="43897"/>
    <cellStyle name="Input 2 2 2 2 2 2 3" xfId="47806"/>
    <cellStyle name="Input 2 2 2 2 2 2 4" xfId="35988"/>
    <cellStyle name="Input 2 2 2 2 2 3" xfId="20022"/>
    <cellStyle name="Input 2 2 2 2 2 3 2" xfId="45544"/>
    <cellStyle name="Input 2 2 2 2 2 3 3" xfId="49450"/>
    <cellStyle name="Input 2 2 2 2 2 3 4" xfId="37506"/>
    <cellStyle name="Input 2 2 2 2 2 4" xfId="20279"/>
    <cellStyle name="Input 2 2 2 2 2 4 2" xfId="45801"/>
    <cellStyle name="Input 2 2 2 2 2 4 3" xfId="49707"/>
    <cellStyle name="Input 2 2 2 2 2 4 4" xfId="37732"/>
    <cellStyle name="Input 2 2 2 2 2 5" xfId="20778"/>
    <cellStyle name="Input 2 2 2 2 2 5 2" xfId="46300"/>
    <cellStyle name="Input 2 2 2 2 2 5 3" xfId="50206"/>
    <cellStyle name="Input 2 2 2 2 2 5 4" xfId="38170"/>
    <cellStyle name="Input 2 2 2 2 2 6" xfId="21431"/>
    <cellStyle name="Input 2 2 2 2 2 6 2" xfId="46953"/>
    <cellStyle name="Input 2 2 2 2 2 6 3" xfId="50859"/>
    <cellStyle name="Input 2 2 2 2 2 7" xfId="40756"/>
    <cellStyle name="Input 2 2 2 2 2 8" xfId="40468"/>
    <cellStyle name="Input 2 2 2 2 3" xfId="10873"/>
    <cellStyle name="Input 2 2 2 2 3 2" xfId="18660"/>
    <cellStyle name="Input 2 2 2 2 3 2 2" xfId="44192"/>
    <cellStyle name="Input 2 2 2 2 3 2 3" xfId="48101"/>
    <cellStyle name="Input 2 2 2 2 3 2 4" xfId="36283"/>
    <cellStyle name="Input 2 2 2 2 3 3" xfId="13334"/>
    <cellStyle name="Input 2 2 2 2 3 3 2" xfId="42485"/>
    <cellStyle name="Input 2 2 2 2 3 3 3" xfId="42521"/>
    <cellStyle name="Input 2 2 2 2 3 3 4" xfId="30960"/>
    <cellStyle name="Input 2 2 2 2 3 4" xfId="11608"/>
    <cellStyle name="Input 2 2 2 2 3 4 2" xfId="41599"/>
    <cellStyle name="Input 2 2 2 2 3 4 3" xfId="43677"/>
    <cellStyle name="Input 2 2 2 2 3 4 4" xfId="29297"/>
    <cellStyle name="Input 2 2 2 2 3 5" xfId="21073"/>
    <cellStyle name="Input 2 2 2 2 3 5 2" xfId="46595"/>
    <cellStyle name="Input 2 2 2 2 3 5 3" xfId="50501"/>
    <cellStyle name="Input 2 2 2 2 3 5 4" xfId="38465"/>
    <cellStyle name="Input 2 2 2 2 3 6" xfId="21726"/>
    <cellStyle name="Input 2 2 2 2 3 6 2" xfId="47248"/>
    <cellStyle name="Input 2 2 2 2 3 6 3" xfId="51154"/>
    <cellStyle name="Input 2 2 2 2 3 7" xfId="41051"/>
    <cellStyle name="Input 2 2 2 2 3 8" xfId="40209"/>
    <cellStyle name="Input 2 2 2 2 4" xfId="14833"/>
    <cellStyle name="Input 2 2 2 2 4 2" xfId="42931"/>
    <cellStyle name="Input 2 2 2 2 4 3" xfId="42754"/>
    <cellStyle name="Input 2 2 2 2 4 4" xfId="32454"/>
    <cellStyle name="Input 2 2 2 2 5" xfId="13100"/>
    <cellStyle name="Input 2 2 2 2 5 2" xfId="42302"/>
    <cellStyle name="Input 2 2 2 2 5 3" xfId="43549"/>
    <cellStyle name="Input 2 2 2 2 5 4" xfId="30735"/>
    <cellStyle name="Input 2 2 2 2 6" xfId="20264"/>
    <cellStyle name="Input 2 2 2 2 6 2" xfId="45786"/>
    <cellStyle name="Input 2 2 2 2 6 3" xfId="49692"/>
    <cellStyle name="Input 2 2 2 2 6 4" xfId="37718"/>
    <cellStyle name="Input 2 2 2 2 7" xfId="11563"/>
    <cellStyle name="Input 2 2 2 2 7 2" xfId="41554"/>
    <cellStyle name="Input 2 2 2 2 7 3" xfId="43187"/>
    <cellStyle name="Input 2 2 2 2 7 4" xfId="29260"/>
    <cellStyle name="Input 2 2 2 2 8" xfId="19483"/>
    <cellStyle name="Input 2 2 2 2 8 2" xfId="45005"/>
    <cellStyle name="Input 2 2 2 2 8 3" xfId="48911"/>
    <cellStyle name="Input 2 2 2 2 9" xfId="39791"/>
    <cellStyle name="Input 2 2 2 3" xfId="53019"/>
    <cellStyle name="Input 2 2 3" xfId="1864"/>
    <cellStyle name="Input 2 2 3 2" xfId="7052"/>
    <cellStyle name="Input 2 2 3 2 10" xfId="43398"/>
    <cellStyle name="Input 2 2 3 2 2" xfId="10579"/>
    <cellStyle name="Input 2 2 3 2 2 2" xfId="18366"/>
    <cellStyle name="Input 2 2 3 2 2 2 2" xfId="43898"/>
    <cellStyle name="Input 2 2 3 2 2 2 3" xfId="47807"/>
    <cellStyle name="Input 2 2 3 2 2 2 4" xfId="35989"/>
    <cellStyle name="Input 2 2 3 2 2 3" xfId="19288"/>
    <cellStyle name="Input 2 2 3 2 2 3 2" xfId="44810"/>
    <cellStyle name="Input 2 2 3 2 2 3 3" xfId="48716"/>
    <cellStyle name="Input 2 2 3 2 2 3 4" xfId="36852"/>
    <cellStyle name="Input 2 2 3 2 2 4" xfId="19223"/>
    <cellStyle name="Input 2 2 3 2 2 4 2" xfId="44745"/>
    <cellStyle name="Input 2 2 3 2 2 4 3" xfId="48651"/>
    <cellStyle name="Input 2 2 3 2 2 4 4" xfId="36790"/>
    <cellStyle name="Input 2 2 3 2 2 5" xfId="20779"/>
    <cellStyle name="Input 2 2 3 2 2 5 2" xfId="46301"/>
    <cellStyle name="Input 2 2 3 2 2 5 3" xfId="50207"/>
    <cellStyle name="Input 2 2 3 2 2 5 4" xfId="38171"/>
    <cellStyle name="Input 2 2 3 2 2 6" xfId="21432"/>
    <cellStyle name="Input 2 2 3 2 2 6 2" xfId="46954"/>
    <cellStyle name="Input 2 2 3 2 2 6 3" xfId="50860"/>
    <cellStyle name="Input 2 2 3 2 2 7" xfId="40757"/>
    <cellStyle name="Input 2 2 3 2 2 8" xfId="39578"/>
    <cellStyle name="Input 2 2 3 2 3" xfId="10874"/>
    <cellStyle name="Input 2 2 3 2 3 2" xfId="18661"/>
    <cellStyle name="Input 2 2 3 2 3 2 2" xfId="44193"/>
    <cellStyle name="Input 2 2 3 2 3 2 3" xfId="48102"/>
    <cellStyle name="Input 2 2 3 2 3 2 4" xfId="36284"/>
    <cellStyle name="Input 2 2 3 2 3 3" xfId="12169"/>
    <cellStyle name="Input 2 2 3 2 3 3 2" xfId="41894"/>
    <cellStyle name="Input 2 2 3 2 3 3 3" xfId="39294"/>
    <cellStyle name="Input 2 2 3 2 3 3 4" xfId="29827"/>
    <cellStyle name="Input 2 2 3 2 3 4" xfId="20348"/>
    <cellStyle name="Input 2 2 3 2 3 4 2" xfId="45870"/>
    <cellStyle name="Input 2 2 3 2 3 4 3" xfId="49776"/>
    <cellStyle name="Input 2 2 3 2 3 4 4" xfId="37790"/>
    <cellStyle name="Input 2 2 3 2 3 5" xfId="21074"/>
    <cellStyle name="Input 2 2 3 2 3 5 2" xfId="46596"/>
    <cellStyle name="Input 2 2 3 2 3 5 3" xfId="50502"/>
    <cellStyle name="Input 2 2 3 2 3 5 4" xfId="38466"/>
    <cellStyle name="Input 2 2 3 2 3 6" xfId="21727"/>
    <cellStyle name="Input 2 2 3 2 3 6 2" xfId="47249"/>
    <cellStyle name="Input 2 2 3 2 3 6 3" xfId="51155"/>
    <cellStyle name="Input 2 2 3 2 3 7" xfId="41052"/>
    <cellStyle name="Input 2 2 3 2 3 8" xfId="39349"/>
    <cellStyle name="Input 2 2 3 2 4" xfId="14834"/>
    <cellStyle name="Input 2 2 3 2 4 2" xfId="42932"/>
    <cellStyle name="Input 2 2 3 2 4 3" xfId="43641"/>
    <cellStyle name="Input 2 2 3 2 4 4" xfId="32455"/>
    <cellStyle name="Input 2 2 3 2 5" xfId="13101"/>
    <cellStyle name="Input 2 2 3 2 5 2" xfId="42303"/>
    <cellStyle name="Input 2 2 3 2 5 3" xfId="40410"/>
    <cellStyle name="Input 2 2 3 2 5 4" xfId="30736"/>
    <cellStyle name="Input 2 2 3 2 6" xfId="19153"/>
    <cellStyle name="Input 2 2 3 2 6 2" xfId="44675"/>
    <cellStyle name="Input 2 2 3 2 6 3" xfId="48581"/>
    <cellStyle name="Input 2 2 3 2 6 4" xfId="36731"/>
    <cellStyle name="Input 2 2 3 2 7" xfId="11686"/>
    <cellStyle name="Input 2 2 3 2 7 2" xfId="41673"/>
    <cellStyle name="Input 2 2 3 2 7 3" xfId="43568"/>
    <cellStyle name="Input 2 2 3 2 7 4" xfId="29365"/>
    <cellStyle name="Input 2 2 3 2 8" xfId="20603"/>
    <cellStyle name="Input 2 2 3 2 8 2" xfId="46125"/>
    <cellStyle name="Input 2 2 3 2 8 3" xfId="50031"/>
    <cellStyle name="Input 2 2 3 2 9" xfId="39792"/>
    <cellStyle name="Input 2 2 3 3" xfId="22909"/>
    <cellStyle name="Input 2 2 3 3 2" xfId="47591"/>
    <cellStyle name="Input 2 2 3 3 3" xfId="51406"/>
    <cellStyle name="Input 2 2 3 3 4" xfId="39005"/>
    <cellStyle name="Input 2 2 3 4" xfId="23049"/>
    <cellStyle name="Input 2 2 3 4 2" xfId="47635"/>
    <cellStyle name="Input 2 2 3 4 3" xfId="51446"/>
    <cellStyle name="Input 2 2 3 5" xfId="53020"/>
    <cellStyle name="Input 2 2 4" xfId="4231"/>
    <cellStyle name="Input 2 2 4 2" xfId="7053"/>
    <cellStyle name="Input 2 2 4 2 10" xfId="40260"/>
    <cellStyle name="Input 2 2 4 2 2" xfId="10580"/>
    <cellStyle name="Input 2 2 4 2 2 2" xfId="18367"/>
    <cellStyle name="Input 2 2 4 2 2 2 2" xfId="43899"/>
    <cellStyle name="Input 2 2 4 2 2 2 3" xfId="47808"/>
    <cellStyle name="Input 2 2 4 2 2 2 4" xfId="35990"/>
    <cellStyle name="Input 2 2 4 2 2 3" xfId="19897"/>
    <cellStyle name="Input 2 2 4 2 2 3 2" xfId="45419"/>
    <cellStyle name="Input 2 2 4 2 2 3 3" xfId="49325"/>
    <cellStyle name="Input 2 2 4 2 2 3 4" xfId="37397"/>
    <cellStyle name="Input 2 2 4 2 2 4" xfId="12050"/>
    <cellStyle name="Input 2 2 4 2 2 4 2" xfId="41784"/>
    <cellStyle name="Input 2 2 4 2 2 4 3" xfId="43257"/>
    <cellStyle name="Input 2 2 4 2 2 4 4" xfId="29715"/>
    <cellStyle name="Input 2 2 4 2 2 5" xfId="20780"/>
    <cellStyle name="Input 2 2 4 2 2 5 2" xfId="46302"/>
    <cellStyle name="Input 2 2 4 2 2 5 3" xfId="50208"/>
    <cellStyle name="Input 2 2 4 2 2 5 4" xfId="38172"/>
    <cellStyle name="Input 2 2 4 2 2 6" xfId="21433"/>
    <cellStyle name="Input 2 2 4 2 2 6 2" xfId="46955"/>
    <cellStyle name="Input 2 2 4 2 2 6 3" xfId="50861"/>
    <cellStyle name="Input 2 2 4 2 2 7" xfId="40758"/>
    <cellStyle name="Input 2 2 4 2 2 8" xfId="42586"/>
    <cellStyle name="Input 2 2 4 2 3" xfId="10875"/>
    <cellStyle name="Input 2 2 4 2 3 2" xfId="18662"/>
    <cellStyle name="Input 2 2 4 2 3 2 2" xfId="44194"/>
    <cellStyle name="Input 2 2 4 2 3 2 3" xfId="48103"/>
    <cellStyle name="Input 2 2 4 2 3 2 4" xfId="36285"/>
    <cellStyle name="Input 2 2 4 2 3 3" xfId="13335"/>
    <cellStyle name="Input 2 2 4 2 3 3 2" xfId="42486"/>
    <cellStyle name="Input 2 2 4 2 3 3 3" xfId="43432"/>
    <cellStyle name="Input 2 2 4 2 3 3 4" xfId="30961"/>
    <cellStyle name="Input 2 2 4 2 3 4" xfId="20287"/>
    <cellStyle name="Input 2 2 4 2 3 4 2" xfId="45809"/>
    <cellStyle name="Input 2 2 4 2 3 4 3" xfId="49715"/>
    <cellStyle name="Input 2 2 4 2 3 4 4" xfId="37739"/>
    <cellStyle name="Input 2 2 4 2 3 5" xfId="21075"/>
    <cellStyle name="Input 2 2 4 2 3 5 2" xfId="46597"/>
    <cellStyle name="Input 2 2 4 2 3 5 3" xfId="50503"/>
    <cellStyle name="Input 2 2 4 2 3 5 4" xfId="38467"/>
    <cellStyle name="Input 2 2 4 2 3 6" xfId="21728"/>
    <cellStyle name="Input 2 2 4 2 3 6 2" xfId="47250"/>
    <cellStyle name="Input 2 2 4 2 3 6 3" xfId="51156"/>
    <cellStyle name="Input 2 2 4 2 3 7" xfId="41053"/>
    <cellStyle name="Input 2 2 4 2 3 8" xfId="39159"/>
    <cellStyle name="Input 2 2 4 2 4" xfId="14835"/>
    <cellStyle name="Input 2 2 4 2 4 2" xfId="42933"/>
    <cellStyle name="Input 2 2 4 2 4 3" xfId="40500"/>
    <cellStyle name="Input 2 2 4 2 4 4" xfId="32456"/>
    <cellStyle name="Input 2 2 4 2 5" xfId="13102"/>
    <cellStyle name="Input 2 2 4 2 5 2" xfId="42304"/>
    <cellStyle name="Input 2 2 4 2 5 3" xfId="39517"/>
    <cellStyle name="Input 2 2 4 2 5 4" xfId="30737"/>
    <cellStyle name="Input 2 2 4 2 6" xfId="11164"/>
    <cellStyle name="Input 2 2 4 2 6 2" xfId="41267"/>
    <cellStyle name="Input 2 2 4 2 6 3" xfId="41391"/>
    <cellStyle name="Input 2 2 4 2 6 4" xfId="28878"/>
    <cellStyle name="Input 2 2 4 2 7" xfId="19679"/>
    <cellStyle name="Input 2 2 4 2 7 2" xfId="45201"/>
    <cellStyle name="Input 2 2 4 2 7 3" xfId="49107"/>
    <cellStyle name="Input 2 2 4 2 7 4" xfId="37196"/>
    <cellStyle name="Input 2 2 4 2 8" xfId="20302"/>
    <cellStyle name="Input 2 2 4 2 8 2" xfId="45824"/>
    <cellStyle name="Input 2 2 4 2 8 3" xfId="49730"/>
    <cellStyle name="Input 2 2 4 2 9" xfId="39793"/>
    <cellStyle name="Input 2 2 4 3" xfId="22431"/>
    <cellStyle name="Input 2 2 4 3 2" xfId="47502"/>
    <cellStyle name="Input 2 2 4 3 3" xfId="51356"/>
    <cellStyle name="Input 2 2 4 3 4" xfId="38806"/>
    <cellStyle name="Input 2 2 4 4" xfId="23022"/>
    <cellStyle name="Input 2 2 4 4 2" xfId="47609"/>
    <cellStyle name="Input 2 2 4 4 3" xfId="51420"/>
    <cellStyle name="Input 2 2 4 5" xfId="53021"/>
    <cellStyle name="Input 2 2 5" xfId="4232"/>
    <cellStyle name="Input 2 2 5 2" xfId="10455"/>
    <cellStyle name="Input 2 2 5 2 2" xfId="18242"/>
    <cellStyle name="Input 2 2 5 2 2 2" xfId="43774"/>
    <cellStyle name="Input 2 2 5 2 2 3" xfId="47683"/>
    <cellStyle name="Input 2 2 5 2 2 4" xfId="35865"/>
    <cellStyle name="Input 2 2 5 2 3" xfId="13310"/>
    <cellStyle name="Input 2 2 5 2 3 2" xfId="42461"/>
    <cellStyle name="Input 2 2 5 2 3 3" xfId="42765"/>
    <cellStyle name="Input 2 2 5 2 3 4" xfId="30936"/>
    <cellStyle name="Input 2 2 5 2 4" xfId="20353"/>
    <cellStyle name="Input 2 2 5 2 4 2" xfId="45875"/>
    <cellStyle name="Input 2 2 5 2 4 3" xfId="49781"/>
    <cellStyle name="Input 2 2 5 2 4 4" xfId="37795"/>
    <cellStyle name="Input 2 2 5 2 5" xfId="20655"/>
    <cellStyle name="Input 2 2 5 2 5 2" xfId="46177"/>
    <cellStyle name="Input 2 2 5 2 5 3" xfId="50083"/>
    <cellStyle name="Input 2 2 5 2 5 4" xfId="38047"/>
    <cellStyle name="Input 2 2 5 2 6" xfId="21308"/>
    <cellStyle name="Input 2 2 5 2 6 2" xfId="46830"/>
    <cellStyle name="Input 2 2 5 2 6 3" xfId="50736"/>
    <cellStyle name="Input 2 2 5 2 7" xfId="40633"/>
    <cellStyle name="Input 2 2 5 2 8" xfId="40578"/>
    <cellStyle name="Input 2 2 5 3" xfId="8458"/>
    <cellStyle name="Input 2 2 5 3 2" xfId="16248"/>
    <cellStyle name="Input 2 2 5 3 2 2" xfId="43383"/>
    <cellStyle name="Input 2 2 5 3 2 3" xfId="39600"/>
    <cellStyle name="Input 2 2 5 3 2 4" xfId="33869"/>
    <cellStyle name="Input 2 2 5 3 3" xfId="13891"/>
    <cellStyle name="Input 2 2 5 3 3 2" xfId="42607"/>
    <cellStyle name="Input 2 2 5 3 3 3" xfId="39616"/>
    <cellStyle name="Input 2 2 5 3 3 4" xfId="31517"/>
    <cellStyle name="Input 2 2 5 3 4" xfId="12677"/>
    <cellStyle name="Input 2 2 5 3 4 2" xfId="42137"/>
    <cellStyle name="Input 2 2 5 3 4 3" xfId="40162"/>
    <cellStyle name="Input 2 2 5 3 4 4" xfId="30324"/>
    <cellStyle name="Input 2 2 5 3 5" xfId="12086"/>
    <cellStyle name="Input 2 2 5 3 5 2" xfId="41811"/>
    <cellStyle name="Input 2 2 5 3 5 3" xfId="39110"/>
    <cellStyle name="Input 2 2 5 3 5 4" xfId="29745"/>
    <cellStyle name="Input 2 2 5 3 6" xfId="19809"/>
    <cellStyle name="Input 2 2 5 3 6 2" xfId="45331"/>
    <cellStyle name="Input 2 2 5 3 6 3" xfId="49237"/>
    <cellStyle name="Input 2 2 5 3 7" xfId="40245"/>
    <cellStyle name="Input 2 2 5 3 8" xfId="39201"/>
    <cellStyle name="Input 2 2 6" xfId="7050"/>
    <cellStyle name="Input 2 2 6 10" xfId="39490"/>
    <cellStyle name="Input 2 2 6 2" xfId="10577"/>
    <cellStyle name="Input 2 2 6 2 2" xfId="18364"/>
    <cellStyle name="Input 2 2 6 2 2 2" xfId="43896"/>
    <cellStyle name="Input 2 2 6 2 2 3" xfId="47805"/>
    <cellStyle name="Input 2 2 6 2 2 4" xfId="35987"/>
    <cellStyle name="Input 2 2 6 2 3" xfId="19415"/>
    <cellStyle name="Input 2 2 6 2 3 2" xfId="44937"/>
    <cellStyle name="Input 2 2 6 2 3 3" xfId="48843"/>
    <cellStyle name="Input 2 2 6 2 3 4" xfId="36966"/>
    <cellStyle name="Input 2 2 6 2 4" xfId="20371"/>
    <cellStyle name="Input 2 2 6 2 4 2" xfId="45893"/>
    <cellStyle name="Input 2 2 6 2 4 3" xfId="49799"/>
    <cellStyle name="Input 2 2 6 2 4 4" xfId="37811"/>
    <cellStyle name="Input 2 2 6 2 5" xfId="20777"/>
    <cellStyle name="Input 2 2 6 2 5 2" xfId="46299"/>
    <cellStyle name="Input 2 2 6 2 5 3" xfId="50205"/>
    <cellStyle name="Input 2 2 6 2 5 4" xfId="38169"/>
    <cellStyle name="Input 2 2 6 2 6" xfId="21430"/>
    <cellStyle name="Input 2 2 6 2 6 2" xfId="46952"/>
    <cellStyle name="Input 2 2 6 2 6 3" xfId="50858"/>
    <cellStyle name="Input 2 2 6 2 7" xfId="40755"/>
    <cellStyle name="Input 2 2 6 2 8" xfId="43610"/>
    <cellStyle name="Input 2 2 6 3" xfId="10872"/>
    <cellStyle name="Input 2 2 6 3 2" xfId="18659"/>
    <cellStyle name="Input 2 2 6 3 2 2" xfId="44191"/>
    <cellStyle name="Input 2 2 6 3 2 3" xfId="48100"/>
    <cellStyle name="Input 2 2 6 3 2 4" xfId="36282"/>
    <cellStyle name="Input 2 2 6 3 3" xfId="12168"/>
    <cellStyle name="Input 2 2 6 3 3 2" xfId="41893"/>
    <cellStyle name="Input 2 2 6 3 3 3" xfId="40170"/>
    <cellStyle name="Input 2 2 6 3 3 4" xfId="29826"/>
    <cellStyle name="Input 2 2 6 3 4" xfId="19499"/>
    <cellStyle name="Input 2 2 6 3 4 2" xfId="45021"/>
    <cellStyle name="Input 2 2 6 3 4 3" xfId="48927"/>
    <cellStyle name="Input 2 2 6 3 4 4" xfId="37033"/>
    <cellStyle name="Input 2 2 6 3 5" xfId="21072"/>
    <cellStyle name="Input 2 2 6 3 5 2" xfId="46594"/>
    <cellStyle name="Input 2 2 6 3 5 3" xfId="50500"/>
    <cellStyle name="Input 2 2 6 3 5 4" xfId="38464"/>
    <cellStyle name="Input 2 2 6 3 6" xfId="21725"/>
    <cellStyle name="Input 2 2 6 3 6 2" xfId="47247"/>
    <cellStyle name="Input 2 2 6 3 6 3" xfId="51153"/>
    <cellStyle name="Input 2 2 6 3 7" xfId="41050"/>
    <cellStyle name="Input 2 2 6 3 8" xfId="43347"/>
    <cellStyle name="Input 2 2 6 4" xfId="14832"/>
    <cellStyle name="Input 2 2 6 4 2" xfId="42930"/>
    <cellStyle name="Input 2 2 6 4 3" xfId="40013"/>
    <cellStyle name="Input 2 2 6 4 4" xfId="32453"/>
    <cellStyle name="Input 2 2 6 5" xfId="13099"/>
    <cellStyle name="Input 2 2 6 5 2" xfId="42301"/>
    <cellStyle name="Input 2 2 6 5 3" xfId="42661"/>
    <cellStyle name="Input 2 2 6 5 4" xfId="30734"/>
    <cellStyle name="Input 2 2 6 6" xfId="20308"/>
    <cellStyle name="Input 2 2 6 6 2" xfId="45830"/>
    <cellStyle name="Input 2 2 6 6 3" xfId="49736"/>
    <cellStyle name="Input 2 2 6 6 4" xfId="37758"/>
    <cellStyle name="Input 2 2 6 7" xfId="19658"/>
    <cellStyle name="Input 2 2 6 7 2" xfId="45180"/>
    <cellStyle name="Input 2 2 6 7 3" xfId="49086"/>
    <cellStyle name="Input 2 2 6 7 4" xfId="37178"/>
    <cellStyle name="Input 2 2 6 8" xfId="19486"/>
    <cellStyle name="Input 2 2 6 8 2" xfId="45008"/>
    <cellStyle name="Input 2 2 6 8 3" xfId="48914"/>
    <cellStyle name="Input 2 2 6 9" xfId="39790"/>
    <cellStyle name="Input 2 2 7" xfId="53018"/>
    <cellStyle name="Input 2 2_Sheet1" xfId="1865"/>
    <cellStyle name="Input 2 20" xfId="52728"/>
    <cellStyle name="Input 2 21" xfId="52712"/>
    <cellStyle name="Input 2 22" xfId="52725"/>
    <cellStyle name="Input 2 23" xfId="52714"/>
    <cellStyle name="Input 2 24" xfId="52747"/>
    <cellStyle name="Input 2 25" xfId="52710"/>
    <cellStyle name="Input 2 26" xfId="52723"/>
    <cellStyle name="Input 2 27" xfId="52749"/>
    <cellStyle name="Input 2 28" xfId="52789"/>
    <cellStyle name="Input 2 29" xfId="52767"/>
    <cellStyle name="Input 2 3" xfId="1866"/>
    <cellStyle name="Input 2 3 2" xfId="7054"/>
    <cellStyle name="Input 2 3 2 10" xfId="39794"/>
    <cellStyle name="Input 2 3 2 11" xfId="39388"/>
    <cellStyle name="Input 2 3 2 2" xfId="10581"/>
    <cellStyle name="Input 2 3 2 2 2" xfId="18368"/>
    <cellStyle name="Input 2 3 2 2 2 2" xfId="43900"/>
    <cellStyle name="Input 2 3 2 2 2 3" xfId="47809"/>
    <cellStyle name="Input 2 3 2 2 2 4" xfId="35991"/>
    <cellStyle name="Input 2 3 2 2 3" xfId="19120"/>
    <cellStyle name="Input 2 3 2 2 3 2" xfId="44642"/>
    <cellStyle name="Input 2 3 2 2 3 3" xfId="48548"/>
    <cellStyle name="Input 2 3 2 2 3 4" xfId="36701"/>
    <cellStyle name="Input 2 3 2 2 4" xfId="19547"/>
    <cellStyle name="Input 2 3 2 2 4 2" xfId="45069"/>
    <cellStyle name="Input 2 3 2 2 4 3" xfId="48975"/>
    <cellStyle name="Input 2 3 2 2 4 4" xfId="37074"/>
    <cellStyle name="Input 2 3 2 2 5" xfId="20781"/>
    <cellStyle name="Input 2 3 2 2 5 2" xfId="46303"/>
    <cellStyle name="Input 2 3 2 2 5 3" xfId="50209"/>
    <cellStyle name="Input 2 3 2 2 5 4" xfId="38173"/>
    <cellStyle name="Input 2 3 2 2 6" xfId="21434"/>
    <cellStyle name="Input 2 3 2 2 6 2" xfId="46956"/>
    <cellStyle name="Input 2 3 2 2 6 3" xfId="50862"/>
    <cellStyle name="Input 2 3 2 2 7" xfId="40759"/>
    <cellStyle name="Input 2 3 2 2 8" xfId="43499"/>
    <cellStyle name="Input 2 3 2 3" xfId="10876"/>
    <cellStyle name="Input 2 3 2 3 2" xfId="18663"/>
    <cellStyle name="Input 2 3 2 3 2 2" xfId="44195"/>
    <cellStyle name="Input 2 3 2 3 2 3" xfId="48104"/>
    <cellStyle name="Input 2 3 2 3 2 4" xfId="36286"/>
    <cellStyle name="Input 2 3 2 3 3" xfId="13336"/>
    <cellStyle name="Input 2 3 2 3 3 2" xfId="42487"/>
    <cellStyle name="Input 2 3 2 3 3 3" xfId="40294"/>
    <cellStyle name="Input 2 3 2 3 3 4" xfId="30962"/>
    <cellStyle name="Input 2 3 2 3 4" xfId="11791"/>
    <cellStyle name="Input 2 3 2 3 4 2" xfId="41721"/>
    <cellStyle name="Input 2 3 2 3 4 3" xfId="39122"/>
    <cellStyle name="Input 2 3 2 3 4 4" xfId="29463"/>
    <cellStyle name="Input 2 3 2 3 5" xfId="21076"/>
    <cellStyle name="Input 2 3 2 3 5 2" xfId="46598"/>
    <cellStyle name="Input 2 3 2 3 5 3" xfId="50504"/>
    <cellStyle name="Input 2 3 2 3 5 4" xfId="38468"/>
    <cellStyle name="Input 2 3 2 3 6" xfId="21729"/>
    <cellStyle name="Input 2 3 2 3 6 2" xfId="47251"/>
    <cellStyle name="Input 2 3 2 3 6 3" xfId="51157"/>
    <cellStyle name="Input 2 3 2 3 7" xfId="41054"/>
    <cellStyle name="Input 2 3 2 3 8" xfId="41400"/>
    <cellStyle name="Input 2 3 2 4" xfId="14836"/>
    <cellStyle name="Input 2 3 2 4 2" xfId="42934"/>
    <cellStyle name="Input 2 3 2 4 3" xfId="39608"/>
    <cellStyle name="Input 2 3 2 4 4" xfId="32457"/>
    <cellStyle name="Input 2 3 2 5" xfId="13103"/>
    <cellStyle name="Input 2 3 2 5 2" xfId="42305"/>
    <cellStyle name="Input 2 3 2 5 3" xfId="42527"/>
    <cellStyle name="Input 2 3 2 5 4" xfId="30738"/>
    <cellStyle name="Input 2 3 2 6" xfId="19144"/>
    <cellStyle name="Input 2 3 2 6 2" xfId="44666"/>
    <cellStyle name="Input 2 3 2 6 3" xfId="48572"/>
    <cellStyle name="Input 2 3 2 6 4" xfId="36722"/>
    <cellStyle name="Input 2 3 2 7" xfId="20504"/>
    <cellStyle name="Input 2 3 2 7 2" xfId="46026"/>
    <cellStyle name="Input 2 3 2 7 3" xfId="49932"/>
    <cellStyle name="Input 2 3 2 7 4" xfId="37924"/>
    <cellStyle name="Input 2 3 2 8" xfId="11369"/>
    <cellStyle name="Input 2 3 2 8 2" xfId="41385"/>
    <cellStyle name="Input 2 3 2 8 3" xfId="40192"/>
    <cellStyle name="Input 2 3 2 9" xfId="22433"/>
    <cellStyle name="Input 2 3 3" xfId="22910"/>
    <cellStyle name="Input 2 3 3 2" xfId="23050"/>
    <cellStyle name="Input 2 3 3 2 2" xfId="47636"/>
    <cellStyle name="Input 2 3 3 2 3" xfId="51447"/>
    <cellStyle name="Input 2 3 3 3" xfId="47592"/>
    <cellStyle name="Input 2 3 3 4" xfId="51407"/>
    <cellStyle name="Input 2 3 3 5" xfId="53023"/>
    <cellStyle name="Input 2 3 4" xfId="22432"/>
    <cellStyle name="Input 2 3 5" xfId="53022"/>
    <cellStyle name="Input 2 30" xfId="52792"/>
    <cellStyle name="Input 2 31" xfId="52807"/>
    <cellStyle name="Input 2 32" xfId="52752"/>
    <cellStyle name="Input 2 33" xfId="52763"/>
    <cellStyle name="Input 2 34" xfId="52787"/>
    <cellStyle name="Input 2 35" xfId="52804"/>
    <cellStyle name="Input 2 36" xfId="52754"/>
    <cellStyle name="Input 2 37" xfId="52806"/>
    <cellStyle name="Input 2 38" xfId="52795"/>
    <cellStyle name="Input 2 39" xfId="52769"/>
    <cellStyle name="Input 2 4" xfId="1867"/>
    <cellStyle name="Input 2 4 2" xfId="7055"/>
    <cellStyle name="Input 2 4 2 10" xfId="39223"/>
    <cellStyle name="Input 2 4 2 11" xfId="53025"/>
    <cellStyle name="Input 2 4 2 2" xfId="10582"/>
    <cellStyle name="Input 2 4 2 2 2" xfId="18369"/>
    <cellStyle name="Input 2 4 2 2 2 2" xfId="43901"/>
    <cellStyle name="Input 2 4 2 2 2 3" xfId="47810"/>
    <cellStyle name="Input 2 4 2 2 2 4" xfId="35992"/>
    <cellStyle name="Input 2 4 2 2 3" xfId="19739"/>
    <cellStyle name="Input 2 4 2 2 3 2" xfId="45261"/>
    <cellStyle name="Input 2 4 2 2 3 3" xfId="49167"/>
    <cellStyle name="Input 2 4 2 2 3 4" xfId="37252"/>
    <cellStyle name="Input 2 4 2 2 4" xfId="19246"/>
    <cellStyle name="Input 2 4 2 2 4 2" xfId="44768"/>
    <cellStyle name="Input 2 4 2 2 4 3" xfId="48674"/>
    <cellStyle name="Input 2 4 2 2 4 4" xfId="36810"/>
    <cellStyle name="Input 2 4 2 2 5" xfId="20782"/>
    <cellStyle name="Input 2 4 2 2 5 2" xfId="46304"/>
    <cellStyle name="Input 2 4 2 2 5 3" xfId="50210"/>
    <cellStyle name="Input 2 4 2 2 5 4" xfId="38174"/>
    <cellStyle name="Input 2 4 2 2 6" xfId="21435"/>
    <cellStyle name="Input 2 4 2 2 6 2" xfId="46957"/>
    <cellStyle name="Input 2 4 2 2 6 3" xfId="50863"/>
    <cellStyle name="Input 2 4 2 2 7" xfId="40760"/>
    <cellStyle name="Input 2 4 2 2 8" xfId="40362"/>
    <cellStyle name="Input 2 4 2 3" xfId="10877"/>
    <cellStyle name="Input 2 4 2 3 2" xfId="18664"/>
    <cellStyle name="Input 2 4 2 3 2 2" xfId="44196"/>
    <cellStyle name="Input 2 4 2 3 2 3" xfId="48105"/>
    <cellStyle name="Input 2 4 2 3 2 4" xfId="36287"/>
    <cellStyle name="Input 2 4 2 3 3" xfId="13915"/>
    <cellStyle name="Input 2 4 2 3 3 2" xfId="42631"/>
    <cellStyle name="Input 2 4 2 3 3 3" xfId="43539"/>
    <cellStyle name="Input 2 4 2 3 3 4" xfId="31537"/>
    <cellStyle name="Input 2 4 2 3 4" xfId="20284"/>
    <cellStyle name="Input 2 4 2 3 4 2" xfId="45806"/>
    <cellStyle name="Input 2 4 2 3 4 3" xfId="49712"/>
    <cellStyle name="Input 2 4 2 3 4 4" xfId="37736"/>
    <cellStyle name="Input 2 4 2 3 5" xfId="21077"/>
    <cellStyle name="Input 2 4 2 3 5 2" xfId="46599"/>
    <cellStyle name="Input 2 4 2 3 5 3" xfId="50505"/>
    <cellStyle name="Input 2 4 2 3 5 4" xfId="38469"/>
    <cellStyle name="Input 2 4 2 3 6" xfId="21730"/>
    <cellStyle name="Input 2 4 2 3 6 2" xfId="47252"/>
    <cellStyle name="Input 2 4 2 3 6 3" xfId="51158"/>
    <cellStyle name="Input 2 4 2 3 7" xfId="41055"/>
    <cellStyle name="Input 2 4 2 3 8" xfId="43203"/>
    <cellStyle name="Input 2 4 2 4" xfId="14837"/>
    <cellStyle name="Input 2 4 2 4 2" xfId="42935"/>
    <cellStyle name="Input 2 4 2 4 3" xfId="42644"/>
    <cellStyle name="Input 2 4 2 4 4" xfId="32458"/>
    <cellStyle name="Input 2 4 2 5" xfId="13104"/>
    <cellStyle name="Input 2 4 2 5 2" xfId="42306"/>
    <cellStyle name="Input 2 4 2 5 3" xfId="43438"/>
    <cellStyle name="Input 2 4 2 5 4" xfId="30739"/>
    <cellStyle name="Input 2 4 2 6" xfId="12032"/>
    <cellStyle name="Input 2 4 2 6 2" xfId="41768"/>
    <cellStyle name="Input 2 4 2 6 3" xfId="40531"/>
    <cellStyle name="Input 2 4 2 6 4" xfId="29697"/>
    <cellStyle name="Input 2 4 2 7" xfId="20063"/>
    <cellStyle name="Input 2 4 2 7 2" xfId="45585"/>
    <cellStyle name="Input 2 4 2 7 3" xfId="49491"/>
    <cellStyle name="Input 2 4 2 7 4" xfId="37543"/>
    <cellStyle name="Input 2 4 2 8" xfId="19003"/>
    <cellStyle name="Input 2 4 2 8 2" xfId="44525"/>
    <cellStyle name="Input 2 4 2 8 3" xfId="48431"/>
    <cellStyle name="Input 2 4 2 9" xfId="39795"/>
    <cellStyle name="Input 2 4 3" xfId="22434"/>
    <cellStyle name="Input 2 4 4" xfId="53024"/>
    <cellStyle name="Input 2 40" xfId="52809"/>
    <cellStyle name="Input 2 41" xfId="52771"/>
    <cellStyle name="Input 2 42" xfId="52813"/>
    <cellStyle name="Input 2 43" xfId="52773"/>
    <cellStyle name="Input 2 44" xfId="52759"/>
    <cellStyle name="Input 2 45" xfId="52851"/>
    <cellStyle name="Input 2 46" xfId="52830"/>
    <cellStyle name="Input 2 47" xfId="52849"/>
    <cellStyle name="Input 2 48" xfId="52828"/>
    <cellStyle name="Input 2 49" xfId="52847"/>
    <cellStyle name="Input 2 5" xfId="1868"/>
    <cellStyle name="Input 2 5 2" xfId="7056"/>
    <cellStyle name="Input 2 5 2 10" xfId="47575"/>
    <cellStyle name="Input 2 5 2 2" xfId="10583"/>
    <cellStyle name="Input 2 5 2 2 2" xfId="18370"/>
    <cellStyle name="Input 2 5 2 2 2 2" xfId="43902"/>
    <cellStyle name="Input 2 5 2 2 2 3" xfId="47811"/>
    <cellStyle name="Input 2 5 2 2 2 4" xfId="35993"/>
    <cellStyle name="Input 2 5 2 2 3" xfId="11489"/>
    <cellStyle name="Input 2 5 2 2 3 2" xfId="41480"/>
    <cellStyle name="Input 2 5 2 2 3 3" xfId="40048"/>
    <cellStyle name="Input 2 5 2 2 3 4" xfId="29190"/>
    <cellStyle name="Input 2 5 2 2 4" xfId="19677"/>
    <cellStyle name="Input 2 5 2 2 4 2" xfId="45199"/>
    <cellStyle name="Input 2 5 2 2 4 3" xfId="49105"/>
    <cellStyle name="Input 2 5 2 2 4 4" xfId="37194"/>
    <cellStyle name="Input 2 5 2 2 5" xfId="20783"/>
    <cellStyle name="Input 2 5 2 2 5 2" xfId="46305"/>
    <cellStyle name="Input 2 5 2 2 5 3" xfId="50211"/>
    <cellStyle name="Input 2 5 2 2 5 4" xfId="38175"/>
    <cellStyle name="Input 2 5 2 2 6" xfId="21436"/>
    <cellStyle name="Input 2 5 2 2 6 2" xfId="46958"/>
    <cellStyle name="Input 2 5 2 2 6 3" xfId="50864"/>
    <cellStyle name="Input 2 5 2 2 7" xfId="40761"/>
    <cellStyle name="Input 2 5 2 2 8" xfId="39474"/>
    <cellStyle name="Input 2 5 2 3" xfId="10878"/>
    <cellStyle name="Input 2 5 2 3 2" xfId="18665"/>
    <cellStyle name="Input 2 5 2 3 2 2" xfId="44197"/>
    <cellStyle name="Input 2 5 2 3 2 3" xfId="48106"/>
    <cellStyle name="Input 2 5 2 3 2 4" xfId="36288"/>
    <cellStyle name="Input 2 5 2 3 3" xfId="13333"/>
    <cellStyle name="Input 2 5 2 3 3 2" xfId="42484"/>
    <cellStyle name="Input 2 5 2 3 3 3" xfId="39512"/>
    <cellStyle name="Input 2 5 2 3 3 4" xfId="30959"/>
    <cellStyle name="Input 2 5 2 3 4" xfId="11609"/>
    <cellStyle name="Input 2 5 2 3 4 2" xfId="41600"/>
    <cellStyle name="Input 2 5 2 3 4 3" xfId="40535"/>
    <cellStyle name="Input 2 5 2 3 4 4" xfId="29298"/>
    <cellStyle name="Input 2 5 2 3 5" xfId="21078"/>
    <cellStyle name="Input 2 5 2 3 5 2" xfId="46600"/>
    <cellStyle name="Input 2 5 2 3 5 3" xfId="50506"/>
    <cellStyle name="Input 2 5 2 3 5 4" xfId="38470"/>
    <cellStyle name="Input 2 5 2 3 6" xfId="21731"/>
    <cellStyle name="Input 2 5 2 3 6 2" xfId="47253"/>
    <cellStyle name="Input 2 5 2 3 6 3" xfId="51159"/>
    <cellStyle name="Input 2 5 2 3 7" xfId="41056"/>
    <cellStyle name="Input 2 5 2 3 8" xfId="40062"/>
    <cellStyle name="Input 2 5 2 4" xfId="14838"/>
    <cellStyle name="Input 2 5 2 4 2" xfId="42936"/>
    <cellStyle name="Input 2 5 2 4 3" xfId="43532"/>
    <cellStyle name="Input 2 5 2 4 4" xfId="32459"/>
    <cellStyle name="Input 2 5 2 5" xfId="13105"/>
    <cellStyle name="Input 2 5 2 5 2" xfId="42307"/>
    <cellStyle name="Input 2 5 2 5 3" xfId="40300"/>
    <cellStyle name="Input 2 5 2 5 4" xfId="30740"/>
    <cellStyle name="Input 2 5 2 6" xfId="13308"/>
    <cellStyle name="Input 2 5 2 6 2" xfId="42459"/>
    <cellStyle name="Input 2 5 2 6 3" xfId="43285"/>
    <cellStyle name="Input 2 5 2 6 4" xfId="30934"/>
    <cellStyle name="Input 2 5 2 7" xfId="19660"/>
    <cellStyle name="Input 2 5 2 7 2" xfId="45182"/>
    <cellStyle name="Input 2 5 2 7 3" xfId="49088"/>
    <cellStyle name="Input 2 5 2 7 4" xfId="37179"/>
    <cellStyle name="Input 2 5 2 8" xfId="20195"/>
    <cellStyle name="Input 2 5 2 8 2" xfId="45717"/>
    <cellStyle name="Input 2 5 2 8 3" xfId="49623"/>
    <cellStyle name="Input 2 5 2 9" xfId="39796"/>
    <cellStyle name="Input 2 5 3" xfId="53026"/>
    <cellStyle name="Input 2 50" xfId="52862"/>
    <cellStyle name="Input 2 51" xfId="52867"/>
    <cellStyle name="Input 2 52" xfId="52861"/>
    <cellStyle name="Input 2 53" xfId="52854"/>
    <cellStyle name="Input 2 54" xfId="52835"/>
    <cellStyle name="Input 2 55" xfId="52825"/>
    <cellStyle name="Input 2 56" xfId="52833"/>
    <cellStyle name="Input 2 57" xfId="52820"/>
    <cellStyle name="Input 2 58" xfId="52873"/>
    <cellStyle name="Input 2 59" xfId="53013"/>
    <cellStyle name="Input 2 6" xfId="1869"/>
    <cellStyle name="Input 2 6 2" xfId="7057"/>
    <cellStyle name="Input 2 6 2 10" xfId="41699"/>
    <cellStyle name="Input 2 6 2 2" xfId="10584"/>
    <cellStyle name="Input 2 6 2 2 2" xfId="18371"/>
    <cellStyle name="Input 2 6 2 2 2 2" xfId="43903"/>
    <cellStyle name="Input 2 6 2 2 2 3" xfId="47812"/>
    <cellStyle name="Input 2 6 2 2 2 4" xfId="35994"/>
    <cellStyle name="Input 2 6 2 2 3" xfId="19740"/>
    <cellStyle name="Input 2 6 2 2 3 2" xfId="45262"/>
    <cellStyle name="Input 2 6 2 2 3 3" xfId="49168"/>
    <cellStyle name="Input 2 6 2 2 3 4" xfId="37253"/>
    <cellStyle name="Input 2 6 2 2 4" xfId="19051"/>
    <cellStyle name="Input 2 6 2 2 4 2" xfId="44573"/>
    <cellStyle name="Input 2 6 2 2 4 3" xfId="48479"/>
    <cellStyle name="Input 2 6 2 2 4 4" xfId="36636"/>
    <cellStyle name="Input 2 6 2 2 5" xfId="20784"/>
    <cellStyle name="Input 2 6 2 2 5 2" xfId="46306"/>
    <cellStyle name="Input 2 6 2 2 5 3" xfId="50212"/>
    <cellStyle name="Input 2 6 2 2 5 4" xfId="38176"/>
    <cellStyle name="Input 2 6 2 2 6" xfId="21437"/>
    <cellStyle name="Input 2 6 2 2 6 2" xfId="46959"/>
    <cellStyle name="Input 2 6 2 2 6 3" xfId="50865"/>
    <cellStyle name="Input 2 6 2 2 7" xfId="40762"/>
    <cellStyle name="Input 2 6 2 2 8" xfId="42048"/>
    <cellStyle name="Input 2 6 2 3" xfId="10879"/>
    <cellStyle name="Input 2 6 2 3 2" xfId="18666"/>
    <cellStyle name="Input 2 6 2 3 2 2" xfId="44198"/>
    <cellStyle name="Input 2 6 2 3 2 3" xfId="48107"/>
    <cellStyle name="Input 2 6 2 3 2 4" xfId="36289"/>
    <cellStyle name="Input 2 6 2 3 3" xfId="12170"/>
    <cellStyle name="Input 2 6 2 3 3 2" xfId="41895"/>
    <cellStyle name="Input 2 6 2 3 3 3" xfId="47462"/>
    <cellStyle name="Input 2 6 2 3 3 4" xfId="29828"/>
    <cellStyle name="Input 2 6 2 3 4" xfId="18942"/>
    <cellStyle name="Input 2 6 2 3 4 2" xfId="44464"/>
    <cellStyle name="Input 2 6 2 3 4 3" xfId="48370"/>
    <cellStyle name="Input 2 6 2 3 4 4" xfId="36554"/>
    <cellStyle name="Input 2 6 2 3 5" xfId="21079"/>
    <cellStyle name="Input 2 6 2 3 5 2" xfId="46601"/>
    <cellStyle name="Input 2 6 2 3 5 3" xfId="50507"/>
    <cellStyle name="Input 2 6 2 3 5 4" xfId="38471"/>
    <cellStyle name="Input 2 6 2 3 6" xfId="21732"/>
    <cellStyle name="Input 2 6 2 3 6 2" xfId="47254"/>
    <cellStyle name="Input 2 6 2 3 6 3" xfId="51160"/>
    <cellStyle name="Input 2 6 2 3 7" xfId="41057"/>
    <cellStyle name="Input 2 6 2 3 8" xfId="42810"/>
    <cellStyle name="Input 2 6 2 4" xfId="14839"/>
    <cellStyle name="Input 2 6 2 4 2" xfId="42937"/>
    <cellStyle name="Input 2 6 2 4 3" xfId="40393"/>
    <cellStyle name="Input 2 6 2 4 4" xfId="32460"/>
    <cellStyle name="Input 2 6 2 5" xfId="13106"/>
    <cellStyle name="Input 2 6 2 5 2" xfId="42308"/>
    <cellStyle name="Input 2 6 2 5 3" xfId="39417"/>
    <cellStyle name="Input 2 6 2 5 4" xfId="30741"/>
    <cellStyle name="Input 2 6 2 6" xfId="20197"/>
    <cellStyle name="Input 2 6 2 6 2" xfId="45719"/>
    <cellStyle name="Input 2 6 2 6 3" xfId="49625"/>
    <cellStyle name="Input 2 6 2 6 4" xfId="37662"/>
    <cellStyle name="Input 2 6 2 7" xfId="20095"/>
    <cellStyle name="Input 2 6 2 7 2" xfId="45617"/>
    <cellStyle name="Input 2 6 2 7 3" xfId="49523"/>
    <cellStyle name="Input 2 6 2 7 4" xfId="37569"/>
    <cellStyle name="Input 2 6 2 8" xfId="20477"/>
    <cellStyle name="Input 2 6 2 8 2" xfId="45999"/>
    <cellStyle name="Input 2 6 2 8 3" xfId="49905"/>
    <cellStyle name="Input 2 6 2 9" xfId="39797"/>
    <cellStyle name="Input 2 6 3" xfId="53027"/>
    <cellStyle name="Input 2 7" xfId="1870"/>
    <cellStyle name="Input 2 7 2" xfId="7058"/>
    <cellStyle name="Input 2 7 2 10" xfId="43249"/>
    <cellStyle name="Input 2 7 2 2" xfId="10585"/>
    <cellStyle name="Input 2 7 2 2 2" xfId="18372"/>
    <cellStyle name="Input 2 7 2 2 2 2" xfId="43904"/>
    <cellStyle name="Input 2 7 2 2 2 3" xfId="47813"/>
    <cellStyle name="Input 2 7 2 2 2 4" xfId="35995"/>
    <cellStyle name="Input 2 7 2 2 3" xfId="11488"/>
    <cellStyle name="Input 2 7 2 2 3 2" xfId="41479"/>
    <cellStyle name="Input 2 7 2 2 3 3" xfId="43189"/>
    <cellStyle name="Input 2 7 2 2 3 4" xfId="29189"/>
    <cellStyle name="Input 2 7 2 2 4" xfId="11591"/>
    <cellStyle name="Input 2 7 2 2 4 2" xfId="41582"/>
    <cellStyle name="Input 2 7 2 2 4 3" xfId="43572"/>
    <cellStyle name="Input 2 7 2 2 4 4" xfId="29284"/>
    <cellStyle name="Input 2 7 2 2 5" xfId="20785"/>
    <cellStyle name="Input 2 7 2 2 5 2" xfId="46307"/>
    <cellStyle name="Input 2 7 2 2 5 3" xfId="50213"/>
    <cellStyle name="Input 2 7 2 2 5 4" xfId="38177"/>
    <cellStyle name="Input 2 7 2 2 6" xfId="21438"/>
    <cellStyle name="Input 2 7 2 2 6 2" xfId="46960"/>
    <cellStyle name="Input 2 7 2 2 6 3" xfId="50866"/>
    <cellStyle name="Input 2 7 2 2 7" xfId="40763"/>
    <cellStyle name="Input 2 7 2 2 8" xfId="43367"/>
    <cellStyle name="Input 2 7 2 3" xfId="10880"/>
    <cellStyle name="Input 2 7 2 3 2" xfId="18667"/>
    <cellStyle name="Input 2 7 2 3 2 2" xfId="44199"/>
    <cellStyle name="Input 2 7 2 3 2 3" xfId="48108"/>
    <cellStyle name="Input 2 7 2 3 2 4" xfId="36290"/>
    <cellStyle name="Input 2 7 2 3 3" xfId="12171"/>
    <cellStyle name="Input 2 7 2 3 3 2" xfId="41896"/>
    <cellStyle name="Input 2 7 2 3 3 3" xfId="39089"/>
    <cellStyle name="Input 2 7 2 3 3 4" xfId="29829"/>
    <cellStyle name="Input 2 7 2 3 4" xfId="20346"/>
    <cellStyle name="Input 2 7 2 3 4 2" xfId="45868"/>
    <cellStyle name="Input 2 7 2 3 4 3" xfId="49774"/>
    <cellStyle name="Input 2 7 2 3 4 4" xfId="37788"/>
    <cellStyle name="Input 2 7 2 3 5" xfId="21080"/>
    <cellStyle name="Input 2 7 2 3 5 2" xfId="46602"/>
    <cellStyle name="Input 2 7 2 3 5 3" xfId="50508"/>
    <cellStyle name="Input 2 7 2 3 5 4" xfId="38472"/>
    <cellStyle name="Input 2 7 2 3 6" xfId="21733"/>
    <cellStyle name="Input 2 7 2 3 6 2" xfId="47255"/>
    <cellStyle name="Input 2 7 2 3 6 3" xfId="51161"/>
    <cellStyle name="Input 2 7 2 3 7" xfId="41058"/>
    <cellStyle name="Input 2 7 2 3 8" xfId="43699"/>
    <cellStyle name="Input 2 7 2 4" xfId="14840"/>
    <cellStyle name="Input 2 7 2 4 2" xfId="42938"/>
    <cellStyle name="Input 2 7 2 4 3" xfId="39502"/>
    <cellStyle name="Input 2 7 2 4 4" xfId="32461"/>
    <cellStyle name="Input 2 7 2 5" xfId="13107"/>
    <cellStyle name="Input 2 7 2 5 2" xfId="42309"/>
    <cellStyle name="Input 2 7 2 5 3" xfId="41943"/>
    <cellStyle name="Input 2 7 2 5 4" xfId="30742"/>
    <cellStyle name="Input 2 7 2 6" xfId="19519"/>
    <cellStyle name="Input 2 7 2 6 2" xfId="45041"/>
    <cellStyle name="Input 2 7 2 6 3" xfId="48947"/>
    <cellStyle name="Input 2 7 2 6 4" xfId="37052"/>
    <cellStyle name="Input 2 7 2 7" xfId="12785"/>
    <cellStyle name="Input 2 7 2 7 2" xfId="42187"/>
    <cellStyle name="Input 2 7 2 7 3" xfId="39080"/>
    <cellStyle name="Input 2 7 2 7 4" xfId="30428"/>
    <cellStyle name="Input 2 7 2 8" xfId="12930"/>
    <cellStyle name="Input 2 7 2 8 2" xfId="42231"/>
    <cellStyle name="Input 2 7 2 8 3" xfId="40518"/>
    <cellStyle name="Input 2 7 2 9" xfId="39798"/>
    <cellStyle name="Input 2 7 3" xfId="53028"/>
    <cellStyle name="Input 2 8" xfId="1871"/>
    <cellStyle name="Input 2 8 2" xfId="7059"/>
    <cellStyle name="Input 2 8 2 10" xfId="40108"/>
    <cellStyle name="Input 2 8 2 2" xfId="10586"/>
    <cellStyle name="Input 2 8 2 2 2" xfId="18373"/>
    <cellStyle name="Input 2 8 2 2 2 2" xfId="43905"/>
    <cellStyle name="Input 2 8 2 2 2 3" xfId="47814"/>
    <cellStyle name="Input 2 8 2 2 2 4" xfId="35996"/>
    <cellStyle name="Input 2 8 2 2 3" xfId="12153"/>
    <cellStyle name="Input 2 8 2 2 3 2" xfId="41878"/>
    <cellStyle name="Input 2 8 2 2 3 3" xfId="42676"/>
    <cellStyle name="Input 2 8 2 2 3 4" xfId="29811"/>
    <cellStyle name="Input 2 8 2 2 4" xfId="20349"/>
    <cellStyle name="Input 2 8 2 2 4 2" xfId="45871"/>
    <cellStyle name="Input 2 8 2 2 4 3" xfId="49777"/>
    <cellStyle name="Input 2 8 2 2 4 4" xfId="37791"/>
    <cellStyle name="Input 2 8 2 2 5" xfId="20786"/>
    <cellStyle name="Input 2 8 2 2 5 2" xfId="46308"/>
    <cellStyle name="Input 2 8 2 2 5 3" xfId="50214"/>
    <cellStyle name="Input 2 8 2 2 5 4" xfId="38178"/>
    <cellStyle name="Input 2 8 2 2 6" xfId="21439"/>
    <cellStyle name="Input 2 8 2 2 6 2" xfId="46961"/>
    <cellStyle name="Input 2 8 2 2 6 3" xfId="50867"/>
    <cellStyle name="Input 2 8 2 2 7" xfId="40764"/>
    <cellStyle name="Input 2 8 2 2 8" xfId="40229"/>
    <cellStyle name="Input 2 8 2 3" xfId="10881"/>
    <cellStyle name="Input 2 8 2 3 2" xfId="18668"/>
    <cellStyle name="Input 2 8 2 3 2 2" xfId="44200"/>
    <cellStyle name="Input 2 8 2 3 2 3" xfId="48109"/>
    <cellStyle name="Input 2 8 2 3 2 4" xfId="36291"/>
    <cellStyle name="Input 2 8 2 3 3" xfId="11513"/>
    <cellStyle name="Input 2 8 2 3 3 2" xfId="41504"/>
    <cellStyle name="Input 2 8 2 3 3 3" xfId="39651"/>
    <cellStyle name="Input 2 8 2 3 3 4" xfId="29214"/>
    <cellStyle name="Input 2 8 2 3 4" xfId="20215"/>
    <cellStyle name="Input 2 8 2 3 4 2" xfId="45737"/>
    <cellStyle name="Input 2 8 2 3 4 3" xfId="49643"/>
    <cellStyle name="Input 2 8 2 3 4 4" xfId="37676"/>
    <cellStyle name="Input 2 8 2 3 5" xfId="21081"/>
    <cellStyle name="Input 2 8 2 3 5 2" xfId="46603"/>
    <cellStyle name="Input 2 8 2 3 5 3" xfId="50509"/>
    <cellStyle name="Input 2 8 2 3 5 4" xfId="38473"/>
    <cellStyle name="Input 2 8 2 3 6" xfId="21734"/>
    <cellStyle name="Input 2 8 2 3 6 2" xfId="47256"/>
    <cellStyle name="Input 2 8 2 3 6 3" xfId="51162"/>
    <cellStyle name="Input 2 8 2 3 7" xfId="41059"/>
    <cellStyle name="Input 2 8 2 3 8" xfId="40558"/>
    <cellStyle name="Input 2 8 2 4" xfId="14841"/>
    <cellStyle name="Input 2 8 2 4 2" xfId="42939"/>
    <cellStyle name="Input 2 8 2 4 3" xfId="42512"/>
    <cellStyle name="Input 2 8 2 4 4" xfId="32462"/>
    <cellStyle name="Input 2 8 2 5" xfId="13108"/>
    <cellStyle name="Input 2 8 2 5 2" xfId="42310"/>
    <cellStyle name="Input 2 8 2 5 3" xfId="43291"/>
    <cellStyle name="Input 2 8 2 5 4" xfId="30743"/>
    <cellStyle name="Input 2 8 2 6" xfId="19479"/>
    <cellStyle name="Input 2 8 2 6 2" xfId="45001"/>
    <cellStyle name="Input 2 8 2 6 3" xfId="48907"/>
    <cellStyle name="Input 2 8 2 6 4" xfId="37021"/>
    <cellStyle name="Input 2 8 2 7" xfId="12131"/>
    <cellStyle name="Input 2 8 2 7 2" xfId="41856"/>
    <cellStyle name="Input 2 8 2 7 3" xfId="42675"/>
    <cellStyle name="Input 2 8 2 7 4" xfId="29789"/>
    <cellStyle name="Input 2 8 2 8" xfId="19024"/>
    <cellStyle name="Input 2 8 2 8 2" xfId="44546"/>
    <cellStyle name="Input 2 8 2 8 3" xfId="48452"/>
    <cellStyle name="Input 2 8 2 9" xfId="39799"/>
    <cellStyle name="Input 2 8 3" xfId="53029"/>
    <cellStyle name="Input 2 9" xfId="1872"/>
    <cellStyle name="Input 2 9 2" xfId="7060"/>
    <cellStyle name="Input 2 9 2 10" xfId="43077"/>
    <cellStyle name="Input 2 9 2 2" xfId="10587"/>
    <cellStyle name="Input 2 9 2 2 2" xfId="18374"/>
    <cellStyle name="Input 2 9 2 2 2 2" xfId="43906"/>
    <cellStyle name="Input 2 9 2 2 2 3" xfId="47815"/>
    <cellStyle name="Input 2 9 2 2 2 4" xfId="35997"/>
    <cellStyle name="Input 2 9 2 2 3" xfId="19600"/>
    <cellStyle name="Input 2 9 2 2 3 2" xfId="45122"/>
    <cellStyle name="Input 2 9 2 2 3 3" xfId="49028"/>
    <cellStyle name="Input 2 9 2 2 3 4" xfId="37126"/>
    <cellStyle name="Input 2 9 2 2 4" xfId="19043"/>
    <cellStyle name="Input 2 9 2 2 4 2" xfId="44565"/>
    <cellStyle name="Input 2 9 2 2 4 3" xfId="48471"/>
    <cellStyle name="Input 2 9 2 2 4 4" xfId="36629"/>
    <cellStyle name="Input 2 9 2 2 5" xfId="20787"/>
    <cellStyle name="Input 2 9 2 2 5 2" xfId="46309"/>
    <cellStyle name="Input 2 9 2 2 5 3" xfId="50215"/>
    <cellStyle name="Input 2 9 2 2 5 4" xfId="38179"/>
    <cellStyle name="Input 2 9 2 2 6" xfId="21440"/>
    <cellStyle name="Input 2 9 2 2 6 2" xfId="46962"/>
    <cellStyle name="Input 2 9 2 2 6 3" xfId="50868"/>
    <cellStyle name="Input 2 9 2 2 7" xfId="40765"/>
    <cellStyle name="Input 2 9 2 2 8" xfId="39369"/>
    <cellStyle name="Input 2 9 2 3" xfId="10882"/>
    <cellStyle name="Input 2 9 2 3 2" xfId="18669"/>
    <cellStyle name="Input 2 9 2 3 2 2" xfId="44201"/>
    <cellStyle name="Input 2 9 2 3 2 3" xfId="48110"/>
    <cellStyle name="Input 2 9 2 3 2 4" xfId="36292"/>
    <cellStyle name="Input 2 9 2 3 3" xfId="11514"/>
    <cellStyle name="Input 2 9 2 3 3 2" xfId="41505"/>
    <cellStyle name="Input 2 9 2 3 3 3" xfId="42688"/>
    <cellStyle name="Input 2 9 2 3 3 4" xfId="29215"/>
    <cellStyle name="Input 2 9 2 3 4" xfId="12675"/>
    <cellStyle name="Input 2 9 2 3 4 2" xfId="42135"/>
    <cellStyle name="Input 2 9 2 3 4 3" xfId="41951"/>
    <cellStyle name="Input 2 9 2 3 4 4" xfId="30323"/>
    <cellStyle name="Input 2 9 2 3 5" xfId="21082"/>
    <cellStyle name="Input 2 9 2 3 5 2" xfId="46604"/>
    <cellStyle name="Input 2 9 2 3 5 3" xfId="50510"/>
    <cellStyle name="Input 2 9 2 3 5 4" xfId="38474"/>
    <cellStyle name="Input 2 9 2 3 6" xfId="21735"/>
    <cellStyle name="Input 2 9 2 3 6 2" xfId="47257"/>
    <cellStyle name="Input 2 9 2 3 6 3" xfId="51163"/>
    <cellStyle name="Input 2 9 2 3 7" xfId="41060"/>
    <cellStyle name="Input 2 9 2 3 8" xfId="39669"/>
    <cellStyle name="Input 2 9 2 4" xfId="14842"/>
    <cellStyle name="Input 2 9 2 4 2" xfId="42940"/>
    <cellStyle name="Input 2 9 2 4 3" xfId="43423"/>
    <cellStyle name="Input 2 9 2 4 4" xfId="32463"/>
    <cellStyle name="Input 2 9 2 5" xfId="13109"/>
    <cellStyle name="Input 2 9 2 5 2" xfId="42311"/>
    <cellStyle name="Input 2 9 2 5 3" xfId="40151"/>
    <cellStyle name="Input 2 9 2 5 4" xfId="30744"/>
    <cellStyle name="Input 2 9 2 6" xfId="19777"/>
    <cellStyle name="Input 2 9 2 6 2" xfId="45299"/>
    <cellStyle name="Input 2 9 2 6 3" xfId="49205"/>
    <cellStyle name="Input 2 9 2 6 4" xfId="37287"/>
    <cellStyle name="Input 2 9 2 7" xfId="18879"/>
    <cellStyle name="Input 2 9 2 7 2" xfId="44401"/>
    <cellStyle name="Input 2 9 2 7 3" xfId="48307"/>
    <cellStyle name="Input 2 9 2 7 4" xfId="36501"/>
    <cellStyle name="Input 2 9 2 8" xfId="12582"/>
    <cellStyle name="Input 2 9 2 8 2" xfId="42058"/>
    <cellStyle name="Input 2 9 2 8 3" xfId="39532"/>
    <cellStyle name="Input 2 9 2 9" xfId="39800"/>
    <cellStyle name="Input 2 9 3" xfId="53030"/>
    <cellStyle name="Input 2_BallGrid" xfId="1873"/>
    <cellStyle name="Input 20" xfId="1874"/>
    <cellStyle name="Input 20 2" xfId="1875"/>
    <cellStyle name="Input 20 2 2" xfId="1876"/>
    <cellStyle name="Input 20 2 2 2" xfId="7063"/>
    <cellStyle name="Input 20 2 2 2 10" xfId="39937"/>
    <cellStyle name="Input 20 2 2 2 2" xfId="10590"/>
    <cellStyle name="Input 20 2 2 2 2 2" xfId="18377"/>
    <cellStyle name="Input 20 2 2 2 2 2 2" xfId="43909"/>
    <cellStyle name="Input 20 2 2 2 2 2 3" xfId="47818"/>
    <cellStyle name="Input 20 2 2 2 2 2 4" xfId="36000"/>
    <cellStyle name="Input 20 2 2 2 2 3" xfId="20021"/>
    <cellStyle name="Input 20 2 2 2 2 3 2" xfId="45543"/>
    <cellStyle name="Input 20 2 2 2 2 3 3" xfId="49449"/>
    <cellStyle name="Input 20 2 2 2 2 3 4" xfId="37505"/>
    <cellStyle name="Input 20 2 2 2 2 4" xfId="19160"/>
    <cellStyle name="Input 20 2 2 2 2 4 2" xfId="44682"/>
    <cellStyle name="Input 20 2 2 2 2 4 3" xfId="48588"/>
    <cellStyle name="Input 20 2 2 2 2 4 4" xfId="36737"/>
    <cellStyle name="Input 20 2 2 2 2 5" xfId="20790"/>
    <cellStyle name="Input 20 2 2 2 2 5 2" xfId="46312"/>
    <cellStyle name="Input 20 2 2 2 2 5 3" xfId="50218"/>
    <cellStyle name="Input 20 2 2 2 2 5 4" xfId="38182"/>
    <cellStyle name="Input 20 2 2 2 2 6" xfId="21443"/>
    <cellStyle name="Input 20 2 2 2 2 6 2" xfId="46965"/>
    <cellStyle name="Input 20 2 2 2 2 6 3" xfId="50871"/>
    <cellStyle name="Input 20 2 2 2 2 7" xfId="40768"/>
    <cellStyle name="Input 20 2 2 2 2 8" xfId="47566"/>
    <cellStyle name="Input 20 2 2 2 3" xfId="10885"/>
    <cellStyle name="Input 20 2 2 2 3 2" xfId="18672"/>
    <cellStyle name="Input 20 2 2 2 3 2 2" xfId="44204"/>
    <cellStyle name="Input 20 2 2 2 3 2 3" xfId="48113"/>
    <cellStyle name="Input 20 2 2 2 3 2 4" xfId="36295"/>
    <cellStyle name="Input 20 2 2 2 3 3" xfId="13338"/>
    <cellStyle name="Input 20 2 2 2 3 3 2" xfId="42489"/>
    <cellStyle name="Input 20 2 2 2 3 3 3" xfId="41934"/>
    <cellStyle name="Input 20 2 2 2 3 3 4" xfId="30964"/>
    <cellStyle name="Input 20 2 2 2 3 4" xfId="18943"/>
    <cellStyle name="Input 20 2 2 2 3 4 2" xfId="44465"/>
    <cellStyle name="Input 20 2 2 2 3 4 3" xfId="48371"/>
    <cellStyle name="Input 20 2 2 2 3 4 4" xfId="36555"/>
    <cellStyle name="Input 20 2 2 2 3 5" xfId="21085"/>
    <cellStyle name="Input 20 2 2 2 3 5 2" xfId="46607"/>
    <cellStyle name="Input 20 2 2 2 3 5 3" xfId="50513"/>
    <cellStyle name="Input 20 2 2 2 3 5 4" xfId="38477"/>
    <cellStyle name="Input 20 2 2 2 3 6" xfId="21738"/>
    <cellStyle name="Input 20 2 2 2 3 6 2" xfId="47260"/>
    <cellStyle name="Input 20 2 2 2 3 6 3" xfId="51166"/>
    <cellStyle name="Input 20 2 2 2 3 7" xfId="41063"/>
    <cellStyle name="Input 20 2 2 2 3 8" xfId="40453"/>
    <cellStyle name="Input 20 2 2 2 4" xfId="14845"/>
    <cellStyle name="Input 20 2 2 2 4 2" xfId="42943"/>
    <cellStyle name="Input 20 2 2 2 4 3" xfId="41917"/>
    <cellStyle name="Input 20 2 2 2 4 4" xfId="32466"/>
    <cellStyle name="Input 20 2 2 2 5" xfId="12016"/>
    <cellStyle name="Input 20 2 2 2 5 2" xfId="41753"/>
    <cellStyle name="Input 20 2 2 2 5 3" xfId="39117"/>
    <cellStyle name="Input 20 2 2 2 5 4" xfId="29684"/>
    <cellStyle name="Input 20 2 2 2 6" xfId="12033"/>
    <cellStyle name="Input 20 2 2 2 6 2" xfId="41769"/>
    <cellStyle name="Input 20 2 2 2 6 3" xfId="39640"/>
    <cellStyle name="Input 20 2 2 2 6 4" xfId="29698"/>
    <cellStyle name="Input 20 2 2 2 7" xfId="12238"/>
    <cellStyle name="Input 20 2 2 2 7 2" xfId="41907"/>
    <cellStyle name="Input 20 2 2 2 7 3" xfId="43668"/>
    <cellStyle name="Input 20 2 2 2 7 4" xfId="29895"/>
    <cellStyle name="Input 20 2 2 2 8" xfId="20198"/>
    <cellStyle name="Input 20 2 2 2 8 2" xfId="45720"/>
    <cellStyle name="Input 20 2 2 2 8 3" xfId="49626"/>
    <cellStyle name="Input 20 2 2 2 9" xfId="39803"/>
    <cellStyle name="Input 20 2 2 3" xfId="53033"/>
    <cellStyle name="Input 20 2 3" xfId="7062"/>
    <cellStyle name="Input 20 2 3 10" xfId="40603"/>
    <cellStyle name="Input 20 2 3 11" xfId="53034"/>
    <cellStyle name="Input 20 2 3 2" xfId="10589"/>
    <cellStyle name="Input 20 2 3 2 2" xfId="18376"/>
    <cellStyle name="Input 20 2 3 2 2 2" xfId="43908"/>
    <cellStyle name="Input 20 2 3 2 2 3" xfId="47817"/>
    <cellStyle name="Input 20 2 3 2 2 4" xfId="35999"/>
    <cellStyle name="Input 20 2 3 2 3" xfId="19414"/>
    <cellStyle name="Input 20 2 3 2 3 2" xfId="44936"/>
    <cellStyle name="Input 20 2 3 2 3 3" xfId="48842"/>
    <cellStyle name="Input 20 2 3 2 3 4" xfId="36965"/>
    <cellStyle name="Input 20 2 3 2 4" xfId="20312"/>
    <cellStyle name="Input 20 2 3 2 4 2" xfId="45834"/>
    <cellStyle name="Input 20 2 3 2 4 3" xfId="49740"/>
    <cellStyle name="Input 20 2 3 2 4 4" xfId="37762"/>
    <cellStyle name="Input 20 2 3 2 5" xfId="20789"/>
    <cellStyle name="Input 20 2 3 2 5 2" xfId="46311"/>
    <cellStyle name="Input 20 2 3 2 5 3" xfId="50217"/>
    <cellStyle name="Input 20 2 3 2 5 4" xfId="38181"/>
    <cellStyle name="Input 20 2 3 2 6" xfId="21442"/>
    <cellStyle name="Input 20 2 3 2 6 2" xfId="46964"/>
    <cellStyle name="Input 20 2 3 2 6 3" xfId="50870"/>
    <cellStyle name="Input 20 2 3 2 7" xfId="40767"/>
    <cellStyle name="Input 20 2 3 2 8" xfId="39171"/>
    <cellStyle name="Input 20 2 3 3" xfId="10884"/>
    <cellStyle name="Input 20 2 3 3 2" xfId="18671"/>
    <cellStyle name="Input 20 2 3 3 2 2" xfId="44203"/>
    <cellStyle name="Input 20 2 3 3 2 3" xfId="48112"/>
    <cellStyle name="Input 20 2 3 3 2 4" xfId="36294"/>
    <cellStyle name="Input 20 2 3 3 3" xfId="13340"/>
    <cellStyle name="Input 20 2 3 3 3 2" xfId="42491"/>
    <cellStyle name="Input 20 2 3 3 3 3" xfId="40143"/>
    <cellStyle name="Input 20 2 3 3 3 4" xfId="30966"/>
    <cellStyle name="Input 20 2 3 3 4" xfId="11750"/>
    <cellStyle name="Input 20 2 3 3 4 2" xfId="41706"/>
    <cellStyle name="Input 20 2 3 3 4 3" xfId="39315"/>
    <cellStyle name="Input 20 2 3 3 4 4" xfId="29423"/>
    <cellStyle name="Input 20 2 3 3 5" xfId="21084"/>
    <cellStyle name="Input 20 2 3 3 5 2" xfId="46606"/>
    <cellStyle name="Input 20 2 3 3 5 3" xfId="50512"/>
    <cellStyle name="Input 20 2 3 3 5 4" xfId="38476"/>
    <cellStyle name="Input 20 2 3 3 6" xfId="21737"/>
    <cellStyle name="Input 20 2 3 3 6 2" xfId="47259"/>
    <cellStyle name="Input 20 2 3 3 6 3" xfId="51165"/>
    <cellStyle name="Input 20 2 3 3 7" xfId="41062"/>
    <cellStyle name="Input 20 2 3 3 8" xfId="43595"/>
    <cellStyle name="Input 20 2 3 4" xfId="14844"/>
    <cellStyle name="Input 20 2 3 4 2" xfId="42942"/>
    <cellStyle name="Input 20 2 3 4 3" xfId="39402"/>
    <cellStyle name="Input 20 2 3 4 4" xfId="32465"/>
    <cellStyle name="Input 20 2 3 5" xfId="13111"/>
    <cellStyle name="Input 20 2 3 5 2" xfId="42313"/>
    <cellStyle name="Input 20 2 3 5 3" xfId="39076"/>
    <cellStyle name="Input 20 2 3 5 4" xfId="30746"/>
    <cellStyle name="Input 20 2 3 6" xfId="19770"/>
    <cellStyle name="Input 20 2 3 6 2" xfId="45292"/>
    <cellStyle name="Input 20 2 3 6 3" xfId="49198"/>
    <cellStyle name="Input 20 2 3 6 4" xfId="37282"/>
    <cellStyle name="Input 20 2 3 7" xfId="12495"/>
    <cellStyle name="Input 20 2 3 7 2" xfId="41989"/>
    <cellStyle name="Input 20 2 3 7 3" xfId="43453"/>
    <cellStyle name="Input 20 2 3 7 4" xfId="30149"/>
    <cellStyle name="Input 20 2 3 8" xfId="11584"/>
    <cellStyle name="Input 20 2 3 8 2" xfId="41575"/>
    <cellStyle name="Input 20 2 3 8 3" xfId="43185"/>
    <cellStyle name="Input 20 2 3 9" xfId="39802"/>
    <cellStyle name="Input 20 2 4" xfId="22436"/>
    <cellStyle name="Input 20 2 5" xfId="53032"/>
    <cellStyle name="Input 20 2_Sheet1" xfId="1877"/>
    <cellStyle name="Input 20 3" xfId="1878"/>
    <cellStyle name="Input 20 3 2" xfId="7064"/>
    <cellStyle name="Input 20 3 2 10" xfId="42737"/>
    <cellStyle name="Input 20 3 2 2" xfId="10591"/>
    <cellStyle name="Input 20 3 2 2 2" xfId="18378"/>
    <cellStyle name="Input 20 3 2 2 2 2" xfId="43910"/>
    <cellStyle name="Input 20 3 2 2 2 3" xfId="47819"/>
    <cellStyle name="Input 20 3 2 2 2 4" xfId="36001"/>
    <cellStyle name="Input 20 3 2 2 3" xfId="19287"/>
    <cellStyle name="Input 20 3 2 2 3 2" xfId="44809"/>
    <cellStyle name="Input 20 3 2 2 3 3" xfId="48715"/>
    <cellStyle name="Input 20 3 2 2 3 4" xfId="36851"/>
    <cellStyle name="Input 20 3 2 2 4" xfId="19860"/>
    <cellStyle name="Input 20 3 2 2 4 2" xfId="45382"/>
    <cellStyle name="Input 20 3 2 2 4 3" xfId="49288"/>
    <cellStyle name="Input 20 3 2 2 4 4" xfId="37360"/>
    <cellStyle name="Input 20 3 2 2 5" xfId="20791"/>
    <cellStyle name="Input 20 3 2 2 5 2" xfId="46313"/>
    <cellStyle name="Input 20 3 2 2 5 3" xfId="50219"/>
    <cellStyle name="Input 20 3 2 2 5 4" xfId="38183"/>
    <cellStyle name="Input 20 3 2 2 6" xfId="21444"/>
    <cellStyle name="Input 20 3 2 2 6 2" xfId="46966"/>
    <cellStyle name="Input 20 3 2 2 6 3" xfId="50872"/>
    <cellStyle name="Input 20 3 2 2 7" xfId="40769"/>
    <cellStyle name="Input 20 3 2 2 8" xfId="41412"/>
    <cellStyle name="Input 20 3 2 3" xfId="10886"/>
    <cellStyle name="Input 20 3 2 3 2" xfId="18673"/>
    <cellStyle name="Input 20 3 2 3 2 2" xfId="44205"/>
    <cellStyle name="Input 20 3 2 3 2 3" xfId="48114"/>
    <cellStyle name="Input 20 3 2 3 2 4" xfId="36296"/>
    <cellStyle name="Input 20 3 2 3 3" xfId="11515"/>
    <cellStyle name="Input 20 3 2 3 3 2" xfId="41506"/>
    <cellStyle name="Input 20 3 2 3 3 3" xfId="43576"/>
    <cellStyle name="Input 20 3 2 3 3 4" xfId="29216"/>
    <cellStyle name="Input 20 3 2 3 4" xfId="20080"/>
    <cellStyle name="Input 20 3 2 3 4 2" xfId="45602"/>
    <cellStyle name="Input 20 3 2 3 4 3" xfId="49508"/>
    <cellStyle name="Input 20 3 2 3 4 4" xfId="37556"/>
    <cellStyle name="Input 20 3 2 3 5" xfId="21086"/>
    <cellStyle name="Input 20 3 2 3 5 2" xfId="46608"/>
    <cellStyle name="Input 20 3 2 3 5 3" xfId="50514"/>
    <cellStyle name="Input 20 3 2 3 5 4" xfId="38478"/>
    <cellStyle name="Input 20 3 2 3 6" xfId="21739"/>
    <cellStyle name="Input 20 3 2 3 6 2" xfId="47261"/>
    <cellStyle name="Input 20 3 2 3 6 3" xfId="51167"/>
    <cellStyle name="Input 20 3 2 3 7" xfId="41064"/>
    <cellStyle name="Input 20 3 2 3 8" xfId="39563"/>
    <cellStyle name="Input 20 3 2 4" xfId="14846"/>
    <cellStyle name="Input 20 3 2 4 2" xfId="42944"/>
    <cellStyle name="Input 20 3 2 4 3" xfId="43271"/>
    <cellStyle name="Input 20 3 2 4 4" xfId="32467"/>
    <cellStyle name="Input 20 3 2 5" xfId="13112"/>
    <cellStyle name="Input 20 3 2 5 2" xfId="42314"/>
    <cellStyle name="Input 20 3 2 5 3" xfId="47444"/>
    <cellStyle name="Input 20 3 2 5 4" xfId="30747"/>
    <cellStyle name="Input 20 3 2 6" xfId="19613"/>
    <cellStyle name="Input 20 3 2 6 2" xfId="45135"/>
    <cellStyle name="Input 20 3 2 6 3" xfId="49041"/>
    <cellStyle name="Input 20 3 2 6 4" xfId="37139"/>
    <cellStyle name="Input 20 3 2 7" xfId="12841"/>
    <cellStyle name="Input 20 3 2 7 2" xfId="42205"/>
    <cellStyle name="Input 20 3 2 7 3" xfId="41947"/>
    <cellStyle name="Input 20 3 2 7 4" xfId="30482"/>
    <cellStyle name="Input 20 3 2 8" xfId="20520"/>
    <cellStyle name="Input 20 3 2 8 2" xfId="46042"/>
    <cellStyle name="Input 20 3 2 8 3" xfId="49948"/>
    <cellStyle name="Input 20 3 2 9" xfId="39804"/>
    <cellStyle name="Input 20 3 3" xfId="53035"/>
    <cellStyle name="Input 20 4" xfId="7061"/>
    <cellStyle name="Input 20 4 10" xfId="43744"/>
    <cellStyle name="Input 20 4 11" xfId="53036"/>
    <cellStyle name="Input 20 4 2" xfId="10588"/>
    <cellStyle name="Input 20 4 2 2" xfId="18375"/>
    <cellStyle name="Input 20 4 2 2 2" xfId="43907"/>
    <cellStyle name="Input 20 4 2 2 3" xfId="47816"/>
    <cellStyle name="Input 20 4 2 2 4" xfId="35998"/>
    <cellStyle name="Input 20 4 2 3" xfId="20155"/>
    <cellStyle name="Input 20 4 2 3 2" xfId="45677"/>
    <cellStyle name="Input 20 4 2 3 3" xfId="49583"/>
    <cellStyle name="Input 20 4 2 3 4" xfId="37627"/>
    <cellStyle name="Input 20 4 2 4" xfId="18939"/>
    <cellStyle name="Input 20 4 2 4 2" xfId="44461"/>
    <cellStyle name="Input 20 4 2 4 3" xfId="48367"/>
    <cellStyle name="Input 20 4 2 4 4" xfId="36551"/>
    <cellStyle name="Input 20 4 2 5" xfId="20788"/>
    <cellStyle name="Input 20 4 2 5 2" xfId="46310"/>
    <cellStyle name="Input 20 4 2 5 3" xfId="50216"/>
    <cellStyle name="Input 20 4 2 5 4" xfId="38180"/>
    <cellStyle name="Input 20 4 2 6" xfId="21441"/>
    <cellStyle name="Input 20 4 2 6 2" xfId="46963"/>
    <cellStyle name="Input 20 4 2 6 3" xfId="50869"/>
    <cellStyle name="Input 20 4 2 7" xfId="40766"/>
    <cellStyle name="Input 20 4 2 8" xfId="39172"/>
    <cellStyle name="Input 20 4 3" xfId="10883"/>
    <cellStyle name="Input 20 4 3 2" xfId="18670"/>
    <cellStyle name="Input 20 4 3 2 2" xfId="44202"/>
    <cellStyle name="Input 20 4 3 2 3" xfId="48111"/>
    <cellStyle name="Input 20 4 3 2 4" xfId="36293"/>
    <cellStyle name="Input 20 4 3 3" xfId="13339"/>
    <cellStyle name="Input 20 4 3 3 2" xfId="42490"/>
    <cellStyle name="Input 20 4 3 3 3" xfId="43284"/>
    <cellStyle name="Input 20 4 3 3 4" xfId="30965"/>
    <cellStyle name="Input 20 4 3 4" xfId="20285"/>
    <cellStyle name="Input 20 4 3 4 2" xfId="45807"/>
    <cellStyle name="Input 20 4 3 4 3" xfId="49713"/>
    <cellStyle name="Input 20 4 3 4 4" xfId="37737"/>
    <cellStyle name="Input 20 4 3 5" xfId="21083"/>
    <cellStyle name="Input 20 4 3 5 2" xfId="46605"/>
    <cellStyle name="Input 20 4 3 5 3" xfId="50511"/>
    <cellStyle name="Input 20 4 3 5 4" xfId="38475"/>
    <cellStyle name="Input 20 4 3 6" xfId="21736"/>
    <cellStyle name="Input 20 4 3 6 2" xfId="47258"/>
    <cellStyle name="Input 20 4 3 6 3" xfId="51164"/>
    <cellStyle name="Input 20 4 3 7" xfId="41061"/>
    <cellStyle name="Input 20 4 3 8" xfId="42706"/>
    <cellStyle name="Input 20 4 4" xfId="14843"/>
    <cellStyle name="Input 20 4 4 2" xfId="42941"/>
    <cellStyle name="Input 20 4 4 3" xfId="40285"/>
    <cellStyle name="Input 20 4 4 4" xfId="32464"/>
    <cellStyle name="Input 20 4 5" xfId="13110"/>
    <cellStyle name="Input 20 4 5 2" xfId="42312"/>
    <cellStyle name="Input 20 4 5 3" xfId="39274"/>
    <cellStyle name="Input 20 4 5 4" xfId="30745"/>
    <cellStyle name="Input 20 4 6" xfId="12314"/>
    <cellStyle name="Input 20 4 6 2" xfId="41928"/>
    <cellStyle name="Input 20 4 6 3" xfId="40527"/>
    <cellStyle name="Input 20 4 6 4" xfId="29971"/>
    <cellStyle name="Input 20 4 7" xfId="19186"/>
    <cellStyle name="Input 20 4 7 2" xfId="44708"/>
    <cellStyle name="Input 20 4 7 3" xfId="48614"/>
    <cellStyle name="Input 20 4 7 4" xfId="36758"/>
    <cellStyle name="Input 20 4 8" xfId="20605"/>
    <cellStyle name="Input 20 4 8 2" xfId="46127"/>
    <cellStyle name="Input 20 4 8 3" xfId="50033"/>
    <cellStyle name="Input 20 4 9" xfId="39801"/>
    <cellStyle name="Input 20 5" xfId="22435"/>
    <cellStyle name="Input 20 6" xfId="53031"/>
    <cellStyle name="Input 20_Sheet1" xfId="1879"/>
    <cellStyle name="Input 21" xfId="1880"/>
    <cellStyle name="Input 21 2" xfId="1881"/>
    <cellStyle name="Input 21 2 2" xfId="1882"/>
    <cellStyle name="Input 21 2 2 2" xfId="7067"/>
    <cellStyle name="Input 21 2 2 2 10" xfId="39593"/>
    <cellStyle name="Input 21 2 2 2 2" xfId="10594"/>
    <cellStyle name="Input 21 2 2 2 2 2" xfId="18381"/>
    <cellStyle name="Input 21 2 2 2 2 2 2" xfId="43913"/>
    <cellStyle name="Input 21 2 2 2 2 2 3" xfId="47822"/>
    <cellStyle name="Input 21 2 2 2 2 2 4" xfId="36004"/>
    <cellStyle name="Input 21 2 2 2 2 3" xfId="19738"/>
    <cellStyle name="Input 21 2 2 2 2 3 2" xfId="45260"/>
    <cellStyle name="Input 21 2 2 2 2 3 3" xfId="49166"/>
    <cellStyle name="Input 21 2 2 2 2 3 4" xfId="37251"/>
    <cellStyle name="Input 21 2 2 2 2 4" xfId="19052"/>
    <cellStyle name="Input 21 2 2 2 2 4 2" xfId="44574"/>
    <cellStyle name="Input 21 2 2 2 2 4 3" xfId="48480"/>
    <cellStyle name="Input 21 2 2 2 2 4 4" xfId="36637"/>
    <cellStyle name="Input 21 2 2 2 2 5" xfId="20794"/>
    <cellStyle name="Input 21 2 2 2 2 5 2" xfId="46316"/>
    <cellStyle name="Input 21 2 2 2 2 5 3" xfId="50222"/>
    <cellStyle name="Input 21 2 2 2 2 5 4" xfId="38186"/>
    <cellStyle name="Input 21 2 2 2 2 6" xfId="21447"/>
    <cellStyle name="Input 21 2 2 2 2 6 2" xfId="46969"/>
    <cellStyle name="Input 21 2 2 2 2 6 3" xfId="50875"/>
    <cellStyle name="Input 21 2 2 2 2 7" xfId="40772"/>
    <cellStyle name="Input 21 2 2 2 2 8" xfId="42823"/>
    <cellStyle name="Input 21 2 2 2 3" xfId="10889"/>
    <cellStyle name="Input 21 2 2 2 3 2" xfId="18676"/>
    <cellStyle name="Input 21 2 2 2 3 2 2" xfId="44208"/>
    <cellStyle name="Input 21 2 2 2 3 2 3" xfId="48117"/>
    <cellStyle name="Input 21 2 2 2 3 2 4" xfId="36299"/>
    <cellStyle name="Input 21 2 2 2 3 3" xfId="12172"/>
    <cellStyle name="Input 21 2 2 2 3 3 2" xfId="41897"/>
    <cellStyle name="Input 21 2 2 2 3 3 3" xfId="39292"/>
    <cellStyle name="Input 21 2 2 2 3 3 4" xfId="29830"/>
    <cellStyle name="Input 21 2 2 2 3 4" xfId="20347"/>
    <cellStyle name="Input 21 2 2 2 3 4 2" xfId="45869"/>
    <cellStyle name="Input 21 2 2 2 3 4 3" xfId="49775"/>
    <cellStyle name="Input 21 2 2 2 3 4 4" xfId="37789"/>
    <cellStyle name="Input 21 2 2 2 3 5" xfId="21089"/>
    <cellStyle name="Input 21 2 2 2 3 5 2" xfId="46611"/>
    <cellStyle name="Input 21 2 2 2 3 5 3" xfId="50517"/>
    <cellStyle name="Input 21 2 2 2 3 5 4" xfId="38481"/>
    <cellStyle name="Input 21 2 2 2 3 6" xfId="21742"/>
    <cellStyle name="Input 21 2 2 2 3 6 2" xfId="47264"/>
    <cellStyle name="Input 21 2 2 2 3 6 3" xfId="51170"/>
    <cellStyle name="Input 21 2 2 2 3 7" xfId="41067"/>
    <cellStyle name="Input 21 2 2 2 3 8" xfId="40347"/>
    <cellStyle name="Input 21 2 2 2 4" xfId="14849"/>
    <cellStyle name="Input 21 2 2 2 4 2" xfId="42947"/>
    <cellStyle name="Input 21 2 2 2 4 3" xfId="41919"/>
    <cellStyle name="Input 21 2 2 2 4 4" xfId="32470"/>
    <cellStyle name="Input 21 2 2 2 5" xfId="13113"/>
    <cellStyle name="Input 21 2 2 2 5 2" xfId="42315"/>
    <cellStyle name="Input 21 2 2 2 5 3" xfId="41279"/>
    <cellStyle name="Input 21 2 2 2 5 4" xfId="30748"/>
    <cellStyle name="Input 21 2 2 2 6" xfId="19460"/>
    <cellStyle name="Input 21 2 2 2 6 2" xfId="44982"/>
    <cellStyle name="Input 21 2 2 2 6 3" xfId="48888"/>
    <cellStyle name="Input 21 2 2 2 6 4" xfId="37004"/>
    <cellStyle name="Input 21 2 2 2 7" xfId="11560"/>
    <cellStyle name="Input 21 2 2 2 7 2" xfId="41551"/>
    <cellStyle name="Input 21 2 2 2 7 3" xfId="39440"/>
    <cellStyle name="Input 21 2 2 2 7 4" xfId="29257"/>
    <cellStyle name="Input 21 2 2 2 8" xfId="19440"/>
    <cellStyle name="Input 21 2 2 2 8 2" xfId="44962"/>
    <cellStyle name="Input 21 2 2 2 8 3" xfId="48868"/>
    <cellStyle name="Input 21 2 2 2 9" xfId="39807"/>
    <cellStyle name="Input 21 2 2 3" xfId="53039"/>
    <cellStyle name="Input 21 2 3" xfId="7066"/>
    <cellStyle name="Input 21 2 3 10" xfId="40483"/>
    <cellStyle name="Input 21 2 3 11" xfId="53040"/>
    <cellStyle name="Input 21 2 3 2" xfId="10593"/>
    <cellStyle name="Input 21 2 3 2 2" xfId="18380"/>
    <cellStyle name="Input 21 2 3 2 2 2" xfId="43912"/>
    <cellStyle name="Input 21 2 3 2 2 3" xfId="47821"/>
    <cellStyle name="Input 21 2 3 2 2 4" xfId="36003"/>
    <cellStyle name="Input 21 2 3 2 3" xfId="19119"/>
    <cellStyle name="Input 21 2 3 2 3 2" xfId="44641"/>
    <cellStyle name="Input 21 2 3 2 3 3" xfId="48547"/>
    <cellStyle name="Input 21 2 3 2 3 4" xfId="36700"/>
    <cellStyle name="Input 21 2 3 2 4" xfId="19191"/>
    <cellStyle name="Input 21 2 3 2 4 2" xfId="44713"/>
    <cellStyle name="Input 21 2 3 2 4 3" xfId="48619"/>
    <cellStyle name="Input 21 2 3 2 4 4" xfId="36762"/>
    <cellStyle name="Input 21 2 3 2 5" xfId="20793"/>
    <cellStyle name="Input 21 2 3 2 5 2" xfId="46315"/>
    <cellStyle name="Input 21 2 3 2 5 3" xfId="50221"/>
    <cellStyle name="Input 21 2 3 2 5 4" xfId="38185"/>
    <cellStyle name="Input 21 2 3 2 6" xfId="21446"/>
    <cellStyle name="Input 21 2 3 2 6 2" xfId="46968"/>
    <cellStyle name="Input 21 2 3 2 6 3" xfId="50874"/>
    <cellStyle name="Input 21 2 3 2 7" xfId="40771"/>
    <cellStyle name="Input 21 2 3 2 8" xfId="40074"/>
    <cellStyle name="Input 21 2 3 3" xfId="10888"/>
    <cellStyle name="Input 21 2 3 3 2" xfId="18675"/>
    <cellStyle name="Input 21 2 3 3 2 2" xfId="44207"/>
    <cellStyle name="Input 21 2 3 3 2 3" xfId="48116"/>
    <cellStyle name="Input 21 2 3 3 2 4" xfId="36298"/>
    <cellStyle name="Input 21 2 3 3 3" xfId="11517"/>
    <cellStyle name="Input 21 2 3 3 3 2" xfId="41508"/>
    <cellStyle name="Input 21 2 3 3 3 3" xfId="39547"/>
    <cellStyle name="Input 21 2 3 3 3 4" xfId="29218"/>
    <cellStyle name="Input 21 2 3 3 4" xfId="19675"/>
    <cellStyle name="Input 21 2 3 3 4 2" xfId="45197"/>
    <cellStyle name="Input 21 2 3 3 4 3" xfId="49103"/>
    <cellStyle name="Input 21 2 3 3 4 4" xfId="37192"/>
    <cellStyle name="Input 21 2 3 3 5" xfId="21088"/>
    <cellStyle name="Input 21 2 3 3 5 2" xfId="46610"/>
    <cellStyle name="Input 21 2 3 3 5 3" xfId="50516"/>
    <cellStyle name="Input 21 2 3 3 5 4" xfId="38480"/>
    <cellStyle name="Input 21 2 3 3 6" xfId="21741"/>
    <cellStyle name="Input 21 2 3 3 6 2" xfId="47263"/>
    <cellStyle name="Input 21 2 3 3 6 3" xfId="51169"/>
    <cellStyle name="Input 21 2 3 3 7" xfId="41066"/>
    <cellStyle name="Input 21 2 3 3 8" xfId="43484"/>
    <cellStyle name="Input 21 2 3 4" xfId="14848"/>
    <cellStyle name="Input 21 2 3 4 2" xfId="42946"/>
    <cellStyle name="Input 21 2 3 4 3" xfId="39244"/>
    <cellStyle name="Input 21 2 3 4 4" xfId="32469"/>
    <cellStyle name="Input 21 2 3 5" xfId="11287"/>
    <cellStyle name="Input 21 2 3 5 2" xfId="41314"/>
    <cellStyle name="Input 21 2 3 5 3" xfId="39446"/>
    <cellStyle name="Input 21 2 3 5 4" xfId="29001"/>
    <cellStyle name="Input 21 2 3 6" xfId="19524"/>
    <cellStyle name="Input 21 2 3 6 2" xfId="45046"/>
    <cellStyle name="Input 21 2 3 6 3" xfId="48952"/>
    <cellStyle name="Input 21 2 3 6 4" xfId="37057"/>
    <cellStyle name="Input 21 2 3 7" xfId="19006"/>
    <cellStyle name="Input 21 2 3 7 2" xfId="44528"/>
    <cellStyle name="Input 21 2 3 7 3" xfId="48434"/>
    <cellStyle name="Input 21 2 3 7 4" xfId="36600"/>
    <cellStyle name="Input 21 2 3 8" xfId="18996"/>
    <cellStyle name="Input 21 2 3 8 2" xfId="44518"/>
    <cellStyle name="Input 21 2 3 8 3" xfId="48424"/>
    <cellStyle name="Input 21 2 3 9" xfId="39806"/>
    <cellStyle name="Input 21 2 4" xfId="22438"/>
    <cellStyle name="Input 21 2 5" xfId="53038"/>
    <cellStyle name="Input 21 2_Sheet1" xfId="1883"/>
    <cellStyle name="Input 21 3" xfId="1884"/>
    <cellStyle name="Input 21 3 2" xfId="7068"/>
    <cellStyle name="Input 21 3 2 10" xfId="42601"/>
    <cellStyle name="Input 21 3 2 2" xfId="10595"/>
    <cellStyle name="Input 21 3 2 2 2" xfId="18382"/>
    <cellStyle name="Input 21 3 2 2 2 2" xfId="43914"/>
    <cellStyle name="Input 21 3 2 2 2 3" xfId="47823"/>
    <cellStyle name="Input 21 3 2 2 2 4" xfId="36005"/>
    <cellStyle name="Input 21 3 2 2 3" xfId="11490"/>
    <cellStyle name="Input 21 3 2 2 3 2" xfId="41481"/>
    <cellStyle name="Input 21 3 2 2 3 3" xfId="42794"/>
    <cellStyle name="Input 21 3 2 2 3 4" xfId="29191"/>
    <cellStyle name="Input 21 3 2 2 4" xfId="19184"/>
    <cellStyle name="Input 21 3 2 2 4 2" xfId="44706"/>
    <cellStyle name="Input 21 3 2 2 4 3" xfId="48612"/>
    <cellStyle name="Input 21 3 2 2 4 4" xfId="36757"/>
    <cellStyle name="Input 21 3 2 2 5" xfId="20795"/>
    <cellStyle name="Input 21 3 2 2 5 2" xfId="46317"/>
    <cellStyle name="Input 21 3 2 2 5 3" xfId="50223"/>
    <cellStyle name="Input 21 3 2 2 5 4" xfId="38187"/>
    <cellStyle name="Input 21 3 2 2 6" xfId="21448"/>
    <cellStyle name="Input 21 3 2 2 6 2" xfId="46970"/>
    <cellStyle name="Input 21 3 2 2 6 3" xfId="50876"/>
    <cellStyle name="Input 21 3 2 2 7" xfId="40773"/>
    <cellStyle name="Input 21 3 2 2 8" xfId="43712"/>
    <cellStyle name="Input 21 3 2 3" xfId="10890"/>
    <cellStyle name="Input 21 3 2 3 2" xfId="18677"/>
    <cellStyle name="Input 21 3 2 3 2 2" xfId="44209"/>
    <cellStyle name="Input 21 3 2 3 2 3" xfId="48118"/>
    <cellStyle name="Input 21 3 2 3 2 4" xfId="36300"/>
    <cellStyle name="Input 21 3 2 3 3" xfId="13342"/>
    <cellStyle name="Input 21 3 2 3 3 2" xfId="42493"/>
    <cellStyle name="Input 21 3 2 3 3 3" xfId="39042"/>
    <cellStyle name="Input 21 3 2 3 3 4" xfId="30968"/>
    <cellStyle name="Input 21 3 2 3 4" xfId="20286"/>
    <cellStyle name="Input 21 3 2 3 4 2" xfId="45808"/>
    <cellStyle name="Input 21 3 2 3 4 3" xfId="49714"/>
    <cellStyle name="Input 21 3 2 3 4 4" xfId="37738"/>
    <cellStyle name="Input 21 3 2 3 5" xfId="21090"/>
    <cellStyle name="Input 21 3 2 3 5 2" xfId="46612"/>
    <cellStyle name="Input 21 3 2 3 5 3" xfId="50518"/>
    <cellStyle name="Input 21 3 2 3 5 4" xfId="38482"/>
    <cellStyle name="Input 21 3 2 3 6" xfId="21743"/>
    <cellStyle name="Input 21 3 2 3 6 2" xfId="47265"/>
    <cellStyle name="Input 21 3 2 3 6 3" xfId="51171"/>
    <cellStyle name="Input 21 3 2 3 7" xfId="41068"/>
    <cellStyle name="Input 21 3 2 3 8" xfId="39459"/>
    <cellStyle name="Input 21 3 2 4" xfId="14850"/>
    <cellStyle name="Input 21 3 2 4 2" xfId="42948"/>
    <cellStyle name="Input 21 3 2 4 3" xfId="43273"/>
    <cellStyle name="Input 21 3 2 4 4" xfId="32471"/>
    <cellStyle name="Input 21 3 2 5" xfId="13114"/>
    <cellStyle name="Input 21 3 2 5 2" xfId="42316"/>
    <cellStyle name="Input 21 3 2 5 3" xfId="43166"/>
    <cellStyle name="Input 21 3 2 5 4" xfId="30749"/>
    <cellStyle name="Input 21 3 2 6" xfId="12726"/>
    <cellStyle name="Input 21 3 2 6 2" xfId="42161"/>
    <cellStyle name="Input 21 3 2 6 3" xfId="40307"/>
    <cellStyle name="Input 21 3 2 6 4" xfId="30370"/>
    <cellStyle name="Input 21 3 2 7" xfId="13301"/>
    <cellStyle name="Input 21 3 2 7 2" xfId="42452"/>
    <cellStyle name="Input 21 3 2 7 3" xfId="40293"/>
    <cellStyle name="Input 21 3 2 7 4" xfId="30928"/>
    <cellStyle name="Input 21 3 2 8" xfId="11579"/>
    <cellStyle name="Input 21 3 2 8 2" xfId="41570"/>
    <cellStyle name="Input 21 3 2 8 3" xfId="40183"/>
    <cellStyle name="Input 21 3 2 9" xfId="39808"/>
    <cellStyle name="Input 21 3 3" xfId="53041"/>
    <cellStyle name="Input 21 4" xfId="7065"/>
    <cellStyle name="Input 21 4 10" xfId="43625"/>
    <cellStyle name="Input 21 4 11" xfId="53042"/>
    <cellStyle name="Input 21 4 2" xfId="10592"/>
    <cellStyle name="Input 21 4 2 2" xfId="18379"/>
    <cellStyle name="Input 21 4 2 2 2" xfId="43911"/>
    <cellStyle name="Input 21 4 2 2 3" xfId="47820"/>
    <cellStyle name="Input 21 4 2 2 4" xfId="36002"/>
    <cellStyle name="Input 21 4 2 3" xfId="19896"/>
    <cellStyle name="Input 21 4 2 3 2" xfId="45418"/>
    <cellStyle name="Input 21 4 2 3 3" xfId="49324"/>
    <cellStyle name="Input 21 4 2 3 4" xfId="37396"/>
    <cellStyle name="Input 21 4 2 4" xfId="19061"/>
    <cellStyle name="Input 21 4 2 4 2" xfId="44583"/>
    <cellStyle name="Input 21 4 2 4 3" xfId="48489"/>
    <cellStyle name="Input 21 4 2 4 4" xfId="36644"/>
    <cellStyle name="Input 21 4 2 5" xfId="20792"/>
    <cellStyle name="Input 21 4 2 5 2" xfId="46314"/>
    <cellStyle name="Input 21 4 2 5 3" xfId="50220"/>
    <cellStyle name="Input 21 4 2 5 4" xfId="38184"/>
    <cellStyle name="Input 21 4 2 6" xfId="21445"/>
    <cellStyle name="Input 21 4 2 6 2" xfId="46967"/>
    <cellStyle name="Input 21 4 2 6 3" xfId="50873"/>
    <cellStyle name="Input 21 4 2 7" xfId="40770"/>
    <cellStyle name="Input 21 4 2 8" xfId="43215"/>
    <cellStyle name="Input 21 4 3" xfId="10887"/>
    <cellStyle name="Input 21 4 3 2" xfId="18674"/>
    <cellStyle name="Input 21 4 3 2 2" xfId="44206"/>
    <cellStyle name="Input 21 4 3 2 3" xfId="48115"/>
    <cellStyle name="Input 21 4 3 2 4" xfId="36297"/>
    <cellStyle name="Input 21 4 3 3" xfId="11516"/>
    <cellStyle name="Input 21 4 3 3 2" xfId="41507"/>
    <cellStyle name="Input 21 4 3 3 3" xfId="40436"/>
    <cellStyle name="Input 21 4 3 3 4" xfId="29217"/>
    <cellStyle name="Input 21 4 3 4" xfId="11677"/>
    <cellStyle name="Input 21 4 3 4 2" xfId="41668"/>
    <cellStyle name="Input 21 4 3 4 3" xfId="47480"/>
    <cellStyle name="Input 21 4 3 4 4" xfId="29356"/>
    <cellStyle name="Input 21 4 3 5" xfId="21087"/>
    <cellStyle name="Input 21 4 3 5 2" xfId="46609"/>
    <cellStyle name="Input 21 4 3 5 3" xfId="50515"/>
    <cellStyle name="Input 21 4 3 5 4" xfId="38479"/>
    <cellStyle name="Input 21 4 3 6" xfId="21740"/>
    <cellStyle name="Input 21 4 3 6 2" xfId="47262"/>
    <cellStyle name="Input 21 4 3 6 3" xfId="51168"/>
    <cellStyle name="Input 21 4 3 7" xfId="41065"/>
    <cellStyle name="Input 21 4 3 8" xfId="42571"/>
    <cellStyle name="Input 21 4 4" xfId="14847"/>
    <cellStyle name="Input 21 4 4 2" xfId="42945"/>
    <cellStyle name="Input 21 4 4 3" xfId="40130"/>
    <cellStyle name="Input 21 4 4 4" xfId="32468"/>
    <cellStyle name="Input 21 4 5" xfId="11286"/>
    <cellStyle name="Input 21 4 5 2" xfId="41313"/>
    <cellStyle name="Input 21 4 5 3" xfId="40334"/>
    <cellStyle name="Input 21 4 5 4" xfId="29000"/>
    <cellStyle name="Input 21 4 6" xfId="19641"/>
    <cellStyle name="Input 21 4 6 2" xfId="45163"/>
    <cellStyle name="Input 21 4 6 3" xfId="49069"/>
    <cellStyle name="Input 21 4 6 4" xfId="37161"/>
    <cellStyle name="Input 21 4 7" xfId="20518"/>
    <cellStyle name="Input 21 4 7 2" xfId="46040"/>
    <cellStyle name="Input 21 4 7 3" xfId="49946"/>
    <cellStyle name="Input 21 4 7 4" xfId="37933"/>
    <cellStyle name="Input 21 4 8" xfId="11707"/>
    <cellStyle name="Input 21 4 8 2" xfId="41681"/>
    <cellStyle name="Input 21 4 8 3" xfId="42679"/>
    <cellStyle name="Input 21 4 9" xfId="39805"/>
    <cellStyle name="Input 21 5" xfId="22437"/>
    <cellStyle name="Input 21 6" xfId="53037"/>
    <cellStyle name="Input 21_Sheet1" xfId="1885"/>
    <cellStyle name="Input 22" xfId="1886"/>
    <cellStyle name="Input 22 2" xfId="1887"/>
    <cellStyle name="Input 22 2 2" xfId="1888"/>
    <cellStyle name="Input 22 2 2 2" xfId="7071"/>
    <cellStyle name="Input 22 2 2 2 10" xfId="39489"/>
    <cellStyle name="Input 22 2 2 2 2" xfId="10598"/>
    <cellStyle name="Input 22 2 2 2 2 2" xfId="18385"/>
    <cellStyle name="Input 22 2 2 2 2 2 2" xfId="43917"/>
    <cellStyle name="Input 22 2 2 2 2 2 3" xfId="47826"/>
    <cellStyle name="Input 22 2 2 2 2 2 4" xfId="36008"/>
    <cellStyle name="Input 22 2 2 2 2 3" xfId="20154"/>
    <cellStyle name="Input 22 2 2 2 2 3 2" xfId="45676"/>
    <cellStyle name="Input 22 2 2 2 2 3 3" xfId="49582"/>
    <cellStyle name="Input 22 2 2 2 2 3 4" xfId="37626"/>
    <cellStyle name="Input 22 2 2 2 2 4" xfId="19076"/>
    <cellStyle name="Input 22 2 2 2 2 4 2" xfId="44598"/>
    <cellStyle name="Input 22 2 2 2 2 4 3" xfId="48504"/>
    <cellStyle name="Input 22 2 2 2 2 4 4" xfId="36658"/>
    <cellStyle name="Input 22 2 2 2 2 5" xfId="20798"/>
    <cellStyle name="Input 22 2 2 2 2 5 2" xfId="46320"/>
    <cellStyle name="Input 22 2 2 2 2 5 3" xfId="50226"/>
    <cellStyle name="Input 22 2 2 2 2 5 4" xfId="38190"/>
    <cellStyle name="Input 22 2 2 2 2 6" xfId="21451"/>
    <cellStyle name="Input 22 2 2 2 2 6 2" xfId="46973"/>
    <cellStyle name="Input 22 2 2 2 2 6 3" xfId="50879"/>
    <cellStyle name="Input 22 2 2 2 2 7" xfId="40776"/>
    <cellStyle name="Input 22 2 2 2 2 8" xfId="42719"/>
    <cellStyle name="Input 22 2 2 2 3" xfId="10893"/>
    <cellStyle name="Input 22 2 2 2 3 2" xfId="18680"/>
    <cellStyle name="Input 22 2 2 2 3 2 2" xfId="44212"/>
    <cellStyle name="Input 22 2 2 2 3 2 3" xfId="48121"/>
    <cellStyle name="Input 22 2 2 2 3 2 4" xfId="36303"/>
    <cellStyle name="Input 22 2 2 2 3 3" xfId="13344"/>
    <cellStyle name="Input 22 2 2 2 3 3 2" xfId="42495"/>
    <cellStyle name="Input 22 2 2 2 3 3 3" xfId="41272"/>
    <cellStyle name="Input 22 2 2 2 3 3 4" xfId="30970"/>
    <cellStyle name="Input 22 2 2 2 3 4" xfId="12755"/>
    <cellStyle name="Input 22 2 2 2 3 4 2" xfId="42181"/>
    <cellStyle name="Input 22 2 2 2 3 4 3" xfId="43300"/>
    <cellStyle name="Input 22 2 2 2 3 4 4" xfId="30399"/>
    <cellStyle name="Input 22 2 2 2 3 5" xfId="21093"/>
    <cellStyle name="Input 22 2 2 2 3 5 2" xfId="46615"/>
    <cellStyle name="Input 22 2 2 2 3 5 3" xfId="50521"/>
    <cellStyle name="Input 22 2 2 2 3 5 4" xfId="38485"/>
    <cellStyle name="Input 22 2 2 2 3 6" xfId="21746"/>
    <cellStyle name="Input 22 2 2 2 3 6 2" xfId="47268"/>
    <cellStyle name="Input 22 2 2 2 3 6 3" xfId="51174"/>
    <cellStyle name="Input 22 2 2 2 3 7" xfId="41071"/>
    <cellStyle name="Input 22 2 2 2 3 8" xfId="40208"/>
    <cellStyle name="Input 22 2 2 2 4" xfId="14853"/>
    <cellStyle name="Input 22 2 2 2 4 2" xfId="42951"/>
    <cellStyle name="Input 22 2 2 2 4 3" xfId="43643"/>
    <cellStyle name="Input 22 2 2 2 4 4" xfId="32474"/>
    <cellStyle name="Input 22 2 2 2 5" xfId="11289"/>
    <cellStyle name="Input 22 2 2 2 5 2" xfId="41316"/>
    <cellStyle name="Input 22 2 2 2 5 3" xfId="43331"/>
    <cellStyle name="Input 22 2 2 2 5 4" xfId="29003"/>
    <cellStyle name="Input 22 2 2 2 6" xfId="18983"/>
    <cellStyle name="Input 22 2 2 2 6 2" xfId="44505"/>
    <cellStyle name="Input 22 2 2 2 6 3" xfId="48411"/>
    <cellStyle name="Input 22 2 2 2 6 4" xfId="36591"/>
    <cellStyle name="Input 22 2 2 2 7" xfId="18876"/>
    <cellStyle name="Input 22 2 2 2 7 2" xfId="44398"/>
    <cellStyle name="Input 22 2 2 2 7 3" xfId="48304"/>
    <cellStyle name="Input 22 2 2 2 7 4" xfId="36498"/>
    <cellStyle name="Input 22 2 2 2 8" xfId="11847"/>
    <cellStyle name="Input 22 2 2 2 8 2" xfId="41745"/>
    <cellStyle name="Input 22 2 2 2 8 3" xfId="39119"/>
    <cellStyle name="Input 22 2 2 2 9" xfId="39811"/>
    <cellStyle name="Input 22 2 2 3" xfId="53045"/>
    <cellStyle name="Input 22 2 3" xfId="7070"/>
    <cellStyle name="Input 22 2 3 10" xfId="40377"/>
    <cellStyle name="Input 22 2 3 11" xfId="53046"/>
    <cellStyle name="Input 22 2 3 2" xfId="10597"/>
    <cellStyle name="Input 22 2 3 2 2" xfId="18384"/>
    <cellStyle name="Input 22 2 3 2 2 2" xfId="43916"/>
    <cellStyle name="Input 22 2 3 2 2 3" xfId="47825"/>
    <cellStyle name="Input 22 2 3 2 2 4" xfId="36007"/>
    <cellStyle name="Input 22 2 3 2 3" xfId="19599"/>
    <cellStyle name="Input 22 2 3 2 3 2" xfId="45121"/>
    <cellStyle name="Input 22 2 3 2 3 3" xfId="49027"/>
    <cellStyle name="Input 22 2 3 2 3 4" xfId="37125"/>
    <cellStyle name="Input 22 2 3 2 4" xfId="19042"/>
    <cellStyle name="Input 22 2 3 2 4 2" xfId="44564"/>
    <cellStyle name="Input 22 2 3 2 4 3" xfId="48470"/>
    <cellStyle name="Input 22 2 3 2 4 4" xfId="36628"/>
    <cellStyle name="Input 22 2 3 2 5" xfId="20797"/>
    <cellStyle name="Input 22 2 3 2 5 2" xfId="46319"/>
    <cellStyle name="Input 22 2 3 2 5 3" xfId="50225"/>
    <cellStyle name="Input 22 2 3 2 5 4" xfId="38189"/>
    <cellStyle name="Input 22 2 3 2 6" xfId="21450"/>
    <cellStyle name="Input 22 2 3 2 6 2" xfId="46972"/>
    <cellStyle name="Input 22 2 3 2 6 3" xfId="50878"/>
    <cellStyle name="Input 22 2 3 2 7" xfId="40775"/>
    <cellStyle name="Input 22 2 3 2 8" xfId="39682"/>
    <cellStyle name="Input 22 2 3 3" xfId="10892"/>
    <cellStyle name="Input 22 2 3 3 2" xfId="18679"/>
    <cellStyle name="Input 22 2 3 3 2 2" xfId="44211"/>
    <cellStyle name="Input 22 2 3 3 2 3" xfId="48120"/>
    <cellStyle name="Input 22 2 3 3 2 4" xfId="36302"/>
    <cellStyle name="Input 22 2 3 3 3" xfId="13341"/>
    <cellStyle name="Input 22 2 3 3 3 2" xfId="42492"/>
    <cellStyle name="Input 22 2 3 3 3 3" xfId="39257"/>
    <cellStyle name="Input 22 2 3 3 3 4" xfId="30967"/>
    <cellStyle name="Input 22 2 3 3 4" xfId="19501"/>
    <cellStyle name="Input 22 2 3 3 4 2" xfId="45023"/>
    <cellStyle name="Input 22 2 3 3 4 3" xfId="48929"/>
    <cellStyle name="Input 22 2 3 3 4 4" xfId="37035"/>
    <cellStyle name="Input 22 2 3 3 5" xfId="21092"/>
    <cellStyle name="Input 22 2 3 3 5 2" xfId="46614"/>
    <cellStyle name="Input 22 2 3 3 5 3" xfId="50520"/>
    <cellStyle name="Input 22 2 3 3 5 4" xfId="38484"/>
    <cellStyle name="Input 22 2 3 3 6" xfId="21745"/>
    <cellStyle name="Input 22 2 3 3 6 2" xfId="47267"/>
    <cellStyle name="Input 22 2 3 3 6 3" xfId="51173"/>
    <cellStyle name="Input 22 2 3 3 7" xfId="41070"/>
    <cellStyle name="Input 22 2 3 3 8" xfId="43346"/>
    <cellStyle name="Input 22 2 3 4" xfId="14852"/>
    <cellStyle name="Input 22 2 3 4 2" xfId="42950"/>
    <cellStyle name="Input 22 2 3 4 3" xfId="42756"/>
    <cellStyle name="Input 22 2 3 4 4" xfId="32473"/>
    <cellStyle name="Input 22 2 3 5" xfId="11288"/>
    <cellStyle name="Input 22 2 3 5 2" xfId="41315"/>
    <cellStyle name="Input 22 2 3 5 3" xfId="42010"/>
    <cellStyle name="Input 22 2 3 5 4" xfId="29002"/>
    <cellStyle name="Input 22 2 3 6" xfId="19848"/>
    <cellStyle name="Input 22 2 3 6 2" xfId="45370"/>
    <cellStyle name="Input 22 2 3 6 3" xfId="49276"/>
    <cellStyle name="Input 22 2 3 6 4" xfId="37348"/>
    <cellStyle name="Input 22 2 3 7" xfId="19497"/>
    <cellStyle name="Input 22 2 3 7 2" xfId="45019"/>
    <cellStyle name="Input 22 2 3 7 3" xfId="48925"/>
    <cellStyle name="Input 22 2 3 7 4" xfId="37031"/>
    <cellStyle name="Input 22 2 3 8" xfId="11418"/>
    <cellStyle name="Input 22 2 3 8 2" xfId="41423"/>
    <cellStyle name="Input 22 2 3 8 3" xfId="39146"/>
    <cellStyle name="Input 22 2 3 9" xfId="39810"/>
    <cellStyle name="Input 22 2 4" xfId="22440"/>
    <cellStyle name="Input 22 2 5" xfId="53044"/>
    <cellStyle name="Input 22 2_Sheet1" xfId="1889"/>
    <cellStyle name="Input 22 3" xfId="1890"/>
    <cellStyle name="Input 22 3 2" xfId="7072"/>
    <cellStyle name="Input 22 3 2 10" xfId="42170"/>
    <cellStyle name="Input 22 3 2 2" xfId="10599"/>
    <cellStyle name="Input 22 3 2 2 2" xfId="18386"/>
    <cellStyle name="Input 22 3 2 2 2 2" xfId="43918"/>
    <cellStyle name="Input 22 3 2 2 2 3" xfId="47827"/>
    <cellStyle name="Input 22 3 2 2 2 4" xfId="36009"/>
    <cellStyle name="Input 22 3 2 2 3" xfId="19413"/>
    <cellStyle name="Input 22 3 2 2 3 2" xfId="44935"/>
    <cellStyle name="Input 22 3 2 2 3 3" xfId="48841"/>
    <cellStyle name="Input 22 3 2 2 3 4" xfId="36964"/>
    <cellStyle name="Input 22 3 2 2 4" xfId="19556"/>
    <cellStyle name="Input 22 3 2 2 4 2" xfId="45078"/>
    <cellStyle name="Input 22 3 2 2 4 3" xfId="48984"/>
    <cellStyle name="Input 22 3 2 2 4 4" xfId="37083"/>
    <cellStyle name="Input 22 3 2 2 5" xfId="20799"/>
    <cellStyle name="Input 22 3 2 2 5 2" xfId="46321"/>
    <cellStyle name="Input 22 3 2 2 5 3" xfId="50227"/>
    <cellStyle name="Input 22 3 2 2 5 4" xfId="38191"/>
    <cellStyle name="Input 22 3 2 2 6" xfId="21452"/>
    <cellStyle name="Input 22 3 2 2 6 2" xfId="46974"/>
    <cellStyle name="Input 22 3 2 2 6 3" xfId="50880"/>
    <cellStyle name="Input 22 3 2 2 7" xfId="40777"/>
    <cellStyle name="Input 22 3 2 2 8" xfId="43608"/>
    <cellStyle name="Input 22 3 2 3" xfId="10894"/>
    <cellStyle name="Input 22 3 2 3 2" xfId="18681"/>
    <cellStyle name="Input 22 3 2 3 2 2" xfId="44213"/>
    <cellStyle name="Input 22 3 2 3 2 3" xfId="48122"/>
    <cellStyle name="Input 22 3 2 3 2 4" xfId="36304"/>
    <cellStyle name="Input 22 3 2 3 3" xfId="13345"/>
    <cellStyle name="Input 22 3 2 3 3 2" xfId="42496"/>
    <cellStyle name="Input 22 3 2 3 3 3" xfId="43161"/>
    <cellStyle name="Input 22 3 2 3 3 4" xfId="30971"/>
    <cellStyle name="Input 22 3 2 3 4" xfId="12797"/>
    <cellStyle name="Input 22 3 2 3 4 2" xfId="42193"/>
    <cellStyle name="Input 22 3 2 3 4 3" xfId="42533"/>
    <cellStyle name="Input 22 3 2 3 4 4" xfId="30440"/>
    <cellStyle name="Input 22 3 2 3 5" xfId="21094"/>
    <cellStyle name="Input 22 3 2 3 5 2" xfId="46616"/>
    <cellStyle name="Input 22 3 2 3 5 3" xfId="50522"/>
    <cellStyle name="Input 22 3 2 3 5 4" xfId="38486"/>
    <cellStyle name="Input 22 3 2 3 6" xfId="21747"/>
    <cellStyle name="Input 22 3 2 3 6 2" xfId="47269"/>
    <cellStyle name="Input 22 3 2 3 6 3" xfId="51175"/>
    <cellStyle name="Input 22 3 2 3 7" xfId="41072"/>
    <cellStyle name="Input 22 3 2 3 8" xfId="39348"/>
    <cellStyle name="Input 22 3 2 4" xfId="14854"/>
    <cellStyle name="Input 22 3 2 4 2" xfId="42952"/>
    <cellStyle name="Input 22 3 2 4 3" xfId="40502"/>
    <cellStyle name="Input 22 3 2 4 4" xfId="32475"/>
    <cellStyle name="Input 22 3 2 5" xfId="11290"/>
    <cellStyle name="Input 22 3 2 5 2" xfId="41317"/>
    <cellStyle name="Input 22 3 2 5 3" xfId="40193"/>
    <cellStyle name="Input 22 3 2 5 4" xfId="29004"/>
    <cellStyle name="Input 22 3 2 6" xfId="11586"/>
    <cellStyle name="Input 22 3 2 6 2" xfId="41577"/>
    <cellStyle name="Input 22 3 2 6 3" xfId="42789"/>
    <cellStyle name="Input 22 3 2 6 4" xfId="29279"/>
    <cellStyle name="Input 22 3 2 7" xfId="19952"/>
    <cellStyle name="Input 22 3 2 7 2" xfId="45474"/>
    <cellStyle name="Input 22 3 2 7 3" xfId="49380"/>
    <cellStyle name="Input 22 3 2 7 4" xfId="37443"/>
    <cellStyle name="Input 22 3 2 8" xfId="19228"/>
    <cellStyle name="Input 22 3 2 8 2" xfId="44750"/>
    <cellStyle name="Input 22 3 2 8 3" xfId="48656"/>
    <cellStyle name="Input 22 3 2 9" xfId="39812"/>
    <cellStyle name="Input 22 3 3" xfId="53047"/>
    <cellStyle name="Input 22 4" xfId="7069"/>
    <cellStyle name="Input 22 4 10" xfId="43514"/>
    <cellStyle name="Input 22 4 11" xfId="53048"/>
    <cellStyle name="Input 22 4 2" xfId="10596"/>
    <cellStyle name="Input 22 4 2 2" xfId="18383"/>
    <cellStyle name="Input 22 4 2 2 2" xfId="43915"/>
    <cellStyle name="Input 22 4 2 2 3" xfId="47824"/>
    <cellStyle name="Input 22 4 2 2 4" xfId="36006"/>
    <cellStyle name="Input 22 4 2 3" xfId="13316"/>
    <cellStyle name="Input 22 4 2 3 2" xfId="42467"/>
    <cellStyle name="Input 22 4 2 3 3" xfId="40405"/>
    <cellStyle name="Input 22 4 2 3 4" xfId="30942"/>
    <cellStyle name="Input 22 4 2 4" xfId="18951"/>
    <cellStyle name="Input 22 4 2 4 2" xfId="44473"/>
    <cellStyle name="Input 22 4 2 4 3" xfId="48379"/>
    <cellStyle name="Input 22 4 2 4 4" xfId="36563"/>
    <cellStyle name="Input 22 4 2 5" xfId="20796"/>
    <cellStyle name="Input 22 4 2 5 2" xfId="46318"/>
    <cellStyle name="Input 22 4 2 5 3" xfId="50224"/>
    <cellStyle name="Input 22 4 2 5 4" xfId="38188"/>
    <cellStyle name="Input 22 4 2 6" xfId="21449"/>
    <cellStyle name="Input 22 4 2 6 2" xfId="46971"/>
    <cellStyle name="Input 22 4 2 6 3" xfId="50877"/>
    <cellStyle name="Input 22 4 2 7" xfId="40774"/>
    <cellStyle name="Input 22 4 2 8" xfId="40571"/>
    <cellStyle name="Input 22 4 3" xfId="10891"/>
    <cellStyle name="Input 22 4 3 2" xfId="18678"/>
    <cellStyle name="Input 22 4 3 2 2" xfId="44210"/>
    <cellStyle name="Input 22 4 3 2 3" xfId="48119"/>
    <cellStyle name="Input 22 4 3 2 4" xfId="36301"/>
    <cellStyle name="Input 22 4 3 3" xfId="13343"/>
    <cellStyle name="Input 22 4 3 3 2" xfId="42494"/>
    <cellStyle name="Input 22 4 3 3 3" xfId="39041"/>
    <cellStyle name="Input 22 4 3 3 4" xfId="30969"/>
    <cellStyle name="Input 22 4 3 4" xfId="19500"/>
    <cellStyle name="Input 22 4 3 4 2" xfId="45022"/>
    <cellStyle name="Input 22 4 3 4 3" xfId="48928"/>
    <cellStyle name="Input 22 4 3 4 4" xfId="37034"/>
    <cellStyle name="Input 22 4 3 5" xfId="21091"/>
    <cellStyle name="Input 22 4 3 5 2" xfId="46613"/>
    <cellStyle name="Input 22 4 3 5 3" xfId="50519"/>
    <cellStyle name="Input 22 4 3 5 4" xfId="38483"/>
    <cellStyle name="Input 22 4 3 6" xfId="21744"/>
    <cellStyle name="Input 22 4 3 6 2" xfId="47266"/>
    <cellStyle name="Input 22 4 3 6 3" xfId="51172"/>
    <cellStyle name="Input 22 4 3 7" xfId="41069"/>
    <cellStyle name="Input 22 4 3 8" xfId="42027"/>
    <cellStyle name="Input 22 4 4" xfId="14851"/>
    <cellStyle name="Input 22 4 4 2" xfId="42949"/>
    <cellStyle name="Input 22 4 4 3" xfId="40132"/>
    <cellStyle name="Input 22 4 4 4" xfId="32472"/>
    <cellStyle name="Input 22 4 5" xfId="13115"/>
    <cellStyle name="Input 22 4 5 2" xfId="42317"/>
    <cellStyle name="Input 22 4 5 3" xfId="40025"/>
    <cellStyle name="Input 22 4 5 4" xfId="30750"/>
    <cellStyle name="Input 22 4 6" xfId="12786"/>
    <cellStyle name="Input 22 4 6 2" xfId="42188"/>
    <cellStyle name="Input 22 4 6 3" xfId="41283"/>
    <cellStyle name="Input 22 4 6 4" xfId="30429"/>
    <cellStyle name="Input 22 4 7" xfId="19635"/>
    <cellStyle name="Input 22 4 7 2" xfId="45157"/>
    <cellStyle name="Input 22 4 7 3" xfId="49063"/>
    <cellStyle name="Input 22 4 7 4" xfId="37157"/>
    <cellStyle name="Input 22 4 8" xfId="20604"/>
    <cellStyle name="Input 22 4 8 2" xfId="46126"/>
    <cellStyle name="Input 22 4 8 3" xfId="50032"/>
    <cellStyle name="Input 22 4 9" xfId="39809"/>
    <cellStyle name="Input 22 5" xfId="22439"/>
    <cellStyle name="Input 22 6" xfId="53043"/>
    <cellStyle name="Input 22_Sheet1" xfId="1891"/>
    <cellStyle name="Input 23" xfId="1892"/>
    <cellStyle name="Input 23 2" xfId="1893"/>
    <cellStyle name="Input 23 2 2" xfId="1894"/>
    <cellStyle name="Input 23 2 2 2" xfId="7075"/>
    <cellStyle name="Input 23 2 2 2 10" xfId="39387"/>
    <cellStyle name="Input 23 2 2 2 2" xfId="10602"/>
    <cellStyle name="Input 23 2 2 2 2 2" xfId="18389"/>
    <cellStyle name="Input 23 2 2 2 2 2 2" xfId="43921"/>
    <cellStyle name="Input 23 2 2 2 2 2 3" xfId="47830"/>
    <cellStyle name="Input 23 2 2 2 2 2 4" xfId="36012"/>
    <cellStyle name="Input 23 2 2 2 2 3" xfId="19895"/>
    <cellStyle name="Input 23 2 2 2 2 3 2" xfId="45417"/>
    <cellStyle name="Input 23 2 2 2 2 3 3" xfId="49323"/>
    <cellStyle name="Input 23 2 2 2 2 3 4" xfId="37395"/>
    <cellStyle name="Input 23 2 2 2 2 4" xfId="19060"/>
    <cellStyle name="Input 23 2 2 2 2 4 2" xfId="44582"/>
    <cellStyle name="Input 23 2 2 2 2 4 3" xfId="48488"/>
    <cellStyle name="Input 23 2 2 2 2 4 4" xfId="36643"/>
    <cellStyle name="Input 23 2 2 2 2 5" xfId="20802"/>
    <cellStyle name="Input 23 2 2 2 2 5 2" xfId="46324"/>
    <cellStyle name="Input 23 2 2 2 2 5 3" xfId="50230"/>
    <cellStyle name="Input 23 2 2 2 2 5 4" xfId="38194"/>
    <cellStyle name="Input 23 2 2 2 2 6" xfId="21455"/>
    <cellStyle name="Input 23 2 2 2 2 6 2" xfId="46977"/>
    <cellStyle name="Input 23 2 2 2 2 6 3" xfId="50883"/>
    <cellStyle name="Input 23 2 2 2 2 7" xfId="40780"/>
    <cellStyle name="Input 23 2 2 2 2 8" xfId="42584"/>
    <cellStyle name="Input 23 2 2 2 3" xfId="10897"/>
    <cellStyle name="Input 23 2 2 2 3 2" xfId="18684"/>
    <cellStyle name="Input 23 2 2 2 3 2 2" xfId="44216"/>
    <cellStyle name="Input 23 2 2 2 3 2 3" xfId="48125"/>
    <cellStyle name="Input 23 2 2 2 3 2 4" xfId="36307"/>
    <cellStyle name="Input 23 2 2 2 3 3" xfId="19706"/>
    <cellStyle name="Input 23 2 2 2 3 3 2" xfId="45228"/>
    <cellStyle name="Input 23 2 2 2 3 3 3" xfId="49134"/>
    <cellStyle name="Input 23 2 2 2 3 3 4" xfId="37219"/>
    <cellStyle name="Input 23 2 2 2 3 4" xfId="19455"/>
    <cellStyle name="Input 23 2 2 2 3 4 2" xfId="44977"/>
    <cellStyle name="Input 23 2 2 2 3 4 3" xfId="48883"/>
    <cellStyle name="Input 23 2 2 2 3 4 4" xfId="36999"/>
    <cellStyle name="Input 23 2 2 2 3 5" xfId="21097"/>
    <cellStyle name="Input 23 2 2 2 3 5 2" xfId="46619"/>
    <cellStyle name="Input 23 2 2 2 3 5 3" xfId="50525"/>
    <cellStyle name="Input 23 2 2 2 3 5 4" xfId="38489"/>
    <cellStyle name="Input 23 2 2 2 3 6" xfId="21750"/>
    <cellStyle name="Input 23 2 2 2 3 6 2" xfId="47272"/>
    <cellStyle name="Input 23 2 2 2 3 6 3" xfId="51178"/>
    <cellStyle name="Input 23 2 2 2 3 7" xfId="41075"/>
    <cellStyle name="Input 23 2 2 2 3 8" xfId="43202"/>
    <cellStyle name="Input 23 2 2 2 4" xfId="14857"/>
    <cellStyle name="Input 23 2 2 2 4 2" xfId="42955"/>
    <cellStyle name="Input 23 2 2 2 4 3" xfId="43534"/>
    <cellStyle name="Input 23 2 2 2 4 4" xfId="32478"/>
    <cellStyle name="Input 23 2 2 2 5" xfId="13118"/>
    <cellStyle name="Input 23 2 2 2 5 2" xfId="42320"/>
    <cellStyle name="Input 23 2 2 2 5 3" xfId="40513"/>
    <cellStyle name="Input 23 2 2 2 5 4" xfId="30753"/>
    <cellStyle name="Input 23 2 2 2 6" xfId="11459"/>
    <cellStyle name="Input 23 2 2 2 6 2" xfId="41450"/>
    <cellStyle name="Input 23 2 2 2 6 3" xfId="43325"/>
    <cellStyle name="Input 23 2 2 2 6 4" xfId="29162"/>
    <cellStyle name="Input 23 2 2 2 7" xfId="19026"/>
    <cellStyle name="Input 23 2 2 2 7 2" xfId="44548"/>
    <cellStyle name="Input 23 2 2 2 7 3" xfId="48454"/>
    <cellStyle name="Input 23 2 2 2 7 4" xfId="36616"/>
    <cellStyle name="Input 23 2 2 2 8" xfId="19674"/>
    <cellStyle name="Input 23 2 2 2 8 2" xfId="45196"/>
    <cellStyle name="Input 23 2 2 2 8 3" xfId="49102"/>
    <cellStyle name="Input 23 2 2 2 9" xfId="39815"/>
    <cellStyle name="Input 23 2 2 3" xfId="53051"/>
    <cellStyle name="Input 23 2 3" xfId="7074"/>
    <cellStyle name="Input 23 2 3 10" xfId="40259"/>
    <cellStyle name="Input 23 2 3 11" xfId="53052"/>
    <cellStyle name="Input 23 2 3 2" xfId="10601"/>
    <cellStyle name="Input 23 2 3 2 2" xfId="18388"/>
    <cellStyle name="Input 23 2 3 2 2 2" xfId="43920"/>
    <cellStyle name="Input 23 2 3 2 2 3" xfId="47829"/>
    <cellStyle name="Input 23 2 3 2 2 4" xfId="36011"/>
    <cellStyle name="Input 23 2 3 2 3" xfId="19286"/>
    <cellStyle name="Input 23 2 3 2 3 2" xfId="44808"/>
    <cellStyle name="Input 23 2 3 2 3 3" xfId="48714"/>
    <cellStyle name="Input 23 2 3 2 3 4" xfId="36850"/>
    <cellStyle name="Input 23 2 3 2 4" xfId="19030"/>
    <cellStyle name="Input 23 2 3 2 4 2" xfId="44552"/>
    <cellStyle name="Input 23 2 3 2 4 3" xfId="48458"/>
    <cellStyle name="Input 23 2 3 2 4 4" xfId="36620"/>
    <cellStyle name="Input 23 2 3 2 5" xfId="20801"/>
    <cellStyle name="Input 23 2 3 2 5 2" xfId="46323"/>
    <cellStyle name="Input 23 2 3 2 5 3" xfId="50229"/>
    <cellStyle name="Input 23 2 3 2 5 4" xfId="38193"/>
    <cellStyle name="Input 23 2 3 2 6" xfId="21454"/>
    <cellStyle name="Input 23 2 3 2 6 2" xfId="46976"/>
    <cellStyle name="Input 23 2 3 2 6 3" xfId="50882"/>
    <cellStyle name="Input 23 2 3 2 7" xfId="40779"/>
    <cellStyle name="Input 23 2 3 2 8" xfId="39576"/>
    <cellStyle name="Input 23 2 3 3" xfId="10896"/>
    <cellStyle name="Input 23 2 3 3 2" xfId="18683"/>
    <cellStyle name="Input 23 2 3 3 2 2" xfId="44215"/>
    <cellStyle name="Input 23 2 3 3 2 3" xfId="48124"/>
    <cellStyle name="Input 23 2 3 3 2 4" xfId="36306"/>
    <cellStyle name="Input 23 2 3 3 3" xfId="19575"/>
    <cellStyle name="Input 23 2 3 3 3 2" xfId="45097"/>
    <cellStyle name="Input 23 2 3 3 3 3" xfId="49003"/>
    <cellStyle name="Input 23 2 3 3 3 4" xfId="37101"/>
    <cellStyle name="Input 23 2 3 3 4" xfId="19233"/>
    <cellStyle name="Input 23 2 3 3 4 2" xfId="44755"/>
    <cellStyle name="Input 23 2 3 3 4 3" xfId="48661"/>
    <cellStyle name="Input 23 2 3 3 4 4" xfId="36797"/>
    <cellStyle name="Input 23 2 3 3 5" xfId="21096"/>
    <cellStyle name="Input 23 2 3 3 5 2" xfId="46618"/>
    <cellStyle name="Input 23 2 3 3 5 3" xfId="50524"/>
    <cellStyle name="Input 23 2 3 3 5 4" xfId="38488"/>
    <cellStyle name="Input 23 2 3 3 6" xfId="21749"/>
    <cellStyle name="Input 23 2 3 3 6 2" xfId="47271"/>
    <cellStyle name="Input 23 2 3 3 6 3" xfId="51177"/>
    <cellStyle name="Input 23 2 3 3 7" xfId="41074"/>
    <cellStyle name="Input 23 2 3 3 8" xfId="41399"/>
    <cellStyle name="Input 23 2 3 4" xfId="14856"/>
    <cellStyle name="Input 23 2 3 4 2" xfId="42954"/>
    <cellStyle name="Input 23 2 3 4 3" xfId="42646"/>
    <cellStyle name="Input 23 2 3 4 4" xfId="32477"/>
    <cellStyle name="Input 23 2 3 5" xfId="13117"/>
    <cellStyle name="Input 23 2 3 5 2" xfId="42319"/>
    <cellStyle name="Input 23 2 3 5 3" xfId="43655"/>
    <cellStyle name="Input 23 2 3 5 4" xfId="30752"/>
    <cellStyle name="Input 23 2 3 6" xfId="11843"/>
    <cellStyle name="Input 23 2 3 6 2" xfId="41741"/>
    <cellStyle name="Input 23 2 3 6 3" xfId="41981"/>
    <cellStyle name="Input 23 2 3 6 4" xfId="29513"/>
    <cellStyle name="Input 23 2 3 7" xfId="11813"/>
    <cellStyle name="Input 23 2 3 7 2" xfId="41731"/>
    <cellStyle name="Input 23 2 3 7 3" xfId="39310"/>
    <cellStyle name="Input 23 2 3 7 4" xfId="29485"/>
    <cellStyle name="Input 23 2 3 8" xfId="19925"/>
    <cellStyle name="Input 23 2 3 8 2" xfId="45447"/>
    <cellStyle name="Input 23 2 3 8 3" xfId="49353"/>
    <cellStyle name="Input 23 2 3 9" xfId="39814"/>
    <cellStyle name="Input 23 2 4" xfId="22442"/>
    <cellStyle name="Input 23 2 5" xfId="53050"/>
    <cellStyle name="Input 23 2_Sheet1" xfId="1895"/>
    <cellStyle name="Input 23 3" xfId="1896"/>
    <cellStyle name="Input 23 3 2" xfId="7076"/>
    <cellStyle name="Input 23 3 2 10" xfId="39222"/>
    <cellStyle name="Input 23 3 2 2" xfId="10603"/>
    <cellStyle name="Input 23 3 2 2 2" xfId="18390"/>
    <cellStyle name="Input 23 3 2 2 2 2" xfId="43922"/>
    <cellStyle name="Input 23 3 2 2 2 3" xfId="47831"/>
    <cellStyle name="Input 23 3 2 2 2 4" xfId="36013"/>
    <cellStyle name="Input 23 3 2 2 3" xfId="19118"/>
    <cellStyle name="Input 23 3 2 2 3 2" xfId="44640"/>
    <cellStyle name="Input 23 3 2 2 3 3" xfId="48546"/>
    <cellStyle name="Input 23 3 2 2 3 4" xfId="36699"/>
    <cellStyle name="Input 23 3 2 2 4" xfId="20114"/>
    <cellStyle name="Input 23 3 2 2 4 2" xfId="45636"/>
    <cellStyle name="Input 23 3 2 2 4 3" xfId="49542"/>
    <cellStyle name="Input 23 3 2 2 4 4" xfId="37586"/>
    <cellStyle name="Input 23 3 2 2 5" xfId="20803"/>
    <cellStyle name="Input 23 3 2 2 5 2" xfId="46325"/>
    <cellStyle name="Input 23 3 2 2 5 3" xfId="50231"/>
    <cellStyle name="Input 23 3 2 2 5 4" xfId="38195"/>
    <cellStyle name="Input 23 3 2 2 6" xfId="21456"/>
    <cellStyle name="Input 23 3 2 2 6 2" xfId="46978"/>
    <cellStyle name="Input 23 3 2 2 6 3" xfId="50884"/>
    <cellStyle name="Input 23 3 2 2 7" xfId="40781"/>
    <cellStyle name="Input 23 3 2 2 8" xfId="43497"/>
    <cellStyle name="Input 23 3 2 3" xfId="10898"/>
    <cellStyle name="Input 23 3 2 3 2" xfId="18685"/>
    <cellStyle name="Input 23 3 2 3 2 2" xfId="44217"/>
    <cellStyle name="Input 23 3 2 3 2 3" xfId="48126"/>
    <cellStyle name="Input 23 3 2 3 2 4" xfId="36308"/>
    <cellStyle name="Input 23 3 2 3 3" xfId="11518"/>
    <cellStyle name="Input 23 3 2 3 3 2" xfId="41509"/>
    <cellStyle name="Input 23 3 2 3 3 3" xfId="42554"/>
    <cellStyle name="Input 23 3 2 3 3 4" xfId="29219"/>
    <cellStyle name="Input 23 3 2 3 4" xfId="20237"/>
    <cellStyle name="Input 23 3 2 3 4 2" xfId="45759"/>
    <cellStyle name="Input 23 3 2 3 4 3" xfId="49665"/>
    <cellStyle name="Input 23 3 2 3 4 4" xfId="37694"/>
    <cellStyle name="Input 23 3 2 3 5" xfId="21098"/>
    <cellStyle name="Input 23 3 2 3 5 2" xfId="46620"/>
    <cellStyle name="Input 23 3 2 3 5 3" xfId="50526"/>
    <cellStyle name="Input 23 3 2 3 5 4" xfId="38490"/>
    <cellStyle name="Input 23 3 2 3 6" xfId="21751"/>
    <cellStyle name="Input 23 3 2 3 6 2" xfId="47273"/>
    <cellStyle name="Input 23 3 2 3 6 3" xfId="51179"/>
    <cellStyle name="Input 23 3 2 3 7" xfId="41076"/>
    <cellStyle name="Input 23 3 2 3 8" xfId="40061"/>
    <cellStyle name="Input 23 3 2 4" xfId="14858"/>
    <cellStyle name="Input 23 3 2 4 2" xfId="42956"/>
    <cellStyle name="Input 23 3 2 4 3" xfId="40395"/>
    <cellStyle name="Input 23 3 2 4 4" xfId="32479"/>
    <cellStyle name="Input 23 3 2 5" xfId="13119"/>
    <cellStyle name="Input 23 3 2 5 2" xfId="42321"/>
    <cellStyle name="Input 23 3 2 5 3" xfId="39623"/>
    <cellStyle name="Input 23 3 2 5 4" xfId="30754"/>
    <cellStyle name="Input 23 3 2 6" xfId="12034"/>
    <cellStyle name="Input 23 3 2 6 2" xfId="41770"/>
    <cellStyle name="Input 23 3 2 6 3" xfId="47475"/>
    <cellStyle name="Input 23 3 2 6 4" xfId="29699"/>
    <cellStyle name="Input 23 3 2 7" xfId="12819"/>
    <cellStyle name="Input 23 3 2 7 2" xfId="42203"/>
    <cellStyle name="Input 23 3 2 7 3" xfId="40305"/>
    <cellStyle name="Input 23 3 2 7 4" xfId="30460"/>
    <cellStyle name="Input 23 3 2 8" xfId="19976"/>
    <cellStyle name="Input 23 3 2 8 2" xfId="45498"/>
    <cellStyle name="Input 23 3 2 8 3" xfId="49404"/>
    <cellStyle name="Input 23 3 2 9" xfId="39816"/>
    <cellStyle name="Input 23 3 3" xfId="53053"/>
    <cellStyle name="Input 23 4" xfId="7073"/>
    <cellStyle name="Input 23 4 10" xfId="43397"/>
    <cellStyle name="Input 23 4 11" xfId="53054"/>
    <cellStyle name="Input 23 4 2" xfId="10600"/>
    <cellStyle name="Input 23 4 2 2" xfId="18387"/>
    <cellStyle name="Input 23 4 2 2 2" xfId="43919"/>
    <cellStyle name="Input 23 4 2 2 3" xfId="47828"/>
    <cellStyle name="Input 23 4 2 2 4" xfId="36010"/>
    <cellStyle name="Input 23 4 2 3" xfId="20020"/>
    <cellStyle name="Input 23 4 2 3 2" xfId="45542"/>
    <cellStyle name="Input 23 4 2 3 3" xfId="49448"/>
    <cellStyle name="Input 23 4 2 3 4" xfId="37504"/>
    <cellStyle name="Input 23 4 2 4" xfId="18870"/>
    <cellStyle name="Input 23 4 2 4 2" xfId="44392"/>
    <cellStyle name="Input 23 4 2 4 3" xfId="48298"/>
    <cellStyle name="Input 23 4 2 4 4" xfId="36493"/>
    <cellStyle name="Input 23 4 2 5" xfId="20800"/>
    <cellStyle name="Input 23 4 2 5 2" xfId="46322"/>
    <cellStyle name="Input 23 4 2 5 3" xfId="50228"/>
    <cellStyle name="Input 23 4 2 5 4" xfId="38192"/>
    <cellStyle name="Input 23 4 2 6" xfId="21453"/>
    <cellStyle name="Input 23 4 2 6 2" xfId="46975"/>
    <cellStyle name="Input 23 4 2 6 3" xfId="50881"/>
    <cellStyle name="Input 23 4 2 7" xfId="40778"/>
    <cellStyle name="Input 23 4 2 8" xfId="40466"/>
    <cellStyle name="Input 23 4 3" xfId="10895"/>
    <cellStyle name="Input 23 4 3 2" xfId="18682"/>
    <cellStyle name="Input 23 4 3 2 2" xfId="44214"/>
    <cellStyle name="Input 23 4 3 2 3" xfId="48123"/>
    <cellStyle name="Input 23 4 3 2 4" xfId="36305"/>
    <cellStyle name="Input 23 4 3 3" xfId="20377"/>
    <cellStyle name="Input 23 4 3 3 2" xfId="45899"/>
    <cellStyle name="Input 23 4 3 3 3" xfId="49805"/>
    <cellStyle name="Input 23 4 3 3 4" xfId="37817"/>
    <cellStyle name="Input 23 4 3 4" xfId="20521"/>
    <cellStyle name="Input 23 4 3 4 2" xfId="46043"/>
    <cellStyle name="Input 23 4 3 4 3" xfId="49949"/>
    <cellStyle name="Input 23 4 3 4 4" xfId="37935"/>
    <cellStyle name="Input 23 4 3 5" xfId="21095"/>
    <cellStyle name="Input 23 4 3 5 2" xfId="46617"/>
    <cellStyle name="Input 23 4 3 5 3" xfId="50523"/>
    <cellStyle name="Input 23 4 3 5 4" xfId="38487"/>
    <cellStyle name="Input 23 4 3 6" xfId="21748"/>
    <cellStyle name="Input 23 4 3 6 2" xfId="47270"/>
    <cellStyle name="Input 23 4 3 6 3" xfId="51176"/>
    <cellStyle name="Input 23 4 3 7" xfId="41073"/>
    <cellStyle name="Input 23 4 3 8" xfId="39158"/>
    <cellStyle name="Input 23 4 4" xfId="14855"/>
    <cellStyle name="Input 23 4 4 2" xfId="42953"/>
    <cellStyle name="Input 23 4 4 3" xfId="39610"/>
    <cellStyle name="Input 23 4 4 4" xfId="32476"/>
    <cellStyle name="Input 23 4 5" xfId="13116"/>
    <cellStyle name="Input 23 4 5 2" xfId="42318"/>
    <cellStyle name="Input 23 4 5 3" xfId="42767"/>
    <cellStyle name="Input 23 4 5 4" xfId="30751"/>
    <cellStyle name="Input 23 4 6" xfId="12603"/>
    <cellStyle name="Input 23 4 6 2" xfId="42063"/>
    <cellStyle name="Input 23 4 6 3" xfId="42671"/>
    <cellStyle name="Input 23 4 6 4" xfId="30255"/>
    <cellStyle name="Input 23 4 7" xfId="20484"/>
    <cellStyle name="Input 23 4 7 2" xfId="46006"/>
    <cellStyle name="Input 23 4 7 3" xfId="49912"/>
    <cellStyle name="Input 23 4 7 4" xfId="37914"/>
    <cellStyle name="Input 23 4 8" xfId="11659"/>
    <cellStyle name="Input 23 4 8 2" xfId="41650"/>
    <cellStyle name="Input 23 4 8 3" xfId="40040"/>
    <cellStyle name="Input 23 4 9" xfId="39813"/>
    <cellStyle name="Input 23 5" xfId="22441"/>
    <cellStyle name="Input 23 6" xfId="53049"/>
    <cellStyle name="Input 23_Sheet1" xfId="1897"/>
    <cellStyle name="Input 24" xfId="1898"/>
    <cellStyle name="Input 24 2" xfId="1899"/>
    <cellStyle name="Input 24 2 2" xfId="1900"/>
    <cellStyle name="Input 24 2 2 2" xfId="7079"/>
    <cellStyle name="Input 24 2 2 2 10" xfId="43248"/>
    <cellStyle name="Input 24 2 2 2 2" xfId="10606"/>
    <cellStyle name="Input 24 2 2 2 2 2" xfId="18393"/>
    <cellStyle name="Input 24 2 2 2 2 2 2" xfId="43925"/>
    <cellStyle name="Input 24 2 2 2 2 2 3" xfId="47834"/>
    <cellStyle name="Input 24 2 2 2 2 2 4" xfId="36016"/>
    <cellStyle name="Input 24 2 2 2 2 3" xfId="12154"/>
    <cellStyle name="Input 24 2 2 2 2 3 2" xfId="41879"/>
    <cellStyle name="Input 24 2 2 2 2 3 3" xfId="43564"/>
    <cellStyle name="Input 24 2 2 2 2 3 4" xfId="29812"/>
    <cellStyle name="Input 24 2 2 2 2 4" xfId="20288"/>
    <cellStyle name="Input 24 2 2 2 2 4 2" xfId="45810"/>
    <cellStyle name="Input 24 2 2 2 2 4 3" xfId="49716"/>
    <cellStyle name="Input 24 2 2 2 2 4 4" xfId="37740"/>
    <cellStyle name="Input 24 2 2 2 2 5" xfId="20806"/>
    <cellStyle name="Input 24 2 2 2 2 5 2" xfId="46328"/>
    <cellStyle name="Input 24 2 2 2 2 5 3" xfId="50234"/>
    <cellStyle name="Input 24 2 2 2 2 5 4" xfId="38198"/>
    <cellStyle name="Input 24 2 2 2 2 6" xfId="21459"/>
    <cellStyle name="Input 24 2 2 2 2 6 2" xfId="46981"/>
    <cellStyle name="Input 24 2 2 2 2 6 3" xfId="50887"/>
    <cellStyle name="Input 24 2 2 2 2 7" xfId="40784"/>
    <cellStyle name="Input 24 2 2 2 2 8" xfId="42046"/>
    <cellStyle name="Input 24 2 2 2 3" xfId="10901"/>
    <cellStyle name="Input 24 2 2 2 3 2" xfId="18688"/>
    <cellStyle name="Input 24 2 2 2 3 2 2" xfId="44220"/>
    <cellStyle name="Input 24 2 2 2 3 2 3" xfId="48129"/>
    <cellStyle name="Input 24 2 2 2 3 2 4" xfId="36311"/>
    <cellStyle name="Input 24 2 2 2 3 3" xfId="11519"/>
    <cellStyle name="Input 24 2 2 2 3 3 2" xfId="41510"/>
    <cellStyle name="Input 24 2 2 2 3 3 3" xfId="43468"/>
    <cellStyle name="Input 24 2 2 2 3 3 4" xfId="29220"/>
    <cellStyle name="Input 24 2 2 2 3 4" xfId="19342"/>
    <cellStyle name="Input 24 2 2 2 3 4 2" xfId="44864"/>
    <cellStyle name="Input 24 2 2 2 3 4 3" xfId="48770"/>
    <cellStyle name="Input 24 2 2 2 3 4 4" xfId="36897"/>
    <cellStyle name="Input 24 2 2 2 3 5" xfId="21101"/>
    <cellStyle name="Input 24 2 2 2 3 5 2" xfId="46623"/>
    <cellStyle name="Input 24 2 2 2 3 5 3" xfId="50529"/>
    <cellStyle name="Input 24 2 2 2 3 5 4" xfId="38493"/>
    <cellStyle name="Input 24 2 2 2 3 6" xfId="21754"/>
    <cellStyle name="Input 24 2 2 2 3 6 2" xfId="47276"/>
    <cellStyle name="Input 24 2 2 2 3 6 3" xfId="51182"/>
    <cellStyle name="Input 24 2 2 2 3 7" xfId="41079"/>
    <cellStyle name="Input 24 2 2 2 3 8" xfId="40557"/>
    <cellStyle name="Input 24 2 2 2 4" xfId="14861"/>
    <cellStyle name="Input 24 2 2 2 4 2" xfId="42959"/>
    <cellStyle name="Input 24 2 2 2 4 3" xfId="43425"/>
    <cellStyle name="Input 24 2 2 2 4 4" xfId="32482"/>
    <cellStyle name="Input 24 2 2 2 5" xfId="13122"/>
    <cellStyle name="Input 24 2 2 2 5 2" xfId="42324"/>
    <cellStyle name="Input 24 2 2 2 5 3" xfId="40409"/>
    <cellStyle name="Input 24 2 2 2 5 4" xfId="30757"/>
    <cellStyle name="Input 24 2 2 2 6" xfId="12725"/>
    <cellStyle name="Input 24 2 2 2 6 2" xfId="42160"/>
    <cellStyle name="Input 24 2 2 2 6 3" xfId="43446"/>
    <cellStyle name="Input 24 2 2 2 6 4" xfId="30369"/>
    <cellStyle name="Input 24 2 2 2 7" xfId="19762"/>
    <cellStyle name="Input 24 2 2 2 7 2" xfId="45284"/>
    <cellStyle name="Input 24 2 2 2 7 3" xfId="49190"/>
    <cellStyle name="Input 24 2 2 2 7 4" xfId="37275"/>
    <cellStyle name="Input 24 2 2 2 8" xfId="11598"/>
    <cellStyle name="Input 24 2 2 2 8 2" xfId="41589"/>
    <cellStyle name="Input 24 2 2 2 8 3" xfId="41995"/>
    <cellStyle name="Input 24 2 2 2 9" xfId="39819"/>
    <cellStyle name="Input 24 2 2 3" xfId="53057"/>
    <cellStyle name="Input 24 2 3" xfId="7078"/>
    <cellStyle name="Input 24 2 3 10" xfId="41698"/>
    <cellStyle name="Input 24 2 3 11" xfId="53058"/>
    <cellStyle name="Input 24 2 3 2" xfId="10605"/>
    <cellStyle name="Input 24 2 3 2 2" xfId="18392"/>
    <cellStyle name="Input 24 2 3 2 2 2" xfId="43924"/>
    <cellStyle name="Input 24 2 3 2 2 3" xfId="47833"/>
    <cellStyle name="Input 24 2 3 2 2 4" xfId="36015"/>
    <cellStyle name="Input 24 2 3 2 3" xfId="12618"/>
    <cellStyle name="Input 24 2 3 2 3 2" xfId="42078"/>
    <cellStyle name="Input 24 2 3 2 3 3" xfId="40033"/>
    <cellStyle name="Input 24 2 3 2 3 4" xfId="30269"/>
    <cellStyle name="Input 24 2 3 2 4" xfId="20239"/>
    <cellStyle name="Input 24 2 3 2 4 2" xfId="45761"/>
    <cellStyle name="Input 24 2 3 2 4 3" xfId="49667"/>
    <cellStyle name="Input 24 2 3 2 4 4" xfId="37696"/>
    <cellStyle name="Input 24 2 3 2 5" xfId="20805"/>
    <cellStyle name="Input 24 2 3 2 5 2" xfId="46327"/>
    <cellStyle name="Input 24 2 3 2 5 3" xfId="50233"/>
    <cellStyle name="Input 24 2 3 2 5 4" xfId="38197"/>
    <cellStyle name="Input 24 2 3 2 6" xfId="21458"/>
    <cellStyle name="Input 24 2 3 2 6 2" xfId="46980"/>
    <cellStyle name="Input 24 2 3 2 6 3" xfId="50886"/>
    <cellStyle name="Input 24 2 3 2 7" xfId="40783"/>
    <cellStyle name="Input 24 2 3 2 8" xfId="39472"/>
    <cellStyle name="Input 24 2 3 3" xfId="10900"/>
    <cellStyle name="Input 24 2 3 3 2" xfId="18687"/>
    <cellStyle name="Input 24 2 3 3 2 2" xfId="44219"/>
    <cellStyle name="Input 24 2 3 3 2 3" xfId="48128"/>
    <cellStyle name="Input 24 2 3 3 2 4" xfId="36310"/>
    <cellStyle name="Input 24 2 3 3 3" xfId="19705"/>
    <cellStyle name="Input 24 2 3 3 3 2" xfId="45227"/>
    <cellStyle name="Input 24 2 3 3 3 3" xfId="49133"/>
    <cellStyle name="Input 24 2 3 3 3 4" xfId="37218"/>
    <cellStyle name="Input 24 2 3 3 4" xfId="12816"/>
    <cellStyle name="Input 24 2 3 3 4 2" xfId="42200"/>
    <cellStyle name="Input 24 2 3 3 4 3" xfId="39523"/>
    <cellStyle name="Input 24 2 3 3 4 4" xfId="30457"/>
    <cellStyle name="Input 24 2 3 3 5" xfId="21100"/>
    <cellStyle name="Input 24 2 3 3 5 2" xfId="46622"/>
    <cellStyle name="Input 24 2 3 3 5 3" xfId="50528"/>
    <cellStyle name="Input 24 2 3 3 5 4" xfId="38492"/>
    <cellStyle name="Input 24 2 3 3 6" xfId="21753"/>
    <cellStyle name="Input 24 2 3 3 6 2" xfId="47275"/>
    <cellStyle name="Input 24 2 3 3 6 3" xfId="51181"/>
    <cellStyle name="Input 24 2 3 3 7" xfId="41078"/>
    <cellStyle name="Input 24 2 3 3 8" xfId="43698"/>
    <cellStyle name="Input 24 2 3 4" xfId="14860"/>
    <cellStyle name="Input 24 2 3 4 2" xfId="42958"/>
    <cellStyle name="Input 24 2 3 4 3" xfId="42514"/>
    <cellStyle name="Input 24 2 3 4 4" xfId="32481"/>
    <cellStyle name="Input 24 2 3 5" xfId="13121"/>
    <cellStyle name="Input 24 2 3 5 2" xfId="42323"/>
    <cellStyle name="Input 24 2 3 5 3" xfId="43548"/>
    <cellStyle name="Input 24 2 3 5 4" xfId="30756"/>
    <cellStyle name="Input 24 2 3 6" xfId="20061"/>
    <cellStyle name="Input 24 2 3 6 2" xfId="45583"/>
    <cellStyle name="Input 24 2 3 6 3" xfId="49489"/>
    <cellStyle name="Input 24 2 3 6 4" xfId="37541"/>
    <cellStyle name="Input 24 2 3 7" xfId="19217"/>
    <cellStyle name="Input 24 2 3 7 2" xfId="44739"/>
    <cellStyle name="Input 24 2 3 7 3" xfId="48645"/>
    <cellStyle name="Input 24 2 3 7 4" xfId="36786"/>
    <cellStyle name="Input 24 2 3 8" xfId="12178"/>
    <cellStyle name="Input 24 2 3 8 2" xfId="41902"/>
    <cellStyle name="Input 24 2 3 8 3" xfId="39088"/>
    <cellStyle name="Input 24 2 3 9" xfId="39818"/>
    <cellStyle name="Input 24 2 4" xfId="22444"/>
    <cellStyle name="Input 24 2 5" xfId="53056"/>
    <cellStyle name="Input 24 2_Sheet1" xfId="1901"/>
    <cellStyle name="Input 24 3" xfId="1902"/>
    <cellStyle name="Input 24 3 2" xfId="7080"/>
    <cellStyle name="Input 24 3 2 10" xfId="40107"/>
    <cellStyle name="Input 24 3 2 2" xfId="10607"/>
    <cellStyle name="Input 24 3 2 2 2" xfId="18394"/>
    <cellStyle name="Input 24 3 2 2 2 2" xfId="43926"/>
    <cellStyle name="Input 24 3 2 2 2 3" xfId="47835"/>
    <cellStyle name="Input 24 3 2 2 2 4" xfId="36017"/>
    <cellStyle name="Input 24 3 2 2 3" xfId="19598"/>
    <cellStyle name="Input 24 3 2 2 3 2" xfId="45120"/>
    <cellStyle name="Input 24 3 2 2 3 3" xfId="49026"/>
    <cellStyle name="Input 24 3 2 2 3 4" xfId="37124"/>
    <cellStyle name="Input 24 3 2 2 4" xfId="11624"/>
    <cellStyle name="Input 24 3 2 2 4 2" xfId="41615"/>
    <cellStyle name="Input 24 3 2 2 4 3" xfId="47483"/>
    <cellStyle name="Input 24 3 2 2 4 4" xfId="29311"/>
    <cellStyle name="Input 24 3 2 2 5" xfId="20807"/>
    <cellStyle name="Input 24 3 2 2 5 2" xfId="46329"/>
    <cellStyle name="Input 24 3 2 2 5 3" xfId="50235"/>
    <cellStyle name="Input 24 3 2 2 5 4" xfId="38199"/>
    <cellStyle name="Input 24 3 2 2 6" xfId="21460"/>
    <cellStyle name="Input 24 3 2 2 6 2" xfId="46982"/>
    <cellStyle name="Input 24 3 2 2 6 3" xfId="50888"/>
    <cellStyle name="Input 24 3 2 2 7" xfId="40785"/>
    <cellStyle name="Input 24 3 2 2 8" xfId="43365"/>
    <cellStyle name="Input 24 3 2 3" xfId="10902"/>
    <cellStyle name="Input 24 3 2 3 2" xfId="18689"/>
    <cellStyle name="Input 24 3 2 3 2 2" xfId="44221"/>
    <cellStyle name="Input 24 3 2 3 2 3" xfId="48130"/>
    <cellStyle name="Input 24 3 2 3 2 4" xfId="36312"/>
    <cellStyle name="Input 24 3 2 3 3" xfId="19704"/>
    <cellStyle name="Input 24 3 2 3 3 2" xfId="45226"/>
    <cellStyle name="Input 24 3 2 3 3 3" xfId="49132"/>
    <cellStyle name="Input 24 3 2 3 3 4" xfId="37217"/>
    <cellStyle name="Input 24 3 2 3 4" xfId="19150"/>
    <cellStyle name="Input 24 3 2 3 4 2" xfId="44672"/>
    <cellStyle name="Input 24 3 2 3 4 3" xfId="48578"/>
    <cellStyle name="Input 24 3 2 3 4 4" xfId="36728"/>
    <cellStyle name="Input 24 3 2 3 5" xfId="21102"/>
    <cellStyle name="Input 24 3 2 3 5 2" xfId="46624"/>
    <cellStyle name="Input 24 3 2 3 5 3" xfId="50530"/>
    <cellStyle name="Input 24 3 2 3 5 4" xfId="38494"/>
    <cellStyle name="Input 24 3 2 3 6" xfId="21755"/>
    <cellStyle name="Input 24 3 2 3 6 2" xfId="47277"/>
    <cellStyle name="Input 24 3 2 3 6 3" xfId="51183"/>
    <cellStyle name="Input 24 3 2 3 7" xfId="41080"/>
    <cellStyle name="Input 24 3 2 3 8" xfId="39668"/>
    <cellStyle name="Input 24 3 2 4" xfId="14862"/>
    <cellStyle name="Input 24 3 2 4 2" xfId="42960"/>
    <cellStyle name="Input 24 3 2 4 3" xfId="40287"/>
    <cellStyle name="Input 24 3 2 4 4" xfId="32483"/>
    <cellStyle name="Input 24 3 2 5" xfId="11291"/>
    <cellStyle name="Input 24 3 2 5 2" xfId="41318"/>
    <cellStyle name="Input 24 3 2 5 3" xfId="39334"/>
    <cellStyle name="Input 24 3 2 5 4" xfId="29005"/>
    <cellStyle name="Input 24 3 2 6" xfId="19686"/>
    <cellStyle name="Input 24 3 2 6 2" xfId="45208"/>
    <cellStyle name="Input 24 3 2 6 3" xfId="49114"/>
    <cellStyle name="Input 24 3 2 6 4" xfId="37201"/>
    <cellStyle name="Input 24 3 2 7" xfId="19045"/>
    <cellStyle name="Input 24 3 2 7 2" xfId="44567"/>
    <cellStyle name="Input 24 3 2 7 3" xfId="48473"/>
    <cellStyle name="Input 24 3 2 7 4" xfId="36630"/>
    <cellStyle name="Input 24 3 2 8" xfId="20602"/>
    <cellStyle name="Input 24 3 2 8 2" xfId="46124"/>
    <cellStyle name="Input 24 3 2 8 3" xfId="50030"/>
    <cellStyle name="Input 24 3 2 9" xfId="39820"/>
    <cellStyle name="Input 24 3 3" xfId="53059"/>
    <cellStyle name="Input 24 4" xfId="7077"/>
    <cellStyle name="Input 24 4 10" xfId="47574"/>
    <cellStyle name="Input 24 4 11" xfId="53060"/>
    <cellStyle name="Input 24 4 2" xfId="10604"/>
    <cellStyle name="Input 24 4 2 2" xfId="18391"/>
    <cellStyle name="Input 24 4 2 2 2" xfId="43923"/>
    <cellStyle name="Input 24 4 2 2 3" xfId="47832"/>
    <cellStyle name="Input 24 4 2 2 4" xfId="36014"/>
    <cellStyle name="Input 24 4 2 3" xfId="19737"/>
    <cellStyle name="Input 24 4 2 3 2" xfId="45259"/>
    <cellStyle name="Input 24 4 2 3 3" xfId="49165"/>
    <cellStyle name="Input 24 4 2 3 4" xfId="37250"/>
    <cellStyle name="Input 24 4 2 4" xfId="11544"/>
    <cellStyle name="Input 24 4 2 4 2" xfId="41535"/>
    <cellStyle name="Input 24 4 2 4 3" xfId="40182"/>
    <cellStyle name="Input 24 4 2 4 4" xfId="29242"/>
    <cellStyle name="Input 24 4 2 5" xfId="20804"/>
    <cellStyle name="Input 24 4 2 5 2" xfId="46326"/>
    <cellStyle name="Input 24 4 2 5 3" xfId="50232"/>
    <cellStyle name="Input 24 4 2 5 4" xfId="38196"/>
    <cellStyle name="Input 24 4 2 6" xfId="21457"/>
    <cellStyle name="Input 24 4 2 6 2" xfId="46979"/>
    <cellStyle name="Input 24 4 2 6 3" xfId="50885"/>
    <cellStyle name="Input 24 4 2 7" xfId="40782"/>
    <cellStyle name="Input 24 4 2 8" xfId="40360"/>
    <cellStyle name="Input 24 4 3" xfId="10899"/>
    <cellStyle name="Input 24 4 3 2" xfId="18686"/>
    <cellStyle name="Input 24 4 3 2 2" xfId="44218"/>
    <cellStyle name="Input 24 4 3 2 3" xfId="48127"/>
    <cellStyle name="Input 24 4 3 2 4" xfId="36309"/>
    <cellStyle name="Input 24 4 3 3" xfId="13916"/>
    <cellStyle name="Input 24 4 3 3 2" xfId="42632"/>
    <cellStyle name="Input 24 4 3 3 3" xfId="40400"/>
    <cellStyle name="Input 24 4 3 3 4" xfId="31538"/>
    <cellStyle name="Input 24 4 3 4" xfId="11751"/>
    <cellStyle name="Input 24 4 3 4 2" xfId="41707"/>
    <cellStyle name="Input 24 4 3 4 3" xfId="39314"/>
    <cellStyle name="Input 24 4 3 4 4" xfId="29424"/>
    <cellStyle name="Input 24 4 3 5" xfId="21099"/>
    <cellStyle name="Input 24 4 3 5 2" xfId="46621"/>
    <cellStyle name="Input 24 4 3 5 3" xfId="50527"/>
    <cellStyle name="Input 24 4 3 5 4" xfId="38491"/>
    <cellStyle name="Input 24 4 3 6" xfId="21752"/>
    <cellStyle name="Input 24 4 3 6 2" xfId="47274"/>
    <cellStyle name="Input 24 4 3 6 3" xfId="51180"/>
    <cellStyle name="Input 24 4 3 7" xfId="41077"/>
    <cellStyle name="Input 24 4 3 8" xfId="42809"/>
    <cellStyle name="Input 24 4 4" xfId="14859"/>
    <cellStyle name="Input 24 4 4 2" xfId="42957"/>
    <cellStyle name="Input 24 4 4 3" xfId="39504"/>
    <cellStyle name="Input 24 4 4 4" xfId="32480"/>
    <cellStyle name="Input 24 4 5" xfId="13120"/>
    <cellStyle name="Input 24 4 5 2" xfId="42322"/>
    <cellStyle name="Input 24 4 5 3" xfId="42660"/>
    <cellStyle name="Input 24 4 5 4" xfId="30755"/>
    <cellStyle name="Input 24 4 6" xfId="20171"/>
    <cellStyle name="Input 24 4 6 2" xfId="45693"/>
    <cellStyle name="Input 24 4 6 3" xfId="49599"/>
    <cellStyle name="Input 24 4 6 4" xfId="37642"/>
    <cellStyle name="Input 24 4 7" xfId="20068"/>
    <cellStyle name="Input 24 4 7 2" xfId="45590"/>
    <cellStyle name="Input 24 4 7 3" xfId="49496"/>
    <cellStyle name="Input 24 4 7 4" xfId="37547"/>
    <cellStyle name="Input 24 4 8" xfId="20474"/>
    <cellStyle name="Input 24 4 8 2" xfId="45996"/>
    <cellStyle name="Input 24 4 8 3" xfId="49902"/>
    <cellStyle name="Input 24 4 9" xfId="39817"/>
    <cellStyle name="Input 24 5" xfId="22443"/>
    <cellStyle name="Input 24 6" xfId="53055"/>
    <cellStyle name="Input 24_Sheet1" xfId="1903"/>
    <cellStyle name="Input 25" xfId="1904"/>
    <cellStyle name="Input 25 2" xfId="1905"/>
    <cellStyle name="Input 25 2 2" xfId="1906"/>
    <cellStyle name="Input 25 2 2 2" xfId="7083"/>
    <cellStyle name="Input 25 2 2 2 10" xfId="40602"/>
    <cellStyle name="Input 25 2 2 2 2" xfId="10610"/>
    <cellStyle name="Input 25 2 2 2 2 2" xfId="18397"/>
    <cellStyle name="Input 25 2 2 2 2 2 2" xfId="43929"/>
    <cellStyle name="Input 25 2 2 2 2 2 3" xfId="47838"/>
    <cellStyle name="Input 25 2 2 2 2 2 4" xfId="36020"/>
    <cellStyle name="Input 25 2 2 2 2 3" xfId="20019"/>
    <cellStyle name="Input 25 2 2 2 2 3 2" xfId="45541"/>
    <cellStyle name="Input 25 2 2 2 2 3 3" xfId="49447"/>
    <cellStyle name="Input 25 2 2 2 2 3 4" xfId="37503"/>
    <cellStyle name="Input 25 2 2 2 2 4" xfId="19775"/>
    <cellStyle name="Input 25 2 2 2 2 4 2" xfId="45297"/>
    <cellStyle name="Input 25 2 2 2 2 4 3" xfId="49203"/>
    <cellStyle name="Input 25 2 2 2 2 4 4" xfId="37285"/>
    <cellStyle name="Input 25 2 2 2 2 5" xfId="20810"/>
    <cellStyle name="Input 25 2 2 2 2 5 2" xfId="46332"/>
    <cellStyle name="Input 25 2 2 2 2 5 3" xfId="50238"/>
    <cellStyle name="Input 25 2 2 2 2 5 4" xfId="38202"/>
    <cellStyle name="Input 25 2 2 2 2 6" xfId="21463"/>
    <cellStyle name="Input 25 2 2 2 2 6 2" xfId="46985"/>
    <cellStyle name="Input 25 2 2 2 2 6 3" xfId="50891"/>
    <cellStyle name="Input 25 2 2 2 2 7" xfId="40788"/>
    <cellStyle name="Input 25 2 2 2 2 8" xfId="39170"/>
    <cellStyle name="Input 25 2 2 2 3" xfId="10905"/>
    <cellStyle name="Input 25 2 2 2 3 2" xfId="18692"/>
    <cellStyle name="Input 25 2 2 2 3 2 2" xfId="44224"/>
    <cellStyle name="Input 25 2 2 2 3 2 3" xfId="48133"/>
    <cellStyle name="Input 25 2 2 2 3 2 4" xfId="36315"/>
    <cellStyle name="Input 25 2 2 2 3 3" xfId="20129"/>
    <cellStyle name="Input 25 2 2 2 3 3 2" xfId="45651"/>
    <cellStyle name="Input 25 2 2 2 3 3 3" xfId="49557"/>
    <cellStyle name="Input 25 2 2 2 3 3 4" xfId="37601"/>
    <cellStyle name="Input 25 2 2 2 3 4" xfId="12685"/>
    <cellStyle name="Input 25 2 2 2 3 4 2" xfId="42145"/>
    <cellStyle name="Input 25 2 2 2 3 4 3" xfId="39528"/>
    <cellStyle name="Input 25 2 2 2 3 4 4" xfId="30332"/>
    <cellStyle name="Input 25 2 2 2 3 5" xfId="21105"/>
    <cellStyle name="Input 25 2 2 2 3 5 2" xfId="46627"/>
    <cellStyle name="Input 25 2 2 2 3 5 3" xfId="50533"/>
    <cellStyle name="Input 25 2 2 2 3 5 4" xfId="38497"/>
    <cellStyle name="Input 25 2 2 2 3 6" xfId="21758"/>
    <cellStyle name="Input 25 2 2 2 3 6 2" xfId="47280"/>
    <cellStyle name="Input 25 2 2 2 3 6 3" xfId="51186"/>
    <cellStyle name="Input 25 2 2 2 3 7" xfId="41083"/>
    <cellStyle name="Input 25 2 2 2 3 8" xfId="40452"/>
    <cellStyle name="Input 25 2 2 2 4" xfId="14865"/>
    <cellStyle name="Input 25 2 2 2 4 2" xfId="42963"/>
    <cellStyle name="Input 25 2 2 2 4 3" xfId="41262"/>
    <cellStyle name="Input 25 2 2 2 4 4" xfId="32486"/>
    <cellStyle name="Input 25 2 2 2 5" xfId="19565"/>
    <cellStyle name="Input 25 2 2 2 5 2" xfId="45087"/>
    <cellStyle name="Input 25 2 2 2 5 3" xfId="48993"/>
    <cellStyle name="Input 25 2 2 2 5 4" xfId="37091"/>
    <cellStyle name="Input 25 2 2 2 6" xfId="12646"/>
    <cellStyle name="Input 25 2 2 2 6 2" xfId="42106"/>
    <cellStyle name="Input 25 2 2 2 6 3" xfId="39529"/>
    <cellStyle name="Input 25 2 2 2 6 4" xfId="30297"/>
    <cellStyle name="Input 25 2 2 2 7" xfId="20507"/>
    <cellStyle name="Input 25 2 2 2 7 2" xfId="46029"/>
    <cellStyle name="Input 25 2 2 2 7 3" xfId="49935"/>
    <cellStyle name="Input 25 2 2 2 7 4" xfId="37926"/>
    <cellStyle name="Input 25 2 2 2 8" xfId="19320"/>
    <cellStyle name="Input 25 2 2 2 8 2" xfId="44842"/>
    <cellStyle name="Input 25 2 2 2 8 3" xfId="48748"/>
    <cellStyle name="Input 25 2 2 2 9" xfId="39823"/>
    <cellStyle name="Input 25 2 2 3" xfId="53063"/>
    <cellStyle name="Input 25 2 3" xfId="7082"/>
    <cellStyle name="Input 25 2 3 10" xfId="43743"/>
    <cellStyle name="Input 25 2 3 11" xfId="53064"/>
    <cellStyle name="Input 25 2 3 2" xfId="10609"/>
    <cellStyle name="Input 25 2 3 2 2" xfId="18396"/>
    <cellStyle name="Input 25 2 3 2 2 2" xfId="43928"/>
    <cellStyle name="Input 25 2 3 2 2 3" xfId="47837"/>
    <cellStyle name="Input 25 2 3 2 2 4" xfId="36019"/>
    <cellStyle name="Input 25 2 3 2 3" xfId="19412"/>
    <cellStyle name="Input 25 2 3 2 3 2" xfId="44934"/>
    <cellStyle name="Input 25 2 3 2 3 3" xfId="48840"/>
    <cellStyle name="Input 25 2 3 2 3 4" xfId="36963"/>
    <cellStyle name="Input 25 2 3 2 4" xfId="11556"/>
    <cellStyle name="Input 25 2 3 2 4 2" xfId="41547"/>
    <cellStyle name="Input 25 2 3 2 4 3" xfId="39546"/>
    <cellStyle name="Input 25 2 3 2 4 4" xfId="29253"/>
    <cellStyle name="Input 25 2 3 2 5" xfId="20809"/>
    <cellStyle name="Input 25 2 3 2 5 2" xfId="46331"/>
    <cellStyle name="Input 25 2 3 2 5 3" xfId="50237"/>
    <cellStyle name="Input 25 2 3 2 5 4" xfId="38201"/>
    <cellStyle name="Input 25 2 3 2 6" xfId="21462"/>
    <cellStyle name="Input 25 2 3 2 6 2" xfId="46984"/>
    <cellStyle name="Input 25 2 3 2 6 3" xfId="50890"/>
    <cellStyle name="Input 25 2 3 2 7" xfId="40787"/>
    <cellStyle name="Input 25 2 3 2 8" xfId="39367"/>
    <cellStyle name="Input 25 2 3 3" xfId="10904"/>
    <cellStyle name="Input 25 2 3 3 2" xfId="18691"/>
    <cellStyle name="Input 25 2 3 3 2 2" xfId="44223"/>
    <cellStyle name="Input 25 2 3 3 2 3" xfId="48132"/>
    <cellStyle name="Input 25 2 3 3 2 4" xfId="36314"/>
    <cellStyle name="Input 25 2 3 3 3" xfId="19577"/>
    <cellStyle name="Input 25 2 3 3 3 2" xfId="45099"/>
    <cellStyle name="Input 25 2 3 3 3 3" xfId="49005"/>
    <cellStyle name="Input 25 2 3 3 3 4" xfId="37103"/>
    <cellStyle name="Input 25 2 3 3 4" xfId="11626"/>
    <cellStyle name="Input 25 2 3 3 4 2" xfId="41617"/>
    <cellStyle name="Input 25 2 3 3 4 3" xfId="43183"/>
    <cellStyle name="Input 25 2 3 3 4 4" xfId="29313"/>
    <cellStyle name="Input 25 2 3 3 5" xfId="21104"/>
    <cellStyle name="Input 25 2 3 3 5 2" xfId="46626"/>
    <cellStyle name="Input 25 2 3 3 5 3" xfId="50532"/>
    <cellStyle name="Input 25 2 3 3 5 4" xfId="38496"/>
    <cellStyle name="Input 25 2 3 3 6" xfId="21757"/>
    <cellStyle name="Input 25 2 3 3 6 2" xfId="47279"/>
    <cellStyle name="Input 25 2 3 3 6 3" xfId="51185"/>
    <cellStyle name="Input 25 2 3 3 7" xfId="41082"/>
    <cellStyle name="Input 25 2 3 3 8" xfId="43594"/>
    <cellStyle name="Input 25 2 3 4" xfId="14864"/>
    <cellStyle name="Input 25 2 3 4 2" xfId="42962"/>
    <cellStyle name="Input 25 2 3 4 3" xfId="39246"/>
    <cellStyle name="Input 25 2 3 4 4" xfId="32485"/>
    <cellStyle name="Input 25 2 3 5" xfId="13124"/>
    <cellStyle name="Input 25 2 3 5 2" xfId="42326"/>
    <cellStyle name="Input 25 2 3 5 3" xfId="42526"/>
    <cellStyle name="Input 25 2 3 5 4" xfId="30759"/>
    <cellStyle name="Input 25 2 3 6" xfId="13291"/>
    <cellStyle name="Input 25 2 3 6 2" xfId="42442"/>
    <cellStyle name="Input 25 2 3 6 3" xfId="42763"/>
    <cellStyle name="Input 25 2 3 6 4" xfId="30921"/>
    <cellStyle name="Input 25 2 3 7" xfId="19489"/>
    <cellStyle name="Input 25 2 3 7 2" xfId="45011"/>
    <cellStyle name="Input 25 2 3 7 3" xfId="48917"/>
    <cellStyle name="Input 25 2 3 7 4" xfId="37025"/>
    <cellStyle name="Input 25 2 3 8" xfId="19936"/>
    <cellStyle name="Input 25 2 3 8 2" xfId="45458"/>
    <cellStyle name="Input 25 2 3 8 3" xfId="49364"/>
    <cellStyle name="Input 25 2 3 9" xfId="39822"/>
    <cellStyle name="Input 25 2 4" xfId="22446"/>
    <cellStyle name="Input 25 2 5" xfId="53062"/>
    <cellStyle name="Input 25 2_Sheet1" xfId="1907"/>
    <cellStyle name="Input 25 3" xfId="1908"/>
    <cellStyle name="Input 25 3 2" xfId="7084"/>
    <cellStyle name="Input 25 3 2 10" xfId="39936"/>
    <cellStyle name="Input 25 3 2 2" xfId="10611"/>
    <cellStyle name="Input 25 3 2 2 2" xfId="18398"/>
    <cellStyle name="Input 25 3 2 2 2 2" xfId="43930"/>
    <cellStyle name="Input 25 3 2 2 2 3" xfId="47839"/>
    <cellStyle name="Input 25 3 2 2 2 4" xfId="36021"/>
    <cellStyle name="Input 25 3 2 2 3" xfId="19285"/>
    <cellStyle name="Input 25 3 2 2 3 2" xfId="44807"/>
    <cellStyle name="Input 25 3 2 2 3 3" xfId="48713"/>
    <cellStyle name="Input 25 3 2 2 3 4" xfId="36849"/>
    <cellStyle name="Input 25 3 2 2 4" xfId="11646"/>
    <cellStyle name="Input 25 3 2 2 4 2" xfId="41637"/>
    <cellStyle name="Input 25 3 2 2 4 3" xfId="39541"/>
    <cellStyle name="Input 25 3 2 2 4 4" xfId="29331"/>
    <cellStyle name="Input 25 3 2 2 5" xfId="20811"/>
    <cellStyle name="Input 25 3 2 2 5 2" xfId="46333"/>
    <cellStyle name="Input 25 3 2 2 5 3" xfId="50239"/>
    <cellStyle name="Input 25 3 2 2 5 4" xfId="38203"/>
    <cellStyle name="Input 25 3 2 2 6" xfId="21464"/>
    <cellStyle name="Input 25 3 2 2 6 2" xfId="46986"/>
    <cellStyle name="Input 25 3 2 2 6 3" xfId="50892"/>
    <cellStyle name="Input 25 3 2 2 7" xfId="40789"/>
    <cellStyle name="Input 25 3 2 2 8" xfId="47489"/>
    <cellStyle name="Input 25 3 2 3" xfId="10906"/>
    <cellStyle name="Input 25 3 2 3 2" xfId="18693"/>
    <cellStyle name="Input 25 3 2 3 2 2" xfId="44225"/>
    <cellStyle name="Input 25 3 2 3 2 3" xfId="48134"/>
    <cellStyle name="Input 25 3 2 3 2 4" xfId="36316"/>
    <cellStyle name="Input 25 3 2 3 3" xfId="19388"/>
    <cellStyle name="Input 25 3 2 3 3 2" xfId="44910"/>
    <cellStyle name="Input 25 3 2 3 3 3" xfId="48816"/>
    <cellStyle name="Input 25 3 2 3 3 4" xfId="36939"/>
    <cellStyle name="Input 25 3 2 3 4" xfId="19616"/>
    <cellStyle name="Input 25 3 2 3 4 2" xfId="45138"/>
    <cellStyle name="Input 25 3 2 3 4 3" xfId="49044"/>
    <cellStyle name="Input 25 3 2 3 4 4" xfId="37141"/>
    <cellStyle name="Input 25 3 2 3 5" xfId="21106"/>
    <cellStyle name="Input 25 3 2 3 5 2" xfId="46628"/>
    <cellStyle name="Input 25 3 2 3 5 3" xfId="50534"/>
    <cellStyle name="Input 25 3 2 3 5 4" xfId="38498"/>
    <cellStyle name="Input 25 3 2 3 6" xfId="21759"/>
    <cellStyle name="Input 25 3 2 3 6 2" xfId="47281"/>
    <cellStyle name="Input 25 3 2 3 6 3" xfId="51187"/>
    <cellStyle name="Input 25 3 2 3 7" xfId="41084"/>
    <cellStyle name="Input 25 3 2 3 8" xfId="39562"/>
    <cellStyle name="Input 25 3 2 4" xfId="14866"/>
    <cellStyle name="Input 25 3 2 4 2" xfId="42964"/>
    <cellStyle name="Input 25 3 2 4 3" xfId="43155"/>
    <cellStyle name="Input 25 3 2 4 4" xfId="32487"/>
    <cellStyle name="Input 25 3 2 5" xfId="11292"/>
    <cellStyle name="Input 25 3 2 5 2" xfId="41319"/>
    <cellStyle name="Input 25 3 2 5 3" xfId="42012"/>
    <cellStyle name="Input 25 3 2 5 4" xfId="29006"/>
    <cellStyle name="Input 25 3 2 6" xfId="20241"/>
    <cellStyle name="Input 25 3 2 6 2" xfId="45763"/>
    <cellStyle name="Input 25 3 2 6 3" xfId="49669"/>
    <cellStyle name="Input 25 3 2 6 4" xfId="37698"/>
    <cellStyle name="Input 25 3 2 7" xfId="19533"/>
    <cellStyle name="Input 25 3 2 7 2" xfId="45055"/>
    <cellStyle name="Input 25 3 2 7 3" xfId="48961"/>
    <cellStyle name="Input 25 3 2 7 4" xfId="37063"/>
    <cellStyle name="Input 25 3 2 8" xfId="20502"/>
    <cellStyle name="Input 25 3 2 8 2" xfId="46024"/>
    <cellStyle name="Input 25 3 2 8 3" xfId="49930"/>
    <cellStyle name="Input 25 3 2 9" xfId="39824"/>
    <cellStyle name="Input 25 3 3" xfId="53065"/>
    <cellStyle name="Input 25 4" xfId="7081"/>
    <cellStyle name="Input 25 4 10" xfId="43076"/>
    <cellStyle name="Input 25 4 11" xfId="53066"/>
    <cellStyle name="Input 25 4 2" xfId="10608"/>
    <cellStyle name="Input 25 4 2 2" xfId="18395"/>
    <cellStyle name="Input 25 4 2 2 2" xfId="43927"/>
    <cellStyle name="Input 25 4 2 2 3" xfId="47836"/>
    <cellStyle name="Input 25 4 2 2 4" xfId="36018"/>
    <cellStyle name="Input 25 4 2 3" xfId="20153"/>
    <cellStyle name="Input 25 4 2 3 2" xfId="45675"/>
    <cellStyle name="Input 25 4 2 3 3" xfId="49581"/>
    <cellStyle name="Input 25 4 2 3 4" xfId="37625"/>
    <cellStyle name="Input 25 4 2 4" xfId="12636"/>
    <cellStyle name="Input 25 4 2 4 2" xfId="42096"/>
    <cellStyle name="Input 25 4 2 4 3" xfId="41285"/>
    <cellStyle name="Input 25 4 2 4 4" xfId="30287"/>
    <cellStyle name="Input 25 4 2 5" xfId="20808"/>
    <cellStyle name="Input 25 4 2 5 2" xfId="46330"/>
    <cellStyle name="Input 25 4 2 5 3" xfId="50236"/>
    <cellStyle name="Input 25 4 2 5 4" xfId="38200"/>
    <cellStyle name="Input 25 4 2 6" xfId="21461"/>
    <cellStyle name="Input 25 4 2 6 2" xfId="46983"/>
    <cellStyle name="Input 25 4 2 6 3" xfId="50889"/>
    <cellStyle name="Input 25 4 2 7" xfId="40786"/>
    <cellStyle name="Input 25 4 2 8" xfId="40227"/>
    <cellStyle name="Input 25 4 3" xfId="10903"/>
    <cellStyle name="Input 25 4 3 2" xfId="18690"/>
    <cellStyle name="Input 25 4 3 2 2" xfId="44222"/>
    <cellStyle name="Input 25 4 3 2 3" xfId="48131"/>
    <cellStyle name="Input 25 4 3 2 4" xfId="36313"/>
    <cellStyle name="Input 25 4 3 3" xfId="11520"/>
    <cellStyle name="Input 25 4 3 3 2" xfId="41511"/>
    <cellStyle name="Input 25 4 3 3 3" xfId="40329"/>
    <cellStyle name="Input 25 4 3 3 4" xfId="29221"/>
    <cellStyle name="Input 25 4 3 4" xfId="11445"/>
    <cellStyle name="Input 25 4 3 4 2" xfId="41436"/>
    <cellStyle name="Input 25 4 3 4 3" xfId="40050"/>
    <cellStyle name="Input 25 4 3 4 4" xfId="29151"/>
    <cellStyle name="Input 25 4 3 5" xfId="21103"/>
    <cellStyle name="Input 25 4 3 5 2" xfId="46625"/>
    <cellStyle name="Input 25 4 3 5 3" xfId="50531"/>
    <cellStyle name="Input 25 4 3 5 4" xfId="38495"/>
    <cellStyle name="Input 25 4 3 6" xfId="21756"/>
    <cellStyle name="Input 25 4 3 6 2" xfId="47278"/>
    <cellStyle name="Input 25 4 3 6 3" xfId="51184"/>
    <cellStyle name="Input 25 4 3 7" xfId="41081"/>
    <cellStyle name="Input 25 4 3 8" xfId="42705"/>
    <cellStyle name="Input 25 4 4" xfId="14863"/>
    <cellStyle name="Input 25 4 4 2" xfId="42961"/>
    <cellStyle name="Input 25 4 4 3" xfId="39404"/>
    <cellStyle name="Input 25 4 4 4" xfId="32484"/>
    <cellStyle name="Input 25 4 5" xfId="13123"/>
    <cellStyle name="Input 25 4 5 2" xfId="42325"/>
    <cellStyle name="Input 25 4 5 3" xfId="39516"/>
    <cellStyle name="Input 25 4 5 4" xfId="30758"/>
    <cellStyle name="Input 25 4 6" xfId="19652"/>
    <cellStyle name="Input 25 4 6 2" xfId="45174"/>
    <cellStyle name="Input 25 4 6 3" xfId="49080"/>
    <cellStyle name="Input 25 4 6 4" xfId="37172"/>
    <cellStyle name="Input 25 4 7" xfId="12698"/>
    <cellStyle name="Input 25 4 7 2" xfId="42154"/>
    <cellStyle name="Input 25 4 7 3" xfId="42667"/>
    <cellStyle name="Input 25 4 7 4" xfId="30342"/>
    <cellStyle name="Input 25 4 8" xfId="19057"/>
    <cellStyle name="Input 25 4 8 2" xfId="44579"/>
    <cellStyle name="Input 25 4 8 3" xfId="48485"/>
    <cellStyle name="Input 25 4 9" xfId="39821"/>
    <cellStyle name="Input 25 5" xfId="22445"/>
    <cellStyle name="Input 25 6" xfId="53061"/>
    <cellStyle name="Input 25_Sheet1" xfId="1909"/>
    <cellStyle name="Input 26" xfId="1910"/>
    <cellStyle name="Input 26 2" xfId="1911"/>
    <cellStyle name="Input 26 2 2" xfId="1912"/>
    <cellStyle name="Input 26 2 2 2" xfId="7087"/>
    <cellStyle name="Input 26 2 2 2 10" xfId="40482"/>
    <cellStyle name="Input 26 2 2 2 2" xfId="10614"/>
    <cellStyle name="Input 26 2 2 2 2 2" xfId="18401"/>
    <cellStyle name="Input 26 2 2 2 2 2 2" xfId="43933"/>
    <cellStyle name="Input 26 2 2 2 2 2 3" xfId="47842"/>
    <cellStyle name="Input 26 2 2 2 2 2 4" xfId="36024"/>
    <cellStyle name="Input 26 2 2 2 2 3" xfId="19736"/>
    <cellStyle name="Input 26 2 2 2 2 3 2" xfId="45258"/>
    <cellStyle name="Input 26 2 2 2 2 3 3" xfId="49164"/>
    <cellStyle name="Input 26 2 2 2 2 3 4" xfId="37249"/>
    <cellStyle name="Input 26 2 2 2 2 4" xfId="11545"/>
    <cellStyle name="Input 26 2 2 2 2 4 2" xfId="41536"/>
    <cellStyle name="Input 26 2 2 2 2 4 3" xfId="39323"/>
    <cellStyle name="Input 26 2 2 2 2 4 4" xfId="29243"/>
    <cellStyle name="Input 26 2 2 2 2 5" xfId="20814"/>
    <cellStyle name="Input 26 2 2 2 2 5 2" xfId="46336"/>
    <cellStyle name="Input 26 2 2 2 2 5 3" xfId="50242"/>
    <cellStyle name="Input 26 2 2 2 2 5 4" xfId="38206"/>
    <cellStyle name="Input 26 2 2 2 2 6" xfId="21467"/>
    <cellStyle name="Input 26 2 2 2 2 6 2" xfId="46989"/>
    <cellStyle name="Input 26 2 2 2 2 6 3" xfId="50895"/>
    <cellStyle name="Input 26 2 2 2 2 7" xfId="40792"/>
    <cellStyle name="Input 26 2 2 2 2 8" xfId="40073"/>
    <cellStyle name="Input 26 2 2 2 3" xfId="10909"/>
    <cellStyle name="Input 26 2 2 2 3 2" xfId="18696"/>
    <cellStyle name="Input 26 2 2 2 3 2 2" xfId="44228"/>
    <cellStyle name="Input 26 2 2 2 3 2 3" xfId="48137"/>
    <cellStyle name="Input 26 2 2 2 3 2 4" xfId="36319"/>
    <cellStyle name="Input 26 2 2 2 3 3" xfId="19870"/>
    <cellStyle name="Input 26 2 2 2 3 3 2" xfId="45392"/>
    <cellStyle name="Input 26 2 2 2 3 3 3" xfId="49298"/>
    <cellStyle name="Input 26 2 2 2 3 3 4" xfId="37370"/>
    <cellStyle name="Input 26 2 2 2 3 4" xfId="11540"/>
    <cellStyle name="Input 26 2 2 2 3 4 2" xfId="41531"/>
    <cellStyle name="Input 26 2 2 2 3 4 3" xfId="40326"/>
    <cellStyle name="Input 26 2 2 2 3 4 4" xfId="29240"/>
    <cellStyle name="Input 26 2 2 2 3 5" xfId="21109"/>
    <cellStyle name="Input 26 2 2 2 3 5 2" xfId="46631"/>
    <cellStyle name="Input 26 2 2 2 3 5 3" xfId="50537"/>
    <cellStyle name="Input 26 2 2 2 3 5 4" xfId="38501"/>
    <cellStyle name="Input 26 2 2 2 3 6" xfId="21762"/>
    <cellStyle name="Input 26 2 2 2 3 6 2" xfId="47284"/>
    <cellStyle name="Input 26 2 2 2 3 6 3" xfId="51190"/>
    <cellStyle name="Input 26 2 2 2 3 7" xfId="41087"/>
    <cellStyle name="Input 26 2 2 2 3 8" xfId="40346"/>
    <cellStyle name="Input 26 2 2 2 4" xfId="14869"/>
    <cellStyle name="Input 26 2 2 2 4 2" xfId="42967"/>
    <cellStyle name="Input 26 2 2 2 4 3" xfId="43642"/>
    <cellStyle name="Input 26 2 2 2 4 4" xfId="32490"/>
    <cellStyle name="Input 26 2 2 2 5" xfId="11294"/>
    <cellStyle name="Input 26 2 2 2 5 2" xfId="41321"/>
    <cellStyle name="Input 26 2 2 2 5 3" xfId="40195"/>
    <cellStyle name="Input 26 2 2 2 5 4" xfId="29008"/>
    <cellStyle name="Input 26 2 2 2 6" xfId="20109"/>
    <cellStyle name="Input 26 2 2 2 6 2" xfId="45631"/>
    <cellStyle name="Input 26 2 2 2 6 3" xfId="49537"/>
    <cellStyle name="Input 26 2 2 2 6 4" xfId="37581"/>
    <cellStyle name="Input 26 2 2 2 7" xfId="19843"/>
    <cellStyle name="Input 26 2 2 2 7 2" xfId="45365"/>
    <cellStyle name="Input 26 2 2 2 7 3" xfId="49271"/>
    <cellStyle name="Input 26 2 2 2 7 4" xfId="37344"/>
    <cellStyle name="Input 26 2 2 2 8" xfId="19529"/>
    <cellStyle name="Input 26 2 2 2 8 2" xfId="45051"/>
    <cellStyle name="Input 26 2 2 2 8 3" xfId="48957"/>
    <cellStyle name="Input 26 2 2 2 9" xfId="39827"/>
    <cellStyle name="Input 26 2 2 3" xfId="53069"/>
    <cellStyle name="Input 26 2 3" xfId="7086"/>
    <cellStyle name="Input 26 2 3 10" xfId="43624"/>
    <cellStyle name="Input 26 2 3 2" xfId="10613"/>
    <cellStyle name="Input 26 2 3 2 2" xfId="18400"/>
    <cellStyle name="Input 26 2 3 2 2 2" xfId="43932"/>
    <cellStyle name="Input 26 2 3 2 2 3" xfId="47841"/>
    <cellStyle name="Input 26 2 3 2 2 4" xfId="36023"/>
    <cellStyle name="Input 26 2 3 2 3" xfId="19117"/>
    <cellStyle name="Input 26 2 3 2 3 2" xfId="44639"/>
    <cellStyle name="Input 26 2 3 2 3 3" xfId="48545"/>
    <cellStyle name="Input 26 2 3 2 3 4" xfId="36698"/>
    <cellStyle name="Input 26 2 3 2 4" xfId="19372"/>
    <cellStyle name="Input 26 2 3 2 4 2" xfId="44894"/>
    <cellStyle name="Input 26 2 3 2 4 3" xfId="48800"/>
    <cellStyle name="Input 26 2 3 2 4 4" xfId="36924"/>
    <cellStyle name="Input 26 2 3 2 5" xfId="20813"/>
    <cellStyle name="Input 26 2 3 2 5 2" xfId="46335"/>
    <cellStyle name="Input 26 2 3 2 5 3" xfId="50241"/>
    <cellStyle name="Input 26 2 3 2 5 4" xfId="38205"/>
    <cellStyle name="Input 26 2 3 2 6" xfId="21466"/>
    <cellStyle name="Input 26 2 3 2 6 2" xfId="46988"/>
    <cellStyle name="Input 26 2 3 2 6 3" xfId="50894"/>
    <cellStyle name="Input 26 2 3 2 7" xfId="40791"/>
    <cellStyle name="Input 26 2 3 2 8" xfId="43214"/>
    <cellStyle name="Input 26 2 3 3" xfId="10908"/>
    <cellStyle name="Input 26 2 3 3 2" xfId="18695"/>
    <cellStyle name="Input 26 2 3 3 2 2" xfId="44227"/>
    <cellStyle name="Input 26 2 3 3 2 3" xfId="48136"/>
    <cellStyle name="Input 26 2 3 3 2 4" xfId="36318"/>
    <cellStyle name="Input 26 2 3 3 3" xfId="19261"/>
    <cellStyle name="Input 26 2 3 3 3 2" xfId="44783"/>
    <cellStyle name="Input 26 2 3 3 3 3" xfId="48689"/>
    <cellStyle name="Input 26 2 3 3 3 4" xfId="36825"/>
    <cellStyle name="Input 26 2 3 3 4" xfId="19859"/>
    <cellStyle name="Input 26 2 3 3 4 2" xfId="45381"/>
    <cellStyle name="Input 26 2 3 3 4 3" xfId="49287"/>
    <cellStyle name="Input 26 2 3 3 4 4" xfId="37359"/>
    <cellStyle name="Input 26 2 3 3 5" xfId="21108"/>
    <cellStyle name="Input 26 2 3 3 5 2" xfId="46630"/>
    <cellStyle name="Input 26 2 3 3 5 3" xfId="50536"/>
    <cellStyle name="Input 26 2 3 3 5 4" xfId="38500"/>
    <cellStyle name="Input 26 2 3 3 6" xfId="21761"/>
    <cellStyle name="Input 26 2 3 3 6 2" xfId="47283"/>
    <cellStyle name="Input 26 2 3 3 6 3" xfId="51189"/>
    <cellStyle name="Input 26 2 3 3 7" xfId="41086"/>
    <cellStyle name="Input 26 2 3 3 8" xfId="43483"/>
    <cellStyle name="Input 26 2 3 4" xfId="14868"/>
    <cellStyle name="Input 26 2 3 4 2" xfId="42966"/>
    <cellStyle name="Input 26 2 3 4 3" xfId="42755"/>
    <cellStyle name="Input 26 2 3 4 4" xfId="32489"/>
    <cellStyle name="Input 26 2 3 5" xfId="11295"/>
    <cellStyle name="Input 26 2 3 5 2" xfId="41322"/>
    <cellStyle name="Input 26 2 3 5 3" xfId="42800"/>
    <cellStyle name="Input 26 2 3 5 4" xfId="29009"/>
    <cellStyle name="Input 26 2 3 6" xfId="19368"/>
    <cellStyle name="Input 26 2 3 6 2" xfId="44890"/>
    <cellStyle name="Input 26 2 3 6 3" xfId="48796"/>
    <cellStyle name="Input 26 2 3 6 4" xfId="36920"/>
    <cellStyle name="Input 26 2 3 7" xfId="20499"/>
    <cellStyle name="Input 26 2 3 7 2" xfId="46021"/>
    <cellStyle name="Input 26 2 3 7 3" xfId="49927"/>
    <cellStyle name="Input 26 2 3 7 4" xfId="37921"/>
    <cellStyle name="Input 26 2 3 8" xfId="12608"/>
    <cellStyle name="Input 26 2 3 8 2" xfId="42068"/>
    <cellStyle name="Input 26 2 3 8 3" xfId="43451"/>
    <cellStyle name="Input 26 2 3 9" xfId="39826"/>
    <cellStyle name="Input 26 2 4" xfId="53068"/>
    <cellStyle name="Input 26 2_Sheet1" xfId="1913"/>
    <cellStyle name="Input 26 3" xfId="1914"/>
    <cellStyle name="Input 26 3 2" xfId="7088"/>
    <cellStyle name="Input 26 3 2 10" xfId="39592"/>
    <cellStyle name="Input 26 3 2 2" xfId="10615"/>
    <cellStyle name="Input 26 3 2 2 2" xfId="18402"/>
    <cellStyle name="Input 26 3 2 2 2 2" xfId="43934"/>
    <cellStyle name="Input 26 3 2 2 2 3" xfId="47843"/>
    <cellStyle name="Input 26 3 2 2 2 4" xfId="36025"/>
    <cellStyle name="Input 26 3 2 2 3" xfId="12617"/>
    <cellStyle name="Input 26 3 2 2 3 2" xfId="42077"/>
    <cellStyle name="Input 26 3 2 2 3 3" xfId="43173"/>
    <cellStyle name="Input 26 3 2 2 3 4" xfId="30268"/>
    <cellStyle name="Input 26 3 2 2 4" xfId="19539"/>
    <cellStyle name="Input 26 3 2 2 4 2" xfId="45061"/>
    <cellStyle name="Input 26 3 2 2 4 3" xfId="48967"/>
    <cellStyle name="Input 26 3 2 2 4 4" xfId="37067"/>
    <cellStyle name="Input 26 3 2 2 5" xfId="20815"/>
    <cellStyle name="Input 26 3 2 2 5 2" xfId="46337"/>
    <cellStyle name="Input 26 3 2 2 5 3" xfId="50243"/>
    <cellStyle name="Input 26 3 2 2 5 4" xfId="38207"/>
    <cellStyle name="Input 26 3 2 2 6" xfId="21468"/>
    <cellStyle name="Input 26 3 2 2 6 2" xfId="46990"/>
    <cellStyle name="Input 26 3 2 2 6 3" xfId="50896"/>
    <cellStyle name="Input 26 3 2 2 7" xfId="40793"/>
    <cellStyle name="Input 26 3 2 2 8" xfId="42822"/>
    <cellStyle name="Input 26 3 2 3" xfId="10910"/>
    <cellStyle name="Input 26 3 2 3 2" xfId="18697"/>
    <cellStyle name="Input 26 3 2 3 2 2" xfId="44229"/>
    <cellStyle name="Input 26 3 2 3 2 3" xfId="48138"/>
    <cellStyle name="Input 26 3 2 3 2 4" xfId="36320"/>
    <cellStyle name="Input 26 3 2 3 3" xfId="19093"/>
    <cellStyle name="Input 26 3 2 3 3 2" xfId="44615"/>
    <cellStyle name="Input 26 3 2 3 3 3" xfId="48521"/>
    <cellStyle name="Input 26 3 2 3 3 4" xfId="36674"/>
    <cellStyle name="Input 26 3 2 3 4" xfId="20112"/>
    <cellStyle name="Input 26 3 2 3 4 2" xfId="45634"/>
    <cellStyle name="Input 26 3 2 3 4 3" xfId="49540"/>
    <cellStyle name="Input 26 3 2 3 4 4" xfId="37584"/>
    <cellStyle name="Input 26 3 2 3 5" xfId="21110"/>
    <cellStyle name="Input 26 3 2 3 5 2" xfId="46632"/>
    <cellStyle name="Input 26 3 2 3 5 3" xfId="50538"/>
    <cellStyle name="Input 26 3 2 3 5 4" xfId="38502"/>
    <cellStyle name="Input 26 3 2 3 6" xfId="21763"/>
    <cellStyle name="Input 26 3 2 3 6 2" xfId="47285"/>
    <cellStyle name="Input 26 3 2 3 6 3" xfId="51191"/>
    <cellStyle name="Input 26 3 2 3 7" xfId="41088"/>
    <cellStyle name="Input 26 3 2 3 8" xfId="39458"/>
    <cellStyle name="Input 26 3 2 4" xfId="14870"/>
    <cellStyle name="Input 26 3 2 4 2" xfId="42968"/>
    <cellStyle name="Input 26 3 2 4 3" xfId="40501"/>
    <cellStyle name="Input 26 3 2 4 4" xfId="32491"/>
    <cellStyle name="Input 26 3 2 5" xfId="13125"/>
    <cellStyle name="Input 26 3 2 5 2" xfId="42327"/>
    <cellStyle name="Input 26 3 2 5 3" xfId="43437"/>
    <cellStyle name="Input 26 3 2 5 4" xfId="30760"/>
    <cellStyle name="Input 26 3 2 6" xfId="12315"/>
    <cellStyle name="Input 26 3 2 6 2" xfId="41929"/>
    <cellStyle name="Input 26 3 2 6 3" xfId="39637"/>
    <cellStyle name="Input 26 3 2 6 4" xfId="29972"/>
    <cellStyle name="Input 26 3 2 7" xfId="12454"/>
    <cellStyle name="Input 26 3 2 7 2" xfId="41956"/>
    <cellStyle name="Input 26 3 2 7 3" xfId="39535"/>
    <cellStyle name="Input 26 3 2 7 4" xfId="30111"/>
    <cellStyle name="Input 26 3 2 8" xfId="19316"/>
    <cellStyle name="Input 26 3 2 8 2" xfId="44838"/>
    <cellStyle name="Input 26 3 2 8 3" xfId="48744"/>
    <cellStyle name="Input 26 3 2 9" xfId="39828"/>
    <cellStyle name="Input 26 3 3" xfId="53070"/>
    <cellStyle name="Input 26 4" xfId="7085"/>
    <cellStyle name="Input 26 4 10" xfId="42736"/>
    <cellStyle name="Input 26 4 11" xfId="53071"/>
    <cellStyle name="Input 26 4 2" xfId="10612"/>
    <cellStyle name="Input 26 4 2 2" xfId="18399"/>
    <cellStyle name="Input 26 4 2 2 2" xfId="43931"/>
    <cellStyle name="Input 26 4 2 2 3" xfId="47840"/>
    <cellStyle name="Input 26 4 2 2 4" xfId="36022"/>
    <cellStyle name="Input 26 4 2 3" xfId="19894"/>
    <cellStyle name="Input 26 4 2 3 2" xfId="45416"/>
    <cellStyle name="Input 26 4 2 3 3" xfId="49322"/>
    <cellStyle name="Input 26 4 2 3 4" xfId="37394"/>
    <cellStyle name="Input 26 4 2 4" xfId="19825"/>
    <cellStyle name="Input 26 4 2 4 2" xfId="45347"/>
    <cellStyle name="Input 26 4 2 4 3" xfId="49253"/>
    <cellStyle name="Input 26 4 2 4 4" xfId="37329"/>
    <cellStyle name="Input 26 4 2 5" xfId="20812"/>
    <cellStyle name="Input 26 4 2 5 2" xfId="46334"/>
    <cellStyle name="Input 26 4 2 5 3" xfId="50240"/>
    <cellStyle name="Input 26 4 2 5 4" xfId="38204"/>
    <cellStyle name="Input 26 4 2 6" xfId="21465"/>
    <cellStyle name="Input 26 4 2 6 2" xfId="46987"/>
    <cellStyle name="Input 26 4 2 6 3" xfId="50893"/>
    <cellStyle name="Input 26 4 2 7" xfId="40790"/>
    <cellStyle name="Input 26 4 2 8" xfId="41411"/>
    <cellStyle name="Input 26 4 3" xfId="10907"/>
    <cellStyle name="Input 26 4 3 2" xfId="18694"/>
    <cellStyle name="Input 26 4 3 2 2" xfId="44226"/>
    <cellStyle name="Input 26 4 3 2 3" xfId="48135"/>
    <cellStyle name="Input 26 4 3 2 4" xfId="36317"/>
    <cellStyle name="Input 26 4 3 3" xfId="19995"/>
    <cellStyle name="Input 26 4 3 3 2" xfId="45517"/>
    <cellStyle name="Input 26 4 3 3 3" xfId="49423"/>
    <cellStyle name="Input 26 4 3 3 4" xfId="37479"/>
    <cellStyle name="Input 26 4 3 4" xfId="19063"/>
    <cellStyle name="Input 26 4 3 4 2" xfId="44585"/>
    <cellStyle name="Input 26 4 3 4 3" xfId="48491"/>
    <cellStyle name="Input 26 4 3 4 4" xfId="36645"/>
    <cellStyle name="Input 26 4 3 5" xfId="21107"/>
    <cellStyle name="Input 26 4 3 5 2" xfId="46629"/>
    <cellStyle name="Input 26 4 3 5 3" xfId="50535"/>
    <cellStyle name="Input 26 4 3 5 4" xfId="38499"/>
    <cellStyle name="Input 26 4 3 6" xfId="21760"/>
    <cellStyle name="Input 26 4 3 6 2" xfId="47282"/>
    <cellStyle name="Input 26 4 3 6 3" xfId="51188"/>
    <cellStyle name="Input 26 4 3 7" xfId="41085"/>
    <cellStyle name="Input 26 4 3 8" xfId="42570"/>
    <cellStyle name="Input 26 4 4" xfId="14867"/>
    <cellStyle name="Input 26 4 4 2" xfId="42965"/>
    <cellStyle name="Input 26 4 4 3" xfId="40014"/>
    <cellStyle name="Input 26 4 4 4" xfId="32488"/>
    <cellStyle name="Input 26 4 5" xfId="11293"/>
    <cellStyle name="Input 26 4 5 2" xfId="41320"/>
    <cellStyle name="Input 26 4 5 3" xfId="43333"/>
    <cellStyle name="Input 26 4 5 4" xfId="29007"/>
    <cellStyle name="Input 26 4 6" xfId="19541"/>
    <cellStyle name="Input 26 4 6 2" xfId="45063"/>
    <cellStyle name="Input 26 4 6 3" xfId="48969"/>
    <cellStyle name="Input 26 4 6 4" xfId="37069"/>
    <cellStyle name="Input 26 4 7" xfId="19567"/>
    <cellStyle name="Input 26 4 7 2" xfId="45089"/>
    <cellStyle name="Input 26 4 7 3" xfId="48995"/>
    <cellStyle name="Input 26 4 7 4" xfId="37093"/>
    <cellStyle name="Input 26 4 8" xfId="19035"/>
    <cellStyle name="Input 26 4 8 2" xfId="44557"/>
    <cellStyle name="Input 26 4 8 3" xfId="48463"/>
    <cellStyle name="Input 26 4 9" xfId="39825"/>
    <cellStyle name="Input 26 5" xfId="22447"/>
    <cellStyle name="Input 26 6" xfId="22904"/>
    <cellStyle name="Input 26 7" xfId="53067"/>
    <cellStyle name="Input 26_Sheet1" xfId="1915"/>
    <cellStyle name="Input 27" xfId="1916"/>
    <cellStyle name="Input 27 2" xfId="1917"/>
    <cellStyle name="Input 27 2 2" xfId="1918"/>
    <cellStyle name="Input 27 2 2 2" xfId="7091"/>
    <cellStyle name="Input 27 2 2 2 10" xfId="40376"/>
    <cellStyle name="Input 27 2 2 2 2" xfId="10618"/>
    <cellStyle name="Input 27 2 2 2 2 2" xfId="18405"/>
    <cellStyle name="Input 27 2 2 2 2 2 2" xfId="43937"/>
    <cellStyle name="Input 27 2 2 2 2 2 3" xfId="47846"/>
    <cellStyle name="Input 27 2 2 2 2 2 4" xfId="36028"/>
    <cellStyle name="Input 27 2 2 2 2 3" xfId="20150"/>
    <cellStyle name="Input 27 2 2 2 2 3 2" xfId="45672"/>
    <cellStyle name="Input 27 2 2 2 2 3 3" xfId="49578"/>
    <cellStyle name="Input 27 2 2 2 2 3 4" xfId="37622"/>
    <cellStyle name="Input 27 2 2 2 2 4" xfId="19252"/>
    <cellStyle name="Input 27 2 2 2 2 4 2" xfId="44774"/>
    <cellStyle name="Input 27 2 2 2 2 4 3" xfId="48680"/>
    <cellStyle name="Input 27 2 2 2 2 4 4" xfId="36816"/>
    <cellStyle name="Input 27 2 2 2 2 5" xfId="20818"/>
    <cellStyle name="Input 27 2 2 2 2 5 2" xfId="46340"/>
    <cellStyle name="Input 27 2 2 2 2 5 3" xfId="50246"/>
    <cellStyle name="Input 27 2 2 2 2 5 4" xfId="38210"/>
    <cellStyle name="Input 27 2 2 2 2 6" xfId="21471"/>
    <cellStyle name="Input 27 2 2 2 2 6 2" xfId="46993"/>
    <cellStyle name="Input 27 2 2 2 2 6 3" xfId="50899"/>
    <cellStyle name="Input 27 2 2 2 2 7" xfId="40796"/>
    <cellStyle name="Input 27 2 2 2 2 8" xfId="39681"/>
    <cellStyle name="Input 27 2 2 2 3" xfId="10913"/>
    <cellStyle name="Input 27 2 2 2 3 2" xfId="18700"/>
    <cellStyle name="Input 27 2 2 2 3 2 2" xfId="44232"/>
    <cellStyle name="Input 27 2 2 2 3 2 3" xfId="48141"/>
    <cellStyle name="Input 27 2 2 2 3 2 4" xfId="36323"/>
    <cellStyle name="Input 27 2 2 2 3 3" xfId="19703"/>
    <cellStyle name="Input 27 2 2 2 3 3 2" xfId="45225"/>
    <cellStyle name="Input 27 2 2 2 3 3 3" xfId="49131"/>
    <cellStyle name="Input 27 2 2 2 3 3 4" xfId="37216"/>
    <cellStyle name="Input 27 2 2 2 3 4" xfId="12962"/>
    <cellStyle name="Input 27 2 2 2 3 4 2" xfId="42234"/>
    <cellStyle name="Input 27 2 2 2 3 4 3" xfId="43442"/>
    <cellStyle name="Input 27 2 2 2 3 4 4" xfId="30597"/>
    <cellStyle name="Input 27 2 2 2 3 5" xfId="21113"/>
    <cellStyle name="Input 27 2 2 2 3 5 2" xfId="46635"/>
    <cellStyle name="Input 27 2 2 2 3 5 3" xfId="50541"/>
    <cellStyle name="Input 27 2 2 2 3 5 4" xfId="38505"/>
    <cellStyle name="Input 27 2 2 2 3 6" xfId="21766"/>
    <cellStyle name="Input 27 2 2 2 3 6 2" xfId="47288"/>
    <cellStyle name="Input 27 2 2 2 3 6 3" xfId="51194"/>
    <cellStyle name="Input 27 2 2 2 3 7" xfId="41091"/>
    <cellStyle name="Input 27 2 2 2 3 8" xfId="40207"/>
    <cellStyle name="Input 27 2 2 2 4" xfId="14873"/>
    <cellStyle name="Input 27 2 2 2 4 2" xfId="42971"/>
    <cellStyle name="Input 27 2 2 2 4 3" xfId="43533"/>
    <cellStyle name="Input 27 2 2 2 4 4" xfId="32494"/>
    <cellStyle name="Input 27 2 2 2 5" xfId="13128"/>
    <cellStyle name="Input 27 2 2 2 5 2" xfId="42330"/>
    <cellStyle name="Input 27 2 2 2 5 3" xfId="41941"/>
    <cellStyle name="Input 27 2 2 2 5 4" xfId="30763"/>
    <cellStyle name="Input 27 2 2 2 6" xfId="19430"/>
    <cellStyle name="Input 27 2 2 2 6 2" xfId="44952"/>
    <cellStyle name="Input 27 2 2 2 6 3" xfId="48858"/>
    <cellStyle name="Input 27 2 2 2 6 4" xfId="36981"/>
    <cellStyle name="Input 27 2 2 2 7" xfId="20375"/>
    <cellStyle name="Input 27 2 2 2 7 2" xfId="45897"/>
    <cellStyle name="Input 27 2 2 2 7 3" xfId="49803"/>
    <cellStyle name="Input 27 2 2 2 7 4" xfId="37815"/>
    <cellStyle name="Input 27 2 2 2 8" xfId="19681"/>
    <cellStyle name="Input 27 2 2 2 8 2" xfId="45203"/>
    <cellStyle name="Input 27 2 2 2 8 3" xfId="49109"/>
    <cellStyle name="Input 27 2 2 2 9" xfId="39831"/>
    <cellStyle name="Input 27 2 2 3" xfId="53074"/>
    <cellStyle name="Input 27 2 3" xfId="7090"/>
    <cellStyle name="Input 27 2 3 10" xfId="43513"/>
    <cellStyle name="Input 27 2 3 2" xfId="10617"/>
    <cellStyle name="Input 27 2 3 2 2" xfId="18404"/>
    <cellStyle name="Input 27 2 3 2 2 2" xfId="43936"/>
    <cellStyle name="Input 27 2 3 2 2 3" xfId="47845"/>
    <cellStyle name="Input 27 2 3 2 2 4" xfId="36027"/>
    <cellStyle name="Input 27 2 3 2 3" xfId="19596"/>
    <cellStyle name="Input 27 2 3 2 3 2" xfId="45118"/>
    <cellStyle name="Input 27 2 3 2 3 3" xfId="49024"/>
    <cellStyle name="Input 27 2 3 2 3 4" xfId="37122"/>
    <cellStyle name="Input 27 2 3 2 4" xfId="19471"/>
    <cellStyle name="Input 27 2 3 2 4 2" xfId="44993"/>
    <cellStyle name="Input 27 2 3 2 4 3" xfId="48899"/>
    <cellStyle name="Input 27 2 3 2 4 4" xfId="37013"/>
    <cellStyle name="Input 27 2 3 2 5" xfId="20817"/>
    <cellStyle name="Input 27 2 3 2 5 2" xfId="46339"/>
    <cellStyle name="Input 27 2 3 2 5 3" xfId="50245"/>
    <cellStyle name="Input 27 2 3 2 5 4" xfId="38209"/>
    <cellStyle name="Input 27 2 3 2 6" xfId="21470"/>
    <cellStyle name="Input 27 2 3 2 6 2" xfId="46992"/>
    <cellStyle name="Input 27 2 3 2 6 3" xfId="50898"/>
    <cellStyle name="Input 27 2 3 2 7" xfId="40795"/>
    <cellStyle name="Input 27 2 3 2 8" xfId="40570"/>
    <cellStyle name="Input 27 2 3 3" xfId="10912"/>
    <cellStyle name="Input 27 2 3 3 2" xfId="18699"/>
    <cellStyle name="Input 27 2 3 3 2 2" xfId="44231"/>
    <cellStyle name="Input 27 2 3 3 2 3" xfId="48140"/>
    <cellStyle name="Input 27 2 3 3 2 4" xfId="36322"/>
    <cellStyle name="Input 27 2 3 3 3" xfId="11522"/>
    <cellStyle name="Input 27 2 3 3 3 2" xfId="41513"/>
    <cellStyle name="Input 27 2 3 3 3 3" xfId="41999"/>
    <cellStyle name="Input 27 2 3 3 3 4" xfId="29223"/>
    <cellStyle name="Input 27 2 3 3 4" xfId="19930"/>
    <cellStyle name="Input 27 2 3 3 4 2" xfId="45452"/>
    <cellStyle name="Input 27 2 3 3 4 3" xfId="49358"/>
    <cellStyle name="Input 27 2 3 3 4 4" xfId="37425"/>
    <cellStyle name="Input 27 2 3 3 5" xfId="21112"/>
    <cellStyle name="Input 27 2 3 3 5 2" xfId="46634"/>
    <cellStyle name="Input 27 2 3 3 5 3" xfId="50540"/>
    <cellStyle name="Input 27 2 3 3 5 4" xfId="38504"/>
    <cellStyle name="Input 27 2 3 3 6" xfId="21765"/>
    <cellStyle name="Input 27 2 3 3 6 2" xfId="47287"/>
    <cellStyle name="Input 27 2 3 3 6 3" xfId="51193"/>
    <cellStyle name="Input 27 2 3 3 7" xfId="41090"/>
    <cellStyle name="Input 27 2 3 3 8" xfId="43345"/>
    <cellStyle name="Input 27 2 3 4" xfId="14872"/>
    <cellStyle name="Input 27 2 3 4 2" xfId="42970"/>
    <cellStyle name="Input 27 2 3 4 3" xfId="42645"/>
    <cellStyle name="Input 27 2 3 4 4" xfId="32493"/>
    <cellStyle name="Input 27 2 3 5" xfId="13127"/>
    <cellStyle name="Input 27 2 3 5 2" xfId="42329"/>
    <cellStyle name="Input 27 2 3 5 3" xfId="39416"/>
    <cellStyle name="Input 27 2 3 5 4" xfId="30762"/>
    <cellStyle name="Input 27 2 3 6" xfId="11356"/>
    <cellStyle name="Input 27 2 3 6 2" xfId="41372"/>
    <cellStyle name="Input 27 2 3 6 3" xfId="43686"/>
    <cellStyle name="Input 27 2 3 6 4" xfId="29065"/>
    <cellStyle name="Input 27 2 3 7" xfId="12887"/>
    <cellStyle name="Input 27 2 3 7 2" xfId="42224"/>
    <cellStyle name="Input 27 2 3 7 3" xfId="39629"/>
    <cellStyle name="Input 27 2 3 7 4" xfId="30523"/>
    <cellStyle name="Input 27 2 3 8" xfId="20601"/>
    <cellStyle name="Input 27 2 3 8 2" xfId="46123"/>
    <cellStyle name="Input 27 2 3 8 3" xfId="50029"/>
    <cellStyle name="Input 27 2 3 9" xfId="39830"/>
    <cellStyle name="Input 27 2 4" xfId="53073"/>
    <cellStyle name="Input 27 2_Sheet1" xfId="1919"/>
    <cellStyle name="Input 27 3" xfId="1920"/>
    <cellStyle name="Input 27 3 2" xfId="7092"/>
    <cellStyle name="Input 27 3 2 10" xfId="39488"/>
    <cellStyle name="Input 27 3 2 2" xfId="10619"/>
    <cellStyle name="Input 27 3 2 2 2" xfId="18406"/>
    <cellStyle name="Input 27 3 2 2 2 2" xfId="43938"/>
    <cellStyle name="Input 27 3 2 2 2 3" xfId="47847"/>
    <cellStyle name="Input 27 3 2 2 2 4" xfId="36029"/>
    <cellStyle name="Input 27 3 2 2 3" xfId="19409"/>
    <cellStyle name="Input 27 3 2 2 3 2" xfId="44931"/>
    <cellStyle name="Input 27 3 2 2 3 3" xfId="48837"/>
    <cellStyle name="Input 27 3 2 2 3 4" xfId="36960"/>
    <cellStyle name="Input 27 3 2 2 4" xfId="11629"/>
    <cellStyle name="Input 27 3 2 2 4 2" xfId="41620"/>
    <cellStyle name="Input 27 3 2 2 4 3" xfId="43316"/>
    <cellStyle name="Input 27 3 2 2 4 4" xfId="29316"/>
    <cellStyle name="Input 27 3 2 2 5" xfId="20819"/>
    <cellStyle name="Input 27 3 2 2 5 2" xfId="46341"/>
    <cellStyle name="Input 27 3 2 2 5 3" xfId="50247"/>
    <cellStyle name="Input 27 3 2 2 5 4" xfId="38211"/>
    <cellStyle name="Input 27 3 2 2 6" xfId="21472"/>
    <cellStyle name="Input 27 3 2 2 6 2" xfId="46994"/>
    <cellStyle name="Input 27 3 2 2 6 3" xfId="50900"/>
    <cellStyle name="Input 27 3 2 2 7" xfId="40797"/>
    <cellStyle name="Input 27 3 2 2 8" xfId="42718"/>
    <cellStyle name="Input 27 3 2 3" xfId="10914"/>
    <cellStyle name="Input 27 3 2 3 2" xfId="18701"/>
    <cellStyle name="Input 27 3 2 3 2 2" xfId="44233"/>
    <cellStyle name="Input 27 3 2 3 2 3" xfId="48142"/>
    <cellStyle name="Input 27 3 2 3 2 4" xfId="36324"/>
    <cellStyle name="Input 27 3 2 3 3" xfId="11521"/>
    <cellStyle name="Input 27 3 2 3 3 2" xfId="41512"/>
    <cellStyle name="Input 27 3 2 3 3 3" xfId="39441"/>
    <cellStyle name="Input 27 3 2 3 3 4" xfId="29222"/>
    <cellStyle name="Input 27 3 2 3 4" xfId="11776"/>
    <cellStyle name="Input 27 3 2 3 4 2" xfId="41710"/>
    <cellStyle name="Input 27 3 2 3 4 3" xfId="39130"/>
    <cellStyle name="Input 27 3 2 3 4 4" xfId="29449"/>
    <cellStyle name="Input 27 3 2 3 5" xfId="21114"/>
    <cellStyle name="Input 27 3 2 3 5 2" xfId="46636"/>
    <cellStyle name="Input 27 3 2 3 5 3" xfId="50542"/>
    <cellStyle name="Input 27 3 2 3 5 4" xfId="38506"/>
    <cellStyle name="Input 27 3 2 3 6" xfId="21767"/>
    <cellStyle name="Input 27 3 2 3 6 2" xfId="47289"/>
    <cellStyle name="Input 27 3 2 3 6 3" xfId="51195"/>
    <cellStyle name="Input 27 3 2 3 7" xfId="41092"/>
    <cellStyle name="Input 27 3 2 3 8" xfId="39347"/>
    <cellStyle name="Input 27 3 2 4" xfId="14874"/>
    <cellStyle name="Input 27 3 2 4 2" xfId="42972"/>
    <cellStyle name="Input 27 3 2 4 3" xfId="40394"/>
    <cellStyle name="Input 27 3 2 4 4" xfId="32495"/>
    <cellStyle name="Input 27 3 2 5" xfId="11296"/>
    <cellStyle name="Input 27 3 2 5 2" xfId="41323"/>
    <cellStyle name="Input 27 3 2 5 3" xfId="43690"/>
    <cellStyle name="Input 27 3 2 5 4" xfId="29010"/>
    <cellStyle name="Input 27 3 2 6" xfId="19953"/>
    <cellStyle name="Input 27 3 2 6 2" xfId="45475"/>
    <cellStyle name="Input 27 3 2 6 3" xfId="49381"/>
    <cellStyle name="Input 27 3 2 6 4" xfId="37444"/>
    <cellStyle name="Input 27 3 2 7" xfId="19926"/>
    <cellStyle name="Input 27 3 2 7 2" xfId="45448"/>
    <cellStyle name="Input 27 3 2 7 3" xfId="49354"/>
    <cellStyle name="Input 27 3 2 7 4" xfId="37421"/>
    <cellStyle name="Input 27 3 2 8" xfId="20194"/>
    <cellStyle name="Input 27 3 2 8 2" xfId="45716"/>
    <cellStyle name="Input 27 3 2 8 3" xfId="49622"/>
    <cellStyle name="Input 27 3 2 9" xfId="39832"/>
    <cellStyle name="Input 27 3 3" xfId="53075"/>
    <cellStyle name="Input 27 4" xfId="7089"/>
    <cellStyle name="Input 27 4 10" xfId="42600"/>
    <cellStyle name="Input 27 4 11" xfId="53076"/>
    <cellStyle name="Input 27 4 2" xfId="10616"/>
    <cellStyle name="Input 27 4 2 2" xfId="18403"/>
    <cellStyle name="Input 27 4 2 2 2" xfId="43935"/>
    <cellStyle name="Input 27 4 2 2 3" xfId="47844"/>
    <cellStyle name="Input 27 4 2 2 4" xfId="36026"/>
    <cellStyle name="Input 27 4 2 3" xfId="13317"/>
    <cellStyle name="Input 27 4 2 3 2" xfId="42468"/>
    <cellStyle name="Input 27 4 2 3 3" xfId="39513"/>
    <cellStyle name="Input 27 4 2 3 4" xfId="30943"/>
    <cellStyle name="Input 27 4 2 4" xfId="19503"/>
    <cellStyle name="Input 27 4 2 4 2" xfId="45025"/>
    <cellStyle name="Input 27 4 2 4 3" xfId="48931"/>
    <cellStyle name="Input 27 4 2 4 4" xfId="37037"/>
    <cellStyle name="Input 27 4 2 5" xfId="20816"/>
    <cellStyle name="Input 27 4 2 5 2" xfId="46338"/>
    <cellStyle name="Input 27 4 2 5 3" xfId="50244"/>
    <cellStyle name="Input 27 4 2 5 4" xfId="38208"/>
    <cellStyle name="Input 27 4 2 6" xfId="21469"/>
    <cellStyle name="Input 27 4 2 6 2" xfId="46991"/>
    <cellStyle name="Input 27 4 2 6 3" xfId="50897"/>
    <cellStyle name="Input 27 4 2 7" xfId="40794"/>
    <cellStyle name="Input 27 4 2 8" xfId="43711"/>
    <cellStyle name="Input 27 4 3" xfId="10911"/>
    <cellStyle name="Input 27 4 3 2" xfId="18698"/>
    <cellStyle name="Input 27 4 3 2 2" xfId="44230"/>
    <cellStyle name="Input 27 4 3 2 3" xfId="48139"/>
    <cellStyle name="Input 27 4 3 2 4" xfId="36321"/>
    <cellStyle name="Input 27 4 3 3" xfId="19702"/>
    <cellStyle name="Input 27 4 3 3 2" xfId="45224"/>
    <cellStyle name="Input 27 4 3 3 3" xfId="49130"/>
    <cellStyle name="Input 27 4 3 3 4" xfId="37215"/>
    <cellStyle name="Input 27 4 3 4" xfId="19436"/>
    <cellStyle name="Input 27 4 3 4 2" xfId="44958"/>
    <cellStyle name="Input 27 4 3 4 3" xfId="48864"/>
    <cellStyle name="Input 27 4 3 4 4" xfId="36987"/>
    <cellStyle name="Input 27 4 3 5" xfId="21111"/>
    <cellStyle name="Input 27 4 3 5 2" xfId="46633"/>
    <cellStyle name="Input 27 4 3 5 3" xfId="50539"/>
    <cellStyle name="Input 27 4 3 5 4" xfId="38503"/>
    <cellStyle name="Input 27 4 3 6" xfId="21764"/>
    <cellStyle name="Input 27 4 3 6 2" xfId="47286"/>
    <cellStyle name="Input 27 4 3 6 3" xfId="51192"/>
    <cellStyle name="Input 27 4 3 7" xfId="41089"/>
    <cellStyle name="Input 27 4 3 8" xfId="42026"/>
    <cellStyle name="Input 27 4 4" xfId="14871"/>
    <cellStyle name="Input 27 4 4 2" xfId="42969"/>
    <cellStyle name="Input 27 4 4 3" xfId="39609"/>
    <cellStyle name="Input 27 4 4 4" xfId="32492"/>
    <cellStyle name="Input 27 4 5" xfId="13126"/>
    <cellStyle name="Input 27 4 5 2" xfId="42328"/>
    <cellStyle name="Input 27 4 5 3" xfId="40299"/>
    <cellStyle name="Input 27 4 5 4" xfId="30761"/>
    <cellStyle name="Input 27 4 6" xfId="13298"/>
    <cellStyle name="Input 27 4 6 2" xfId="42449"/>
    <cellStyle name="Input 27 4 6 3" xfId="39511"/>
    <cellStyle name="Input 27 4 6 4" xfId="30925"/>
    <cellStyle name="Input 27 4 7" xfId="19250"/>
    <cellStyle name="Input 27 4 7 2" xfId="44772"/>
    <cellStyle name="Input 27 4 7 3" xfId="48678"/>
    <cellStyle name="Input 27 4 7 4" xfId="36814"/>
    <cellStyle name="Input 27 4 8" xfId="19636"/>
    <cellStyle name="Input 27 4 8 2" xfId="45158"/>
    <cellStyle name="Input 27 4 8 3" xfId="49064"/>
    <cellStyle name="Input 27 4 9" xfId="39829"/>
    <cellStyle name="Input 27 5" xfId="22448"/>
    <cellStyle name="Input 27 6" xfId="22903"/>
    <cellStyle name="Input 27 7" xfId="53072"/>
    <cellStyle name="Input 27_Sheet1" xfId="1921"/>
    <cellStyle name="Input 28" xfId="1922"/>
    <cellStyle name="Input 28 2" xfId="1923"/>
    <cellStyle name="Input 28 2 2" xfId="1924"/>
    <cellStyle name="Input 28 2 2 2" xfId="7095"/>
    <cellStyle name="Input 28 2 2 2 10" xfId="40258"/>
    <cellStyle name="Input 28 2 2 2 2" xfId="10622"/>
    <cellStyle name="Input 28 2 2 2 2 2" xfId="18409"/>
    <cellStyle name="Input 28 2 2 2 2 2 2" xfId="43941"/>
    <cellStyle name="Input 28 2 2 2 2 2 3" xfId="47850"/>
    <cellStyle name="Input 28 2 2 2 2 2 4" xfId="36032"/>
    <cellStyle name="Input 28 2 2 2 2 3" xfId="19891"/>
    <cellStyle name="Input 28 2 2 2 2 3 2" xfId="45413"/>
    <cellStyle name="Input 28 2 2 2 2 3 3" xfId="49319"/>
    <cellStyle name="Input 28 2 2 2 2 3 4" xfId="37391"/>
    <cellStyle name="Input 28 2 2 2 2 4" xfId="11538"/>
    <cellStyle name="Input 28 2 2 2 2 4 2" xfId="41529"/>
    <cellStyle name="Input 28 2 2 2 2 4 3" xfId="42551"/>
    <cellStyle name="Input 28 2 2 2 2 4 4" xfId="29238"/>
    <cellStyle name="Input 28 2 2 2 2 5" xfId="20822"/>
    <cellStyle name="Input 28 2 2 2 2 5 2" xfId="46344"/>
    <cellStyle name="Input 28 2 2 2 2 5 3" xfId="50250"/>
    <cellStyle name="Input 28 2 2 2 2 5 4" xfId="38214"/>
    <cellStyle name="Input 28 2 2 2 2 6" xfId="21475"/>
    <cellStyle name="Input 28 2 2 2 2 6 2" xfId="46997"/>
    <cellStyle name="Input 28 2 2 2 2 6 3" xfId="50903"/>
    <cellStyle name="Input 28 2 2 2 2 7" xfId="40800"/>
    <cellStyle name="Input 28 2 2 2 2 8" xfId="39575"/>
    <cellStyle name="Input 28 2 2 2 3" xfId="10917"/>
    <cellStyle name="Input 28 2 2 2 3 2" xfId="18704"/>
    <cellStyle name="Input 28 2 2 2 3 2 2" xfId="44236"/>
    <cellStyle name="Input 28 2 2 2 3 2 3" xfId="48145"/>
    <cellStyle name="Input 28 2 2 2 3 2 4" xfId="36327"/>
    <cellStyle name="Input 28 2 2 2 3 3" xfId="20128"/>
    <cellStyle name="Input 28 2 2 2 3 3 2" xfId="45650"/>
    <cellStyle name="Input 28 2 2 2 3 3 3" xfId="49556"/>
    <cellStyle name="Input 28 2 2 2 3 3 4" xfId="37600"/>
    <cellStyle name="Input 28 2 2 2 3 4" xfId="11615"/>
    <cellStyle name="Input 28 2 2 2 3 4 2" xfId="41606"/>
    <cellStyle name="Input 28 2 2 2 3 4 3" xfId="42549"/>
    <cellStyle name="Input 28 2 2 2 3 4 4" xfId="29304"/>
    <cellStyle name="Input 28 2 2 2 3 5" xfId="21117"/>
    <cellStyle name="Input 28 2 2 2 3 5 2" xfId="46639"/>
    <cellStyle name="Input 28 2 2 2 3 5 3" xfId="50545"/>
    <cellStyle name="Input 28 2 2 2 3 5 4" xfId="38509"/>
    <cellStyle name="Input 28 2 2 2 3 6" xfId="21770"/>
    <cellStyle name="Input 28 2 2 2 3 6 2" xfId="47292"/>
    <cellStyle name="Input 28 2 2 2 3 6 3" xfId="51198"/>
    <cellStyle name="Input 28 2 2 2 3 7" xfId="41095"/>
    <cellStyle name="Input 28 2 2 2 3 8" xfId="43200"/>
    <cellStyle name="Input 28 2 2 2 4" xfId="14877"/>
    <cellStyle name="Input 28 2 2 2 4 2" xfId="42975"/>
    <cellStyle name="Input 28 2 2 2 4 3" xfId="43424"/>
    <cellStyle name="Input 28 2 2 2 4 4" xfId="32498"/>
    <cellStyle name="Input 28 2 2 2 5" xfId="13131"/>
    <cellStyle name="Input 28 2 2 2 5 2" xfId="42333"/>
    <cellStyle name="Input 28 2 2 2 5 3" xfId="39272"/>
    <cellStyle name="Input 28 2 2 2 5 4" xfId="30766"/>
    <cellStyle name="Input 28 2 2 2 6" xfId="20254"/>
    <cellStyle name="Input 28 2 2 2 6 2" xfId="45776"/>
    <cellStyle name="Input 28 2 2 2 6 3" xfId="49682"/>
    <cellStyle name="Input 28 2 2 2 6 4" xfId="37710"/>
    <cellStyle name="Input 28 2 2 2 7" xfId="18880"/>
    <cellStyle name="Input 28 2 2 2 7 2" xfId="44402"/>
    <cellStyle name="Input 28 2 2 2 7 3" xfId="48308"/>
    <cellStyle name="Input 28 2 2 2 7 4" xfId="36502"/>
    <cellStyle name="Input 28 2 2 2 8" xfId="20340"/>
    <cellStyle name="Input 28 2 2 2 8 2" xfId="45862"/>
    <cellStyle name="Input 28 2 2 2 8 3" xfId="49768"/>
    <cellStyle name="Input 28 2 2 2 9" xfId="39835"/>
    <cellStyle name="Input 28 2 2 3" xfId="53079"/>
    <cellStyle name="Input 28 2 3" xfId="7094"/>
    <cellStyle name="Input 28 2 3 10" xfId="43396"/>
    <cellStyle name="Input 28 2 3 2" xfId="10621"/>
    <cellStyle name="Input 28 2 3 2 2" xfId="18408"/>
    <cellStyle name="Input 28 2 3 2 2 2" xfId="43940"/>
    <cellStyle name="Input 28 2 3 2 2 3" xfId="47849"/>
    <cellStyle name="Input 28 2 3 2 2 4" xfId="36031"/>
    <cellStyle name="Input 28 2 3 2 3" xfId="19282"/>
    <cellStyle name="Input 28 2 3 2 3 2" xfId="44804"/>
    <cellStyle name="Input 28 2 3 2 3 3" xfId="48710"/>
    <cellStyle name="Input 28 2 3 2 3 4" xfId="36846"/>
    <cellStyle name="Input 28 2 3 2 4" xfId="11647"/>
    <cellStyle name="Input 28 2 3 2 4 2" xfId="41638"/>
    <cellStyle name="Input 28 2 3 2 4 3" xfId="42548"/>
    <cellStyle name="Input 28 2 3 2 4 4" xfId="29332"/>
    <cellStyle name="Input 28 2 3 2 5" xfId="20821"/>
    <cellStyle name="Input 28 2 3 2 5 2" xfId="46343"/>
    <cellStyle name="Input 28 2 3 2 5 3" xfId="50249"/>
    <cellStyle name="Input 28 2 3 2 5 4" xfId="38213"/>
    <cellStyle name="Input 28 2 3 2 6" xfId="21474"/>
    <cellStyle name="Input 28 2 3 2 6 2" xfId="46996"/>
    <cellStyle name="Input 28 2 3 2 6 3" xfId="50902"/>
    <cellStyle name="Input 28 2 3 2 7" xfId="40799"/>
    <cellStyle name="Input 28 2 3 2 8" xfId="40465"/>
    <cellStyle name="Input 28 2 3 3" xfId="10916"/>
    <cellStyle name="Input 28 2 3 3 2" xfId="18703"/>
    <cellStyle name="Input 28 2 3 3 2 2" xfId="44235"/>
    <cellStyle name="Input 28 2 3 3 2 3" xfId="48144"/>
    <cellStyle name="Input 28 2 3 3 2 4" xfId="36326"/>
    <cellStyle name="Input 28 2 3 3 3" xfId="19570"/>
    <cellStyle name="Input 28 2 3 3 3 2" xfId="45092"/>
    <cellStyle name="Input 28 2 3 3 3 3" xfId="48998"/>
    <cellStyle name="Input 28 2 3 3 3 4" xfId="37096"/>
    <cellStyle name="Input 28 2 3 3 4" xfId="19231"/>
    <cellStyle name="Input 28 2 3 3 4 2" xfId="44753"/>
    <cellStyle name="Input 28 2 3 3 4 3" xfId="48659"/>
    <cellStyle name="Input 28 2 3 3 4 4" xfId="36795"/>
    <cellStyle name="Input 28 2 3 3 5" xfId="21116"/>
    <cellStyle name="Input 28 2 3 3 5 2" xfId="46638"/>
    <cellStyle name="Input 28 2 3 3 5 3" xfId="50544"/>
    <cellStyle name="Input 28 2 3 3 5 4" xfId="38508"/>
    <cellStyle name="Input 28 2 3 3 6" xfId="21769"/>
    <cellStyle name="Input 28 2 3 3 6 2" xfId="47291"/>
    <cellStyle name="Input 28 2 3 3 6 3" xfId="51197"/>
    <cellStyle name="Input 28 2 3 3 7" xfId="41094"/>
    <cellStyle name="Input 28 2 3 3 8" xfId="41397"/>
    <cellStyle name="Input 28 2 3 4" xfId="14876"/>
    <cellStyle name="Input 28 2 3 4 2" xfId="42974"/>
    <cellStyle name="Input 28 2 3 4 3" xfId="42513"/>
    <cellStyle name="Input 28 2 3 4 4" xfId="32497"/>
    <cellStyle name="Input 28 2 3 5" xfId="13130"/>
    <cellStyle name="Input 28 2 3 5 2" xfId="42332"/>
    <cellStyle name="Input 28 2 3 5 3" xfId="40149"/>
    <cellStyle name="Input 28 2 3 5 4" xfId="30765"/>
    <cellStyle name="Input 28 2 3 6" xfId="11722"/>
    <cellStyle name="Input 28 2 3 6 2" xfId="41688"/>
    <cellStyle name="Input 28 2 3 6 3" xfId="41359"/>
    <cellStyle name="Input 28 2 3 6 4" xfId="29395"/>
    <cellStyle name="Input 28 2 3 7" xfId="20355"/>
    <cellStyle name="Input 28 2 3 7 2" xfId="45877"/>
    <cellStyle name="Input 28 2 3 7 3" xfId="49783"/>
    <cellStyle name="Input 28 2 3 7 4" xfId="37797"/>
    <cellStyle name="Input 28 2 3 8" xfId="12021"/>
    <cellStyle name="Input 28 2 3 8 2" xfId="41758"/>
    <cellStyle name="Input 28 2 3 8 3" xfId="41974"/>
    <cellStyle name="Input 28 2 3 9" xfId="39834"/>
    <cellStyle name="Input 28 2 4" xfId="53078"/>
    <cellStyle name="Input 28 2_Sheet1" xfId="1925"/>
    <cellStyle name="Input 28 3" xfId="1926"/>
    <cellStyle name="Input 28 3 2" xfId="7096"/>
    <cellStyle name="Input 28 3 2 10" xfId="39386"/>
    <cellStyle name="Input 28 3 2 2" xfId="10623"/>
    <cellStyle name="Input 28 3 2 2 2" xfId="18410"/>
    <cellStyle name="Input 28 3 2 2 2 2" xfId="43942"/>
    <cellStyle name="Input 28 3 2 2 2 3" xfId="47851"/>
    <cellStyle name="Input 28 3 2 2 2 4" xfId="36033"/>
    <cellStyle name="Input 28 3 2 2 3" xfId="19114"/>
    <cellStyle name="Input 28 3 2 2 3 2" xfId="44636"/>
    <cellStyle name="Input 28 3 2 2 3 3" xfId="48542"/>
    <cellStyle name="Input 28 3 2 2 3 4" xfId="36695"/>
    <cellStyle name="Input 28 3 2 2 4" xfId="18906"/>
    <cellStyle name="Input 28 3 2 2 4 2" xfId="44428"/>
    <cellStyle name="Input 28 3 2 2 4 3" xfId="48334"/>
    <cellStyle name="Input 28 3 2 2 4 4" xfId="36522"/>
    <cellStyle name="Input 28 3 2 2 5" xfId="20823"/>
    <cellStyle name="Input 28 3 2 2 5 2" xfId="46345"/>
    <cellStyle name="Input 28 3 2 2 5 3" xfId="50251"/>
    <cellStyle name="Input 28 3 2 2 5 4" xfId="38215"/>
    <cellStyle name="Input 28 3 2 2 6" xfId="21476"/>
    <cellStyle name="Input 28 3 2 2 6 2" xfId="46998"/>
    <cellStyle name="Input 28 3 2 2 6 3" xfId="50904"/>
    <cellStyle name="Input 28 3 2 2 7" xfId="40801"/>
    <cellStyle name="Input 28 3 2 2 8" xfId="42583"/>
    <cellStyle name="Input 28 3 2 3" xfId="10918"/>
    <cellStyle name="Input 28 3 2 3 2" xfId="18705"/>
    <cellStyle name="Input 28 3 2 3 2 2" xfId="44237"/>
    <cellStyle name="Input 28 3 2 3 2 3" xfId="48146"/>
    <cellStyle name="Input 28 3 2 3 2 4" xfId="36328"/>
    <cellStyle name="Input 28 3 2 3 3" xfId="19387"/>
    <cellStyle name="Input 28 3 2 3 3 2" xfId="44909"/>
    <cellStyle name="Input 28 3 2 3 3 3" xfId="48815"/>
    <cellStyle name="Input 28 3 2 3 3 4" xfId="36938"/>
    <cellStyle name="Input 28 3 2 3 4" xfId="19643"/>
    <cellStyle name="Input 28 3 2 3 4 2" xfId="45165"/>
    <cellStyle name="Input 28 3 2 3 4 3" xfId="49071"/>
    <cellStyle name="Input 28 3 2 3 4 4" xfId="37163"/>
    <cellStyle name="Input 28 3 2 3 5" xfId="21118"/>
    <cellStyle name="Input 28 3 2 3 5 2" xfId="46640"/>
    <cellStyle name="Input 28 3 2 3 5 3" xfId="50546"/>
    <cellStyle name="Input 28 3 2 3 5 4" xfId="38510"/>
    <cellStyle name="Input 28 3 2 3 6" xfId="21771"/>
    <cellStyle name="Input 28 3 2 3 6 2" xfId="47293"/>
    <cellStyle name="Input 28 3 2 3 6 3" xfId="51199"/>
    <cellStyle name="Input 28 3 2 3 7" xfId="41096"/>
    <cellStyle name="Input 28 3 2 3 8" xfId="40059"/>
    <cellStyle name="Input 28 3 2 4" xfId="14878"/>
    <cellStyle name="Input 28 3 2 4 2" xfId="42976"/>
    <cellStyle name="Input 28 3 2 4 3" xfId="40286"/>
    <cellStyle name="Input 28 3 2 4 4" xfId="32499"/>
    <cellStyle name="Input 28 3 2 5" xfId="13132"/>
    <cellStyle name="Input 28 3 2 5 2" xfId="42334"/>
    <cellStyle name="Input 28 3 2 5 3" xfId="41942"/>
    <cellStyle name="Input 28 3 2 5 4" xfId="30767"/>
    <cellStyle name="Input 28 3 2 6" xfId="19628"/>
    <cellStyle name="Input 28 3 2 6 2" xfId="45150"/>
    <cellStyle name="Input 28 3 2 6 3" xfId="49056"/>
    <cellStyle name="Input 28 3 2 6 4" xfId="37150"/>
    <cellStyle name="Input 28 3 2 7" xfId="11590"/>
    <cellStyle name="Input 28 3 2 7 2" xfId="41581"/>
    <cellStyle name="Input 28 3 2 7 3" xfId="42684"/>
    <cellStyle name="Input 28 3 2 7 4" xfId="29283"/>
    <cellStyle name="Input 28 3 2 8" xfId="11473"/>
    <cellStyle name="Input 28 3 2 8 2" xfId="41464"/>
    <cellStyle name="Input 28 3 2 8 3" xfId="39653"/>
    <cellStyle name="Input 28 3 2 9" xfId="39836"/>
    <cellStyle name="Input 28 3 3" xfId="53080"/>
    <cellStyle name="Input 28 4" xfId="7093"/>
    <cellStyle name="Input 28 4 10" xfId="42169"/>
    <cellStyle name="Input 28 4 11" xfId="53081"/>
    <cellStyle name="Input 28 4 2" xfId="10620"/>
    <cellStyle name="Input 28 4 2 2" xfId="18407"/>
    <cellStyle name="Input 28 4 2 2 2" xfId="43939"/>
    <cellStyle name="Input 28 4 2 2 3" xfId="47848"/>
    <cellStyle name="Input 28 4 2 2 4" xfId="36030"/>
    <cellStyle name="Input 28 4 2 3" xfId="20016"/>
    <cellStyle name="Input 28 4 2 3 2" xfId="45538"/>
    <cellStyle name="Input 28 4 2 3 3" xfId="49444"/>
    <cellStyle name="Input 28 4 2 3 4" xfId="37500"/>
    <cellStyle name="Input 28 4 2 4" xfId="12056"/>
    <cellStyle name="Input 28 4 2 4 2" xfId="41789"/>
    <cellStyle name="Input 28 4 2 4 3" xfId="42782"/>
    <cellStyle name="Input 28 4 2 4 4" xfId="29720"/>
    <cellStyle name="Input 28 4 2 5" xfId="20820"/>
    <cellStyle name="Input 28 4 2 5 2" xfId="46342"/>
    <cellStyle name="Input 28 4 2 5 3" xfId="50248"/>
    <cellStyle name="Input 28 4 2 5 4" xfId="38212"/>
    <cellStyle name="Input 28 4 2 6" xfId="21473"/>
    <cellStyle name="Input 28 4 2 6 2" xfId="46995"/>
    <cellStyle name="Input 28 4 2 6 3" xfId="50901"/>
    <cellStyle name="Input 28 4 2 7" xfId="40798"/>
    <cellStyle name="Input 28 4 2 8" xfId="43607"/>
    <cellStyle name="Input 28 4 3" xfId="10915"/>
    <cellStyle name="Input 28 4 3 2" xfId="18702"/>
    <cellStyle name="Input 28 4 3 2 2" xfId="44234"/>
    <cellStyle name="Input 28 4 3 2 3" xfId="48143"/>
    <cellStyle name="Input 28 4 3 2 4" xfId="36325"/>
    <cellStyle name="Input 28 4 3 3" xfId="13346"/>
    <cellStyle name="Input 28 4 3 3 2" xfId="42497"/>
    <cellStyle name="Input 28 4 3 3 3" xfId="40020"/>
    <cellStyle name="Input 28 4 3 3 4" xfId="30972"/>
    <cellStyle name="Input 28 4 3 4" xfId="12757"/>
    <cellStyle name="Input 28 4 3 4 2" xfId="42182"/>
    <cellStyle name="Input 28 4 3 4 3" xfId="39282"/>
    <cellStyle name="Input 28 4 3 4 4" xfId="30401"/>
    <cellStyle name="Input 28 4 3 5" xfId="21115"/>
    <cellStyle name="Input 28 4 3 5 2" xfId="46637"/>
    <cellStyle name="Input 28 4 3 5 3" xfId="50543"/>
    <cellStyle name="Input 28 4 3 5 4" xfId="38507"/>
    <cellStyle name="Input 28 4 3 6" xfId="21768"/>
    <cellStyle name="Input 28 4 3 6 2" xfId="47290"/>
    <cellStyle name="Input 28 4 3 6 3" xfId="51196"/>
    <cellStyle name="Input 28 4 3 7" xfId="41093"/>
    <cellStyle name="Input 28 4 3 8" xfId="39157"/>
    <cellStyle name="Input 28 4 4" xfId="14875"/>
    <cellStyle name="Input 28 4 4 2" xfId="42973"/>
    <cellStyle name="Input 28 4 4 3" xfId="39503"/>
    <cellStyle name="Input 28 4 4 4" xfId="32496"/>
    <cellStyle name="Input 28 4 5" xfId="13129"/>
    <cellStyle name="Input 28 4 5 2" xfId="42331"/>
    <cellStyle name="Input 28 4 5 3" xfId="43289"/>
    <cellStyle name="Input 28 4 5 4" xfId="30764"/>
    <cellStyle name="Input 28 4 6" xfId="19328"/>
    <cellStyle name="Input 28 4 6 2" xfId="44850"/>
    <cellStyle name="Input 28 4 6 3" xfId="48756"/>
    <cellStyle name="Input 28 4 6 4" xfId="36886"/>
    <cellStyle name="Input 28 4 7" xfId="11667"/>
    <cellStyle name="Input 28 4 7 2" xfId="41658"/>
    <cellStyle name="Input 28 4 7 3" xfId="39540"/>
    <cellStyle name="Input 28 4 7 4" xfId="29347"/>
    <cellStyle name="Input 28 4 8" xfId="19002"/>
    <cellStyle name="Input 28 4 8 2" xfId="44524"/>
    <cellStyle name="Input 28 4 8 3" xfId="48430"/>
    <cellStyle name="Input 28 4 9" xfId="39833"/>
    <cellStyle name="Input 28 5" xfId="22449"/>
    <cellStyle name="Input 28 6" xfId="22902"/>
    <cellStyle name="Input 28 7" xfId="53077"/>
    <cellStyle name="Input 28_Sheet1" xfId="1927"/>
    <cellStyle name="Input 29" xfId="1928"/>
    <cellStyle name="Input 29 2" xfId="1929"/>
    <cellStyle name="Input 29 2 2" xfId="1930"/>
    <cellStyle name="Input 29 2 2 2" xfId="7099"/>
    <cellStyle name="Input 29 2 2 2 10" xfId="47500"/>
    <cellStyle name="Input 29 2 2 2 2" xfId="10626"/>
    <cellStyle name="Input 29 2 2 2 2 2" xfId="18413"/>
    <cellStyle name="Input 29 2 2 2 2 2 2" xfId="43945"/>
    <cellStyle name="Input 29 2 2 2 2 2 3" xfId="47854"/>
    <cellStyle name="Input 29 2 2 2 2 2 4" xfId="36036"/>
    <cellStyle name="Input 29 2 2 2 2 3" xfId="19735"/>
    <cellStyle name="Input 29 2 2 2 2 3 2" xfId="45257"/>
    <cellStyle name="Input 29 2 2 2 2 3 3" xfId="49163"/>
    <cellStyle name="Input 29 2 2 2 2 3 4" xfId="37248"/>
    <cellStyle name="Input 29 2 2 2 2 4" xfId="19244"/>
    <cellStyle name="Input 29 2 2 2 2 4 2" xfId="44766"/>
    <cellStyle name="Input 29 2 2 2 2 4 3" xfId="48672"/>
    <cellStyle name="Input 29 2 2 2 2 4 4" xfId="36808"/>
    <cellStyle name="Input 29 2 2 2 2 5" xfId="20826"/>
    <cellStyle name="Input 29 2 2 2 2 5 2" xfId="46348"/>
    <cellStyle name="Input 29 2 2 2 2 5 3" xfId="50254"/>
    <cellStyle name="Input 29 2 2 2 2 5 4" xfId="38218"/>
    <cellStyle name="Input 29 2 2 2 2 6" xfId="21479"/>
    <cellStyle name="Input 29 2 2 2 2 6 2" xfId="47001"/>
    <cellStyle name="Input 29 2 2 2 2 6 3" xfId="50907"/>
    <cellStyle name="Input 29 2 2 2 2 7" xfId="40804"/>
    <cellStyle name="Input 29 2 2 2 2 8" xfId="39471"/>
    <cellStyle name="Input 29 2 2 2 3" xfId="10921"/>
    <cellStyle name="Input 29 2 2 2 3 2" xfId="18708"/>
    <cellStyle name="Input 29 2 2 2 3 2 2" xfId="44240"/>
    <cellStyle name="Input 29 2 2 2 3 2 3" xfId="48149"/>
    <cellStyle name="Input 29 2 2 2 3 2 4" xfId="36331"/>
    <cellStyle name="Input 29 2 2 2 3 3" xfId="19869"/>
    <cellStyle name="Input 29 2 2 2 3 3 2" xfId="45391"/>
    <cellStyle name="Input 29 2 2 2 3 3 3" xfId="49297"/>
    <cellStyle name="Input 29 2 2 2 3 3 4" xfId="37369"/>
    <cellStyle name="Input 29 2 2 2 3 4" xfId="20227"/>
    <cellStyle name="Input 29 2 2 2 3 4 2" xfId="45749"/>
    <cellStyle name="Input 29 2 2 2 3 4 3" xfId="49655"/>
    <cellStyle name="Input 29 2 2 2 3 4 4" xfId="37686"/>
    <cellStyle name="Input 29 2 2 2 3 5" xfId="21121"/>
    <cellStyle name="Input 29 2 2 2 3 5 2" xfId="46643"/>
    <cellStyle name="Input 29 2 2 2 3 5 3" xfId="50549"/>
    <cellStyle name="Input 29 2 2 2 3 5 4" xfId="38513"/>
    <cellStyle name="Input 29 2 2 2 3 6" xfId="21774"/>
    <cellStyle name="Input 29 2 2 2 3 6 2" xfId="47296"/>
    <cellStyle name="Input 29 2 2 2 3 6 3" xfId="51202"/>
    <cellStyle name="Input 29 2 2 2 3 7" xfId="41099"/>
    <cellStyle name="Input 29 2 2 2 3 8" xfId="40554"/>
    <cellStyle name="Input 29 2 2 2 4" xfId="14881"/>
    <cellStyle name="Input 29 2 2 2 4 2" xfId="42979"/>
    <cellStyle name="Input 29 2 2 2 4 3" xfId="43272"/>
    <cellStyle name="Input 29 2 2 2 4 4" xfId="32502"/>
    <cellStyle name="Input 29 2 2 2 5" xfId="11299"/>
    <cellStyle name="Input 29 2 2 2 5 2" xfId="41326"/>
    <cellStyle name="Input 29 2 2 2 5 3" xfId="42696"/>
    <cellStyle name="Input 29 2 2 2 5 4" xfId="29013"/>
    <cellStyle name="Input 29 2 2 2 6" xfId="19807"/>
    <cellStyle name="Input 29 2 2 2 6 2" xfId="45329"/>
    <cellStyle name="Input 29 2 2 2 6 3" xfId="49235"/>
    <cellStyle name="Input 29 2 2 2 6 4" xfId="37314"/>
    <cellStyle name="Input 29 2 2 2 7" xfId="20470"/>
    <cellStyle name="Input 29 2 2 2 7 2" xfId="45992"/>
    <cellStyle name="Input 29 2 2 2 7 3" xfId="49898"/>
    <cellStyle name="Input 29 2 2 2 7 4" xfId="37906"/>
    <cellStyle name="Input 29 2 2 2 8" xfId="12070"/>
    <cellStyle name="Input 29 2 2 2 8 2" xfId="41795"/>
    <cellStyle name="Input 29 2 2 2 8 3" xfId="40171"/>
    <cellStyle name="Input 29 2 2 2 9" xfId="39839"/>
    <cellStyle name="Input 29 2 2 3" xfId="53084"/>
    <cellStyle name="Input 29 2 3" xfId="7098"/>
    <cellStyle name="Input 29 2 3 10" xfId="39220"/>
    <cellStyle name="Input 29 2 3 2" xfId="10625"/>
    <cellStyle name="Input 29 2 3 2 2" xfId="18412"/>
    <cellStyle name="Input 29 2 3 2 2 2" xfId="43944"/>
    <cellStyle name="Input 29 2 3 2 2 3" xfId="47853"/>
    <cellStyle name="Input 29 2 3 2 2 4" xfId="36035"/>
    <cellStyle name="Input 29 2 3 2 3" xfId="11491"/>
    <cellStyle name="Input 29 2 3 2 3 2" xfId="41482"/>
    <cellStyle name="Input 29 2 3 2 3 3" xfId="43683"/>
    <cellStyle name="Input 29 2 3 2 3 4" xfId="29192"/>
    <cellStyle name="Input 29 2 3 2 4" xfId="19366"/>
    <cellStyle name="Input 29 2 3 2 4 2" xfId="44888"/>
    <cellStyle name="Input 29 2 3 2 4 3" xfId="48794"/>
    <cellStyle name="Input 29 2 3 2 4 4" xfId="36918"/>
    <cellStyle name="Input 29 2 3 2 5" xfId="20825"/>
    <cellStyle name="Input 29 2 3 2 5 2" xfId="46347"/>
    <cellStyle name="Input 29 2 3 2 5 3" xfId="50253"/>
    <cellStyle name="Input 29 2 3 2 5 4" xfId="38217"/>
    <cellStyle name="Input 29 2 3 2 6" xfId="21478"/>
    <cellStyle name="Input 29 2 3 2 6 2" xfId="47000"/>
    <cellStyle name="Input 29 2 3 2 6 3" xfId="50906"/>
    <cellStyle name="Input 29 2 3 2 7" xfId="40803"/>
    <cellStyle name="Input 29 2 3 2 8" xfId="40359"/>
    <cellStyle name="Input 29 2 3 3" xfId="10920"/>
    <cellStyle name="Input 29 2 3 3 2" xfId="18707"/>
    <cellStyle name="Input 29 2 3 3 2 2" xfId="44239"/>
    <cellStyle name="Input 29 2 3 3 2 3" xfId="48148"/>
    <cellStyle name="Input 29 2 3 3 2 4" xfId="36330"/>
    <cellStyle name="Input 29 2 3 3 3" xfId="19260"/>
    <cellStyle name="Input 29 2 3 3 3 2" xfId="44782"/>
    <cellStyle name="Input 29 2 3 3 3 3" xfId="48688"/>
    <cellStyle name="Input 29 2 3 3 3 4" xfId="36824"/>
    <cellStyle name="Input 29 2 3 3 4" xfId="19029"/>
    <cellStyle name="Input 29 2 3 3 4 2" xfId="44551"/>
    <cellStyle name="Input 29 2 3 3 4 3" xfId="48457"/>
    <cellStyle name="Input 29 2 3 3 4 4" xfId="36619"/>
    <cellStyle name="Input 29 2 3 3 5" xfId="21120"/>
    <cellStyle name="Input 29 2 3 3 5 2" xfId="46642"/>
    <cellStyle name="Input 29 2 3 3 5 3" xfId="50548"/>
    <cellStyle name="Input 29 2 3 3 5 4" xfId="38512"/>
    <cellStyle name="Input 29 2 3 3 6" xfId="21773"/>
    <cellStyle name="Input 29 2 3 3 6 2" xfId="47295"/>
    <cellStyle name="Input 29 2 3 3 6 3" xfId="51201"/>
    <cellStyle name="Input 29 2 3 3 7" xfId="41098"/>
    <cellStyle name="Input 29 2 3 3 8" xfId="43695"/>
    <cellStyle name="Input 29 2 3 4" xfId="14880"/>
    <cellStyle name="Input 29 2 3 4 2" xfId="42978"/>
    <cellStyle name="Input 29 2 3 4 3" xfId="41918"/>
    <cellStyle name="Input 29 2 3 4 4" xfId="32501"/>
    <cellStyle name="Input 29 2 3 5" xfId="12466"/>
    <cellStyle name="Input 29 2 3 5 2" xfId="41968"/>
    <cellStyle name="Input 29 2 3 5 3" xfId="40034"/>
    <cellStyle name="Input 29 2 3 5 4" xfId="30123"/>
    <cellStyle name="Input 29 2 3 6" xfId="19482"/>
    <cellStyle name="Input 29 2 3 6 2" xfId="45004"/>
    <cellStyle name="Input 29 2 3 6 3" xfId="48910"/>
    <cellStyle name="Input 29 2 3 6 4" xfId="37022"/>
    <cellStyle name="Input 29 2 3 7" xfId="20318"/>
    <cellStyle name="Input 29 2 3 7 2" xfId="45840"/>
    <cellStyle name="Input 29 2 3 7 3" xfId="49746"/>
    <cellStyle name="Input 29 2 3 7 4" xfId="37768"/>
    <cellStyle name="Input 29 2 3 8" xfId="20367"/>
    <cellStyle name="Input 29 2 3 8 2" xfId="45889"/>
    <cellStyle name="Input 29 2 3 8 3" xfId="49795"/>
    <cellStyle name="Input 29 2 3 9" xfId="39838"/>
    <cellStyle name="Input 29 2 4" xfId="53083"/>
    <cellStyle name="Input 29 2_Sheet1" xfId="1931"/>
    <cellStyle name="Input 29 3" xfId="1932"/>
    <cellStyle name="Input 29 3 2" xfId="7100"/>
    <cellStyle name="Input 29 3 2 10" xfId="47524"/>
    <cellStyle name="Input 29 3 2 2" xfId="10627"/>
    <cellStyle name="Input 29 3 2 2 2" xfId="18414"/>
    <cellStyle name="Input 29 3 2 2 2 2" xfId="43946"/>
    <cellStyle name="Input 29 3 2 2 2 3" xfId="47855"/>
    <cellStyle name="Input 29 3 2 2 2 4" xfId="36037"/>
    <cellStyle name="Input 29 3 2 2 3" xfId="20152"/>
    <cellStyle name="Input 29 3 2 2 3 2" xfId="45674"/>
    <cellStyle name="Input 29 3 2 2 3 3" xfId="49580"/>
    <cellStyle name="Input 29 3 2 2 3 4" xfId="37624"/>
    <cellStyle name="Input 29 3 2 2 4" xfId="11530"/>
    <cellStyle name="Input 29 3 2 2 4 2" xfId="41521"/>
    <cellStyle name="Input 29 3 2 2 4 3" xfId="42790"/>
    <cellStyle name="Input 29 3 2 2 4 4" xfId="29230"/>
    <cellStyle name="Input 29 3 2 2 5" xfId="20827"/>
    <cellStyle name="Input 29 3 2 2 5 2" xfId="46349"/>
    <cellStyle name="Input 29 3 2 2 5 3" xfId="50255"/>
    <cellStyle name="Input 29 3 2 2 5 4" xfId="38219"/>
    <cellStyle name="Input 29 3 2 2 6" xfId="21480"/>
    <cellStyle name="Input 29 3 2 2 6 2" xfId="47002"/>
    <cellStyle name="Input 29 3 2 2 6 3" xfId="50908"/>
    <cellStyle name="Input 29 3 2 2 7" xfId="40805"/>
    <cellStyle name="Input 29 3 2 2 8" xfId="42045"/>
    <cellStyle name="Input 29 3 2 3" xfId="10922"/>
    <cellStyle name="Input 29 3 2 3 2" xfId="18709"/>
    <cellStyle name="Input 29 3 2 3 2 2" xfId="44241"/>
    <cellStyle name="Input 29 3 2 3 2 3" xfId="48150"/>
    <cellStyle name="Input 29 3 2 3 2 4" xfId="36332"/>
    <cellStyle name="Input 29 3 2 3 3" xfId="19092"/>
    <cellStyle name="Input 29 3 2 3 3 2" xfId="44614"/>
    <cellStyle name="Input 29 3 2 3 3 3" xfId="48520"/>
    <cellStyle name="Input 29 3 2 3 3 4" xfId="36673"/>
    <cellStyle name="Input 29 3 2 3 4" xfId="19370"/>
    <cellStyle name="Input 29 3 2 3 4 2" xfId="44892"/>
    <cellStyle name="Input 29 3 2 3 4 3" xfId="48798"/>
    <cellStyle name="Input 29 3 2 3 4 4" xfId="36922"/>
    <cellStyle name="Input 29 3 2 3 5" xfId="21122"/>
    <cellStyle name="Input 29 3 2 3 5 2" xfId="46644"/>
    <cellStyle name="Input 29 3 2 3 5 3" xfId="50550"/>
    <cellStyle name="Input 29 3 2 3 5 4" xfId="38514"/>
    <cellStyle name="Input 29 3 2 3 6" xfId="21775"/>
    <cellStyle name="Input 29 3 2 3 6 2" xfId="47297"/>
    <cellStyle name="Input 29 3 2 3 6 3" xfId="51203"/>
    <cellStyle name="Input 29 3 2 3 7" xfId="41100"/>
    <cellStyle name="Input 29 3 2 3 8" xfId="39665"/>
    <cellStyle name="Input 29 3 2 4" xfId="14882"/>
    <cellStyle name="Input 29 3 2 4 2" xfId="42980"/>
    <cellStyle name="Input 29 3 2 4 3" xfId="40131"/>
    <cellStyle name="Input 29 3 2 4 4" xfId="32503"/>
    <cellStyle name="Input 29 3 2 5" xfId="11298"/>
    <cellStyle name="Input 29 3 2 5 2" xfId="41325"/>
    <cellStyle name="Input 29 3 2 5 3" xfId="39659"/>
    <cellStyle name="Input 29 3 2 5 4" xfId="29012"/>
    <cellStyle name="Input 29 3 2 6" xfId="19779"/>
    <cellStyle name="Input 29 3 2 6 2" xfId="45301"/>
    <cellStyle name="Input 29 3 2 6 3" xfId="49207"/>
    <cellStyle name="Input 29 3 2 6 4" xfId="37289"/>
    <cellStyle name="Input 29 3 2 7" xfId="19219"/>
    <cellStyle name="Input 29 3 2 7 2" xfId="44741"/>
    <cellStyle name="Input 29 3 2 7 3" xfId="48647"/>
    <cellStyle name="Input 29 3 2 7 4" xfId="36787"/>
    <cellStyle name="Input 29 3 2 8" xfId="18909"/>
    <cellStyle name="Input 29 3 2 8 2" xfId="44431"/>
    <cellStyle name="Input 29 3 2 8 3" xfId="48337"/>
    <cellStyle name="Input 29 3 2 9" xfId="39840"/>
    <cellStyle name="Input 29 3 3" xfId="53085"/>
    <cellStyle name="Input 29 4" xfId="7097"/>
    <cellStyle name="Input 29 4 10" xfId="39221"/>
    <cellStyle name="Input 29 4 11" xfId="53086"/>
    <cellStyle name="Input 29 4 2" xfId="10624"/>
    <cellStyle name="Input 29 4 2 2" xfId="18411"/>
    <cellStyle name="Input 29 4 2 2 2" xfId="43943"/>
    <cellStyle name="Input 29 4 2 2 3" xfId="47852"/>
    <cellStyle name="Input 29 4 2 2 4" xfId="36034"/>
    <cellStyle name="Input 29 4 2 3" xfId="19733"/>
    <cellStyle name="Input 29 4 2 3 2" xfId="45255"/>
    <cellStyle name="Input 29 4 2 3 3" xfId="49161"/>
    <cellStyle name="Input 29 4 2 3 4" xfId="37246"/>
    <cellStyle name="Input 29 4 2 4" xfId="12687"/>
    <cellStyle name="Input 29 4 2 4 2" xfId="42147"/>
    <cellStyle name="Input 29 4 2 4 3" xfId="43448"/>
    <cellStyle name="Input 29 4 2 4 4" xfId="30334"/>
    <cellStyle name="Input 29 4 2 5" xfId="20824"/>
    <cellStyle name="Input 29 4 2 5 2" xfId="46346"/>
    <cellStyle name="Input 29 4 2 5 3" xfId="50252"/>
    <cellStyle name="Input 29 4 2 5 4" xfId="38216"/>
    <cellStyle name="Input 29 4 2 6" xfId="21477"/>
    <cellStyle name="Input 29 4 2 6 2" xfId="46999"/>
    <cellStyle name="Input 29 4 2 6 3" xfId="50905"/>
    <cellStyle name="Input 29 4 2 7" xfId="40802"/>
    <cellStyle name="Input 29 4 2 8" xfId="43496"/>
    <cellStyle name="Input 29 4 3" xfId="10919"/>
    <cellStyle name="Input 29 4 3 2" xfId="18706"/>
    <cellStyle name="Input 29 4 3 2 2" xfId="44238"/>
    <cellStyle name="Input 29 4 3 2 3" xfId="48147"/>
    <cellStyle name="Input 29 4 3 2 4" xfId="36329"/>
    <cellStyle name="Input 29 4 3 3" xfId="19994"/>
    <cellStyle name="Input 29 4 3 3 2" xfId="45516"/>
    <cellStyle name="Input 29 4 3 3 3" xfId="49422"/>
    <cellStyle name="Input 29 4 3 3 4" xfId="37478"/>
    <cellStyle name="Input 29 4 3 4" xfId="20229"/>
    <cellStyle name="Input 29 4 3 4 2" xfId="45751"/>
    <cellStyle name="Input 29 4 3 4 3" xfId="49657"/>
    <cellStyle name="Input 29 4 3 4 4" xfId="37688"/>
    <cellStyle name="Input 29 4 3 5" xfId="21119"/>
    <cellStyle name="Input 29 4 3 5 2" xfId="46641"/>
    <cellStyle name="Input 29 4 3 5 3" xfId="50547"/>
    <cellStyle name="Input 29 4 3 5 4" xfId="38511"/>
    <cellStyle name="Input 29 4 3 6" xfId="21772"/>
    <cellStyle name="Input 29 4 3 6 2" xfId="47294"/>
    <cellStyle name="Input 29 4 3 6 3" xfId="51200"/>
    <cellStyle name="Input 29 4 3 7" xfId="41097"/>
    <cellStyle name="Input 29 4 3 8" xfId="42806"/>
    <cellStyle name="Input 29 4 4" xfId="14879"/>
    <cellStyle name="Input 29 4 4 2" xfId="42977"/>
    <cellStyle name="Input 29 4 4 3" xfId="39403"/>
    <cellStyle name="Input 29 4 4 4" xfId="32500"/>
    <cellStyle name="Input 29 4 5" xfId="11297"/>
    <cellStyle name="Input 29 4 5 2" xfId="41324"/>
    <cellStyle name="Input 29 4 5 3" xfId="40548"/>
    <cellStyle name="Input 29 4 5 4" xfId="29011"/>
    <cellStyle name="Input 29 4 6" xfId="13894"/>
    <cellStyle name="Input 29 4 6 2" xfId="42610"/>
    <cellStyle name="Input 29 4 6 3" xfId="40401"/>
    <cellStyle name="Input 29 4 6 4" xfId="31519"/>
    <cellStyle name="Input 29 4 7" xfId="20049"/>
    <cellStyle name="Input 29 4 7 2" xfId="45571"/>
    <cellStyle name="Input 29 4 7 3" xfId="49477"/>
    <cellStyle name="Input 29 4 7 4" xfId="37530"/>
    <cellStyle name="Input 29 4 8" xfId="20274"/>
    <cellStyle name="Input 29 4 8 2" xfId="45796"/>
    <cellStyle name="Input 29 4 8 3" xfId="49702"/>
    <cellStyle name="Input 29 4 9" xfId="39837"/>
    <cellStyle name="Input 29 5" xfId="22450"/>
    <cellStyle name="Input 29 6" xfId="22901"/>
    <cellStyle name="Input 29 7" xfId="53082"/>
    <cellStyle name="Input 29_Sheet1" xfId="1933"/>
    <cellStyle name="Input 3" xfId="107"/>
    <cellStyle name="Input 3 10" xfId="1935"/>
    <cellStyle name="Input 3 10 2" xfId="7102"/>
    <cellStyle name="Input 3 10 2 10" xfId="39219"/>
    <cellStyle name="Input 3 10 2 2" xfId="10629"/>
    <cellStyle name="Input 3 10 2 2 2" xfId="18416"/>
    <cellStyle name="Input 3 10 2 2 2 2" xfId="43948"/>
    <cellStyle name="Input 3 10 2 2 2 3" xfId="47857"/>
    <cellStyle name="Input 3 10 2 2 2 4" xfId="36039"/>
    <cellStyle name="Input 3 10 2 2 3" xfId="20018"/>
    <cellStyle name="Input 3 10 2 2 3 2" xfId="45540"/>
    <cellStyle name="Input 3 10 2 2 3 3" xfId="49446"/>
    <cellStyle name="Input 3 10 2 2 3 4" xfId="37502"/>
    <cellStyle name="Input 3 10 2 2 4" xfId="11166"/>
    <cellStyle name="Input 3 10 2 2 4 2" xfId="41269"/>
    <cellStyle name="Input 3 10 2 2 4 3" xfId="40053"/>
    <cellStyle name="Input 3 10 2 2 4 4" xfId="28880"/>
    <cellStyle name="Input 3 10 2 2 5" xfId="20829"/>
    <cellStyle name="Input 3 10 2 2 5 2" xfId="46351"/>
    <cellStyle name="Input 3 10 2 2 5 3" xfId="50257"/>
    <cellStyle name="Input 3 10 2 2 5 4" xfId="38221"/>
    <cellStyle name="Input 3 10 2 2 6" xfId="21482"/>
    <cellStyle name="Input 3 10 2 2 6 2" xfId="47004"/>
    <cellStyle name="Input 3 10 2 2 6 3" xfId="50910"/>
    <cellStyle name="Input 3 10 2 2 7" xfId="40807"/>
    <cellStyle name="Input 3 10 2 2 8" xfId="40226"/>
    <cellStyle name="Input 3 10 2 3" xfId="10924"/>
    <cellStyle name="Input 3 10 2 3 2" xfId="18711"/>
    <cellStyle name="Input 3 10 2 3 2 2" xfId="44243"/>
    <cellStyle name="Input 3 10 2 3 2 3" xfId="48152"/>
    <cellStyle name="Input 3 10 2 3 2 4" xfId="36334"/>
    <cellStyle name="Input 3 10 2 3 3" xfId="11523"/>
    <cellStyle name="Input 3 10 2 3 3 2" xfId="41514"/>
    <cellStyle name="Input 3 10 2 3 3 3" xfId="43322"/>
    <cellStyle name="Input 3 10 2 3 3 4" xfId="29224"/>
    <cellStyle name="Input 3 10 2 3 4" xfId="11839"/>
    <cellStyle name="Input 3 10 2 3 4 2" xfId="41737"/>
    <cellStyle name="Input 3 10 2 3 4 3" xfId="43460"/>
    <cellStyle name="Input 3 10 2 3 4 4" xfId="29509"/>
    <cellStyle name="Input 3 10 2 3 5" xfId="21124"/>
    <cellStyle name="Input 3 10 2 3 5 2" xfId="46646"/>
    <cellStyle name="Input 3 10 2 3 5 3" xfId="50552"/>
    <cellStyle name="Input 3 10 2 3 5 4" xfId="38516"/>
    <cellStyle name="Input 3 10 2 3 6" xfId="21777"/>
    <cellStyle name="Input 3 10 2 3 6 2" xfId="47299"/>
    <cellStyle name="Input 3 10 2 3 6 3" xfId="51205"/>
    <cellStyle name="Input 3 10 2 3 7" xfId="41102"/>
    <cellStyle name="Input 3 10 2 3 8" xfId="43591"/>
    <cellStyle name="Input 3 10 2 4" xfId="14884"/>
    <cellStyle name="Input 3 10 2 4 2" xfId="42982"/>
    <cellStyle name="Input 3 10 2 4 3" xfId="39033"/>
    <cellStyle name="Input 3 10 2 4 4" xfId="32505"/>
    <cellStyle name="Input 3 10 2 5" xfId="13134"/>
    <cellStyle name="Input 3 10 2 5 2" xfId="42336"/>
    <cellStyle name="Input 3 10 2 5 3" xfId="40150"/>
    <cellStyle name="Input 3 10 2 5 4" xfId="30769"/>
    <cellStyle name="Input 3 10 2 6" xfId="13299"/>
    <cellStyle name="Input 3 10 2 6 2" xfId="42450"/>
    <cellStyle name="Input 3 10 2 6 3" xfId="42520"/>
    <cellStyle name="Input 3 10 2 6 4" xfId="30926"/>
    <cellStyle name="Input 3 10 2 7" xfId="20519"/>
    <cellStyle name="Input 3 10 2 7 2" xfId="46041"/>
    <cellStyle name="Input 3 10 2 7 3" xfId="49947"/>
    <cellStyle name="Input 3 10 2 7 4" xfId="37934"/>
    <cellStyle name="Input 3 10 2 8" xfId="18963"/>
    <cellStyle name="Input 3 10 2 8 2" xfId="44485"/>
    <cellStyle name="Input 3 10 2 8 3" xfId="48391"/>
    <cellStyle name="Input 3 10 2 9" xfId="39842"/>
    <cellStyle name="Input 3 10 3" xfId="53088"/>
    <cellStyle name="Input 3 11" xfId="1936"/>
    <cellStyle name="Input 3 11 2" xfId="7103"/>
    <cellStyle name="Input 3 11 2 10" xfId="39218"/>
    <cellStyle name="Input 3 11 2 2" xfId="10630"/>
    <cellStyle name="Input 3 11 2 2 2" xfId="18417"/>
    <cellStyle name="Input 3 11 2 2 2 2" xfId="43949"/>
    <cellStyle name="Input 3 11 2 2 2 3" xfId="47858"/>
    <cellStyle name="Input 3 11 2 2 2 4" xfId="36040"/>
    <cellStyle name="Input 3 11 2 2 3" xfId="19284"/>
    <cellStyle name="Input 3 11 2 2 3 2" xfId="44806"/>
    <cellStyle name="Input 3 11 2 2 3 3" xfId="48712"/>
    <cellStyle name="Input 3 11 2 2 3 4" xfId="36848"/>
    <cellStyle name="Input 3 11 2 2 4" xfId="18915"/>
    <cellStyle name="Input 3 11 2 2 4 2" xfId="44437"/>
    <cellStyle name="Input 3 11 2 2 4 3" xfId="48343"/>
    <cellStyle name="Input 3 11 2 2 4 4" xfId="36529"/>
    <cellStyle name="Input 3 11 2 2 5" xfId="20830"/>
    <cellStyle name="Input 3 11 2 2 5 2" xfId="46352"/>
    <cellStyle name="Input 3 11 2 2 5 3" xfId="50258"/>
    <cellStyle name="Input 3 11 2 2 5 4" xfId="38222"/>
    <cellStyle name="Input 3 11 2 2 6" xfId="21483"/>
    <cellStyle name="Input 3 11 2 2 6 2" xfId="47005"/>
    <cellStyle name="Input 3 11 2 2 6 3" xfId="50911"/>
    <cellStyle name="Input 3 11 2 2 7" xfId="40808"/>
    <cellStyle name="Input 3 11 2 2 8" xfId="39366"/>
    <cellStyle name="Input 3 11 2 3" xfId="10925"/>
    <cellStyle name="Input 3 11 2 3 2" xfId="18712"/>
    <cellStyle name="Input 3 11 2 3 2 2" xfId="44244"/>
    <cellStyle name="Input 3 11 2 3 2 3" xfId="48153"/>
    <cellStyle name="Input 3 11 2 3 2 4" xfId="36335"/>
    <cellStyle name="Input 3 11 2 3 3" xfId="13347"/>
    <cellStyle name="Input 3 11 2 3 3 2" xfId="42498"/>
    <cellStyle name="Input 3 11 2 3 3 3" xfId="42762"/>
    <cellStyle name="Input 3 11 2 3 3 4" xfId="30973"/>
    <cellStyle name="Input 3 11 2 3 4" xfId="20344"/>
    <cellStyle name="Input 3 11 2 3 4 2" xfId="45866"/>
    <cellStyle name="Input 3 11 2 3 4 3" xfId="49772"/>
    <cellStyle name="Input 3 11 2 3 4 4" xfId="37786"/>
    <cellStyle name="Input 3 11 2 3 5" xfId="21125"/>
    <cellStyle name="Input 3 11 2 3 5 2" xfId="46647"/>
    <cellStyle name="Input 3 11 2 3 5 3" xfId="50553"/>
    <cellStyle name="Input 3 11 2 3 5 4" xfId="38517"/>
    <cellStyle name="Input 3 11 2 3 6" xfId="21778"/>
    <cellStyle name="Input 3 11 2 3 6 2" xfId="47300"/>
    <cellStyle name="Input 3 11 2 3 6 3" xfId="51206"/>
    <cellStyle name="Input 3 11 2 3 7" xfId="41103"/>
    <cellStyle name="Input 3 11 2 3 8" xfId="40449"/>
    <cellStyle name="Input 3 11 2 4" xfId="14885"/>
    <cellStyle name="Input 3 11 2 4 2" xfId="42983"/>
    <cellStyle name="Input 3 11 2 4 3" xfId="47554"/>
    <cellStyle name="Input 3 11 2 4 4" xfId="32506"/>
    <cellStyle name="Input 3 11 2 5" xfId="13135"/>
    <cellStyle name="Input 3 11 2 5 2" xfId="42337"/>
    <cellStyle name="Input 3 11 2 5 3" xfId="39273"/>
    <cellStyle name="Input 3 11 2 5 4" xfId="30770"/>
    <cellStyle name="Input 3 11 2 6" xfId="11357"/>
    <cellStyle name="Input 3 11 2 6 2" xfId="41373"/>
    <cellStyle name="Input 3 11 2 6 3" xfId="40544"/>
    <cellStyle name="Input 3 11 2 6 4" xfId="29066"/>
    <cellStyle name="Input 3 11 2 7" xfId="20459"/>
    <cellStyle name="Input 3 11 2 7 2" xfId="45981"/>
    <cellStyle name="Input 3 11 2 7 3" xfId="49887"/>
    <cellStyle name="Input 3 11 2 7 4" xfId="37898"/>
    <cellStyle name="Input 3 11 2 8" xfId="20600"/>
    <cellStyle name="Input 3 11 2 8 2" xfId="46122"/>
    <cellStyle name="Input 3 11 2 8 3" xfId="50028"/>
    <cellStyle name="Input 3 11 2 9" xfId="39843"/>
    <cellStyle name="Input 3 11 3" xfId="53089"/>
    <cellStyle name="Input 3 12" xfId="1937"/>
    <cellStyle name="Input 3 12 2" xfId="7104"/>
    <cellStyle name="Input 3 12 2 10" xfId="39217"/>
    <cellStyle name="Input 3 12 2 2" xfId="10631"/>
    <cellStyle name="Input 3 12 2 2 2" xfId="18418"/>
    <cellStyle name="Input 3 12 2 2 2 2" xfId="43950"/>
    <cellStyle name="Input 3 12 2 2 2 3" xfId="47859"/>
    <cellStyle name="Input 3 12 2 2 2 4" xfId="36041"/>
    <cellStyle name="Input 3 12 2 2 3" xfId="19893"/>
    <cellStyle name="Input 3 12 2 2 3 2" xfId="45415"/>
    <cellStyle name="Input 3 12 2 2 3 3" xfId="49321"/>
    <cellStyle name="Input 3 12 2 2 3 4" xfId="37393"/>
    <cellStyle name="Input 3 12 2 2 4" xfId="11433"/>
    <cellStyle name="Input 3 12 2 2 4 2" xfId="41429"/>
    <cellStyle name="Input 3 12 2 2 4 3" xfId="39332"/>
    <cellStyle name="Input 3 12 2 2 4 4" xfId="29139"/>
    <cellStyle name="Input 3 12 2 2 5" xfId="20831"/>
    <cellStyle name="Input 3 12 2 2 5 2" xfId="46353"/>
    <cellStyle name="Input 3 12 2 2 5 3" xfId="50259"/>
    <cellStyle name="Input 3 12 2 2 5 4" xfId="38223"/>
    <cellStyle name="Input 3 12 2 2 6" xfId="21484"/>
    <cellStyle name="Input 3 12 2 2 6 2" xfId="47006"/>
    <cellStyle name="Input 3 12 2 2 6 3" xfId="50912"/>
    <cellStyle name="Input 3 12 2 2 7" xfId="40809"/>
    <cellStyle name="Input 3 12 2 2 8" xfId="39169"/>
    <cellStyle name="Input 3 12 2 3" xfId="10926"/>
    <cellStyle name="Input 3 12 2 3 2" xfId="18713"/>
    <cellStyle name="Input 3 12 2 3 2 2" xfId="44245"/>
    <cellStyle name="Input 3 12 2 3 2 3" xfId="48154"/>
    <cellStyle name="Input 3 12 2 3 2 4" xfId="36336"/>
    <cellStyle name="Input 3 12 2 3 3" xfId="19571"/>
    <cellStyle name="Input 3 12 2 3 3 2" xfId="45093"/>
    <cellStyle name="Input 3 12 2 3 3 3" xfId="48999"/>
    <cellStyle name="Input 3 12 2 3 3 4" xfId="37097"/>
    <cellStyle name="Input 3 12 2 3 4" xfId="18924"/>
    <cellStyle name="Input 3 12 2 3 4 2" xfId="44446"/>
    <cellStyle name="Input 3 12 2 3 4 3" xfId="48352"/>
    <cellStyle name="Input 3 12 2 3 4 4" xfId="36537"/>
    <cellStyle name="Input 3 12 2 3 5" xfId="21126"/>
    <cellStyle name="Input 3 12 2 3 5 2" xfId="46648"/>
    <cellStyle name="Input 3 12 2 3 5 3" xfId="50554"/>
    <cellStyle name="Input 3 12 2 3 5 4" xfId="38518"/>
    <cellStyle name="Input 3 12 2 3 6" xfId="21779"/>
    <cellStyle name="Input 3 12 2 3 6 2" xfId="47301"/>
    <cellStyle name="Input 3 12 2 3 6 3" xfId="51207"/>
    <cellStyle name="Input 3 12 2 3 7" xfId="41104"/>
    <cellStyle name="Input 3 12 2 3 8" xfId="39559"/>
    <cellStyle name="Input 3 12 2 4" xfId="14886"/>
    <cellStyle name="Input 3 12 2 4 2" xfId="42984"/>
    <cellStyle name="Input 3 12 2 4 3" xfId="39032"/>
    <cellStyle name="Input 3 12 2 4 4" xfId="32507"/>
    <cellStyle name="Input 3 12 2 5" xfId="13136"/>
    <cellStyle name="Input 3 12 2 5 2" xfId="42338"/>
    <cellStyle name="Input 3 12 2 5 3" xfId="39075"/>
    <cellStyle name="Input 3 12 2 5 4" xfId="30771"/>
    <cellStyle name="Input 3 12 2 6" xfId="20037"/>
    <cellStyle name="Input 3 12 2 6 2" xfId="45559"/>
    <cellStyle name="Input 3 12 2 6 3" xfId="49465"/>
    <cellStyle name="Input 3 12 2 6 4" xfId="37521"/>
    <cellStyle name="Input 3 12 2 7" xfId="19552"/>
    <cellStyle name="Input 3 12 2 7 2" xfId="45074"/>
    <cellStyle name="Input 3 12 2 7 3" xfId="48980"/>
    <cellStyle name="Input 3 12 2 7 4" xfId="37079"/>
    <cellStyle name="Input 3 12 2 8" xfId="11325"/>
    <cellStyle name="Input 3 12 2 8 2" xfId="41350"/>
    <cellStyle name="Input 3 12 2 8 3" xfId="40194"/>
    <cellStyle name="Input 3 12 2 9" xfId="39844"/>
    <cellStyle name="Input 3 12 3" xfId="53090"/>
    <cellStyle name="Input 3 13" xfId="1938"/>
    <cellStyle name="Input 3 13 2" xfId="7105"/>
    <cellStyle name="Input 3 13 2 10" xfId="39216"/>
    <cellStyle name="Input 3 13 2 2" xfId="10632"/>
    <cellStyle name="Input 3 13 2 2 2" xfId="18419"/>
    <cellStyle name="Input 3 13 2 2 2 2" xfId="43951"/>
    <cellStyle name="Input 3 13 2 2 2 3" xfId="47860"/>
    <cellStyle name="Input 3 13 2 2 2 4" xfId="36042"/>
    <cellStyle name="Input 3 13 2 2 3" xfId="19116"/>
    <cellStyle name="Input 3 13 2 2 3 2" xfId="44638"/>
    <cellStyle name="Input 3 13 2 2 3 3" xfId="48544"/>
    <cellStyle name="Input 3 13 2 2 3 4" xfId="36697"/>
    <cellStyle name="Input 3 13 2 2 4" xfId="19979"/>
    <cellStyle name="Input 3 13 2 2 4 2" xfId="45501"/>
    <cellStyle name="Input 3 13 2 2 4 3" xfId="49407"/>
    <cellStyle name="Input 3 13 2 2 4 4" xfId="37463"/>
    <cellStyle name="Input 3 13 2 2 5" xfId="20832"/>
    <cellStyle name="Input 3 13 2 2 5 2" xfId="46354"/>
    <cellStyle name="Input 3 13 2 2 5 3" xfId="50260"/>
    <cellStyle name="Input 3 13 2 2 5 4" xfId="38224"/>
    <cellStyle name="Input 3 13 2 2 6" xfId="21485"/>
    <cellStyle name="Input 3 13 2 2 6 2" xfId="47007"/>
    <cellStyle name="Input 3 13 2 2 6 3" xfId="50913"/>
    <cellStyle name="Input 3 13 2 2 7" xfId="40810"/>
    <cellStyle name="Input 3 13 2 2 8" xfId="42044"/>
    <cellStyle name="Input 3 13 2 3" xfId="10927"/>
    <cellStyle name="Input 3 13 2 3 2" xfId="18714"/>
    <cellStyle name="Input 3 13 2 3 2 2" xfId="44246"/>
    <cellStyle name="Input 3 13 2 3 2 3" xfId="48155"/>
    <cellStyle name="Input 3 13 2 3 2 4" xfId="36337"/>
    <cellStyle name="Input 3 13 2 3 3" xfId="20127"/>
    <cellStyle name="Input 3 13 2 3 3 2" xfId="45649"/>
    <cellStyle name="Input 3 13 2 3 3 3" xfId="49555"/>
    <cellStyle name="Input 3 13 2 3 3 4" xfId="37599"/>
    <cellStyle name="Input 3 13 2 3 4" xfId="11537"/>
    <cellStyle name="Input 3 13 2 3 4 2" xfId="41528"/>
    <cellStyle name="Input 3 13 2 3 4 3" xfId="39544"/>
    <cellStyle name="Input 3 13 2 3 4 4" xfId="29237"/>
    <cellStyle name="Input 3 13 2 3 5" xfId="21127"/>
    <cellStyle name="Input 3 13 2 3 5 2" xfId="46649"/>
    <cellStyle name="Input 3 13 2 3 5 3" xfId="50555"/>
    <cellStyle name="Input 3 13 2 3 5 4" xfId="38519"/>
    <cellStyle name="Input 3 13 2 3 6" xfId="21780"/>
    <cellStyle name="Input 3 13 2 3 6 2" xfId="47302"/>
    <cellStyle name="Input 3 13 2 3 6 3" xfId="51208"/>
    <cellStyle name="Input 3 13 2 3 7" xfId="41105"/>
    <cellStyle name="Input 3 13 2 3 8" xfId="42567"/>
    <cellStyle name="Input 3 13 2 4" xfId="14887"/>
    <cellStyle name="Input 3 13 2 4 2" xfId="42985"/>
    <cellStyle name="Input 3 13 2 4 3" xfId="47454"/>
    <cellStyle name="Input 3 13 2 4 4" xfId="32508"/>
    <cellStyle name="Input 3 13 2 5" xfId="11300"/>
    <cellStyle name="Input 3 13 2 5 2" xfId="41327"/>
    <cellStyle name="Input 3 13 2 5 3" xfId="43584"/>
    <cellStyle name="Input 3 13 2 5 4" xfId="29014"/>
    <cellStyle name="Input 3 13 2 6" xfId="19621"/>
    <cellStyle name="Input 3 13 2 6 2" xfId="45143"/>
    <cellStyle name="Input 3 13 2 6 3" xfId="49049"/>
    <cellStyle name="Input 3 13 2 6 4" xfId="37145"/>
    <cellStyle name="Input 3 13 2 7" xfId="18985"/>
    <cellStyle name="Input 3 13 2 7 2" xfId="44507"/>
    <cellStyle name="Input 3 13 2 7 3" xfId="48413"/>
    <cellStyle name="Input 3 13 2 7 4" xfId="36593"/>
    <cellStyle name="Input 3 13 2 8" xfId="20513"/>
    <cellStyle name="Input 3 13 2 8 2" xfId="46035"/>
    <cellStyle name="Input 3 13 2 8 3" xfId="49941"/>
    <cellStyle name="Input 3 13 2 9" xfId="39845"/>
    <cellStyle name="Input 3 13 3" xfId="53091"/>
    <cellStyle name="Input 3 14" xfId="1939"/>
    <cellStyle name="Input 3 14 2" xfId="7106"/>
    <cellStyle name="Input 3 14 2 10" xfId="39215"/>
    <cellStyle name="Input 3 14 2 2" xfId="10633"/>
    <cellStyle name="Input 3 14 2 2 2" xfId="18420"/>
    <cellStyle name="Input 3 14 2 2 2 2" xfId="43952"/>
    <cellStyle name="Input 3 14 2 2 2 3" xfId="47861"/>
    <cellStyle name="Input 3 14 2 2 2 4" xfId="36043"/>
    <cellStyle name="Input 3 14 2 2 3" xfId="12619"/>
    <cellStyle name="Input 3 14 2 2 3 2" xfId="42079"/>
    <cellStyle name="Input 3 14 2 2 3 3" xfId="42777"/>
    <cellStyle name="Input 3 14 2 2 3 4" xfId="30270"/>
    <cellStyle name="Input 3 14 2 2 4" xfId="18892"/>
    <cellStyle name="Input 3 14 2 2 4 2" xfId="44414"/>
    <cellStyle name="Input 3 14 2 2 4 3" xfId="48320"/>
    <cellStyle name="Input 3 14 2 2 4 4" xfId="36511"/>
    <cellStyle name="Input 3 14 2 2 5" xfId="20833"/>
    <cellStyle name="Input 3 14 2 2 5 2" xfId="46355"/>
    <cellStyle name="Input 3 14 2 2 5 3" xfId="50261"/>
    <cellStyle name="Input 3 14 2 2 5 4" xfId="38225"/>
    <cellStyle name="Input 3 14 2 2 6" xfId="21486"/>
    <cellStyle name="Input 3 14 2 2 6 2" xfId="47008"/>
    <cellStyle name="Input 3 14 2 2 6 3" xfId="50914"/>
    <cellStyle name="Input 3 14 2 2 7" xfId="40811"/>
    <cellStyle name="Input 3 14 2 2 8" xfId="43363"/>
    <cellStyle name="Input 3 14 2 3" xfId="10928"/>
    <cellStyle name="Input 3 14 2 3 2" xfId="18715"/>
    <cellStyle name="Input 3 14 2 3 2 2" xfId="44247"/>
    <cellStyle name="Input 3 14 2 3 2 3" xfId="48156"/>
    <cellStyle name="Input 3 14 2 3 2 4" xfId="36338"/>
    <cellStyle name="Input 3 14 2 3 3" xfId="19386"/>
    <cellStyle name="Input 3 14 2 3 3 2" xfId="44908"/>
    <cellStyle name="Input 3 14 2 3 3 3" xfId="48814"/>
    <cellStyle name="Input 3 14 2 3 3 4" xfId="36937"/>
    <cellStyle name="Input 3 14 2 3 4" xfId="12649"/>
    <cellStyle name="Input 3 14 2 3 4 2" xfId="42109"/>
    <cellStyle name="Input 3 14 2 3 4 3" xfId="40310"/>
    <cellStyle name="Input 3 14 2 3 4 4" xfId="30300"/>
    <cellStyle name="Input 3 14 2 3 5" xfId="21128"/>
    <cellStyle name="Input 3 14 2 3 5 2" xfId="46650"/>
    <cellStyle name="Input 3 14 2 3 5 3" xfId="50556"/>
    <cellStyle name="Input 3 14 2 3 5 4" xfId="38520"/>
    <cellStyle name="Input 3 14 2 3 6" xfId="21781"/>
    <cellStyle name="Input 3 14 2 3 6 2" xfId="47303"/>
    <cellStyle name="Input 3 14 2 3 6 3" xfId="51209"/>
    <cellStyle name="Input 3 14 2 3 7" xfId="41106"/>
    <cellStyle name="Input 3 14 2 3 8" xfId="43480"/>
    <cellStyle name="Input 3 14 2 4" xfId="14888"/>
    <cellStyle name="Input 3 14 2 4 2" xfId="42986"/>
    <cellStyle name="Input 3 14 2 4 3" xfId="41260"/>
    <cellStyle name="Input 3 14 2 4 4" xfId="32509"/>
    <cellStyle name="Input 3 14 2 5" xfId="12017"/>
    <cellStyle name="Input 3 14 2 5 2" xfId="41754"/>
    <cellStyle name="Input 3 14 2 5 3" xfId="47478"/>
    <cellStyle name="Input 3 14 2 5 4" xfId="29685"/>
    <cellStyle name="Input 3 14 2 6" xfId="19934"/>
    <cellStyle name="Input 3 14 2 6 2" xfId="45456"/>
    <cellStyle name="Input 3 14 2 6 3" xfId="49362"/>
    <cellStyle name="Input 3 14 2 6 4" xfId="37428"/>
    <cellStyle name="Input 3 14 2 7" xfId="19813"/>
    <cellStyle name="Input 3 14 2 7 2" xfId="45335"/>
    <cellStyle name="Input 3 14 2 7 3" xfId="49241"/>
    <cellStyle name="Input 3 14 2 7 4" xfId="37317"/>
    <cellStyle name="Input 3 14 2 8" xfId="19001"/>
    <cellStyle name="Input 3 14 2 8 2" xfId="44523"/>
    <cellStyle name="Input 3 14 2 8 3" xfId="48429"/>
    <cellStyle name="Input 3 14 2 9" xfId="39846"/>
    <cellStyle name="Input 3 15" xfId="4233"/>
    <cellStyle name="Input 3 15 2" xfId="7107"/>
    <cellStyle name="Input 3 15 2 10" xfId="47573"/>
    <cellStyle name="Input 3 15 2 2" xfId="10634"/>
    <cellStyle name="Input 3 15 2 2 2" xfId="18421"/>
    <cellStyle name="Input 3 15 2 2 2 2" xfId="43953"/>
    <cellStyle name="Input 3 15 2 2 2 3" xfId="47862"/>
    <cellStyle name="Input 3 15 2 2 2 4" xfId="36044"/>
    <cellStyle name="Input 3 15 2 2 3" xfId="19597"/>
    <cellStyle name="Input 3 15 2 2 3 2" xfId="45119"/>
    <cellStyle name="Input 3 15 2 2 3 3" xfId="49025"/>
    <cellStyle name="Input 3 15 2 2 3 4" xfId="37123"/>
    <cellStyle name="Input 3 15 2 2 4" xfId="11439"/>
    <cellStyle name="Input 3 15 2 2 4 2" xfId="41430"/>
    <cellStyle name="Input 3 15 2 2 4 3" xfId="42004"/>
    <cellStyle name="Input 3 15 2 2 4 4" xfId="29145"/>
    <cellStyle name="Input 3 15 2 2 5" xfId="20834"/>
    <cellStyle name="Input 3 15 2 2 5 2" xfId="46356"/>
    <cellStyle name="Input 3 15 2 2 5 3" xfId="50262"/>
    <cellStyle name="Input 3 15 2 2 5 4" xfId="38226"/>
    <cellStyle name="Input 3 15 2 2 6" xfId="21487"/>
    <cellStyle name="Input 3 15 2 2 6 2" xfId="47009"/>
    <cellStyle name="Input 3 15 2 2 6 3" xfId="50915"/>
    <cellStyle name="Input 3 15 2 2 7" xfId="40812"/>
    <cellStyle name="Input 3 15 2 2 8" xfId="40225"/>
    <cellStyle name="Input 3 15 2 3" xfId="10929"/>
    <cellStyle name="Input 3 15 2 3 2" xfId="18716"/>
    <cellStyle name="Input 3 15 2 3 2 2" xfId="44248"/>
    <cellStyle name="Input 3 15 2 3 2 3" xfId="48157"/>
    <cellStyle name="Input 3 15 2 3 2 4" xfId="36339"/>
    <cellStyle name="Input 3 15 2 3 3" xfId="19993"/>
    <cellStyle name="Input 3 15 2 3 3 2" xfId="45515"/>
    <cellStyle name="Input 3 15 2 3 3 3" xfId="49421"/>
    <cellStyle name="Input 3 15 2 3 3 4" xfId="37477"/>
    <cellStyle name="Input 3 15 2 3 4" xfId="12081"/>
    <cellStyle name="Input 3 15 2 3 4 2" xfId="41806"/>
    <cellStyle name="Input 3 15 2 3 4 3" xfId="39114"/>
    <cellStyle name="Input 3 15 2 3 4 4" xfId="29743"/>
    <cellStyle name="Input 3 15 2 3 5" xfId="21129"/>
    <cellStyle name="Input 3 15 2 3 5 2" xfId="46651"/>
    <cellStyle name="Input 3 15 2 3 5 3" xfId="50557"/>
    <cellStyle name="Input 3 15 2 3 5 4" xfId="38521"/>
    <cellStyle name="Input 3 15 2 3 6" xfId="21782"/>
    <cellStyle name="Input 3 15 2 3 6 2" xfId="47304"/>
    <cellStyle name="Input 3 15 2 3 6 3" xfId="51210"/>
    <cellStyle name="Input 3 15 2 3 7" xfId="41107"/>
    <cellStyle name="Input 3 15 2 3 8" xfId="40343"/>
    <cellStyle name="Input 3 15 2 4" xfId="14889"/>
    <cellStyle name="Input 3 15 2 4 2" xfId="42987"/>
    <cellStyle name="Input 3 15 2 4 3" xfId="43153"/>
    <cellStyle name="Input 3 15 2 4 4" xfId="32510"/>
    <cellStyle name="Input 3 15 2 5" xfId="12018"/>
    <cellStyle name="Input 3 15 2 5 2" xfId="41755"/>
    <cellStyle name="Input 3 15 2 5 3" xfId="41328"/>
    <cellStyle name="Input 3 15 2 5 4" xfId="29686"/>
    <cellStyle name="Input 3 15 2 6" xfId="19835"/>
    <cellStyle name="Input 3 15 2 6 2" xfId="45357"/>
    <cellStyle name="Input 3 15 2 6 3" xfId="49263"/>
    <cellStyle name="Input 3 15 2 6 4" xfId="37337"/>
    <cellStyle name="Input 3 15 2 7" xfId="12124"/>
    <cellStyle name="Input 3 15 2 7 2" xfId="41849"/>
    <cellStyle name="Input 3 15 2 7 3" xfId="39090"/>
    <cellStyle name="Input 3 15 2 7 4" xfId="29783"/>
    <cellStyle name="Input 3 15 2 8" xfId="19967"/>
    <cellStyle name="Input 3 15 2 8 2" xfId="45489"/>
    <cellStyle name="Input 3 15 2 8 3" xfId="49395"/>
    <cellStyle name="Input 3 15 2 9" xfId="39847"/>
    <cellStyle name="Input 3 16" xfId="4234"/>
    <cellStyle name="Input 3 16 2" xfId="7108"/>
    <cellStyle name="Input 3 16 2 10" xfId="41696"/>
    <cellStyle name="Input 3 16 2 2" xfId="10635"/>
    <cellStyle name="Input 3 16 2 2 2" xfId="18422"/>
    <cellStyle name="Input 3 16 2 2 2 2" xfId="43954"/>
    <cellStyle name="Input 3 16 2 2 2 3" xfId="47863"/>
    <cellStyle name="Input 3 16 2 2 2 4" xfId="36045"/>
    <cellStyle name="Input 3 16 2 2 3" xfId="20151"/>
    <cellStyle name="Input 3 16 2 2 3 2" xfId="45673"/>
    <cellStyle name="Input 3 16 2 2 3 3" xfId="49579"/>
    <cellStyle name="Input 3 16 2 2 3 4" xfId="37623"/>
    <cellStyle name="Input 3 16 2 2 4" xfId="19071"/>
    <cellStyle name="Input 3 16 2 2 4 2" xfId="44593"/>
    <cellStyle name="Input 3 16 2 2 4 3" xfId="48499"/>
    <cellStyle name="Input 3 16 2 2 4 4" xfId="36653"/>
    <cellStyle name="Input 3 16 2 2 5" xfId="20835"/>
    <cellStyle name="Input 3 16 2 2 5 2" xfId="46357"/>
    <cellStyle name="Input 3 16 2 2 5 3" xfId="50263"/>
    <cellStyle name="Input 3 16 2 2 5 4" xfId="38227"/>
    <cellStyle name="Input 3 16 2 2 6" xfId="21488"/>
    <cellStyle name="Input 3 16 2 2 6 2" xfId="47010"/>
    <cellStyle name="Input 3 16 2 2 6 3" xfId="50916"/>
    <cellStyle name="Input 3 16 2 2 7" xfId="40813"/>
    <cellStyle name="Input 3 16 2 2 8" xfId="39365"/>
    <cellStyle name="Input 3 16 2 3" xfId="10930"/>
    <cellStyle name="Input 3 16 2 3 2" xfId="18717"/>
    <cellStyle name="Input 3 16 2 3 2 2" xfId="44249"/>
    <cellStyle name="Input 3 16 2 3 2 3" xfId="48158"/>
    <cellStyle name="Input 3 16 2 3 2 4" xfId="36340"/>
    <cellStyle name="Input 3 16 2 3 3" xfId="19259"/>
    <cellStyle name="Input 3 16 2 3 3 2" xfId="44781"/>
    <cellStyle name="Input 3 16 2 3 3 3" xfId="48687"/>
    <cellStyle name="Input 3 16 2 3 3 4" xfId="36823"/>
    <cellStyle name="Input 3 16 2 3 4" xfId="11652"/>
    <cellStyle name="Input 3 16 2 3 4 2" xfId="41643"/>
    <cellStyle name="Input 3 16 2 3 4 3" xfId="43315"/>
    <cellStyle name="Input 3 16 2 3 4 4" xfId="29337"/>
    <cellStyle name="Input 3 16 2 3 5" xfId="21130"/>
    <cellStyle name="Input 3 16 2 3 5 2" xfId="46652"/>
    <cellStyle name="Input 3 16 2 3 5 3" xfId="50558"/>
    <cellStyle name="Input 3 16 2 3 5 4" xfId="38522"/>
    <cellStyle name="Input 3 16 2 3 6" xfId="21783"/>
    <cellStyle name="Input 3 16 2 3 6 2" xfId="47305"/>
    <cellStyle name="Input 3 16 2 3 6 3" xfId="51211"/>
    <cellStyle name="Input 3 16 2 3 7" xfId="41108"/>
    <cellStyle name="Input 3 16 2 3 8" xfId="39455"/>
    <cellStyle name="Input 3 16 2 4" xfId="14890"/>
    <cellStyle name="Input 3 16 2 4 2" xfId="42988"/>
    <cellStyle name="Input 3 16 2 4 3" xfId="40012"/>
    <cellStyle name="Input 3 16 2 4 4" xfId="32511"/>
    <cellStyle name="Input 3 16 2 5" xfId="13138"/>
    <cellStyle name="Input 3 16 2 5 2" xfId="42340"/>
    <cellStyle name="Input 3 16 2 5 3" xfId="39270"/>
    <cellStyle name="Input 3 16 2 5 4" xfId="30773"/>
    <cellStyle name="Input 3 16 2 6" xfId="18966"/>
    <cellStyle name="Input 3 16 2 6 2" xfId="44488"/>
    <cellStyle name="Input 3 16 2 6 3" xfId="48394"/>
    <cellStyle name="Input 3 16 2 6 4" xfId="36576"/>
    <cellStyle name="Input 3 16 2 7" xfId="19630"/>
    <cellStyle name="Input 3 16 2 7 2" xfId="45152"/>
    <cellStyle name="Input 3 16 2 7 3" xfId="49058"/>
    <cellStyle name="Input 3 16 2 7 4" xfId="37152"/>
    <cellStyle name="Input 3 16 2 8" xfId="19810"/>
    <cellStyle name="Input 3 16 2 8 2" xfId="45332"/>
    <cellStyle name="Input 3 16 2 8 3" xfId="49238"/>
    <cellStyle name="Input 3 16 2 9" xfId="39848"/>
    <cellStyle name="Input 3 17" xfId="4235"/>
    <cellStyle name="Input 3 17 2" xfId="10456"/>
    <cellStyle name="Input 3 17 2 2" xfId="18243"/>
    <cellStyle name="Input 3 17 2 2 2" xfId="43775"/>
    <cellStyle name="Input 3 17 2 2 3" xfId="47684"/>
    <cellStyle name="Input 3 17 2 2 4" xfId="35866"/>
    <cellStyle name="Input 3 17 2 3" xfId="13311"/>
    <cellStyle name="Input 3 17 2 3 2" xfId="42462"/>
    <cellStyle name="Input 3 17 2 3 3" xfId="43652"/>
    <cellStyle name="Input 3 17 2 3 4" xfId="30937"/>
    <cellStyle name="Input 3 17 2 4" xfId="20292"/>
    <cellStyle name="Input 3 17 2 4 2" xfId="45814"/>
    <cellStyle name="Input 3 17 2 4 3" xfId="49720"/>
    <cellStyle name="Input 3 17 2 4 4" xfId="37744"/>
    <cellStyle name="Input 3 17 2 5" xfId="20656"/>
    <cellStyle name="Input 3 17 2 5 2" xfId="46178"/>
    <cellStyle name="Input 3 17 2 5 3" xfId="50084"/>
    <cellStyle name="Input 3 17 2 5 4" xfId="38048"/>
    <cellStyle name="Input 3 17 2 6" xfId="21309"/>
    <cellStyle name="Input 3 17 2 6 2" xfId="46831"/>
    <cellStyle name="Input 3 17 2 6 3" xfId="50737"/>
    <cellStyle name="Input 3 17 2 7" xfId="40634"/>
    <cellStyle name="Input 3 17 2 8" xfId="39689"/>
    <cellStyle name="Input 3 17 3" xfId="8459"/>
    <cellStyle name="Input 3 17 3 2" xfId="16249"/>
    <cellStyle name="Input 3 17 3 2 2" xfId="43384"/>
    <cellStyle name="Input 3 17 3 2 3" xfId="42635"/>
    <cellStyle name="Input 3 17 3 2 4" xfId="33870"/>
    <cellStyle name="Input 3 17 3 3" xfId="12122"/>
    <cellStyle name="Input 3 17 3 3 2" xfId="41847"/>
    <cellStyle name="Input 3 17 3 3 3" xfId="43145"/>
    <cellStyle name="Input 3 17 3 3 4" xfId="29781"/>
    <cellStyle name="Input 3 17 3 4" xfId="18958"/>
    <cellStyle name="Input 3 17 3 4 2" xfId="44480"/>
    <cellStyle name="Input 3 17 3 4 3" xfId="48386"/>
    <cellStyle name="Input 3 17 3 4 4" xfId="36569"/>
    <cellStyle name="Input 3 17 3 5" xfId="20489"/>
    <cellStyle name="Input 3 17 3 5 2" xfId="46011"/>
    <cellStyle name="Input 3 17 3 5 3" xfId="49917"/>
    <cellStyle name="Input 3 17 3 5 4" xfId="37918"/>
    <cellStyle name="Input 3 17 3 6" xfId="19185"/>
    <cellStyle name="Input 3 17 3 6 2" xfId="44707"/>
    <cellStyle name="Input 3 17 3 6 3" xfId="48613"/>
    <cellStyle name="Input 3 17 3 7" xfId="40246"/>
    <cellStyle name="Input 3 17 3 8" xfId="39200"/>
    <cellStyle name="Input 3 18" xfId="7101"/>
    <cellStyle name="Input 3 18 10" xfId="47599"/>
    <cellStyle name="Input 3 18 2" xfId="10628"/>
    <cellStyle name="Input 3 18 2 2" xfId="18415"/>
    <cellStyle name="Input 3 18 2 2 2" xfId="43947"/>
    <cellStyle name="Input 3 18 2 2 3" xfId="47856"/>
    <cellStyle name="Input 3 18 2 2 4" xfId="36038"/>
    <cellStyle name="Input 3 18 2 3" xfId="19411"/>
    <cellStyle name="Input 3 18 2 3 2" xfId="44933"/>
    <cellStyle name="Input 3 18 2 3 3" xfId="48839"/>
    <cellStyle name="Input 3 18 2 3 4" xfId="36962"/>
    <cellStyle name="Input 3 18 2 4" xfId="18919"/>
    <cellStyle name="Input 3 18 2 4 2" xfId="44441"/>
    <cellStyle name="Input 3 18 2 4 3" xfId="48347"/>
    <cellStyle name="Input 3 18 2 4 4" xfId="36533"/>
    <cellStyle name="Input 3 18 2 5" xfId="20828"/>
    <cellStyle name="Input 3 18 2 5 2" xfId="46350"/>
    <cellStyle name="Input 3 18 2 5 3" xfId="50256"/>
    <cellStyle name="Input 3 18 2 5 4" xfId="38220"/>
    <cellStyle name="Input 3 18 2 6" xfId="21481"/>
    <cellStyle name="Input 3 18 2 6 2" xfId="47003"/>
    <cellStyle name="Input 3 18 2 6 3" xfId="50909"/>
    <cellStyle name="Input 3 18 2 7" xfId="40806"/>
    <cellStyle name="Input 3 18 2 8" xfId="43364"/>
    <cellStyle name="Input 3 18 3" xfId="10923"/>
    <cellStyle name="Input 3 18 3 2" xfId="18710"/>
    <cellStyle name="Input 3 18 3 2 2" xfId="44242"/>
    <cellStyle name="Input 3 18 3 2 3" xfId="48151"/>
    <cellStyle name="Input 3 18 3 2 4" xfId="36333"/>
    <cellStyle name="Input 3 18 3 3" xfId="19701"/>
    <cellStyle name="Input 3 18 3 3 2" xfId="45223"/>
    <cellStyle name="Input 3 18 3 3 3" xfId="49129"/>
    <cellStyle name="Input 3 18 3 3 4" xfId="37214"/>
    <cellStyle name="Input 3 18 3 4" xfId="13252"/>
    <cellStyle name="Input 3 18 3 4 2" xfId="42405"/>
    <cellStyle name="Input 3 18 3 4 3" xfId="43654"/>
    <cellStyle name="Input 3 18 3 4 4" xfId="30883"/>
    <cellStyle name="Input 3 18 3 5" xfId="21123"/>
    <cellStyle name="Input 3 18 3 5 2" xfId="46645"/>
    <cellStyle name="Input 3 18 3 5 3" xfId="50551"/>
    <cellStyle name="Input 3 18 3 5 4" xfId="38515"/>
    <cellStyle name="Input 3 18 3 6" xfId="21776"/>
    <cellStyle name="Input 3 18 3 6 2" xfId="47298"/>
    <cellStyle name="Input 3 18 3 6 3" xfId="51204"/>
    <cellStyle name="Input 3 18 3 7" xfId="41101"/>
    <cellStyle name="Input 3 18 3 8" xfId="42702"/>
    <cellStyle name="Input 3 18 4" xfId="14883"/>
    <cellStyle name="Input 3 18 4 2" xfId="42981"/>
    <cellStyle name="Input 3 18 4 3" xfId="39245"/>
    <cellStyle name="Input 3 18 4 4" xfId="32504"/>
    <cellStyle name="Input 3 18 5" xfId="13133"/>
    <cellStyle name="Input 3 18 5 2" xfId="42335"/>
    <cellStyle name="Input 3 18 5 3" xfId="43290"/>
    <cellStyle name="Input 3 18 5 4" xfId="30768"/>
    <cellStyle name="Input 3 18 6" xfId="12316"/>
    <cellStyle name="Input 3 18 6 2" xfId="41930"/>
    <cellStyle name="Input 3 18 6 3" xfId="42674"/>
    <cellStyle name="Input 3 18 6 4" xfId="29973"/>
    <cellStyle name="Input 3 18 7" xfId="20086"/>
    <cellStyle name="Input 3 18 7 2" xfId="45608"/>
    <cellStyle name="Input 3 18 7 3" xfId="49514"/>
    <cellStyle name="Input 3 18 7 4" xfId="37561"/>
    <cellStyle name="Input 3 18 8" xfId="13893"/>
    <cellStyle name="Input 3 18 8 2" xfId="42609"/>
    <cellStyle name="Input 3 18 8 3" xfId="43540"/>
    <cellStyle name="Input 3 18 9" xfId="39841"/>
    <cellStyle name="Input 3 19" xfId="1934"/>
    <cellStyle name="Input 3 2" xfId="1940"/>
    <cellStyle name="Input 3 2 2" xfId="1941"/>
    <cellStyle name="Input 3 2 2 2" xfId="7110"/>
    <cellStyle name="Input 3 2 2 2 10" xfId="40106"/>
    <cellStyle name="Input 3 2 2 2 2" xfId="10637"/>
    <cellStyle name="Input 3 2 2 2 2 2" xfId="18424"/>
    <cellStyle name="Input 3 2 2 2 2 2 2" xfId="43956"/>
    <cellStyle name="Input 3 2 2 2 2 2 3" xfId="47865"/>
    <cellStyle name="Input 3 2 2 2 2 2 4" xfId="36047"/>
    <cellStyle name="Input 3 2 2 2 2 3" xfId="20017"/>
    <cellStyle name="Input 3 2 2 2 2 3 2" xfId="45539"/>
    <cellStyle name="Input 3 2 2 2 2 3 3" xfId="49445"/>
    <cellStyle name="Input 3 2 2 2 2 3 4" xfId="37501"/>
    <cellStyle name="Input 3 2 2 2 2 4" xfId="19441"/>
    <cellStyle name="Input 3 2 2 2 2 4 2" xfId="44963"/>
    <cellStyle name="Input 3 2 2 2 2 4 3" xfId="48869"/>
    <cellStyle name="Input 3 2 2 2 2 4 4" xfId="36988"/>
    <cellStyle name="Input 3 2 2 2 2 5" xfId="20837"/>
    <cellStyle name="Input 3 2 2 2 2 5 2" xfId="46359"/>
    <cellStyle name="Input 3 2 2 2 2 5 3" xfId="50265"/>
    <cellStyle name="Input 3 2 2 2 2 5 4" xfId="38229"/>
    <cellStyle name="Input 3 2 2 2 2 6" xfId="21490"/>
    <cellStyle name="Input 3 2 2 2 2 6 2" xfId="47012"/>
    <cellStyle name="Input 3 2 2 2 2 6 3" xfId="50918"/>
    <cellStyle name="Input 3 2 2 2 2 7" xfId="40815"/>
    <cellStyle name="Input 3 2 2 2 2 8" xfId="43362"/>
    <cellStyle name="Input 3 2 2 2 3" xfId="10932"/>
    <cellStyle name="Input 3 2 2 2 3 2" xfId="18719"/>
    <cellStyle name="Input 3 2 2 2 3 2 2" xfId="44251"/>
    <cellStyle name="Input 3 2 2 2 3 2 3" xfId="48160"/>
    <cellStyle name="Input 3 2 2 2 3 2 4" xfId="36342"/>
    <cellStyle name="Input 3 2 2 2 3 3" xfId="19091"/>
    <cellStyle name="Input 3 2 2 2 3 3 2" xfId="44613"/>
    <cellStyle name="Input 3 2 2 2 3 3 3" xfId="48519"/>
    <cellStyle name="Input 3 2 2 2 3 3 4" xfId="36672"/>
    <cellStyle name="Input 3 2 2 2 3 4" xfId="19977"/>
    <cellStyle name="Input 3 2 2 2 3 4 2" xfId="45499"/>
    <cellStyle name="Input 3 2 2 2 3 4 3" xfId="49405"/>
    <cellStyle name="Input 3 2 2 2 3 4 4" xfId="37461"/>
    <cellStyle name="Input 3 2 2 2 3 5" xfId="21132"/>
    <cellStyle name="Input 3 2 2 2 3 5 2" xfId="46654"/>
    <cellStyle name="Input 3 2 2 2 3 5 3" xfId="50560"/>
    <cellStyle name="Input 3 2 2 2 3 5 4" xfId="38524"/>
    <cellStyle name="Input 3 2 2 2 3 6" xfId="21785"/>
    <cellStyle name="Input 3 2 2 2 3 6 2" xfId="47307"/>
    <cellStyle name="Input 3 2 2 2 3 6 3" xfId="51213"/>
    <cellStyle name="Input 3 2 2 2 3 7" xfId="41110"/>
    <cellStyle name="Input 3 2 2 2 3 8" xfId="43342"/>
    <cellStyle name="Input 3 2 2 2 4" xfId="14892"/>
    <cellStyle name="Input 3 2 2 2 4 2" xfId="42990"/>
    <cellStyle name="Input 3 2 2 2 4 3" xfId="43640"/>
    <cellStyle name="Input 3 2 2 2 4 4" xfId="32513"/>
    <cellStyle name="Input 3 2 2 2 5" xfId="12467"/>
    <cellStyle name="Input 3 2 2 2 5 2" xfId="41969"/>
    <cellStyle name="Input 3 2 2 2 5 3" xfId="42778"/>
    <cellStyle name="Input 3 2 2 2 5 4" xfId="30124"/>
    <cellStyle name="Input 3 2 2 2 6" xfId="11336"/>
    <cellStyle name="Input 3 2 2 2 6 2" xfId="41355"/>
    <cellStyle name="Input 3 2 2 2 6 3" xfId="40545"/>
    <cellStyle name="Input 3 2 2 2 6 4" xfId="29048"/>
    <cellStyle name="Input 3 2 2 2 7" xfId="19553"/>
    <cellStyle name="Input 3 2 2 2 7 2" xfId="45075"/>
    <cellStyle name="Input 3 2 2 2 7 3" xfId="48981"/>
    <cellStyle name="Input 3 2 2 2 7 4" xfId="37080"/>
    <cellStyle name="Input 3 2 2 2 8" xfId="19969"/>
    <cellStyle name="Input 3 2 2 2 8 2" xfId="45491"/>
    <cellStyle name="Input 3 2 2 2 8 3" xfId="49397"/>
    <cellStyle name="Input 3 2 2 2 9" xfId="39850"/>
    <cellStyle name="Input 3 2 2 3" xfId="53093"/>
    <cellStyle name="Input 3 2 3" xfId="1942"/>
    <cellStyle name="Input 3 2 3 2" xfId="7111"/>
    <cellStyle name="Input 3 2 3 2 10" xfId="43075"/>
    <cellStyle name="Input 3 2 3 2 2" xfId="10638"/>
    <cellStyle name="Input 3 2 3 2 2 2" xfId="18425"/>
    <cellStyle name="Input 3 2 3 2 2 2 2" xfId="43957"/>
    <cellStyle name="Input 3 2 3 2 2 2 3" xfId="47866"/>
    <cellStyle name="Input 3 2 3 2 2 2 4" xfId="36048"/>
    <cellStyle name="Input 3 2 3 2 2 3" xfId="19283"/>
    <cellStyle name="Input 3 2 3 2 2 3 2" xfId="44805"/>
    <cellStyle name="Input 3 2 3 2 2 3 3" xfId="48711"/>
    <cellStyle name="Input 3 2 3 2 2 3 4" xfId="36847"/>
    <cellStyle name="Input 3 2 3 2 2 4" xfId="18914"/>
    <cellStyle name="Input 3 2 3 2 2 4 2" xfId="44436"/>
    <cellStyle name="Input 3 2 3 2 2 4 3" xfId="48342"/>
    <cellStyle name="Input 3 2 3 2 2 4 4" xfId="36528"/>
    <cellStyle name="Input 3 2 3 2 2 5" xfId="20838"/>
    <cellStyle name="Input 3 2 3 2 2 5 2" xfId="46360"/>
    <cellStyle name="Input 3 2 3 2 2 5 3" xfId="50266"/>
    <cellStyle name="Input 3 2 3 2 2 5 4" xfId="38230"/>
    <cellStyle name="Input 3 2 3 2 2 6" xfId="21491"/>
    <cellStyle name="Input 3 2 3 2 2 6 2" xfId="47013"/>
    <cellStyle name="Input 3 2 3 2 2 6 3" xfId="50919"/>
    <cellStyle name="Input 3 2 3 2 2 7" xfId="40816"/>
    <cellStyle name="Input 3 2 3 2 2 8" xfId="40224"/>
    <cellStyle name="Input 3 2 3 2 3" xfId="10933"/>
    <cellStyle name="Input 3 2 3 2 3 2" xfId="18720"/>
    <cellStyle name="Input 3 2 3 2 3 2 2" xfId="44252"/>
    <cellStyle name="Input 3 2 3 2 3 2 3" xfId="48161"/>
    <cellStyle name="Input 3 2 3 2 3 2 4" xfId="36343"/>
    <cellStyle name="Input 3 2 3 2 3 3" xfId="19700"/>
    <cellStyle name="Input 3 2 3 2 3 3 2" xfId="45222"/>
    <cellStyle name="Input 3 2 3 2 3 3 3" xfId="49128"/>
    <cellStyle name="Input 3 2 3 2 3 3 4" xfId="37213"/>
    <cellStyle name="Input 3 2 3 2 3 4" xfId="19046"/>
    <cellStyle name="Input 3 2 3 2 3 4 2" xfId="44568"/>
    <cellStyle name="Input 3 2 3 2 3 4 3" xfId="48474"/>
    <cellStyle name="Input 3 2 3 2 3 4 4" xfId="36631"/>
    <cellStyle name="Input 3 2 3 2 3 5" xfId="21133"/>
    <cellStyle name="Input 3 2 3 2 3 5 2" xfId="46655"/>
    <cellStyle name="Input 3 2 3 2 3 5 3" xfId="50561"/>
    <cellStyle name="Input 3 2 3 2 3 5 4" xfId="38525"/>
    <cellStyle name="Input 3 2 3 2 3 6" xfId="21786"/>
    <cellStyle name="Input 3 2 3 2 3 6 2" xfId="47308"/>
    <cellStyle name="Input 3 2 3 2 3 6 3" xfId="51214"/>
    <cellStyle name="Input 3 2 3 2 3 7" xfId="41111"/>
    <cellStyle name="Input 3 2 3 2 3 8" xfId="40204"/>
    <cellStyle name="Input 3 2 3 2 4" xfId="14893"/>
    <cellStyle name="Input 3 2 3 2 4 2" xfId="42991"/>
    <cellStyle name="Input 3 2 3 2 4 3" xfId="40499"/>
    <cellStyle name="Input 3 2 3 2 4 4" xfId="32514"/>
    <cellStyle name="Input 3 2 3 2 5" xfId="12468"/>
    <cellStyle name="Input 3 2 3 2 5 2" xfId="41970"/>
    <cellStyle name="Input 3 2 3 2 5 3" xfId="43667"/>
    <cellStyle name="Input 3 2 3 2 5 4" xfId="30125"/>
    <cellStyle name="Input 3 2 3 2 6" xfId="11469"/>
    <cellStyle name="Input 3 2 3 2 6 2" xfId="41460"/>
    <cellStyle name="Input 3 2 3 2 6 3" xfId="40049"/>
    <cellStyle name="Input 3 2 3 2 6 4" xfId="29171"/>
    <cellStyle name="Input 3 2 3 2 7" xfId="11463"/>
    <cellStyle name="Input 3 2 3 2 7 2" xfId="41454"/>
    <cellStyle name="Input 3 2 3 2 7 3" xfId="43326"/>
    <cellStyle name="Input 3 2 3 2 7 4" xfId="29165"/>
    <cellStyle name="Input 3 2 3 2 8" xfId="20236"/>
    <cellStyle name="Input 3 2 3 2 8 2" xfId="45758"/>
    <cellStyle name="Input 3 2 3 2 8 3" xfId="49664"/>
    <cellStyle name="Input 3 2 3 2 9" xfId="39851"/>
    <cellStyle name="Input 3 2 3 3" xfId="22911"/>
    <cellStyle name="Input 3 2 3 3 2" xfId="47593"/>
    <cellStyle name="Input 3 2 3 3 3" xfId="51408"/>
    <cellStyle name="Input 3 2 3 3 4" xfId="39006"/>
    <cellStyle name="Input 3 2 3 4" xfId="23051"/>
    <cellStyle name="Input 3 2 3 4 2" xfId="47637"/>
    <cellStyle name="Input 3 2 3 4 3" xfId="51448"/>
    <cellStyle name="Input 3 2 3 5" xfId="53094"/>
    <cellStyle name="Input 3 2 4" xfId="4236"/>
    <cellStyle name="Input 3 2 4 2" xfId="7112"/>
    <cellStyle name="Input 3 2 4 2 10" xfId="43742"/>
    <cellStyle name="Input 3 2 4 2 2" xfId="10639"/>
    <cellStyle name="Input 3 2 4 2 2 2" xfId="18426"/>
    <cellStyle name="Input 3 2 4 2 2 2 2" xfId="43958"/>
    <cellStyle name="Input 3 2 4 2 2 2 3" xfId="47867"/>
    <cellStyle name="Input 3 2 4 2 2 2 4" xfId="36049"/>
    <cellStyle name="Input 3 2 4 2 2 3" xfId="19892"/>
    <cellStyle name="Input 3 2 4 2 2 3 2" xfId="45414"/>
    <cellStyle name="Input 3 2 4 2 2 3 3" xfId="49320"/>
    <cellStyle name="Input 3 2 4 2 2 3 4" xfId="37392"/>
    <cellStyle name="Input 3 2 4 2 2 4" xfId="19799"/>
    <cellStyle name="Input 3 2 4 2 2 4 2" xfId="45321"/>
    <cellStyle name="Input 3 2 4 2 2 4 3" xfId="49227"/>
    <cellStyle name="Input 3 2 4 2 2 4 4" xfId="37306"/>
    <cellStyle name="Input 3 2 4 2 2 5" xfId="20839"/>
    <cellStyle name="Input 3 2 4 2 2 5 2" xfId="46361"/>
    <cellStyle name="Input 3 2 4 2 2 5 3" xfId="50267"/>
    <cellStyle name="Input 3 2 4 2 2 5 4" xfId="38231"/>
    <cellStyle name="Input 3 2 4 2 2 6" xfId="21492"/>
    <cellStyle name="Input 3 2 4 2 2 6 2" xfId="47014"/>
    <cellStyle name="Input 3 2 4 2 2 6 3" xfId="50920"/>
    <cellStyle name="Input 3 2 4 2 2 7" xfId="40817"/>
    <cellStyle name="Input 3 2 4 2 2 8" xfId="39364"/>
    <cellStyle name="Input 3 2 4 2 3" xfId="10934"/>
    <cellStyle name="Input 3 2 4 2 3 2" xfId="18721"/>
    <cellStyle name="Input 3 2 4 2 3 2 2" xfId="44253"/>
    <cellStyle name="Input 3 2 4 2 3 2 3" xfId="48162"/>
    <cellStyle name="Input 3 2 4 2 3 2 4" xfId="36344"/>
    <cellStyle name="Input 3 2 4 2 3 3" xfId="11524"/>
    <cellStyle name="Input 3 2 4 2 3 3 2" xfId="41515"/>
    <cellStyle name="Input 3 2 4 2 3 3 3" xfId="40185"/>
    <cellStyle name="Input 3 2 4 2 3 3 4" xfId="29225"/>
    <cellStyle name="Input 3 2 4 2 3 4" xfId="19146"/>
    <cellStyle name="Input 3 2 4 2 3 4 2" xfId="44668"/>
    <cellStyle name="Input 3 2 4 2 3 4 3" xfId="48574"/>
    <cellStyle name="Input 3 2 4 2 3 4 4" xfId="36724"/>
    <cellStyle name="Input 3 2 4 2 3 5" xfId="21134"/>
    <cellStyle name="Input 3 2 4 2 3 5 2" xfId="46656"/>
    <cellStyle name="Input 3 2 4 2 3 5 3" xfId="50562"/>
    <cellStyle name="Input 3 2 4 2 3 5 4" xfId="38526"/>
    <cellStyle name="Input 3 2 4 2 3 6" xfId="21787"/>
    <cellStyle name="Input 3 2 4 2 3 6 2" xfId="47309"/>
    <cellStyle name="Input 3 2 4 2 3 6 3" xfId="51215"/>
    <cellStyle name="Input 3 2 4 2 3 7" xfId="41112"/>
    <cellStyle name="Input 3 2 4 2 3 8" xfId="39344"/>
    <cellStyle name="Input 3 2 4 2 4" xfId="14894"/>
    <cellStyle name="Input 3 2 4 2 4 2" xfId="42992"/>
    <cellStyle name="Input 3 2 4 2 4 3" xfId="39607"/>
    <cellStyle name="Input 3 2 4 2 4 4" xfId="32515"/>
    <cellStyle name="Input 3 2 4 2 5" xfId="11303"/>
    <cellStyle name="Input 3 2 4 2 5 2" xfId="41329"/>
    <cellStyle name="Input 3 2 4 2 5 3" xfId="42561"/>
    <cellStyle name="Input 3 2 4 2 5 4" xfId="29017"/>
    <cellStyle name="Input 3 2 4 2 6" xfId="19345"/>
    <cellStyle name="Input 3 2 4 2 6 2" xfId="44867"/>
    <cellStyle name="Input 3 2 4 2 6 3" xfId="48773"/>
    <cellStyle name="Input 3 2 4 2 6 4" xfId="36900"/>
    <cellStyle name="Input 3 2 4 2 7" xfId="19007"/>
    <cellStyle name="Input 3 2 4 2 7 2" xfId="44529"/>
    <cellStyle name="Input 3 2 4 2 7 3" xfId="48435"/>
    <cellStyle name="Input 3 2 4 2 7 4" xfId="36601"/>
    <cellStyle name="Input 3 2 4 2 8" xfId="19137"/>
    <cellStyle name="Input 3 2 4 2 8 2" xfId="44659"/>
    <cellStyle name="Input 3 2 4 2 8 3" xfId="48565"/>
    <cellStyle name="Input 3 2 4 2 9" xfId="39852"/>
    <cellStyle name="Input 3 2 4 3" xfId="22451"/>
    <cellStyle name="Input 3 2 5" xfId="4237"/>
    <cellStyle name="Input 3 2 5 2" xfId="10457"/>
    <cellStyle name="Input 3 2 5 2 2" xfId="18244"/>
    <cellStyle name="Input 3 2 5 2 2 2" xfId="43776"/>
    <cellStyle name="Input 3 2 5 2 2 3" xfId="47685"/>
    <cellStyle name="Input 3 2 5 2 2 4" xfId="35867"/>
    <cellStyle name="Input 3 2 5 2 3" xfId="19611"/>
    <cellStyle name="Input 3 2 5 2 3 2" xfId="45133"/>
    <cellStyle name="Input 3 2 5 2 3 3" xfId="49039"/>
    <cellStyle name="Input 3 2 5 2 3 4" xfId="37137"/>
    <cellStyle name="Input 3 2 5 2 4" xfId="20043"/>
    <cellStyle name="Input 3 2 5 2 4 2" xfId="45565"/>
    <cellStyle name="Input 3 2 5 2 4 3" xfId="49471"/>
    <cellStyle name="Input 3 2 5 2 4 4" xfId="37525"/>
    <cellStyle name="Input 3 2 5 2 5" xfId="20657"/>
    <cellStyle name="Input 3 2 5 2 5 2" xfId="46179"/>
    <cellStyle name="Input 3 2 5 2 5 3" xfId="50085"/>
    <cellStyle name="Input 3 2 5 2 5 4" xfId="38049"/>
    <cellStyle name="Input 3 2 5 2 6" xfId="21310"/>
    <cellStyle name="Input 3 2 5 2 6 2" xfId="46832"/>
    <cellStyle name="Input 3 2 5 2 6 3" xfId="50738"/>
    <cellStyle name="Input 3 2 5 2 7" xfId="40635"/>
    <cellStyle name="Input 3 2 5 2 8" xfId="42726"/>
    <cellStyle name="Input 3 2 5 3" xfId="8460"/>
    <cellStyle name="Input 3 2 5 3 2" xfId="16250"/>
    <cellStyle name="Input 3 2 5 3 2 2" xfId="43385"/>
    <cellStyle name="Input 3 2 5 3 2 3" xfId="43524"/>
    <cellStyle name="Input 3 2 5 3 2 4" xfId="33871"/>
    <cellStyle name="Input 3 2 5 3 3" xfId="12123"/>
    <cellStyle name="Input 3 2 5 3 3 2" xfId="41848"/>
    <cellStyle name="Input 3 2 5 3 3 3" xfId="40003"/>
    <cellStyle name="Input 3 2 5 3 3 4" xfId="29782"/>
    <cellStyle name="Input 3 2 5 3 4" xfId="11731"/>
    <cellStyle name="Input 3 2 5 3 4 2" xfId="41697"/>
    <cellStyle name="Input 3 2 5 3 4 3" xfId="40427"/>
    <cellStyle name="Input 3 2 5 3 4 4" xfId="29404"/>
    <cellStyle name="Input 3 2 5 3 5" xfId="12639"/>
    <cellStyle name="Input 3 2 5 3 5 2" xfId="42099"/>
    <cellStyle name="Input 3 2 5 3 5 3" xfId="42776"/>
    <cellStyle name="Input 3 2 5 3 5 4" xfId="30290"/>
    <cellStyle name="Input 3 2 5 3 6" xfId="18976"/>
    <cellStyle name="Input 3 2 5 3 6 2" xfId="44498"/>
    <cellStyle name="Input 3 2 5 3 6 3" xfId="48404"/>
    <cellStyle name="Input 3 2 5 3 7" xfId="40247"/>
    <cellStyle name="Input 3 2 5 3 8" xfId="39199"/>
    <cellStyle name="Input 3 2 6" xfId="7109"/>
    <cellStyle name="Input 3 2 6 10" xfId="43247"/>
    <cellStyle name="Input 3 2 6 2" xfId="10636"/>
    <cellStyle name="Input 3 2 6 2 2" xfId="18423"/>
    <cellStyle name="Input 3 2 6 2 2 2" xfId="43955"/>
    <cellStyle name="Input 3 2 6 2 2 3" xfId="47864"/>
    <cellStyle name="Input 3 2 6 2 2 4" xfId="36046"/>
    <cellStyle name="Input 3 2 6 2 3" xfId="19410"/>
    <cellStyle name="Input 3 2 6 2 3 2" xfId="44932"/>
    <cellStyle name="Input 3 2 6 2 3 3" xfId="48838"/>
    <cellStyle name="Input 3 2 6 2 3 4" xfId="36961"/>
    <cellStyle name="Input 3 2 6 2 4" xfId="11628"/>
    <cellStyle name="Input 3 2 6 2 4 2" xfId="41619"/>
    <cellStyle name="Input 3 2 6 2 4 3" xfId="41993"/>
    <cellStyle name="Input 3 2 6 2 4 4" xfId="29315"/>
    <cellStyle name="Input 3 2 6 2 5" xfId="20836"/>
    <cellStyle name="Input 3 2 6 2 5 2" xfId="46358"/>
    <cellStyle name="Input 3 2 6 2 5 3" xfId="50264"/>
    <cellStyle name="Input 3 2 6 2 5 4" xfId="38228"/>
    <cellStyle name="Input 3 2 6 2 6" xfId="21489"/>
    <cellStyle name="Input 3 2 6 2 6 2" xfId="47011"/>
    <cellStyle name="Input 3 2 6 2 6 3" xfId="50917"/>
    <cellStyle name="Input 3 2 6 2 7" xfId="40814"/>
    <cellStyle name="Input 3 2 6 2 8" xfId="42043"/>
    <cellStyle name="Input 3 2 6 3" xfId="10931"/>
    <cellStyle name="Input 3 2 6 3 2" xfId="18718"/>
    <cellStyle name="Input 3 2 6 3 2 2" xfId="44250"/>
    <cellStyle name="Input 3 2 6 3 2 3" xfId="48159"/>
    <cellStyle name="Input 3 2 6 3 2 4" xfId="36341"/>
    <cellStyle name="Input 3 2 6 3 3" xfId="19868"/>
    <cellStyle name="Input 3 2 6 3 3 2" xfId="45390"/>
    <cellStyle name="Input 3 2 6 3 3 3" xfId="49296"/>
    <cellStyle name="Input 3 2 6 3 3 4" xfId="37368"/>
    <cellStyle name="Input 3 2 6 3 4" xfId="19464"/>
    <cellStyle name="Input 3 2 6 3 4 2" xfId="44986"/>
    <cellStyle name="Input 3 2 6 3 4 3" xfId="48892"/>
    <cellStyle name="Input 3 2 6 3 4 4" xfId="37007"/>
    <cellStyle name="Input 3 2 6 3 5" xfId="21131"/>
    <cellStyle name="Input 3 2 6 3 5 2" xfId="46653"/>
    <cellStyle name="Input 3 2 6 3 5 3" xfId="50559"/>
    <cellStyle name="Input 3 2 6 3 5 4" xfId="38523"/>
    <cellStyle name="Input 3 2 6 3 6" xfId="21784"/>
    <cellStyle name="Input 3 2 6 3 6 2" xfId="47306"/>
    <cellStyle name="Input 3 2 6 3 6 3" xfId="51212"/>
    <cellStyle name="Input 3 2 6 3 7" xfId="41109"/>
    <cellStyle name="Input 3 2 6 3 8" xfId="42023"/>
    <cellStyle name="Input 3 2 6 4" xfId="14891"/>
    <cellStyle name="Input 3 2 6 4 2" xfId="42989"/>
    <cellStyle name="Input 3 2 6 4 3" xfId="42753"/>
    <cellStyle name="Input 3 2 6 4 4" xfId="32512"/>
    <cellStyle name="Input 3 2 6 5" xfId="13139"/>
    <cellStyle name="Input 3 2 6 5 2" xfId="42341"/>
    <cellStyle name="Input 3 2 6 5 3" xfId="39269"/>
    <cellStyle name="Input 3 2 6 5 4" xfId="30774"/>
    <cellStyle name="Input 3 2 6 6" xfId="20362"/>
    <cellStyle name="Input 3 2 6 6 2" xfId="45884"/>
    <cellStyle name="Input 3 2 6 6 3" xfId="49790"/>
    <cellStyle name="Input 3 2 6 6 4" xfId="37804"/>
    <cellStyle name="Input 3 2 6 7" xfId="18921"/>
    <cellStyle name="Input 3 2 6 7 2" xfId="44443"/>
    <cellStyle name="Input 3 2 6 7 3" xfId="48349"/>
    <cellStyle name="Input 3 2 6 7 4" xfId="36534"/>
    <cellStyle name="Input 3 2 6 8" xfId="19437"/>
    <cellStyle name="Input 3 2 6 8 2" xfId="44959"/>
    <cellStyle name="Input 3 2 6 8 3" xfId="48865"/>
    <cellStyle name="Input 3 2 6 9" xfId="39849"/>
    <cellStyle name="Input 3 2 7" xfId="53092"/>
    <cellStyle name="Input 3 2_Sheet1" xfId="1943"/>
    <cellStyle name="Input 3 20" xfId="52729"/>
    <cellStyle name="Input 3 21" xfId="52711"/>
    <cellStyle name="Input 3 22" xfId="52726"/>
    <cellStyle name="Input 3 23" xfId="52713"/>
    <cellStyle name="Input 3 24" xfId="52727"/>
    <cellStyle name="Input 3 25" xfId="52751"/>
    <cellStyle name="Input 3 26" xfId="52724"/>
    <cellStyle name="Input 3 27" xfId="52750"/>
    <cellStyle name="Input 3 28" xfId="52790"/>
    <cellStyle name="Input 3 29" xfId="52766"/>
    <cellStyle name="Input 3 3" xfId="1944"/>
    <cellStyle name="Input 3 3 2" xfId="7113"/>
    <cellStyle name="Input 3 3 2 10" xfId="40601"/>
    <cellStyle name="Input 3 3 2 11" xfId="53096"/>
    <cellStyle name="Input 3 3 2 2" xfId="10640"/>
    <cellStyle name="Input 3 3 2 2 2" xfId="18427"/>
    <cellStyle name="Input 3 3 2 2 2 2" xfId="43959"/>
    <cellStyle name="Input 3 3 2 2 2 3" xfId="47868"/>
    <cellStyle name="Input 3 3 2 2 2 4" xfId="36050"/>
    <cellStyle name="Input 3 3 2 2 3" xfId="19115"/>
    <cellStyle name="Input 3 3 2 2 3 2" xfId="44637"/>
    <cellStyle name="Input 3 3 2 2 3 3" xfId="48543"/>
    <cellStyle name="Input 3 3 2 2 3 4" xfId="36696"/>
    <cellStyle name="Input 3 3 2 2 4" xfId="19821"/>
    <cellStyle name="Input 3 3 2 2 4 2" xfId="45343"/>
    <cellStyle name="Input 3 3 2 2 4 3" xfId="49249"/>
    <cellStyle name="Input 3 3 2 2 4 4" xfId="37325"/>
    <cellStyle name="Input 3 3 2 2 5" xfId="20840"/>
    <cellStyle name="Input 3 3 2 2 5 2" xfId="46362"/>
    <cellStyle name="Input 3 3 2 2 5 3" xfId="50268"/>
    <cellStyle name="Input 3 3 2 2 5 4" xfId="38232"/>
    <cellStyle name="Input 3 3 2 2 6" xfId="21493"/>
    <cellStyle name="Input 3 3 2 2 6 2" xfId="47015"/>
    <cellStyle name="Input 3 3 2 2 6 3" xfId="50921"/>
    <cellStyle name="Input 3 3 2 2 7" xfId="40818"/>
    <cellStyle name="Input 3 3 2 2 8" xfId="41410"/>
    <cellStyle name="Input 3 3 2 3" xfId="10935"/>
    <cellStyle name="Input 3 3 2 3 2" xfId="18722"/>
    <cellStyle name="Input 3 3 2 3 2 2" xfId="44254"/>
    <cellStyle name="Input 3 3 2 3 2 3" xfId="48163"/>
    <cellStyle name="Input 3 3 2 3 2 4" xfId="36345"/>
    <cellStyle name="Input 3 3 2 3 3" xfId="13348"/>
    <cellStyle name="Input 3 3 2 3 3 2" xfId="42499"/>
    <cellStyle name="Input 3 3 2 3 3 3" xfId="43649"/>
    <cellStyle name="Input 3 3 2 3 3 4" xfId="30974"/>
    <cellStyle name="Input 3 3 2 3 4" xfId="19502"/>
    <cellStyle name="Input 3 3 2 3 4 2" xfId="45024"/>
    <cellStyle name="Input 3 3 2 3 4 3" xfId="48930"/>
    <cellStyle name="Input 3 3 2 3 4 4" xfId="37036"/>
    <cellStyle name="Input 3 3 2 3 5" xfId="21135"/>
    <cellStyle name="Input 3 3 2 3 5 2" xfId="46657"/>
    <cellStyle name="Input 3 3 2 3 5 3" xfId="50563"/>
    <cellStyle name="Input 3 3 2 3 5 4" xfId="38527"/>
    <cellStyle name="Input 3 3 2 3 6" xfId="21788"/>
    <cellStyle name="Input 3 3 2 3 6 2" xfId="47310"/>
    <cellStyle name="Input 3 3 2 3 6 3" xfId="51216"/>
    <cellStyle name="Input 3 3 2 3 7" xfId="41113"/>
    <cellStyle name="Input 3 3 2 3 8" xfId="42025"/>
    <cellStyle name="Input 3 3 2 4" xfId="14895"/>
    <cellStyle name="Input 3 3 2 4 2" xfId="42993"/>
    <cellStyle name="Input 3 3 2 4 3" xfId="42643"/>
    <cellStyle name="Input 3 3 2 4 4" xfId="32516"/>
    <cellStyle name="Input 3 3 2 5" xfId="12471"/>
    <cellStyle name="Input 3 3 2 5 2" xfId="41973"/>
    <cellStyle name="Input 3 3 2 5 3" xfId="42672"/>
    <cellStyle name="Input 3 3 2 5 4" xfId="30128"/>
    <cellStyle name="Input 3 3 2 6" xfId="20200"/>
    <cellStyle name="Input 3 3 2 6 2" xfId="45722"/>
    <cellStyle name="Input 3 3 2 6 3" xfId="49628"/>
    <cellStyle name="Input 3 3 2 6 4" xfId="37664"/>
    <cellStyle name="Input 3 3 2 7" xfId="12942"/>
    <cellStyle name="Input 3 3 2 7 2" xfId="42233"/>
    <cellStyle name="Input 3 3 2 7 3" xfId="40155"/>
    <cellStyle name="Input 3 3 2 7 4" xfId="30577"/>
    <cellStyle name="Input 3 3 2 8" xfId="12082"/>
    <cellStyle name="Input 3 3 2 8 2" xfId="41807"/>
    <cellStyle name="Input 3 3 2 8 3" xfId="39113"/>
    <cellStyle name="Input 3 3 2 9" xfId="39853"/>
    <cellStyle name="Input 3 3 3" xfId="22452"/>
    <cellStyle name="Input 3 3 4" xfId="53095"/>
    <cellStyle name="Input 3 30" xfId="52793"/>
    <cellStyle name="Input 3 31" xfId="52765"/>
    <cellStyle name="Input 3 32" xfId="52791"/>
    <cellStyle name="Input 3 33" xfId="52808"/>
    <cellStyle name="Input 3 34" xfId="52788"/>
    <cellStyle name="Input 3 35" xfId="52811"/>
    <cellStyle name="Input 3 36" xfId="52794"/>
    <cellStyle name="Input 3 37" xfId="52764"/>
    <cellStyle name="Input 3 38" xfId="52812"/>
    <cellStyle name="Input 3 39" xfId="52768"/>
    <cellStyle name="Input 3 4" xfId="1945"/>
    <cellStyle name="Input 3 4 2" xfId="7114"/>
    <cellStyle name="Input 3 4 2 10" xfId="39935"/>
    <cellStyle name="Input 3 4 2 11" xfId="53098"/>
    <cellStyle name="Input 3 4 2 2" xfId="10641"/>
    <cellStyle name="Input 3 4 2 2 2" xfId="18428"/>
    <cellStyle name="Input 3 4 2 2 2 2" xfId="43960"/>
    <cellStyle name="Input 3 4 2 2 2 3" xfId="47869"/>
    <cellStyle name="Input 3 4 2 2 2 4" xfId="36051"/>
    <cellStyle name="Input 3 4 2 2 3" xfId="19734"/>
    <cellStyle name="Input 3 4 2 2 3 2" xfId="45256"/>
    <cellStyle name="Input 3 4 2 2 3 3" xfId="49162"/>
    <cellStyle name="Input 3 4 2 2 3 4" xfId="37247"/>
    <cellStyle name="Input 3 4 2 2 4" xfId="18930"/>
    <cellStyle name="Input 3 4 2 2 4 2" xfId="44452"/>
    <cellStyle name="Input 3 4 2 2 4 3" xfId="48358"/>
    <cellStyle name="Input 3 4 2 2 4 4" xfId="36543"/>
    <cellStyle name="Input 3 4 2 2 5" xfId="20841"/>
    <cellStyle name="Input 3 4 2 2 5 2" xfId="46363"/>
    <cellStyle name="Input 3 4 2 2 5 3" xfId="50269"/>
    <cellStyle name="Input 3 4 2 2 5 4" xfId="38233"/>
    <cellStyle name="Input 3 4 2 2 6" xfId="21494"/>
    <cellStyle name="Input 3 4 2 2 6 2" xfId="47016"/>
    <cellStyle name="Input 3 4 2 2 6 3" xfId="50922"/>
    <cellStyle name="Input 3 4 2 2 7" xfId="40819"/>
    <cellStyle name="Input 3 4 2 2 8" xfId="43213"/>
    <cellStyle name="Input 3 4 2 3" xfId="10936"/>
    <cellStyle name="Input 3 4 2 3 2" xfId="18723"/>
    <cellStyle name="Input 3 4 2 3 2 2" xfId="44255"/>
    <cellStyle name="Input 3 4 2 3 2 3" xfId="48164"/>
    <cellStyle name="Input 3 4 2 3 2 4" xfId="36346"/>
    <cellStyle name="Input 3 4 2 3 3" xfId="19572"/>
    <cellStyle name="Input 3 4 2 3 3 2" xfId="45094"/>
    <cellStyle name="Input 3 4 2 3 3 3" xfId="49000"/>
    <cellStyle name="Input 3 4 2 3 3 4" xfId="37098"/>
    <cellStyle name="Input 3 4 2 3 4" xfId="18925"/>
    <cellStyle name="Input 3 4 2 3 4 2" xfId="44447"/>
    <cellStyle name="Input 3 4 2 3 4 3" xfId="48353"/>
    <cellStyle name="Input 3 4 2 3 4 4" xfId="36538"/>
    <cellStyle name="Input 3 4 2 3 5" xfId="21136"/>
    <cellStyle name="Input 3 4 2 3 5 2" xfId="46658"/>
    <cellStyle name="Input 3 4 2 3 5 3" xfId="50564"/>
    <cellStyle name="Input 3 4 2 3 5 4" xfId="38528"/>
    <cellStyle name="Input 3 4 2 3 6" xfId="21789"/>
    <cellStyle name="Input 3 4 2 3 6 2" xfId="47311"/>
    <cellStyle name="Input 3 4 2 3 6 3" xfId="51217"/>
    <cellStyle name="Input 3 4 2 3 7" xfId="41114"/>
    <cellStyle name="Input 3 4 2 3 8" xfId="43344"/>
    <cellStyle name="Input 3 4 2 4" xfId="14896"/>
    <cellStyle name="Input 3 4 2 4 2" xfId="42994"/>
    <cellStyle name="Input 3 4 2 4 3" xfId="43531"/>
    <cellStyle name="Input 3 4 2 4 4" xfId="32517"/>
    <cellStyle name="Input 3 4 2 5" xfId="13137"/>
    <cellStyle name="Input 3 4 2 5 2" xfId="42339"/>
    <cellStyle name="Input 3 4 2 5 3" xfId="39271"/>
    <cellStyle name="Input 3 4 2 5 4" xfId="30772"/>
    <cellStyle name="Input 3 4 2 6" xfId="19162"/>
    <cellStyle name="Input 3 4 2 6 2" xfId="44684"/>
    <cellStyle name="Input 3 4 2 6 3" xfId="48590"/>
    <cellStyle name="Input 3 4 2 6 4" xfId="36739"/>
    <cellStyle name="Input 3 4 2 7" xfId="20093"/>
    <cellStyle name="Input 3 4 2 7 2" xfId="45615"/>
    <cellStyle name="Input 3 4 2 7 3" xfId="49521"/>
    <cellStyle name="Input 3 4 2 7 4" xfId="37567"/>
    <cellStyle name="Input 3 4 2 8" xfId="20177"/>
    <cellStyle name="Input 3 4 2 8 2" xfId="45699"/>
    <cellStyle name="Input 3 4 2 8 3" xfId="49605"/>
    <cellStyle name="Input 3 4 2 9" xfId="39854"/>
    <cellStyle name="Input 3 4 3" xfId="22453"/>
    <cellStyle name="Input 3 4 4" xfId="53097"/>
    <cellStyle name="Input 3 40" xfId="52817"/>
    <cellStyle name="Input 3 41" xfId="52770"/>
    <cellStyle name="Input 3 42" xfId="52796"/>
    <cellStyle name="Input 3 43" xfId="52772"/>
    <cellStyle name="Input 3 44" xfId="52762"/>
    <cellStyle name="Input 3 45" xfId="52852"/>
    <cellStyle name="Input 3 46" xfId="52829"/>
    <cellStyle name="Input 3 47" xfId="52850"/>
    <cellStyle name="Input 3 48" xfId="52827"/>
    <cellStyle name="Input 3 49" xfId="52848"/>
    <cellStyle name="Input 3 5" xfId="1946"/>
    <cellStyle name="Input 3 5 2" xfId="7115"/>
    <cellStyle name="Input 3 5 2 10" xfId="42735"/>
    <cellStyle name="Input 3 5 2 11" xfId="53100"/>
    <cellStyle name="Input 3 5 2 2" xfId="10642"/>
    <cellStyle name="Input 3 5 2 2 2" xfId="18429"/>
    <cellStyle name="Input 3 5 2 2 2 2" xfId="43961"/>
    <cellStyle name="Input 3 5 2 2 2 3" xfId="47870"/>
    <cellStyle name="Input 3 5 2 2 2 4" xfId="36052"/>
    <cellStyle name="Input 3 5 2 2 3" xfId="12620"/>
    <cellStyle name="Input 3 5 2 2 3 2" xfId="42080"/>
    <cellStyle name="Input 3 5 2 2 3 3" xfId="43665"/>
    <cellStyle name="Input 3 5 2 2 3 4" xfId="30271"/>
    <cellStyle name="Input 3 5 2 2 4" xfId="20107"/>
    <cellStyle name="Input 3 5 2 2 4 2" xfId="45629"/>
    <cellStyle name="Input 3 5 2 2 4 3" xfId="49535"/>
    <cellStyle name="Input 3 5 2 2 4 4" xfId="37579"/>
    <cellStyle name="Input 3 5 2 2 5" xfId="20842"/>
    <cellStyle name="Input 3 5 2 2 5 2" xfId="46364"/>
    <cellStyle name="Input 3 5 2 2 5 3" xfId="50270"/>
    <cellStyle name="Input 3 5 2 2 5 4" xfId="38234"/>
    <cellStyle name="Input 3 5 2 2 6" xfId="21495"/>
    <cellStyle name="Input 3 5 2 2 6 2" xfId="47017"/>
    <cellStyle name="Input 3 5 2 2 6 3" xfId="50923"/>
    <cellStyle name="Input 3 5 2 2 7" xfId="40820"/>
    <cellStyle name="Input 3 5 2 2 8" xfId="40072"/>
    <cellStyle name="Input 3 5 2 3" xfId="10937"/>
    <cellStyle name="Input 3 5 2 3 2" xfId="18724"/>
    <cellStyle name="Input 3 5 2 3 2 2" xfId="44256"/>
    <cellStyle name="Input 3 5 2 3 2 3" xfId="48165"/>
    <cellStyle name="Input 3 5 2 3 2 4" xfId="36347"/>
    <cellStyle name="Input 3 5 2 3 3" xfId="20126"/>
    <cellStyle name="Input 3 5 2 3 3 2" xfId="45648"/>
    <cellStyle name="Input 3 5 2 3 3 3" xfId="49554"/>
    <cellStyle name="Input 3 5 2 3 3 4" xfId="37598"/>
    <cellStyle name="Input 3 5 2 3 4" xfId="18935"/>
    <cellStyle name="Input 3 5 2 3 4 2" xfId="44457"/>
    <cellStyle name="Input 3 5 2 3 4 3" xfId="48363"/>
    <cellStyle name="Input 3 5 2 3 4 4" xfId="36547"/>
    <cellStyle name="Input 3 5 2 3 5" xfId="21137"/>
    <cellStyle name="Input 3 5 2 3 5 2" xfId="46659"/>
    <cellStyle name="Input 3 5 2 3 5 3" xfId="50565"/>
    <cellStyle name="Input 3 5 2 3 5 4" xfId="38529"/>
    <cellStyle name="Input 3 5 2 3 6" xfId="21790"/>
    <cellStyle name="Input 3 5 2 3 6 2" xfId="47312"/>
    <cellStyle name="Input 3 5 2 3 6 3" xfId="51218"/>
    <cellStyle name="Input 3 5 2 3 7" xfId="41115"/>
    <cellStyle name="Input 3 5 2 3 8" xfId="40206"/>
    <cellStyle name="Input 3 5 2 4" xfId="14897"/>
    <cellStyle name="Input 3 5 2 4 2" xfId="42995"/>
    <cellStyle name="Input 3 5 2 4 3" xfId="40392"/>
    <cellStyle name="Input 3 5 2 4 4" xfId="32518"/>
    <cellStyle name="Input 3 5 2 5" xfId="13140"/>
    <cellStyle name="Input 3 5 2 5 2" xfId="42342"/>
    <cellStyle name="Input 3 5 2 5 3" xfId="39074"/>
    <cellStyle name="Input 3 5 2 5 4" xfId="30775"/>
    <cellStyle name="Input 3 5 2 6" xfId="20210"/>
    <cellStyle name="Input 3 5 2 6 2" xfId="45732"/>
    <cellStyle name="Input 3 5 2 6 3" xfId="49638"/>
    <cellStyle name="Input 3 5 2 6 4" xfId="37673"/>
    <cellStyle name="Input 3 5 2 7" xfId="19688"/>
    <cellStyle name="Input 3 5 2 7 2" xfId="45210"/>
    <cellStyle name="Input 3 5 2 7 3" xfId="49116"/>
    <cellStyle name="Input 3 5 2 7 4" xfId="37203"/>
    <cellStyle name="Input 3 5 2 8" xfId="20599"/>
    <cellStyle name="Input 3 5 2 8 2" xfId="46121"/>
    <cellStyle name="Input 3 5 2 8 3" xfId="50027"/>
    <cellStyle name="Input 3 5 2 9" xfId="39855"/>
    <cellStyle name="Input 3 5 3" xfId="22454"/>
    <cellStyle name="Input 3 5 4" xfId="53099"/>
    <cellStyle name="Input 3 50" xfId="52826"/>
    <cellStyle name="Input 3 51" xfId="52864"/>
    <cellStyle name="Input 3 52" xfId="52866"/>
    <cellStyle name="Input 3 53" xfId="52855"/>
    <cellStyle name="Input 3 54" xfId="52834"/>
    <cellStyle name="Input 3 55" xfId="52856"/>
    <cellStyle name="Input 3 56" xfId="52832"/>
    <cellStyle name="Input 3 57" xfId="52853"/>
    <cellStyle name="Input 3 58" xfId="52831"/>
    <cellStyle name="Input 3 59" xfId="53087"/>
    <cellStyle name="Input 3 6" xfId="1947"/>
    <cellStyle name="Input 3 6 2" xfId="7116"/>
    <cellStyle name="Input 3 6 2 10" xfId="43623"/>
    <cellStyle name="Input 3 6 2 2" xfId="10643"/>
    <cellStyle name="Input 3 6 2 2 2" xfId="18430"/>
    <cellStyle name="Input 3 6 2 2 2 2" xfId="43962"/>
    <cellStyle name="Input 3 6 2 2 2 3" xfId="47871"/>
    <cellStyle name="Input 3 6 2 2 2 4" xfId="36053"/>
    <cellStyle name="Input 3 6 2 2 3" xfId="13318"/>
    <cellStyle name="Input 3 6 2 2 3 2" xfId="42469"/>
    <cellStyle name="Input 3 6 2 2 3 3" xfId="42522"/>
    <cellStyle name="Input 3 6 2 2 3 4" xfId="30944"/>
    <cellStyle name="Input 3 6 2 2 4" xfId="12795"/>
    <cellStyle name="Input 3 6 2 2 4 2" xfId="42191"/>
    <cellStyle name="Input 3 6 2 2 4 3" xfId="40417"/>
    <cellStyle name="Input 3 6 2 2 4 4" xfId="30438"/>
    <cellStyle name="Input 3 6 2 2 5" xfId="20843"/>
    <cellStyle name="Input 3 6 2 2 5 2" xfId="46365"/>
    <cellStyle name="Input 3 6 2 2 5 3" xfId="50271"/>
    <cellStyle name="Input 3 6 2 2 5 4" xfId="38235"/>
    <cellStyle name="Input 3 6 2 2 6" xfId="21496"/>
    <cellStyle name="Input 3 6 2 2 6 2" xfId="47018"/>
    <cellStyle name="Input 3 6 2 2 6 3" xfId="50924"/>
    <cellStyle name="Input 3 6 2 2 7" xfId="40821"/>
    <cellStyle name="Input 3 6 2 2 8" xfId="42821"/>
    <cellStyle name="Input 3 6 2 3" xfId="10938"/>
    <cellStyle name="Input 3 6 2 3 2" xfId="18725"/>
    <cellStyle name="Input 3 6 2 3 2 2" xfId="44257"/>
    <cellStyle name="Input 3 6 2 3 2 3" xfId="48166"/>
    <cellStyle name="Input 3 6 2 3 2 4" xfId="36348"/>
    <cellStyle name="Input 3 6 2 3 3" xfId="19385"/>
    <cellStyle name="Input 3 6 2 3 3 2" xfId="44907"/>
    <cellStyle name="Input 3 6 2 3 3 3" xfId="48813"/>
    <cellStyle name="Input 3 6 2 3 3 4" xfId="36936"/>
    <cellStyle name="Input 3 6 2 3 4" xfId="20224"/>
    <cellStyle name="Input 3 6 2 3 4 2" xfId="45746"/>
    <cellStyle name="Input 3 6 2 3 4 3" xfId="49652"/>
    <cellStyle name="Input 3 6 2 3 4 4" xfId="37683"/>
    <cellStyle name="Input 3 6 2 3 5" xfId="21138"/>
    <cellStyle name="Input 3 6 2 3 5 2" xfId="46660"/>
    <cellStyle name="Input 3 6 2 3 5 3" xfId="50566"/>
    <cellStyle name="Input 3 6 2 3 5 4" xfId="38530"/>
    <cellStyle name="Input 3 6 2 3 6" xfId="21791"/>
    <cellStyle name="Input 3 6 2 3 6 2" xfId="47313"/>
    <cellStyle name="Input 3 6 2 3 6 3" xfId="51219"/>
    <cellStyle name="Input 3 6 2 3 7" xfId="41116"/>
    <cellStyle name="Input 3 6 2 3 8" xfId="42808"/>
    <cellStyle name="Input 3 6 2 4" xfId="14898"/>
    <cellStyle name="Input 3 6 2 4 2" xfId="42996"/>
    <cellStyle name="Input 3 6 2 4 3" xfId="39501"/>
    <cellStyle name="Input 3 6 2 4 4" xfId="32519"/>
    <cellStyle name="Input 3 6 2 5" xfId="13141"/>
    <cellStyle name="Input 3 6 2 5 2" xfId="42343"/>
    <cellStyle name="Input 3 6 2 5 3" xfId="39073"/>
    <cellStyle name="Input 3 6 2 5 4" xfId="30776"/>
    <cellStyle name="Input 3 6 2 6" xfId="20190"/>
    <cellStyle name="Input 3 6 2 6 2" xfId="45712"/>
    <cellStyle name="Input 3 6 2 6 3" xfId="49618"/>
    <cellStyle name="Input 3 6 2 6 4" xfId="37658"/>
    <cellStyle name="Input 3 6 2 7" xfId="19056"/>
    <cellStyle name="Input 3 6 2 7 2" xfId="44578"/>
    <cellStyle name="Input 3 6 2 7 3" xfId="48484"/>
    <cellStyle name="Input 3 6 2 7 4" xfId="36641"/>
    <cellStyle name="Input 3 6 2 8" xfId="19359"/>
    <cellStyle name="Input 3 6 2 8 2" xfId="44881"/>
    <cellStyle name="Input 3 6 2 8 3" xfId="48787"/>
    <cellStyle name="Input 3 6 2 9" xfId="39856"/>
    <cellStyle name="Input 3 6 3" xfId="53101"/>
    <cellStyle name="Input 3 7" xfId="1948"/>
    <cellStyle name="Input 3 7 2" xfId="7117"/>
    <cellStyle name="Input 3 7 2 10" xfId="39857"/>
    <cellStyle name="Input 3 7 2 11" xfId="40481"/>
    <cellStyle name="Input 3 7 2 2" xfId="10644"/>
    <cellStyle name="Input 3 7 2 2 2" xfId="18431"/>
    <cellStyle name="Input 3 7 2 2 2 2" xfId="43963"/>
    <cellStyle name="Input 3 7 2 2 2 3" xfId="47872"/>
    <cellStyle name="Input 3 7 2 2 2 4" xfId="36054"/>
    <cellStyle name="Input 3 7 2 2 3" xfId="13912"/>
    <cellStyle name="Input 3 7 2 2 3 2" xfId="42628"/>
    <cellStyle name="Input 3 7 2 2 3 3" xfId="40507"/>
    <cellStyle name="Input 3 7 2 2 3 4" xfId="31534"/>
    <cellStyle name="Input 3 7 2 2 4" xfId="20352"/>
    <cellStyle name="Input 3 7 2 2 4 2" xfId="45874"/>
    <cellStyle name="Input 3 7 2 2 4 3" xfId="49780"/>
    <cellStyle name="Input 3 7 2 2 4 4" xfId="37794"/>
    <cellStyle name="Input 3 7 2 2 5" xfId="20844"/>
    <cellStyle name="Input 3 7 2 2 5 2" xfId="46366"/>
    <cellStyle name="Input 3 7 2 2 5 3" xfId="50272"/>
    <cellStyle name="Input 3 7 2 2 5 4" xfId="38236"/>
    <cellStyle name="Input 3 7 2 2 6" xfId="21497"/>
    <cellStyle name="Input 3 7 2 2 6 2" xfId="47019"/>
    <cellStyle name="Input 3 7 2 2 6 3" xfId="50925"/>
    <cellStyle name="Input 3 7 2 2 7" xfId="40822"/>
    <cellStyle name="Input 3 7 2 2 8" xfId="43710"/>
    <cellStyle name="Input 3 7 2 3" xfId="10939"/>
    <cellStyle name="Input 3 7 2 3 2" xfId="18726"/>
    <cellStyle name="Input 3 7 2 3 2 2" xfId="44258"/>
    <cellStyle name="Input 3 7 2 3 2 3" xfId="48167"/>
    <cellStyle name="Input 3 7 2 3 2 4" xfId="36349"/>
    <cellStyle name="Input 3 7 2 3 3" xfId="19992"/>
    <cellStyle name="Input 3 7 2 3 3 2" xfId="45514"/>
    <cellStyle name="Input 3 7 2 3 3 3" xfId="49420"/>
    <cellStyle name="Input 3 7 2 3 3 4" xfId="37476"/>
    <cellStyle name="Input 3 7 2 3 4" xfId="19667"/>
    <cellStyle name="Input 3 7 2 3 4 2" xfId="45189"/>
    <cellStyle name="Input 3 7 2 3 4 3" xfId="49095"/>
    <cellStyle name="Input 3 7 2 3 4 4" xfId="37185"/>
    <cellStyle name="Input 3 7 2 3 5" xfId="21139"/>
    <cellStyle name="Input 3 7 2 3 5 2" xfId="46661"/>
    <cellStyle name="Input 3 7 2 3 5 3" xfId="50567"/>
    <cellStyle name="Input 3 7 2 3 5 4" xfId="38531"/>
    <cellStyle name="Input 3 7 2 3 6" xfId="21792"/>
    <cellStyle name="Input 3 7 2 3 6 2" xfId="47314"/>
    <cellStyle name="Input 3 7 2 3 6 3" xfId="51220"/>
    <cellStyle name="Input 3 7 2 3 7" xfId="41117"/>
    <cellStyle name="Input 3 7 2 3 8" xfId="43697"/>
    <cellStyle name="Input 3 7 2 4" xfId="14899"/>
    <cellStyle name="Input 3 7 2 4 2" xfId="42997"/>
    <cellStyle name="Input 3 7 2 4 3" xfId="42511"/>
    <cellStyle name="Input 3 7 2 4 4" xfId="32520"/>
    <cellStyle name="Input 3 7 2 5" xfId="13142"/>
    <cellStyle name="Input 3 7 2 5 2" xfId="42344"/>
    <cellStyle name="Input 3 7 2 5 3" xfId="47460"/>
    <cellStyle name="Input 3 7 2 5 4" xfId="30777"/>
    <cellStyle name="Input 3 7 2 6" xfId="11165"/>
    <cellStyle name="Input 3 7 2 6 2" xfId="41268"/>
    <cellStyle name="Input 3 7 2 6 3" xfId="43194"/>
    <cellStyle name="Input 3 7 2 6 4" xfId="28879"/>
    <cellStyle name="Input 3 7 2 7" xfId="11685"/>
    <cellStyle name="Input 3 7 2 7 2" xfId="41672"/>
    <cellStyle name="Input 3 7 2 7 3" xfId="42680"/>
    <cellStyle name="Input 3 7 2 7 4" xfId="29364"/>
    <cellStyle name="Input 3 7 2 8" xfId="11639"/>
    <cellStyle name="Input 3 7 2 8 2" xfId="41630"/>
    <cellStyle name="Input 3 7 2 8 3" xfId="42787"/>
    <cellStyle name="Input 3 7 2 9" xfId="22456"/>
    <cellStyle name="Input 3 7 3" xfId="22457"/>
    <cellStyle name="Input 3 7 3 2" xfId="22458"/>
    <cellStyle name="Input 3 7 4" xfId="22912"/>
    <cellStyle name="Input 3 7 4 2" xfId="23052"/>
    <cellStyle name="Input 3 7 4 2 2" xfId="47638"/>
    <cellStyle name="Input 3 7 4 2 3" xfId="51449"/>
    <cellStyle name="Input 3 7 4 3" xfId="47594"/>
    <cellStyle name="Input 3 7 4 4" xfId="51409"/>
    <cellStyle name="Input 3 7 4 5" xfId="53103"/>
    <cellStyle name="Input 3 7 5" xfId="22455"/>
    <cellStyle name="Input 3 7 6" xfId="53102"/>
    <cellStyle name="Input 3 8" xfId="1949"/>
    <cellStyle name="Input 3 8 2" xfId="7118"/>
    <cellStyle name="Input 3 8 2 10" xfId="39591"/>
    <cellStyle name="Input 3 8 2 2" xfId="10645"/>
    <cellStyle name="Input 3 8 2 2 2" xfId="18432"/>
    <cellStyle name="Input 3 8 2 2 2 2" xfId="43964"/>
    <cellStyle name="Input 3 8 2 2 2 3" xfId="47873"/>
    <cellStyle name="Input 3 8 2 2 2 4" xfId="36055"/>
    <cellStyle name="Input 3 8 2 2 3" xfId="19595"/>
    <cellStyle name="Input 3 8 2 2 3 2" xfId="45117"/>
    <cellStyle name="Input 3 8 2 2 3 3" xfId="49023"/>
    <cellStyle name="Input 3 8 2 2 3 4" xfId="37121"/>
    <cellStyle name="Input 3 8 2 2 4" xfId="19234"/>
    <cellStyle name="Input 3 8 2 2 4 2" xfId="44756"/>
    <cellStyle name="Input 3 8 2 2 4 3" xfId="48662"/>
    <cellStyle name="Input 3 8 2 2 4 4" xfId="36798"/>
    <cellStyle name="Input 3 8 2 2 5" xfId="20845"/>
    <cellStyle name="Input 3 8 2 2 5 2" xfId="46367"/>
    <cellStyle name="Input 3 8 2 2 5 3" xfId="50273"/>
    <cellStyle name="Input 3 8 2 2 5 4" xfId="38237"/>
    <cellStyle name="Input 3 8 2 2 6" xfId="21498"/>
    <cellStyle name="Input 3 8 2 2 6 2" xfId="47020"/>
    <cellStyle name="Input 3 8 2 2 6 3" xfId="50926"/>
    <cellStyle name="Input 3 8 2 2 7" xfId="40823"/>
    <cellStyle name="Input 3 8 2 2 8" xfId="40569"/>
    <cellStyle name="Input 3 8 2 3" xfId="10940"/>
    <cellStyle name="Input 3 8 2 3 2" xfId="18727"/>
    <cellStyle name="Input 3 8 2 3 2 2" xfId="44259"/>
    <cellStyle name="Input 3 8 2 3 2 3" xfId="48168"/>
    <cellStyle name="Input 3 8 2 3 2 4" xfId="36350"/>
    <cellStyle name="Input 3 8 2 3 3" xfId="19258"/>
    <cellStyle name="Input 3 8 2 3 3 2" xfId="44780"/>
    <cellStyle name="Input 3 8 2 3 3 3" xfId="48686"/>
    <cellStyle name="Input 3 8 2 3 3 4" xfId="36822"/>
    <cellStyle name="Input 3 8 2 3 4" xfId="11651"/>
    <cellStyle name="Input 3 8 2 3 4 2" xfId="41642"/>
    <cellStyle name="Input 3 8 2 3 4 3" xfId="41992"/>
    <cellStyle name="Input 3 8 2 3 4 4" xfId="29336"/>
    <cellStyle name="Input 3 8 2 3 5" xfId="21140"/>
    <cellStyle name="Input 3 8 2 3 5 2" xfId="46662"/>
    <cellStyle name="Input 3 8 2 3 5 3" xfId="50568"/>
    <cellStyle name="Input 3 8 2 3 5 4" xfId="38532"/>
    <cellStyle name="Input 3 8 2 3 6" xfId="21793"/>
    <cellStyle name="Input 3 8 2 3 6 2" xfId="47315"/>
    <cellStyle name="Input 3 8 2 3 6 3" xfId="51221"/>
    <cellStyle name="Input 3 8 2 3 7" xfId="41118"/>
    <cellStyle name="Input 3 8 2 3 8" xfId="40556"/>
    <cellStyle name="Input 3 8 2 4" xfId="14900"/>
    <cellStyle name="Input 3 8 2 4 2" xfId="42998"/>
    <cellStyle name="Input 3 8 2 4 3" xfId="43422"/>
    <cellStyle name="Input 3 8 2 4 4" xfId="32521"/>
    <cellStyle name="Input 3 8 2 5" xfId="11305"/>
    <cellStyle name="Input 3 8 2 5 2" xfId="41330"/>
    <cellStyle name="Input 3 8 2 5 3" xfId="40336"/>
    <cellStyle name="Input 3 8 2 5 4" xfId="29019"/>
    <cellStyle name="Input 3 8 2 6" xfId="19974"/>
    <cellStyle name="Input 3 8 2 6 2" xfId="45496"/>
    <cellStyle name="Input 3 8 2 6 3" xfId="49402"/>
    <cellStyle name="Input 3 8 2 6 4" xfId="37459"/>
    <cellStyle name="Input 3 8 2 7" xfId="11657"/>
    <cellStyle name="Input 3 8 2 7 2" xfId="41648"/>
    <cellStyle name="Input 3 8 2 7 3" xfId="41360"/>
    <cellStyle name="Input 3 8 2 7 4" xfId="29341"/>
    <cellStyle name="Input 3 8 2 8" xfId="19000"/>
    <cellStyle name="Input 3 8 2 8 2" xfId="44522"/>
    <cellStyle name="Input 3 8 2 8 3" xfId="48428"/>
    <cellStyle name="Input 3 8 2 9" xfId="39858"/>
    <cellStyle name="Input 3 8 3" xfId="53104"/>
    <cellStyle name="Input 3 9" xfId="1950"/>
    <cellStyle name="Input 3 9 2" xfId="7119"/>
    <cellStyle name="Input 3 9 2 10" xfId="42599"/>
    <cellStyle name="Input 3 9 2 2" xfId="10646"/>
    <cellStyle name="Input 3 9 2 2 2" xfId="18433"/>
    <cellStyle name="Input 3 9 2 2 2 2" xfId="43965"/>
    <cellStyle name="Input 3 9 2 2 2 3" xfId="47874"/>
    <cellStyle name="Input 3 9 2 2 2 4" xfId="36056"/>
    <cellStyle name="Input 3 9 2 2 3" xfId="20149"/>
    <cellStyle name="Input 3 9 2 2 3 2" xfId="45671"/>
    <cellStyle name="Input 3 9 2 2 3 3" xfId="49577"/>
    <cellStyle name="Input 3 9 2 2 3 4" xfId="37621"/>
    <cellStyle name="Input 3 9 2 2 4" xfId="19074"/>
    <cellStyle name="Input 3 9 2 2 4 2" xfId="44596"/>
    <cellStyle name="Input 3 9 2 2 4 3" xfId="48502"/>
    <cellStyle name="Input 3 9 2 2 4 4" xfId="36656"/>
    <cellStyle name="Input 3 9 2 2 5" xfId="20846"/>
    <cellStyle name="Input 3 9 2 2 5 2" xfId="46368"/>
    <cellStyle name="Input 3 9 2 2 5 3" xfId="50274"/>
    <cellStyle name="Input 3 9 2 2 5 4" xfId="38238"/>
    <cellStyle name="Input 3 9 2 2 6" xfId="21499"/>
    <cellStyle name="Input 3 9 2 2 6 2" xfId="47021"/>
    <cellStyle name="Input 3 9 2 2 6 3" xfId="50927"/>
    <cellStyle name="Input 3 9 2 2 7" xfId="40824"/>
    <cellStyle name="Input 3 9 2 2 8" xfId="39680"/>
    <cellStyle name="Input 3 9 2 3" xfId="10941"/>
    <cellStyle name="Input 3 9 2 3 2" xfId="18728"/>
    <cellStyle name="Input 3 9 2 3 2 2" xfId="44260"/>
    <cellStyle name="Input 3 9 2 3 2 3" xfId="48169"/>
    <cellStyle name="Input 3 9 2 3 2 4" xfId="36351"/>
    <cellStyle name="Input 3 9 2 3 3" xfId="19867"/>
    <cellStyle name="Input 3 9 2 3 3 2" xfId="45389"/>
    <cellStyle name="Input 3 9 2 3 3 3" xfId="49295"/>
    <cellStyle name="Input 3 9 2 3 3 4" xfId="37367"/>
    <cellStyle name="Input 3 9 2 3 4" xfId="20276"/>
    <cellStyle name="Input 3 9 2 3 4 2" xfId="45798"/>
    <cellStyle name="Input 3 9 2 3 4 3" xfId="49704"/>
    <cellStyle name="Input 3 9 2 3 4 4" xfId="37729"/>
    <cellStyle name="Input 3 9 2 3 5" xfId="21141"/>
    <cellStyle name="Input 3 9 2 3 5 2" xfId="46663"/>
    <cellStyle name="Input 3 9 2 3 5 3" xfId="50569"/>
    <cellStyle name="Input 3 9 2 3 5 4" xfId="38533"/>
    <cellStyle name="Input 3 9 2 3 6" xfId="21794"/>
    <cellStyle name="Input 3 9 2 3 6 2" xfId="47316"/>
    <cellStyle name="Input 3 9 2 3 6 3" xfId="51222"/>
    <cellStyle name="Input 3 9 2 3 7" xfId="41119"/>
    <cellStyle name="Input 3 9 2 3 8" xfId="39667"/>
    <cellStyle name="Input 3 9 2 4" xfId="14901"/>
    <cellStyle name="Input 3 9 2 4 2" xfId="42999"/>
    <cellStyle name="Input 3 9 2 4 3" xfId="40284"/>
    <cellStyle name="Input 3 9 2 4 4" xfId="32522"/>
    <cellStyle name="Input 3 9 2 5" xfId="12019"/>
    <cellStyle name="Input 3 9 2 5 2" xfId="41756"/>
    <cellStyle name="Input 3 9 2 5 3" xfId="43177"/>
    <cellStyle name="Input 3 9 2 5 4" xfId="29687"/>
    <cellStyle name="Input 3 9 2 6" xfId="19617"/>
    <cellStyle name="Input 3 9 2 6 2" xfId="45139"/>
    <cellStyle name="Input 3 9 2 6 3" xfId="49045"/>
    <cellStyle name="Input 3 9 2 6 4" xfId="37142"/>
    <cellStyle name="Input 3 9 2 7" xfId="20485"/>
    <cellStyle name="Input 3 9 2 7 2" xfId="46007"/>
    <cellStyle name="Input 3 9 2 7 3" xfId="49913"/>
    <cellStyle name="Input 3 9 2 7 4" xfId="37915"/>
    <cellStyle name="Input 3 9 2 8" xfId="20492"/>
    <cellStyle name="Input 3 9 2 8 2" xfId="46014"/>
    <cellStyle name="Input 3 9 2 8 3" xfId="49920"/>
    <cellStyle name="Input 3 9 2 9" xfId="39859"/>
    <cellStyle name="Input 3 9 3" xfId="53105"/>
    <cellStyle name="Input 3_BallGrid" xfId="1951"/>
    <cellStyle name="Input 30" xfId="1952"/>
    <cellStyle name="Input 30 2" xfId="1953"/>
    <cellStyle name="Input 30 2 2" xfId="1954"/>
    <cellStyle name="Input 30 2 2 2" xfId="7122"/>
    <cellStyle name="Input 30 2 2 2 10" xfId="39487"/>
    <cellStyle name="Input 30 2 2 2 2" xfId="10649"/>
    <cellStyle name="Input 30 2 2 2 2 2" xfId="18436"/>
    <cellStyle name="Input 30 2 2 2 2 2 2" xfId="43968"/>
    <cellStyle name="Input 30 2 2 2 2 2 3" xfId="47877"/>
    <cellStyle name="Input 30 2 2 2 2 2 4" xfId="36059"/>
    <cellStyle name="Input 30 2 2 2 2 3" xfId="19281"/>
    <cellStyle name="Input 30 2 2 2 2 3 2" xfId="44803"/>
    <cellStyle name="Input 30 2 2 2 2 3 3" xfId="48709"/>
    <cellStyle name="Input 30 2 2 2 2 3 4" xfId="36845"/>
    <cellStyle name="Input 30 2 2 2 2 4" xfId="12654"/>
    <cellStyle name="Input 30 2 2 2 2 4 2" xfId="42114"/>
    <cellStyle name="Input 30 2 2 2 2 4 3" xfId="39286"/>
    <cellStyle name="Input 30 2 2 2 2 4 4" xfId="30304"/>
    <cellStyle name="Input 30 2 2 2 2 5" xfId="20849"/>
    <cellStyle name="Input 30 2 2 2 2 5 2" xfId="46371"/>
    <cellStyle name="Input 30 2 2 2 2 5 3" xfId="50277"/>
    <cellStyle name="Input 30 2 2 2 2 5 4" xfId="38241"/>
    <cellStyle name="Input 30 2 2 2 2 6" xfId="21502"/>
    <cellStyle name="Input 30 2 2 2 2 6 2" xfId="47024"/>
    <cellStyle name="Input 30 2 2 2 2 6 3" xfId="50930"/>
    <cellStyle name="Input 30 2 2 2 2 7" xfId="40827"/>
    <cellStyle name="Input 30 2 2 2 2 8" xfId="40464"/>
    <cellStyle name="Input 30 2 2 2 3" xfId="10944"/>
    <cellStyle name="Input 30 2 2 2 3 2" xfId="18731"/>
    <cellStyle name="Input 30 2 2 2 3 2 2" xfId="44263"/>
    <cellStyle name="Input 30 2 2 2 3 2 3" xfId="48172"/>
    <cellStyle name="Input 30 2 2 2 3 2 4" xfId="36354"/>
    <cellStyle name="Input 30 2 2 2 3 3" xfId="11525"/>
    <cellStyle name="Input 30 2 2 2 3 3 2" xfId="41516"/>
    <cellStyle name="Input 30 2 2 2 3 3 3" xfId="39326"/>
    <cellStyle name="Input 30 2 2 2 3 3 4" xfId="29226"/>
    <cellStyle name="Input 30 2 2 2 3 4" xfId="12491"/>
    <cellStyle name="Input 30 2 2 2 3 4 2" xfId="41985"/>
    <cellStyle name="Input 30 2 2 2 3 4 3" xfId="43562"/>
    <cellStyle name="Input 30 2 2 2 3 4 4" xfId="30147"/>
    <cellStyle name="Input 30 2 2 2 3 5" xfId="21144"/>
    <cellStyle name="Input 30 2 2 2 3 5 2" xfId="46666"/>
    <cellStyle name="Input 30 2 2 2 3 5 3" xfId="50572"/>
    <cellStyle name="Input 30 2 2 2 3 5 4" xfId="38536"/>
    <cellStyle name="Input 30 2 2 2 3 6" xfId="21797"/>
    <cellStyle name="Input 30 2 2 2 3 6 2" xfId="47319"/>
    <cellStyle name="Input 30 2 2 2 3 6 3" xfId="51225"/>
    <cellStyle name="Input 30 2 2 2 3 7" xfId="41122"/>
    <cellStyle name="Input 30 2 2 2 3 8" xfId="40451"/>
    <cellStyle name="Input 30 2 2 2 4" xfId="14904"/>
    <cellStyle name="Input 30 2 2 2 4 2" xfId="43002"/>
    <cellStyle name="Input 30 2 2 2 4 3" xfId="41916"/>
    <cellStyle name="Input 30 2 2 2 4 4" xfId="32525"/>
    <cellStyle name="Input 30 2 2 2 5" xfId="13145"/>
    <cellStyle name="Input 30 2 2 2 5 2" xfId="42347"/>
    <cellStyle name="Input 30 2 2 2 5 3" xfId="39071"/>
    <cellStyle name="Input 30 2 2 2 5 4" xfId="30780"/>
    <cellStyle name="Input 30 2 2 2 6" xfId="19941"/>
    <cellStyle name="Input 30 2 2 2 6 2" xfId="45463"/>
    <cellStyle name="Input 30 2 2 2 6 3" xfId="49369"/>
    <cellStyle name="Input 30 2 2 2 6 4" xfId="37432"/>
    <cellStyle name="Input 30 2 2 2 7" xfId="20481"/>
    <cellStyle name="Input 30 2 2 2 7 2" xfId="46003"/>
    <cellStyle name="Input 30 2 2 2 7 3" xfId="49909"/>
    <cellStyle name="Input 30 2 2 2 7 4" xfId="37911"/>
    <cellStyle name="Input 30 2 2 2 8" xfId="19488"/>
    <cellStyle name="Input 30 2 2 2 8 2" xfId="45010"/>
    <cellStyle name="Input 30 2 2 2 8 3" xfId="48916"/>
    <cellStyle name="Input 30 2 2 2 9" xfId="39862"/>
    <cellStyle name="Input 30 2 2 3" xfId="53108"/>
    <cellStyle name="Input 30 2 3" xfId="7121"/>
    <cellStyle name="Input 30 2 3 10" xfId="40375"/>
    <cellStyle name="Input 30 2 3 2" xfId="10648"/>
    <cellStyle name="Input 30 2 3 2 2" xfId="18435"/>
    <cellStyle name="Input 30 2 3 2 2 2" xfId="43967"/>
    <cellStyle name="Input 30 2 3 2 2 3" xfId="47876"/>
    <cellStyle name="Input 30 2 3 2 2 4" xfId="36058"/>
    <cellStyle name="Input 30 2 3 2 3" xfId="20015"/>
    <cellStyle name="Input 30 2 3 2 3 2" xfId="45537"/>
    <cellStyle name="Input 30 2 3 2 3 3" xfId="49443"/>
    <cellStyle name="Input 30 2 3 2 3 4" xfId="37499"/>
    <cellStyle name="Input 30 2 3 2 4" xfId="20259"/>
    <cellStyle name="Input 30 2 3 2 4 2" xfId="45781"/>
    <cellStyle name="Input 30 2 3 2 4 3" xfId="49687"/>
    <cellStyle name="Input 30 2 3 2 4 4" xfId="37714"/>
    <cellStyle name="Input 30 2 3 2 5" xfId="20848"/>
    <cellStyle name="Input 30 2 3 2 5 2" xfId="46370"/>
    <cellStyle name="Input 30 2 3 2 5 3" xfId="50276"/>
    <cellStyle name="Input 30 2 3 2 5 4" xfId="38240"/>
    <cellStyle name="Input 30 2 3 2 6" xfId="21501"/>
    <cellStyle name="Input 30 2 3 2 6 2" xfId="47023"/>
    <cellStyle name="Input 30 2 3 2 6 3" xfId="50929"/>
    <cellStyle name="Input 30 2 3 2 7" xfId="40826"/>
    <cellStyle name="Input 30 2 3 2 8" xfId="43606"/>
    <cellStyle name="Input 30 2 3 3" xfId="10943"/>
    <cellStyle name="Input 30 2 3 3 2" xfId="18730"/>
    <cellStyle name="Input 30 2 3 3 2 2" xfId="44262"/>
    <cellStyle name="Input 30 2 3 3 2 3" xfId="48171"/>
    <cellStyle name="Input 30 2 3 3 2 4" xfId="36353"/>
    <cellStyle name="Input 30 2 3 3 3" xfId="19699"/>
    <cellStyle name="Input 30 2 3 3 3 2" xfId="45221"/>
    <cellStyle name="Input 30 2 3 3 3 3" xfId="49127"/>
    <cellStyle name="Input 30 2 3 3 3 4" xfId="37212"/>
    <cellStyle name="Input 30 2 3 3 4" xfId="19240"/>
    <cellStyle name="Input 30 2 3 3 4 2" xfId="44762"/>
    <cellStyle name="Input 30 2 3 3 4 3" xfId="48668"/>
    <cellStyle name="Input 30 2 3 3 4 4" xfId="36804"/>
    <cellStyle name="Input 30 2 3 3 5" xfId="21143"/>
    <cellStyle name="Input 30 2 3 3 5 2" xfId="46665"/>
    <cellStyle name="Input 30 2 3 3 5 3" xfId="50571"/>
    <cellStyle name="Input 30 2 3 3 5 4" xfId="38535"/>
    <cellStyle name="Input 30 2 3 3 6" xfId="21796"/>
    <cellStyle name="Input 30 2 3 3 6 2" xfId="47318"/>
    <cellStyle name="Input 30 2 3 3 6 3" xfId="51224"/>
    <cellStyle name="Input 30 2 3 3 7" xfId="41121"/>
    <cellStyle name="Input 30 2 3 3 8" xfId="43593"/>
    <cellStyle name="Input 30 2 3 4" xfId="14903"/>
    <cellStyle name="Input 30 2 3 4 2" xfId="43001"/>
    <cellStyle name="Input 30 2 3 4 3" xfId="47555"/>
    <cellStyle name="Input 30 2 3 4 4" xfId="32524"/>
    <cellStyle name="Input 30 2 3 5" xfId="13144"/>
    <cellStyle name="Input 30 2 3 5 2" xfId="42346"/>
    <cellStyle name="Input 30 2 3 5 3" xfId="47579"/>
    <cellStyle name="Input 30 2 3 5 4" xfId="30779"/>
    <cellStyle name="Input 30 2 3 6" xfId="19303"/>
    <cellStyle name="Input 30 2 3 6 2" xfId="44825"/>
    <cellStyle name="Input 30 2 3 6 3" xfId="48731"/>
    <cellStyle name="Input 30 2 3 6 4" xfId="36867"/>
    <cellStyle name="Input 30 2 3 7" xfId="11068"/>
    <cellStyle name="Input 30 2 3 7 2" xfId="41246"/>
    <cellStyle name="Input 30 2 3 7 3" xfId="40054"/>
    <cellStyle name="Input 30 2 3 7 4" xfId="28784"/>
    <cellStyle name="Input 30 2 3 8" xfId="13917"/>
    <cellStyle name="Input 30 2 3 8 2" xfId="42633"/>
    <cellStyle name="Input 30 2 3 8 3" xfId="39509"/>
    <cellStyle name="Input 30 2 3 9" xfId="39861"/>
    <cellStyle name="Input 30 2 4" xfId="53107"/>
    <cellStyle name="Input 30 2_Sheet1" xfId="1955"/>
    <cellStyle name="Input 30 3" xfId="1956"/>
    <cellStyle name="Input 30 3 2" xfId="7123"/>
    <cellStyle name="Input 30 3 2 10" xfId="42168"/>
    <cellStyle name="Input 30 3 2 2" xfId="10650"/>
    <cellStyle name="Input 30 3 2 2 2" xfId="18437"/>
    <cellStyle name="Input 30 3 2 2 2 2" xfId="43969"/>
    <cellStyle name="Input 30 3 2 2 2 3" xfId="47878"/>
    <cellStyle name="Input 30 3 2 2 2 4" xfId="36060"/>
    <cellStyle name="Input 30 3 2 2 3" xfId="19890"/>
    <cellStyle name="Input 30 3 2 2 3 2" xfId="45412"/>
    <cellStyle name="Input 30 3 2 2 3 3" xfId="49318"/>
    <cellStyle name="Input 30 3 2 2 3 4" xfId="37390"/>
    <cellStyle name="Input 30 3 2 2 4" xfId="18931"/>
    <cellStyle name="Input 30 3 2 2 4 2" xfId="44453"/>
    <cellStyle name="Input 30 3 2 2 4 3" xfId="48359"/>
    <cellStyle name="Input 30 3 2 2 4 4" xfId="36544"/>
    <cellStyle name="Input 30 3 2 2 5" xfId="20850"/>
    <cellStyle name="Input 30 3 2 2 5 2" xfId="46372"/>
    <cellStyle name="Input 30 3 2 2 5 3" xfId="50278"/>
    <cellStyle name="Input 30 3 2 2 5 4" xfId="38242"/>
    <cellStyle name="Input 30 3 2 2 6" xfId="21503"/>
    <cellStyle name="Input 30 3 2 2 6 2" xfId="47025"/>
    <cellStyle name="Input 30 3 2 2 6 3" xfId="50931"/>
    <cellStyle name="Input 30 3 2 2 7" xfId="40828"/>
    <cellStyle name="Input 30 3 2 2 8" xfId="39574"/>
    <cellStyle name="Input 30 3 2 3" xfId="10945"/>
    <cellStyle name="Input 30 3 2 3 2" xfId="18732"/>
    <cellStyle name="Input 30 3 2 3 2 2" xfId="44264"/>
    <cellStyle name="Input 30 3 2 3 2 3" xfId="48173"/>
    <cellStyle name="Input 30 3 2 3 2 4" xfId="36355"/>
    <cellStyle name="Input 30 3 2 3 3" xfId="13337"/>
    <cellStyle name="Input 30 3 2 3 3 2" xfId="42488"/>
    <cellStyle name="Input 30 3 2 3 3 3" xfId="39411"/>
    <cellStyle name="Input 30 3 2 3 3 4" xfId="30963"/>
    <cellStyle name="Input 30 3 2 3 4" xfId="11610"/>
    <cellStyle name="Input 30 3 2 3 4 2" xfId="41601"/>
    <cellStyle name="Input 30 3 2 3 4 3" xfId="39646"/>
    <cellStyle name="Input 30 3 2 3 4 4" xfId="29299"/>
    <cellStyle name="Input 30 3 2 3 5" xfId="21145"/>
    <cellStyle name="Input 30 3 2 3 5 2" xfId="46667"/>
    <cellStyle name="Input 30 3 2 3 5 3" xfId="50573"/>
    <cellStyle name="Input 30 3 2 3 5 4" xfId="38537"/>
    <cellStyle name="Input 30 3 2 3 6" xfId="21798"/>
    <cellStyle name="Input 30 3 2 3 6 2" xfId="47320"/>
    <cellStyle name="Input 30 3 2 3 6 3" xfId="51226"/>
    <cellStyle name="Input 30 3 2 3 7" xfId="41123"/>
    <cellStyle name="Input 30 3 2 3 8" xfId="39561"/>
    <cellStyle name="Input 30 3 2 4" xfId="14905"/>
    <cellStyle name="Input 30 3 2 4 2" xfId="43003"/>
    <cellStyle name="Input 30 3 2 4 3" xfId="43270"/>
    <cellStyle name="Input 30 3 2 4 4" xfId="32526"/>
    <cellStyle name="Input 30 3 2 5" xfId="11306"/>
    <cellStyle name="Input 30 3 2 5 2" xfId="41331"/>
    <cellStyle name="Input 30 3 2 5 3" xfId="39448"/>
    <cellStyle name="Input 30 3 2 5 4" xfId="29020"/>
    <cellStyle name="Input 30 3 2 6" xfId="19189"/>
    <cellStyle name="Input 30 3 2 6 2" xfId="44711"/>
    <cellStyle name="Input 30 3 2 6 3" xfId="48617"/>
    <cellStyle name="Input 30 3 2 6 4" xfId="36760"/>
    <cellStyle name="Input 30 3 2 7" xfId="19683"/>
    <cellStyle name="Input 30 3 2 7 2" xfId="45205"/>
    <cellStyle name="Input 30 3 2 7 3" xfId="49111"/>
    <cellStyle name="Input 30 3 2 7 4" xfId="37198"/>
    <cellStyle name="Input 30 3 2 8" xfId="11575"/>
    <cellStyle name="Input 30 3 2 8 2" xfId="41566"/>
    <cellStyle name="Input 30 3 2 8 3" xfId="40327"/>
    <cellStyle name="Input 30 3 2 9" xfId="39863"/>
    <cellStyle name="Input 30 3 3" xfId="53109"/>
    <cellStyle name="Input 30 4" xfId="7120"/>
    <cellStyle name="Input 30 4 10" xfId="43512"/>
    <cellStyle name="Input 30 4 11" xfId="53110"/>
    <cellStyle name="Input 30 4 2" xfId="10647"/>
    <cellStyle name="Input 30 4 2 2" xfId="18434"/>
    <cellStyle name="Input 30 4 2 2 2" xfId="43966"/>
    <cellStyle name="Input 30 4 2 2 3" xfId="47875"/>
    <cellStyle name="Input 30 4 2 2 4" xfId="36057"/>
    <cellStyle name="Input 30 4 2 3" xfId="19408"/>
    <cellStyle name="Input 30 4 2 3 2" xfId="44930"/>
    <cellStyle name="Input 30 4 2 3 3" xfId="48836"/>
    <cellStyle name="Input 30 4 2 3 4" xfId="36959"/>
    <cellStyle name="Input 30 4 2 4" xfId="20370"/>
    <cellStyle name="Input 30 4 2 4 2" xfId="45892"/>
    <cellStyle name="Input 30 4 2 4 3" xfId="49798"/>
    <cellStyle name="Input 30 4 2 4 4" xfId="37810"/>
    <cellStyle name="Input 30 4 2 5" xfId="20847"/>
    <cellStyle name="Input 30 4 2 5 2" xfId="46369"/>
    <cellStyle name="Input 30 4 2 5 3" xfId="50275"/>
    <cellStyle name="Input 30 4 2 5 4" xfId="38239"/>
    <cellStyle name="Input 30 4 2 6" xfId="21500"/>
    <cellStyle name="Input 30 4 2 6 2" xfId="47022"/>
    <cellStyle name="Input 30 4 2 6 3" xfId="50928"/>
    <cellStyle name="Input 30 4 2 7" xfId="40825"/>
    <cellStyle name="Input 30 4 2 8" xfId="42717"/>
    <cellStyle name="Input 30 4 3" xfId="10942"/>
    <cellStyle name="Input 30 4 3 2" xfId="18729"/>
    <cellStyle name="Input 30 4 3 2 2" xfId="44261"/>
    <cellStyle name="Input 30 4 3 2 3" xfId="48170"/>
    <cellStyle name="Input 30 4 3 2 4" xfId="36352"/>
    <cellStyle name="Input 30 4 3 3" xfId="19090"/>
    <cellStyle name="Input 30 4 3 3 2" xfId="44612"/>
    <cellStyle name="Input 30 4 3 3 3" xfId="48518"/>
    <cellStyle name="Input 30 4 3 3 4" xfId="36671"/>
    <cellStyle name="Input 30 4 3 4" xfId="19213"/>
    <cellStyle name="Input 30 4 3 4 2" xfId="44735"/>
    <cellStyle name="Input 30 4 3 4 3" xfId="48641"/>
    <cellStyle name="Input 30 4 3 4 4" xfId="36782"/>
    <cellStyle name="Input 30 4 3 5" xfId="21142"/>
    <cellStyle name="Input 30 4 3 5 2" xfId="46664"/>
    <cellStyle name="Input 30 4 3 5 3" xfId="50570"/>
    <cellStyle name="Input 30 4 3 5 4" xfId="38534"/>
    <cellStyle name="Input 30 4 3 6" xfId="21795"/>
    <cellStyle name="Input 30 4 3 6 2" xfId="47317"/>
    <cellStyle name="Input 30 4 3 6 3" xfId="51223"/>
    <cellStyle name="Input 30 4 3 7" xfId="41120"/>
    <cellStyle name="Input 30 4 3 8" xfId="42704"/>
    <cellStyle name="Input 30 4 4" xfId="14902"/>
    <cellStyle name="Input 30 4 4 2" xfId="43000"/>
    <cellStyle name="Input 30 4 4 3" xfId="39401"/>
    <cellStyle name="Input 30 4 4 4" xfId="32523"/>
    <cellStyle name="Input 30 4 5" xfId="13143"/>
    <cellStyle name="Input 30 4 5 2" xfId="42345"/>
    <cellStyle name="Input 30 4 5 3" xfId="39072"/>
    <cellStyle name="Input 30 4 5 4" xfId="30778"/>
    <cellStyle name="Input 30 4 6" xfId="12517"/>
    <cellStyle name="Input 30 4 6 2" xfId="42006"/>
    <cellStyle name="Input 30 4 6 3" xfId="39289"/>
    <cellStyle name="Input 30 4 6 4" xfId="30171"/>
    <cellStyle name="Input 30 4 7" xfId="11372"/>
    <cellStyle name="Input 30 4 7 2" xfId="41388"/>
    <cellStyle name="Input 30 4 7 3" xfId="43330"/>
    <cellStyle name="Input 30 4 7 4" xfId="29080"/>
    <cellStyle name="Input 30 4 8" xfId="12668"/>
    <cellStyle name="Input 30 4 8 2" xfId="42128"/>
    <cellStyle name="Input 30 4 8 3" xfId="43447"/>
    <cellStyle name="Input 30 4 9" xfId="39860"/>
    <cellStyle name="Input 30 5" xfId="22459"/>
    <cellStyle name="Input 30 5 2" xfId="23023"/>
    <cellStyle name="Input 30 5 2 2" xfId="47610"/>
    <cellStyle name="Input 30 5 2 3" xfId="51421"/>
    <cellStyle name="Input 30 5 3" xfId="47503"/>
    <cellStyle name="Input 30 5 4" xfId="51357"/>
    <cellStyle name="Input 30 5 5" xfId="53111"/>
    <cellStyle name="Input 30 6" xfId="22900"/>
    <cellStyle name="Input 30 6 2" xfId="23048"/>
    <cellStyle name="Input 30 6 2 2" xfId="47634"/>
    <cellStyle name="Input 30 6 2 3" xfId="51445"/>
    <cellStyle name="Input 30 6 3" xfId="47590"/>
    <cellStyle name="Input 30 6 4" xfId="51405"/>
    <cellStyle name="Input 30 6 5" xfId="53112"/>
    <cellStyle name="Input 30 7" xfId="53106"/>
    <cellStyle name="Input 30_Sheet1" xfId="1957"/>
    <cellStyle name="Input 31" xfId="1958"/>
    <cellStyle name="Input 31 2" xfId="1959"/>
    <cellStyle name="Input 31 2 2" xfId="1960"/>
    <cellStyle name="Input 31 2 2 2" xfId="7126"/>
    <cellStyle name="Input 31 2 2 2 10" xfId="39385"/>
    <cellStyle name="Input 31 2 2 2 2" xfId="10653"/>
    <cellStyle name="Input 31 2 2 2 2 2" xfId="18440"/>
    <cellStyle name="Input 31 2 2 2 2 2 2" xfId="43972"/>
    <cellStyle name="Input 31 2 2 2 2 2 3" xfId="47881"/>
    <cellStyle name="Input 31 2 2 2 2 2 4" xfId="36063"/>
    <cellStyle name="Input 31 2 2 2 2 3" xfId="11492"/>
    <cellStyle name="Input 31 2 2 2 2 3 2" xfId="41483"/>
    <cellStyle name="Input 31 2 2 2 2 3 3" xfId="40541"/>
    <cellStyle name="Input 31 2 2 2 2 3 4" xfId="29193"/>
    <cellStyle name="Input 31 2 2 2 2 4" xfId="19655"/>
    <cellStyle name="Input 31 2 2 2 2 4 2" xfId="45177"/>
    <cellStyle name="Input 31 2 2 2 2 4 3" xfId="49083"/>
    <cellStyle name="Input 31 2 2 2 2 4 4" xfId="37175"/>
    <cellStyle name="Input 31 2 2 2 2 5" xfId="20853"/>
    <cellStyle name="Input 31 2 2 2 2 5 2" xfId="46375"/>
    <cellStyle name="Input 31 2 2 2 2 5 3" xfId="50281"/>
    <cellStyle name="Input 31 2 2 2 2 5 4" xfId="38245"/>
    <cellStyle name="Input 31 2 2 2 2 6" xfId="21506"/>
    <cellStyle name="Input 31 2 2 2 2 6 2" xfId="47028"/>
    <cellStyle name="Input 31 2 2 2 2 6 3" xfId="50934"/>
    <cellStyle name="Input 31 2 2 2 2 7" xfId="40831"/>
    <cellStyle name="Input 31 2 2 2 2 8" xfId="40358"/>
    <cellStyle name="Input 31 2 2 2 3" xfId="10948"/>
    <cellStyle name="Input 31 2 2 2 3 2" xfId="18735"/>
    <cellStyle name="Input 31 2 2 2 3 2 2" xfId="44267"/>
    <cellStyle name="Input 31 2 2 2 3 2 3" xfId="48176"/>
    <cellStyle name="Input 31 2 2 2 3 2 4" xfId="36358"/>
    <cellStyle name="Input 31 2 2 2 3 3" xfId="19382"/>
    <cellStyle name="Input 31 2 2 2 3 3 2" xfId="44904"/>
    <cellStyle name="Input 31 2 2 2 3 3 3" xfId="48810"/>
    <cellStyle name="Input 31 2 2 2 3 3 4" xfId="36933"/>
    <cellStyle name="Input 31 2 2 2 3 4" xfId="13292"/>
    <cellStyle name="Input 31 2 2 2 3 4 2" xfId="42443"/>
    <cellStyle name="Input 31 2 2 2 3 4 3" xfId="43650"/>
    <cellStyle name="Input 31 2 2 2 3 4 4" xfId="30922"/>
    <cellStyle name="Input 31 2 2 2 3 5" xfId="21148"/>
    <cellStyle name="Input 31 2 2 2 3 5 2" xfId="46670"/>
    <cellStyle name="Input 31 2 2 2 3 5 3" xfId="50576"/>
    <cellStyle name="Input 31 2 2 2 3 5 4" xfId="38540"/>
    <cellStyle name="Input 31 2 2 2 3 6" xfId="21801"/>
    <cellStyle name="Input 31 2 2 2 3 6 2" xfId="47323"/>
    <cellStyle name="Input 31 2 2 2 3 6 3" xfId="51229"/>
    <cellStyle name="Input 31 2 2 2 3 7" xfId="41126"/>
    <cellStyle name="Input 31 2 2 2 3 8" xfId="40345"/>
    <cellStyle name="Input 31 2 2 2 4" xfId="14908"/>
    <cellStyle name="Input 31 2 2 2 4 2" xfId="43006"/>
    <cellStyle name="Input 31 2 2 2 4 3" xfId="39031"/>
    <cellStyle name="Input 31 2 2 2 4 4" xfId="32529"/>
    <cellStyle name="Input 31 2 2 2 5" xfId="11308"/>
    <cellStyle name="Input 31 2 2 2 5 2" xfId="41333"/>
    <cellStyle name="Input 31 2 2 2 5 3" xfId="41390"/>
    <cellStyle name="Input 31 2 2 2 5 4" xfId="29022"/>
    <cellStyle name="Input 31 2 2 2 6" xfId="19816"/>
    <cellStyle name="Input 31 2 2 2 6 2" xfId="45338"/>
    <cellStyle name="Input 31 2 2 2 6 3" xfId="49244"/>
    <cellStyle name="Input 31 2 2 2 6 4" xfId="37320"/>
    <cellStyle name="Input 31 2 2 2 7" xfId="20117"/>
    <cellStyle name="Input 31 2 2 2 7 2" xfId="45639"/>
    <cellStyle name="Input 31 2 2 2 7 3" xfId="49545"/>
    <cellStyle name="Input 31 2 2 2 7 4" xfId="37589"/>
    <cellStyle name="Input 31 2 2 2 8" xfId="20496"/>
    <cellStyle name="Input 31 2 2 2 8 2" xfId="46018"/>
    <cellStyle name="Input 31 2 2 2 8 3" xfId="49924"/>
    <cellStyle name="Input 31 2 2 2 9" xfId="39866"/>
    <cellStyle name="Input 31 2 2 3" xfId="53115"/>
    <cellStyle name="Input 31 2 3" xfId="7125"/>
    <cellStyle name="Input 31 2 3 10" xfId="40257"/>
    <cellStyle name="Input 31 2 3 2" xfId="10652"/>
    <cellStyle name="Input 31 2 3 2 2" xfId="18439"/>
    <cellStyle name="Input 31 2 3 2 2 2" xfId="43971"/>
    <cellStyle name="Input 31 2 3 2 2 3" xfId="47880"/>
    <cellStyle name="Input 31 2 3 2 2 4" xfId="36062"/>
    <cellStyle name="Input 31 2 3 2 3" xfId="19732"/>
    <cellStyle name="Input 31 2 3 2 3 2" xfId="45254"/>
    <cellStyle name="Input 31 2 3 2 3 3" xfId="49160"/>
    <cellStyle name="Input 31 2 3 2 3 4" xfId="37245"/>
    <cellStyle name="Input 31 2 3 2 4" xfId="19664"/>
    <cellStyle name="Input 31 2 3 2 4 2" xfId="45186"/>
    <cellStyle name="Input 31 2 3 2 4 3" xfId="49092"/>
    <cellStyle name="Input 31 2 3 2 4 4" xfId="37182"/>
    <cellStyle name="Input 31 2 3 2 5" xfId="20852"/>
    <cellStyle name="Input 31 2 3 2 5 2" xfId="46374"/>
    <cellStyle name="Input 31 2 3 2 5 3" xfId="50280"/>
    <cellStyle name="Input 31 2 3 2 5 4" xfId="38244"/>
    <cellStyle name="Input 31 2 3 2 6" xfId="21505"/>
    <cellStyle name="Input 31 2 3 2 6 2" xfId="47027"/>
    <cellStyle name="Input 31 2 3 2 6 3" xfId="50933"/>
    <cellStyle name="Input 31 2 3 2 7" xfId="40830"/>
    <cellStyle name="Input 31 2 3 2 8" xfId="43495"/>
    <cellStyle name="Input 31 2 3 3" xfId="10947"/>
    <cellStyle name="Input 31 2 3 3 2" xfId="18734"/>
    <cellStyle name="Input 31 2 3 3 2 2" xfId="44266"/>
    <cellStyle name="Input 31 2 3 3 2 3" xfId="48175"/>
    <cellStyle name="Input 31 2 3 3 2 4" xfId="36357"/>
    <cellStyle name="Input 31 2 3 3 3" xfId="20123"/>
    <cellStyle name="Input 31 2 3 3 3 2" xfId="45645"/>
    <cellStyle name="Input 31 2 3 3 3 3" xfId="49551"/>
    <cellStyle name="Input 31 2 3 3 3 4" xfId="37595"/>
    <cellStyle name="Input 31 2 3 3 4" xfId="19172"/>
    <cellStyle name="Input 31 2 3 3 4 2" xfId="44694"/>
    <cellStyle name="Input 31 2 3 3 4 3" xfId="48600"/>
    <cellStyle name="Input 31 2 3 3 4 4" xfId="36745"/>
    <cellStyle name="Input 31 2 3 3 5" xfId="21147"/>
    <cellStyle name="Input 31 2 3 3 5 2" xfId="46669"/>
    <cellStyle name="Input 31 2 3 3 5 3" xfId="50575"/>
    <cellStyle name="Input 31 2 3 3 5 4" xfId="38539"/>
    <cellStyle name="Input 31 2 3 3 6" xfId="21800"/>
    <cellStyle name="Input 31 2 3 3 6 2" xfId="47322"/>
    <cellStyle name="Input 31 2 3 3 6 3" xfId="51228"/>
    <cellStyle name="Input 31 2 3 3 7" xfId="41125"/>
    <cellStyle name="Input 31 2 3 3 8" xfId="43482"/>
    <cellStyle name="Input 31 2 3 4" xfId="14907"/>
    <cellStyle name="Input 31 2 3 4 2" xfId="43005"/>
    <cellStyle name="Input 31 2 3 4 3" xfId="39243"/>
    <cellStyle name="Input 31 2 3 4 4" xfId="32528"/>
    <cellStyle name="Input 31 2 3 5" xfId="11309"/>
    <cellStyle name="Input 31 2 3 5 2" xfId="41334"/>
    <cellStyle name="Input 31 2 3 5 3" xfId="43193"/>
    <cellStyle name="Input 31 2 3 5 4" xfId="29023"/>
    <cellStyle name="Input 31 2 3 6" xfId="12125"/>
    <cellStyle name="Input 31 2 3 6 2" xfId="41850"/>
    <cellStyle name="Input 31 2 3 6 3" xfId="47552"/>
    <cellStyle name="Input 31 2 3 6 4" xfId="29784"/>
    <cellStyle name="Input 31 2 3 7" xfId="18900"/>
    <cellStyle name="Input 31 2 3 7 2" xfId="44422"/>
    <cellStyle name="Input 31 2 3 7 3" xfId="48328"/>
    <cellStyle name="Input 31 2 3 7 4" xfId="36518"/>
    <cellStyle name="Input 31 2 3 8" xfId="20598"/>
    <cellStyle name="Input 31 2 3 8 2" xfId="46120"/>
    <cellStyle name="Input 31 2 3 8 3" xfId="50026"/>
    <cellStyle name="Input 31 2 3 9" xfId="39865"/>
    <cellStyle name="Input 31 2 4" xfId="53114"/>
    <cellStyle name="Input 31 2_Sheet1" xfId="1961"/>
    <cellStyle name="Input 31 3" xfId="1962"/>
    <cellStyle name="Input 31 3 2" xfId="7127"/>
    <cellStyle name="Input 31 3 2 10" xfId="39214"/>
    <cellStyle name="Input 31 3 2 2" xfId="10654"/>
    <cellStyle name="Input 31 3 2 2 2" xfId="18441"/>
    <cellStyle name="Input 31 3 2 2 2 2" xfId="43973"/>
    <cellStyle name="Input 31 3 2 2 2 3" xfId="47882"/>
    <cellStyle name="Input 31 3 2 2 2 4" xfId="36064"/>
    <cellStyle name="Input 31 3 2 2 3" xfId="13319"/>
    <cellStyle name="Input 31 3 2 2 3 2" xfId="42470"/>
    <cellStyle name="Input 31 3 2 2 3 3" xfId="43433"/>
    <cellStyle name="Input 31 3 2 2 3 4" xfId="30945"/>
    <cellStyle name="Input 31 3 2 2 4" xfId="11790"/>
    <cellStyle name="Input 31 3 2 2 4 2" xfId="41720"/>
    <cellStyle name="Input 31 3 2 2 4 3" xfId="39123"/>
    <cellStyle name="Input 31 3 2 2 4 4" xfId="29462"/>
    <cellStyle name="Input 31 3 2 2 5" xfId="20854"/>
    <cellStyle name="Input 31 3 2 2 5 2" xfId="46376"/>
    <cellStyle name="Input 31 3 2 2 5 3" xfId="50282"/>
    <cellStyle name="Input 31 3 2 2 5 4" xfId="38246"/>
    <cellStyle name="Input 31 3 2 2 6" xfId="21507"/>
    <cellStyle name="Input 31 3 2 2 6 2" xfId="47029"/>
    <cellStyle name="Input 31 3 2 2 6 3" xfId="50935"/>
    <cellStyle name="Input 31 3 2 2 7" xfId="40832"/>
    <cellStyle name="Input 31 3 2 2 8" xfId="39470"/>
    <cellStyle name="Input 31 3 2 3" xfId="10949"/>
    <cellStyle name="Input 31 3 2 3 2" xfId="18736"/>
    <cellStyle name="Input 31 3 2 3 2 2" xfId="44268"/>
    <cellStyle name="Input 31 3 2 3 2 3" xfId="48177"/>
    <cellStyle name="Input 31 3 2 3 2 4" xfId="36359"/>
    <cellStyle name="Input 31 3 2 3 3" xfId="19989"/>
    <cellStyle name="Input 31 3 2 3 3 2" xfId="45511"/>
    <cellStyle name="Input 31 3 2 3 3 3" xfId="49417"/>
    <cellStyle name="Input 31 3 2 3 3 4" xfId="37473"/>
    <cellStyle name="Input 31 3 2 3 4" xfId="13898"/>
    <cellStyle name="Input 31 3 2 3 4 2" xfId="42614"/>
    <cellStyle name="Input 31 3 2 3 4 3" xfId="40292"/>
    <cellStyle name="Input 31 3 2 3 4 4" xfId="31523"/>
    <cellStyle name="Input 31 3 2 3 5" xfId="21149"/>
    <cellStyle name="Input 31 3 2 3 5 2" xfId="46671"/>
    <cellStyle name="Input 31 3 2 3 5 3" xfId="50577"/>
    <cellStyle name="Input 31 3 2 3 5 4" xfId="38541"/>
    <cellStyle name="Input 31 3 2 3 6" xfId="21802"/>
    <cellStyle name="Input 31 3 2 3 6 2" xfId="47324"/>
    <cellStyle name="Input 31 3 2 3 6 3" xfId="51230"/>
    <cellStyle name="Input 31 3 2 3 7" xfId="41127"/>
    <cellStyle name="Input 31 3 2 3 8" xfId="39457"/>
    <cellStyle name="Input 31 3 2 4" xfId="14909"/>
    <cellStyle name="Input 31 3 2 4 2" xfId="43007"/>
    <cellStyle name="Input 31 3 2 4 3" xfId="47453"/>
    <cellStyle name="Input 31 3 2 4 4" xfId="32530"/>
    <cellStyle name="Input 31 3 2 5" xfId="13146"/>
    <cellStyle name="Input 31 3 2 5 2" xfId="42348"/>
    <cellStyle name="Input 31 3 2 5 3" xfId="39070"/>
    <cellStyle name="Input 31 3 2 5 4" xfId="30781"/>
    <cellStyle name="Input 31 3 2 6" xfId="11594"/>
    <cellStyle name="Input 31 3 2 6 2" xfId="41585"/>
    <cellStyle name="Input 31 3 2 6 3" xfId="42550"/>
    <cellStyle name="Input 31 3 2 6 4" xfId="29285"/>
    <cellStyle name="Input 31 3 2 7" xfId="18881"/>
    <cellStyle name="Input 31 3 2 7 2" xfId="44403"/>
    <cellStyle name="Input 31 3 2 7 3" xfId="48309"/>
    <cellStyle name="Input 31 3 2 7 4" xfId="36503"/>
    <cellStyle name="Input 31 3 2 8" xfId="19164"/>
    <cellStyle name="Input 31 3 2 8 2" xfId="44686"/>
    <cellStyle name="Input 31 3 2 8 3" xfId="48592"/>
    <cellStyle name="Input 31 3 2 9" xfId="39867"/>
    <cellStyle name="Input 31 3 3" xfId="53116"/>
    <cellStyle name="Input 31 4" xfId="7124"/>
    <cellStyle name="Input 31 4 10" xfId="43395"/>
    <cellStyle name="Input 31 4 11" xfId="53117"/>
    <cellStyle name="Input 31 4 2" xfId="10651"/>
    <cellStyle name="Input 31 4 2 2" xfId="18438"/>
    <cellStyle name="Input 31 4 2 2 2" xfId="43970"/>
    <cellStyle name="Input 31 4 2 2 3" xfId="47879"/>
    <cellStyle name="Input 31 4 2 2 4" xfId="36061"/>
    <cellStyle name="Input 31 4 2 3" xfId="19113"/>
    <cellStyle name="Input 31 4 2 3 2" xfId="44635"/>
    <cellStyle name="Input 31 4 2 3 3" xfId="48541"/>
    <cellStyle name="Input 31 4 2 3 4" xfId="36694"/>
    <cellStyle name="Input 31 4 2 4" xfId="19215"/>
    <cellStyle name="Input 31 4 2 4 2" xfId="44737"/>
    <cellStyle name="Input 31 4 2 4 3" xfId="48643"/>
    <cellStyle name="Input 31 4 2 4 4" xfId="36784"/>
    <cellStyle name="Input 31 4 2 5" xfId="20851"/>
    <cellStyle name="Input 31 4 2 5 2" xfId="46373"/>
    <cellStyle name="Input 31 4 2 5 3" xfId="50279"/>
    <cellStyle name="Input 31 4 2 5 4" xfId="38243"/>
    <cellStyle name="Input 31 4 2 6" xfId="21504"/>
    <cellStyle name="Input 31 4 2 6 2" xfId="47026"/>
    <cellStyle name="Input 31 4 2 6 3" xfId="50932"/>
    <cellStyle name="Input 31 4 2 7" xfId="40829"/>
    <cellStyle name="Input 31 4 2 8" xfId="42582"/>
    <cellStyle name="Input 31 4 3" xfId="10946"/>
    <cellStyle name="Input 31 4 3 2" xfId="18733"/>
    <cellStyle name="Input 31 4 3 2 2" xfId="44265"/>
    <cellStyle name="Input 31 4 3 2 3" xfId="48174"/>
    <cellStyle name="Input 31 4 3 2 4" xfId="36356"/>
    <cellStyle name="Input 31 4 3 3" xfId="19574"/>
    <cellStyle name="Input 31 4 3 3 2" xfId="45096"/>
    <cellStyle name="Input 31 4 3 3 3" xfId="49002"/>
    <cellStyle name="Input 31 4 3 3 4" xfId="37100"/>
    <cellStyle name="Input 31 4 3 4" xfId="19040"/>
    <cellStyle name="Input 31 4 3 4 2" xfId="44562"/>
    <cellStyle name="Input 31 4 3 4 3" xfId="48468"/>
    <cellStyle name="Input 31 4 3 4 4" xfId="36626"/>
    <cellStyle name="Input 31 4 3 5" xfId="21146"/>
    <cellStyle name="Input 31 4 3 5 2" xfId="46668"/>
    <cellStyle name="Input 31 4 3 5 3" xfId="50574"/>
    <cellStyle name="Input 31 4 3 5 4" xfId="38538"/>
    <cellStyle name="Input 31 4 3 6" xfId="21799"/>
    <cellStyle name="Input 31 4 3 6 2" xfId="47321"/>
    <cellStyle name="Input 31 4 3 6 3" xfId="51227"/>
    <cellStyle name="Input 31 4 3 7" xfId="41124"/>
    <cellStyle name="Input 31 4 3 8" xfId="42569"/>
    <cellStyle name="Input 31 4 4" xfId="14906"/>
    <cellStyle name="Input 31 4 4 2" xfId="43004"/>
    <cellStyle name="Input 31 4 4 3" xfId="40129"/>
    <cellStyle name="Input 31 4 4 4" xfId="32527"/>
    <cellStyle name="Input 31 4 5" xfId="11307"/>
    <cellStyle name="Input 31 4 5 2" xfId="41332"/>
    <cellStyle name="Input 31 4 5 3" xfId="39335"/>
    <cellStyle name="Input 31 4 5 4" xfId="29021"/>
    <cellStyle name="Input 31 4 6" xfId="19209"/>
    <cellStyle name="Input 31 4 6 2" xfId="44731"/>
    <cellStyle name="Input 31 4 6 3" xfId="48637"/>
    <cellStyle name="Input 31 4 6 4" xfId="36780"/>
    <cellStyle name="Input 31 4 7" xfId="19560"/>
    <cellStyle name="Input 31 4 7 2" xfId="45082"/>
    <cellStyle name="Input 31 4 7 3" xfId="48988"/>
    <cellStyle name="Input 31 4 7 4" xfId="37087"/>
    <cellStyle name="Input 31 4 8" xfId="20339"/>
    <cellStyle name="Input 31 4 8 2" xfId="45861"/>
    <cellStyle name="Input 31 4 8 3" xfId="49767"/>
    <cellStyle name="Input 31 4 9" xfId="39864"/>
    <cellStyle name="Input 31 5" xfId="22460"/>
    <cellStyle name="Input 31 5 2" xfId="23024"/>
    <cellStyle name="Input 31 5 2 2" xfId="47611"/>
    <cellStyle name="Input 31 5 2 3" xfId="51422"/>
    <cellStyle name="Input 31 5 3" xfId="47504"/>
    <cellStyle name="Input 31 5 4" xfId="51358"/>
    <cellStyle name="Input 31 5 5" xfId="53118"/>
    <cellStyle name="Input 31 6" xfId="22899"/>
    <cellStyle name="Input 31 6 2" xfId="23047"/>
    <cellStyle name="Input 31 6 2 2" xfId="47633"/>
    <cellStyle name="Input 31 6 2 3" xfId="51444"/>
    <cellStyle name="Input 31 6 3" xfId="47589"/>
    <cellStyle name="Input 31 6 4" xfId="51404"/>
    <cellStyle name="Input 31 6 5" xfId="53119"/>
    <cellStyle name="Input 31 7" xfId="53113"/>
    <cellStyle name="Input 31_Sheet1" xfId="1963"/>
    <cellStyle name="Input 32" xfId="1964"/>
    <cellStyle name="Input 32 2" xfId="1965"/>
    <cellStyle name="Input 32 2 2" xfId="1966"/>
    <cellStyle name="Input 32 2 2 2" xfId="7130"/>
    <cellStyle name="Input 32 2 2 2 10" xfId="47572"/>
    <cellStyle name="Input 32 2 2 2 2" xfId="10657"/>
    <cellStyle name="Input 32 2 2 2 2 2" xfId="18444"/>
    <cellStyle name="Input 32 2 2 2 2 2 2" xfId="43976"/>
    <cellStyle name="Input 32 2 2 2 2 2 3" xfId="47885"/>
    <cellStyle name="Input 32 2 2 2 2 2 4" xfId="36067"/>
    <cellStyle name="Input 32 2 2 2 2 3" xfId="19407"/>
    <cellStyle name="Input 32 2 2 2 2 3 2" xfId="44929"/>
    <cellStyle name="Input 32 2 2 2 2 3 3" xfId="48835"/>
    <cellStyle name="Input 32 2 2 2 2 3 4" xfId="36958"/>
    <cellStyle name="Input 32 2 2 2 2 4" xfId="20311"/>
    <cellStyle name="Input 32 2 2 2 2 4 2" xfId="45833"/>
    <cellStyle name="Input 32 2 2 2 2 4 3" xfId="49739"/>
    <cellStyle name="Input 32 2 2 2 2 4 4" xfId="37761"/>
    <cellStyle name="Input 32 2 2 2 2 5" xfId="20857"/>
    <cellStyle name="Input 32 2 2 2 2 5 2" xfId="46379"/>
    <cellStyle name="Input 32 2 2 2 2 5 3" xfId="50285"/>
    <cellStyle name="Input 32 2 2 2 2 5 4" xfId="38249"/>
    <cellStyle name="Input 32 2 2 2 2 6" xfId="21510"/>
    <cellStyle name="Input 32 2 2 2 2 6 2" xfId="47032"/>
    <cellStyle name="Input 32 2 2 2 2 6 3" xfId="50938"/>
    <cellStyle name="Input 32 2 2 2 2 7" xfId="40835"/>
    <cellStyle name="Input 32 2 2 2 2 8" xfId="40222"/>
    <cellStyle name="Input 32 2 2 2 3" xfId="10952"/>
    <cellStyle name="Input 32 2 2 2 3 2" xfId="18739"/>
    <cellStyle name="Input 32 2 2 2 3 2 2" xfId="44271"/>
    <cellStyle name="Input 32 2 2 2 3 2 3" xfId="48180"/>
    <cellStyle name="Input 32 2 2 2 3 2 4" xfId="36362"/>
    <cellStyle name="Input 32 2 2 2 3 3" xfId="19087"/>
    <cellStyle name="Input 32 2 2 2 3 3 2" xfId="44609"/>
    <cellStyle name="Input 32 2 2 2 3 3 3" xfId="48515"/>
    <cellStyle name="Input 32 2 2 2 3 3 4" xfId="36668"/>
    <cellStyle name="Input 32 2 2 2 3 4" xfId="20243"/>
    <cellStyle name="Input 32 2 2 2 3 4 2" xfId="45765"/>
    <cellStyle name="Input 32 2 2 2 3 4 3" xfId="49671"/>
    <cellStyle name="Input 32 2 2 2 3 4 4" xfId="37700"/>
    <cellStyle name="Input 32 2 2 2 3 5" xfId="21152"/>
    <cellStyle name="Input 32 2 2 2 3 5 2" xfId="46674"/>
    <cellStyle name="Input 32 2 2 2 3 5 3" xfId="50580"/>
    <cellStyle name="Input 32 2 2 2 3 5 4" xfId="38544"/>
    <cellStyle name="Input 32 2 2 2 3 6" xfId="21805"/>
    <cellStyle name="Input 32 2 2 2 3 6 2" xfId="47327"/>
    <cellStyle name="Input 32 2 2 2 3 6 3" xfId="51233"/>
    <cellStyle name="Input 32 2 2 2 3 7" xfId="41130"/>
    <cellStyle name="Input 32 2 2 2 3 8" xfId="43201"/>
    <cellStyle name="Input 32 2 2 2 4" xfId="14912"/>
    <cellStyle name="Input 32 2 2 2 4 2" xfId="43010"/>
    <cellStyle name="Input 32 2 2 2 4 3" xfId="40011"/>
    <cellStyle name="Input 32 2 2 2 4 4" xfId="32533"/>
    <cellStyle name="Input 32 2 2 2 5" xfId="13149"/>
    <cellStyle name="Input 32 2 2 2 5 2" xfId="42351"/>
    <cellStyle name="Input 32 2 2 2 5 3" xfId="39267"/>
    <cellStyle name="Input 32 2 2 2 5 4" xfId="30784"/>
    <cellStyle name="Input 32 2 2 2 6" xfId="19673"/>
    <cellStyle name="Input 32 2 2 2 6 2" xfId="45195"/>
    <cellStyle name="Input 32 2 2 2 6 3" xfId="49101"/>
    <cellStyle name="Input 32 2 2 2 6 4" xfId="37191"/>
    <cellStyle name="Input 32 2 2 2 7" xfId="13289"/>
    <cellStyle name="Input 32 2 2 2 7 2" xfId="42440"/>
    <cellStyle name="Input 32 2 2 2 7 3" xfId="43162"/>
    <cellStyle name="Input 32 2 2 2 7 4" xfId="30919"/>
    <cellStyle name="Input 32 2 2 2 8" xfId="19165"/>
    <cellStyle name="Input 32 2 2 2 8 2" xfId="44687"/>
    <cellStyle name="Input 32 2 2 2 8 3" xfId="48593"/>
    <cellStyle name="Input 32 2 2 2 9" xfId="39870"/>
    <cellStyle name="Input 32 2 2 3" xfId="53122"/>
    <cellStyle name="Input 32 2 3" xfId="7129"/>
    <cellStyle name="Input 32 2 3 10" xfId="39213"/>
    <cellStyle name="Input 32 2 3 2" xfId="10656"/>
    <cellStyle name="Input 32 2 3 2 2" xfId="18443"/>
    <cellStyle name="Input 32 2 3 2 2 2" xfId="43975"/>
    <cellStyle name="Input 32 2 3 2 2 3" xfId="47884"/>
    <cellStyle name="Input 32 2 3 2 2 4" xfId="36066"/>
    <cellStyle name="Input 32 2 3 2 3" xfId="20148"/>
    <cellStyle name="Input 32 2 3 2 3 2" xfId="45670"/>
    <cellStyle name="Input 32 2 3 2 3 3" xfId="49576"/>
    <cellStyle name="Input 32 2 3 2 3 4" xfId="37620"/>
    <cellStyle name="Input 32 2 3 2 4" xfId="19073"/>
    <cellStyle name="Input 32 2 3 2 4 2" xfId="44595"/>
    <cellStyle name="Input 32 2 3 2 4 3" xfId="48501"/>
    <cellStyle name="Input 32 2 3 2 4 4" xfId="36655"/>
    <cellStyle name="Input 32 2 3 2 5" xfId="20856"/>
    <cellStyle name="Input 32 2 3 2 5 2" xfId="46378"/>
    <cellStyle name="Input 32 2 3 2 5 3" xfId="50284"/>
    <cellStyle name="Input 32 2 3 2 5 4" xfId="38248"/>
    <cellStyle name="Input 32 2 3 2 6" xfId="21509"/>
    <cellStyle name="Input 32 2 3 2 6 2" xfId="47031"/>
    <cellStyle name="Input 32 2 3 2 6 3" xfId="50937"/>
    <cellStyle name="Input 32 2 3 2 7" xfId="40834"/>
    <cellStyle name="Input 32 2 3 2 8" xfId="43360"/>
    <cellStyle name="Input 32 2 3 3" xfId="10951"/>
    <cellStyle name="Input 32 2 3 3 2" xfId="18738"/>
    <cellStyle name="Input 32 2 3 3 2 2" xfId="44270"/>
    <cellStyle name="Input 32 2 3 3 2 3" xfId="48179"/>
    <cellStyle name="Input 32 2 3 3 2 4" xfId="36361"/>
    <cellStyle name="Input 32 2 3 3 3" xfId="19864"/>
    <cellStyle name="Input 32 2 3 3 3 2" xfId="45386"/>
    <cellStyle name="Input 32 2 3 3 3 3" xfId="49292"/>
    <cellStyle name="Input 32 2 3 3 3 4" xfId="37364"/>
    <cellStyle name="Input 32 2 3 3 4" xfId="20187"/>
    <cellStyle name="Input 32 2 3 3 4 2" xfId="45709"/>
    <cellStyle name="Input 32 2 3 3 4 3" xfId="49615"/>
    <cellStyle name="Input 32 2 3 3 4 4" xfId="37655"/>
    <cellStyle name="Input 32 2 3 3 5" xfId="21151"/>
    <cellStyle name="Input 32 2 3 3 5 2" xfId="46673"/>
    <cellStyle name="Input 32 2 3 3 5 3" xfId="50579"/>
    <cellStyle name="Input 32 2 3 3 5 4" xfId="38543"/>
    <cellStyle name="Input 32 2 3 3 6" xfId="21804"/>
    <cellStyle name="Input 32 2 3 3 6 2" xfId="47326"/>
    <cellStyle name="Input 32 2 3 3 6 3" xfId="51232"/>
    <cellStyle name="Input 32 2 3 3 7" xfId="41129"/>
    <cellStyle name="Input 32 2 3 3 8" xfId="41398"/>
    <cellStyle name="Input 32 2 3 4" xfId="14911"/>
    <cellStyle name="Input 32 2 3 4 2" xfId="43009"/>
    <cellStyle name="Input 32 2 3 4 3" xfId="43152"/>
    <cellStyle name="Input 32 2 3 4 4" xfId="32532"/>
    <cellStyle name="Input 32 2 3 5" xfId="13148"/>
    <cellStyle name="Input 32 2 3 5 2" xfId="42350"/>
    <cellStyle name="Input 32 2 3 5 3" xfId="39268"/>
    <cellStyle name="Input 32 2 3 5 4" xfId="30783"/>
    <cellStyle name="Input 32 2 3 6" xfId="11595"/>
    <cellStyle name="Input 32 2 3 6 2" xfId="41586"/>
    <cellStyle name="Input 32 2 3 6 3" xfId="43464"/>
    <cellStyle name="Input 32 2 3 6 4" xfId="29286"/>
    <cellStyle name="Input 32 2 3 7" xfId="20508"/>
    <cellStyle name="Input 32 2 3 7 2" xfId="46030"/>
    <cellStyle name="Input 32 2 3 7 3" xfId="49936"/>
    <cellStyle name="Input 32 2 3 7 4" xfId="37927"/>
    <cellStyle name="Input 32 2 3 8" xfId="20248"/>
    <cellStyle name="Input 32 2 3 8 2" xfId="45770"/>
    <cellStyle name="Input 32 2 3 8 3" xfId="49676"/>
    <cellStyle name="Input 32 2 3 9" xfId="39869"/>
    <cellStyle name="Input 32 2 4" xfId="53121"/>
    <cellStyle name="Input 32 2_Sheet1" xfId="1967"/>
    <cellStyle name="Input 32 3" xfId="1968"/>
    <cellStyle name="Input 32 3 2" xfId="7131"/>
    <cellStyle name="Input 32 3 2 10" xfId="41694"/>
    <cellStyle name="Input 32 3 2 2" xfId="10658"/>
    <cellStyle name="Input 32 3 2 2 2" xfId="18445"/>
    <cellStyle name="Input 32 3 2 2 2 2" xfId="43977"/>
    <cellStyle name="Input 32 3 2 2 2 3" xfId="47886"/>
    <cellStyle name="Input 32 3 2 2 2 4" xfId="36068"/>
    <cellStyle name="Input 32 3 2 2 3" xfId="20014"/>
    <cellStyle name="Input 32 3 2 2 3 2" xfId="45536"/>
    <cellStyle name="Input 32 3 2 2 3 3" xfId="49442"/>
    <cellStyle name="Input 32 3 2 2 3 4" xfId="37498"/>
    <cellStyle name="Input 32 3 2 2 4" xfId="18933"/>
    <cellStyle name="Input 32 3 2 2 4 2" xfId="44455"/>
    <cellStyle name="Input 32 3 2 2 4 3" xfId="48361"/>
    <cellStyle name="Input 32 3 2 2 4 4" xfId="36546"/>
    <cellStyle name="Input 32 3 2 2 5" xfId="20858"/>
    <cellStyle name="Input 32 3 2 2 5 2" xfId="46380"/>
    <cellStyle name="Input 32 3 2 2 5 3" xfId="50286"/>
    <cellStyle name="Input 32 3 2 2 5 4" xfId="38250"/>
    <cellStyle name="Input 32 3 2 2 6" xfId="21511"/>
    <cellStyle name="Input 32 3 2 2 6 2" xfId="47033"/>
    <cellStyle name="Input 32 3 2 2 6 3" xfId="50939"/>
    <cellStyle name="Input 32 3 2 2 7" xfId="40836"/>
    <cellStyle name="Input 32 3 2 2 8" xfId="39362"/>
    <cellStyle name="Input 32 3 2 3" xfId="10953"/>
    <cellStyle name="Input 32 3 2 3 2" xfId="18740"/>
    <cellStyle name="Input 32 3 2 3 2 2" xfId="44272"/>
    <cellStyle name="Input 32 3 2 3 2 3" xfId="48181"/>
    <cellStyle name="Input 32 3 2 3 2 4" xfId="36363"/>
    <cellStyle name="Input 32 3 2 3 3" xfId="19696"/>
    <cellStyle name="Input 32 3 2 3 3 2" xfId="45218"/>
    <cellStyle name="Input 32 3 2 3 3 3" xfId="49124"/>
    <cellStyle name="Input 32 3 2 3 3 4" xfId="37209"/>
    <cellStyle name="Input 32 3 2 3 4" xfId="20332"/>
    <cellStyle name="Input 32 3 2 3 4 2" xfId="45854"/>
    <cellStyle name="Input 32 3 2 3 4 3" xfId="49760"/>
    <cellStyle name="Input 32 3 2 3 4 4" xfId="37778"/>
    <cellStyle name="Input 32 3 2 3 5" xfId="21153"/>
    <cellStyle name="Input 32 3 2 3 5 2" xfId="46675"/>
    <cellStyle name="Input 32 3 2 3 5 3" xfId="50581"/>
    <cellStyle name="Input 32 3 2 3 5 4" xfId="38545"/>
    <cellStyle name="Input 32 3 2 3 6" xfId="21806"/>
    <cellStyle name="Input 32 3 2 3 6 2" xfId="47328"/>
    <cellStyle name="Input 32 3 2 3 6 3" xfId="51234"/>
    <cellStyle name="Input 32 3 2 3 7" xfId="41131"/>
    <cellStyle name="Input 32 3 2 3 8" xfId="40060"/>
    <cellStyle name="Input 32 3 2 4" xfId="14913"/>
    <cellStyle name="Input 32 3 2 4 2" xfId="43011"/>
    <cellStyle name="Input 32 3 2 4 3" xfId="42752"/>
    <cellStyle name="Input 32 3 2 4 4" xfId="32534"/>
    <cellStyle name="Input 32 3 2 5" xfId="11310"/>
    <cellStyle name="Input 32 3 2 5 2" xfId="41335"/>
    <cellStyle name="Input 32 3 2 5 3" xfId="40052"/>
    <cellStyle name="Input 32 3 2 5 4" xfId="29024"/>
    <cellStyle name="Input 32 3 2 6" xfId="12782"/>
    <cellStyle name="Input 32 3 2 6 2" xfId="42185"/>
    <cellStyle name="Input 32 3 2 6 3" xfId="43298"/>
    <cellStyle name="Input 32 3 2 6 4" xfId="30426"/>
    <cellStyle name="Input 32 3 2 7" xfId="11453"/>
    <cellStyle name="Input 32 3 2 7 2" xfId="41444"/>
    <cellStyle name="Input 32 3 2 7 3" xfId="39550"/>
    <cellStyle name="Input 32 3 2 7 4" xfId="29158"/>
    <cellStyle name="Input 32 3 2 8" xfId="11456"/>
    <cellStyle name="Input 32 3 2 8 2" xfId="41447"/>
    <cellStyle name="Input 32 3 2 8 3" xfId="40332"/>
    <cellStyle name="Input 32 3 2 9" xfId="39871"/>
    <cellStyle name="Input 32 3 3" xfId="53123"/>
    <cellStyle name="Input 32 4" xfId="7128"/>
    <cellStyle name="Input 32 4 10" xfId="39384"/>
    <cellStyle name="Input 32 4 11" xfId="53124"/>
    <cellStyle name="Input 32 4 2" xfId="10655"/>
    <cellStyle name="Input 32 4 2 2" xfId="18442"/>
    <cellStyle name="Input 32 4 2 2 2" xfId="43974"/>
    <cellStyle name="Input 32 4 2 2 3" xfId="47883"/>
    <cellStyle name="Input 32 4 2 2 4" xfId="36065"/>
    <cellStyle name="Input 32 4 2 3" xfId="19594"/>
    <cellStyle name="Input 32 4 2 3 2" xfId="45116"/>
    <cellStyle name="Input 32 4 2 3 3" xfId="49022"/>
    <cellStyle name="Input 32 4 2 3 4" xfId="37120"/>
    <cellStyle name="Input 32 4 2 4" xfId="18926"/>
    <cellStyle name="Input 32 4 2 4 2" xfId="44448"/>
    <cellStyle name="Input 32 4 2 4 3" xfId="48354"/>
    <cellStyle name="Input 32 4 2 4 4" xfId="36539"/>
    <cellStyle name="Input 32 4 2 5" xfId="20855"/>
    <cellStyle name="Input 32 4 2 5 2" xfId="46377"/>
    <cellStyle name="Input 32 4 2 5 3" xfId="50283"/>
    <cellStyle name="Input 32 4 2 5 4" xfId="38247"/>
    <cellStyle name="Input 32 4 2 6" xfId="21508"/>
    <cellStyle name="Input 32 4 2 6 2" xfId="47030"/>
    <cellStyle name="Input 32 4 2 6 3" xfId="50936"/>
    <cellStyle name="Input 32 4 2 7" xfId="40833"/>
    <cellStyle name="Input 32 4 2 8" xfId="42041"/>
    <cellStyle name="Input 32 4 3" xfId="10950"/>
    <cellStyle name="Input 32 4 3 2" xfId="18737"/>
    <cellStyle name="Input 32 4 3 2 2" xfId="44269"/>
    <cellStyle name="Input 32 4 3 2 3" xfId="48178"/>
    <cellStyle name="Input 32 4 3 2 4" xfId="36360"/>
    <cellStyle name="Input 32 4 3 3" xfId="19255"/>
    <cellStyle name="Input 32 4 3 3 2" xfId="44777"/>
    <cellStyle name="Input 32 4 3 3 3" xfId="48683"/>
    <cellStyle name="Input 32 4 3 3 4" xfId="36819"/>
    <cellStyle name="Input 32 4 3 4" xfId="12052"/>
    <cellStyle name="Input 32 4 3 4 2" xfId="41786"/>
    <cellStyle name="Input 32 4 3 4 3" xfId="39231"/>
    <cellStyle name="Input 32 4 3 4 4" xfId="29717"/>
    <cellStyle name="Input 32 4 3 5" xfId="21150"/>
    <cellStyle name="Input 32 4 3 5 2" xfId="46672"/>
    <cellStyle name="Input 32 4 3 5 3" xfId="50578"/>
    <cellStyle name="Input 32 4 3 5 4" xfId="38542"/>
    <cellStyle name="Input 32 4 3 6" xfId="21803"/>
    <cellStyle name="Input 32 4 3 6 2" xfId="47325"/>
    <cellStyle name="Input 32 4 3 6 3" xfId="51231"/>
    <cellStyle name="Input 32 4 3 7" xfId="41128"/>
    <cellStyle name="Input 32 4 3 8" xfId="39346"/>
    <cellStyle name="Input 32 4 4" xfId="14910"/>
    <cellStyle name="Input 32 4 4 2" xfId="43008"/>
    <cellStyle name="Input 32 4 4 3" xfId="41259"/>
    <cellStyle name="Input 32 4 4 4" xfId="32531"/>
    <cellStyle name="Input 32 4 5" xfId="13147"/>
    <cellStyle name="Input 32 4 5 2" xfId="42349"/>
    <cellStyle name="Input 32 4 5 3" xfId="39069"/>
    <cellStyle name="Input 32 4 5 4" xfId="30782"/>
    <cellStyle name="Input 32 4 6" xfId="18965"/>
    <cellStyle name="Input 32 4 6 2" xfId="44487"/>
    <cellStyle name="Input 32 4 6 3" xfId="48393"/>
    <cellStyle name="Input 32 4 6 4" xfId="36575"/>
    <cellStyle name="Input 32 4 7" xfId="19158"/>
    <cellStyle name="Input 32 4 7 2" xfId="44680"/>
    <cellStyle name="Input 32 4 7 3" xfId="48586"/>
    <cellStyle name="Input 32 4 7 4" xfId="36735"/>
    <cellStyle name="Input 32 4 8" xfId="18999"/>
    <cellStyle name="Input 32 4 8 2" xfId="44521"/>
    <cellStyle name="Input 32 4 8 3" xfId="48427"/>
    <cellStyle name="Input 32 4 9" xfId="39868"/>
    <cellStyle name="Input 32 5" xfId="22461"/>
    <cellStyle name="Input 32 5 2" xfId="23025"/>
    <cellStyle name="Input 32 5 2 2" xfId="47612"/>
    <cellStyle name="Input 32 5 2 3" xfId="51423"/>
    <cellStyle name="Input 32 5 3" xfId="47505"/>
    <cellStyle name="Input 32 5 4" xfId="51359"/>
    <cellStyle name="Input 32 5 5" xfId="53125"/>
    <cellStyle name="Input 32 6" xfId="22898"/>
    <cellStyle name="Input 32 6 2" xfId="23046"/>
    <cellStyle name="Input 32 6 2 2" xfId="47632"/>
    <cellStyle name="Input 32 6 2 3" xfId="51443"/>
    <cellStyle name="Input 32 6 3" xfId="47588"/>
    <cellStyle name="Input 32 6 4" xfId="51403"/>
    <cellStyle name="Input 32 6 5" xfId="53126"/>
    <cellStyle name="Input 32 7" xfId="53120"/>
    <cellStyle name="Input 32_Sheet1" xfId="1969"/>
    <cellStyle name="Input 33" xfId="1970"/>
    <cellStyle name="Input 33 2" xfId="1971"/>
    <cellStyle name="Input 33 2 2" xfId="1972"/>
    <cellStyle name="Input 33 2 2 2" xfId="7134"/>
    <cellStyle name="Input 33 2 2 2 10" xfId="43074"/>
    <cellStyle name="Input 33 2 2 2 2" xfId="10661"/>
    <cellStyle name="Input 33 2 2 2 2 2" xfId="18448"/>
    <cellStyle name="Input 33 2 2 2 2 2 2" xfId="43980"/>
    <cellStyle name="Input 33 2 2 2 2 2 3" xfId="47889"/>
    <cellStyle name="Input 33 2 2 2 2 2 4" xfId="36071"/>
    <cellStyle name="Input 33 2 2 2 2 3" xfId="19112"/>
    <cellStyle name="Input 33 2 2 2 2 3 2" xfId="44634"/>
    <cellStyle name="Input 33 2 2 2 2 3 3" xfId="48540"/>
    <cellStyle name="Input 33 2 2 2 2 3 4" xfId="36693"/>
    <cellStyle name="Input 33 2 2 2 2 4" xfId="11660"/>
    <cellStyle name="Input 33 2 2 2 2 4 2" xfId="41651"/>
    <cellStyle name="Input 33 2 2 2 2 4 3" xfId="42786"/>
    <cellStyle name="Input 33 2 2 2 2 4 4" xfId="29342"/>
    <cellStyle name="Input 33 2 2 2 2 5" xfId="20861"/>
    <cellStyle name="Input 33 2 2 2 2 5 2" xfId="46383"/>
    <cellStyle name="Input 33 2 2 2 2 5 3" xfId="50289"/>
    <cellStyle name="Input 33 2 2 2 2 5 4" xfId="38253"/>
    <cellStyle name="Input 33 2 2 2 2 6" xfId="21514"/>
    <cellStyle name="Input 33 2 2 2 2 6 2" xfId="47036"/>
    <cellStyle name="Input 33 2 2 2 2 6 3" xfId="50942"/>
    <cellStyle name="Input 33 2 2 2 2 7" xfId="40839"/>
    <cellStyle name="Input 33 2 2 2 2 8" xfId="40223"/>
    <cellStyle name="Input 33 2 2 2 3" xfId="10956"/>
    <cellStyle name="Input 33 2 2 2 3 2" xfId="18743"/>
    <cellStyle name="Input 33 2 2 2 3 2 2" xfId="44275"/>
    <cellStyle name="Input 33 2 2 2 3 2 3" xfId="48184"/>
    <cellStyle name="Input 33 2 2 2 3 2 4" xfId="36366"/>
    <cellStyle name="Input 33 2 2 2 3 3" xfId="20125"/>
    <cellStyle name="Input 33 2 2 2 3 3 2" xfId="45647"/>
    <cellStyle name="Input 33 2 2 2 3 3 3" xfId="49553"/>
    <cellStyle name="Input 33 2 2 2 3 3 4" xfId="37597"/>
    <cellStyle name="Input 33 2 2 2 3 4" xfId="19792"/>
    <cellStyle name="Input 33 2 2 2 3 4 2" xfId="45314"/>
    <cellStyle name="Input 33 2 2 2 3 4 3" xfId="49220"/>
    <cellStyle name="Input 33 2 2 2 3 4 4" xfId="37300"/>
    <cellStyle name="Input 33 2 2 2 3 5" xfId="21156"/>
    <cellStyle name="Input 33 2 2 2 3 5 2" xfId="46678"/>
    <cellStyle name="Input 33 2 2 2 3 5 3" xfId="50584"/>
    <cellStyle name="Input 33 2 2 2 3 5 4" xfId="38548"/>
    <cellStyle name="Input 33 2 2 2 3 6" xfId="21809"/>
    <cellStyle name="Input 33 2 2 2 3 6 2" xfId="47331"/>
    <cellStyle name="Input 33 2 2 2 3 6 3" xfId="51237"/>
    <cellStyle name="Input 33 2 2 2 3 7" xfId="41134"/>
    <cellStyle name="Input 33 2 2 2 3 8" xfId="40555"/>
    <cellStyle name="Input 33 2 2 2 4" xfId="14916"/>
    <cellStyle name="Input 33 2 2 2 4 2" xfId="43014"/>
    <cellStyle name="Input 33 2 2 2 4 3" xfId="39606"/>
    <cellStyle name="Input 33 2 2 2 4 4" xfId="32537"/>
    <cellStyle name="Input 33 2 2 2 5" xfId="13152"/>
    <cellStyle name="Input 33 2 2 2 5 2" xfId="42354"/>
    <cellStyle name="Input 33 2 2 2 5 3" xfId="39067"/>
    <cellStyle name="Input 33 2 2 2 5 4" xfId="30787"/>
    <cellStyle name="Input 33 2 2 2 6" xfId="20321"/>
    <cellStyle name="Input 33 2 2 2 6 2" xfId="45843"/>
    <cellStyle name="Input 33 2 2 2 6 3" xfId="49749"/>
    <cellStyle name="Input 33 2 2 2 6 4" xfId="37771"/>
    <cellStyle name="Input 33 2 2 2 7" xfId="12490"/>
    <cellStyle name="Input 33 2 2 2 7 2" xfId="41984"/>
    <cellStyle name="Input 33 2 2 2 7 3" xfId="42673"/>
    <cellStyle name="Input 33 2 2 2 7 4" xfId="30146"/>
    <cellStyle name="Input 33 2 2 2 8" xfId="12695"/>
    <cellStyle name="Input 33 2 2 2 8 2" xfId="42151"/>
    <cellStyle name="Input 33 2 2 2 8 3" xfId="43662"/>
    <cellStyle name="Input 33 2 2 2 9" xfId="39874"/>
    <cellStyle name="Input 33 2 2 3" xfId="53129"/>
    <cellStyle name="Input 33 2 3" xfId="7133"/>
    <cellStyle name="Input 33 2 3 10" xfId="40105"/>
    <cellStyle name="Input 33 2 3 2" xfId="10660"/>
    <cellStyle name="Input 33 2 3 2 2" xfId="18447"/>
    <cellStyle name="Input 33 2 3 2 2 2" xfId="43979"/>
    <cellStyle name="Input 33 2 3 2 2 3" xfId="47888"/>
    <cellStyle name="Input 33 2 3 2 2 4" xfId="36070"/>
    <cellStyle name="Input 33 2 3 2 3" xfId="19889"/>
    <cellStyle name="Input 33 2 3 2 3 2" xfId="45411"/>
    <cellStyle name="Input 33 2 3 2 3 3" xfId="49317"/>
    <cellStyle name="Input 33 2 3 2 3 4" xfId="37389"/>
    <cellStyle name="Input 33 2 3 2 4" xfId="12083"/>
    <cellStyle name="Input 33 2 3 2 4 2" xfId="41808"/>
    <cellStyle name="Input 33 2 3 2 4 3" xfId="39112"/>
    <cellStyle name="Input 33 2 3 2 4 4" xfId="29744"/>
    <cellStyle name="Input 33 2 3 2 5" xfId="20860"/>
    <cellStyle name="Input 33 2 3 2 5 2" xfId="46382"/>
    <cellStyle name="Input 33 2 3 2 5 3" xfId="50288"/>
    <cellStyle name="Input 33 2 3 2 5 4" xfId="38252"/>
    <cellStyle name="Input 33 2 3 2 6" xfId="21513"/>
    <cellStyle name="Input 33 2 3 2 6 2" xfId="47035"/>
    <cellStyle name="Input 33 2 3 2 6 3" xfId="50941"/>
    <cellStyle name="Input 33 2 3 2 7" xfId="40838"/>
    <cellStyle name="Input 33 2 3 2 8" xfId="43361"/>
    <cellStyle name="Input 33 2 3 3" xfId="10955"/>
    <cellStyle name="Input 33 2 3 3 2" xfId="18742"/>
    <cellStyle name="Input 33 2 3 3 2 2" xfId="44274"/>
    <cellStyle name="Input 33 2 3 3 2 3" xfId="48183"/>
    <cellStyle name="Input 33 2 3 3 2 4" xfId="36365"/>
    <cellStyle name="Input 33 2 3 3 3" xfId="19698"/>
    <cellStyle name="Input 33 2 3 3 3 2" xfId="45220"/>
    <cellStyle name="Input 33 2 3 3 3 3" xfId="49126"/>
    <cellStyle name="Input 33 2 3 3 3 4" xfId="37211"/>
    <cellStyle name="Input 33 2 3 3 4" xfId="18929"/>
    <cellStyle name="Input 33 2 3 3 4 2" xfId="44451"/>
    <cellStyle name="Input 33 2 3 3 4 3" xfId="48357"/>
    <cellStyle name="Input 33 2 3 3 4 4" xfId="36542"/>
    <cellStyle name="Input 33 2 3 3 5" xfId="21155"/>
    <cellStyle name="Input 33 2 3 3 5 2" xfId="46677"/>
    <cellStyle name="Input 33 2 3 3 5 3" xfId="50583"/>
    <cellStyle name="Input 33 2 3 3 5 4" xfId="38547"/>
    <cellStyle name="Input 33 2 3 3 6" xfId="21808"/>
    <cellStyle name="Input 33 2 3 3 6 2" xfId="47330"/>
    <cellStyle name="Input 33 2 3 3 6 3" xfId="51236"/>
    <cellStyle name="Input 33 2 3 3 7" xfId="41133"/>
    <cellStyle name="Input 33 2 3 3 8" xfId="43696"/>
    <cellStyle name="Input 33 2 3 4" xfId="14915"/>
    <cellStyle name="Input 33 2 3 4 2" xfId="43013"/>
    <cellStyle name="Input 33 2 3 4 3" xfId="40498"/>
    <cellStyle name="Input 33 2 3 4 4" xfId="32536"/>
    <cellStyle name="Input 33 2 3 5" xfId="13151"/>
    <cellStyle name="Input 33 2 3 5 2" xfId="42353"/>
    <cellStyle name="Input 33 2 3 5 3" xfId="39068"/>
    <cellStyle name="Input 33 2 3 5 4" xfId="30786"/>
    <cellStyle name="Input 33 2 3 6" xfId="20305"/>
    <cellStyle name="Input 33 2 3 6 2" xfId="45827"/>
    <cellStyle name="Input 33 2 3 6 3" xfId="49733"/>
    <cellStyle name="Input 33 2 3 6 4" xfId="37755"/>
    <cellStyle name="Input 33 2 3 7" xfId="19023"/>
    <cellStyle name="Input 33 2 3 7 2" xfId="44545"/>
    <cellStyle name="Input 33 2 3 7 3" xfId="48451"/>
    <cellStyle name="Input 33 2 3 7 4" xfId="36615"/>
    <cellStyle name="Input 33 2 3 8" xfId="20334"/>
    <cellStyle name="Input 33 2 3 8 2" xfId="45856"/>
    <cellStyle name="Input 33 2 3 8 3" xfId="49762"/>
    <cellStyle name="Input 33 2 3 9" xfId="39873"/>
    <cellStyle name="Input 33 2 4" xfId="53128"/>
    <cellStyle name="Input 33 2_Sheet1" xfId="1973"/>
    <cellStyle name="Input 33 3" xfId="1974"/>
    <cellStyle name="Input 33 3 2" xfId="7135"/>
    <cellStyle name="Input 33 3 2 10" xfId="43741"/>
    <cellStyle name="Input 33 3 2 2" xfId="10662"/>
    <cellStyle name="Input 33 3 2 2 2" xfId="18449"/>
    <cellStyle name="Input 33 3 2 2 2 2" xfId="43981"/>
    <cellStyle name="Input 33 3 2 2 2 3" xfId="47890"/>
    <cellStyle name="Input 33 3 2 2 2 4" xfId="36072"/>
    <cellStyle name="Input 33 3 2 2 3" xfId="19731"/>
    <cellStyle name="Input 33 3 2 2 3 2" xfId="45253"/>
    <cellStyle name="Input 33 3 2 2 3 3" xfId="49159"/>
    <cellStyle name="Input 33 3 2 2 3 4" xfId="37244"/>
    <cellStyle name="Input 33 3 2 2 4" xfId="19050"/>
    <cellStyle name="Input 33 3 2 2 4 2" xfId="44572"/>
    <cellStyle name="Input 33 3 2 2 4 3" xfId="48478"/>
    <cellStyle name="Input 33 3 2 2 4 4" xfId="36635"/>
    <cellStyle name="Input 33 3 2 2 5" xfId="20862"/>
    <cellStyle name="Input 33 3 2 2 5 2" xfId="46384"/>
    <cellStyle name="Input 33 3 2 2 5 3" xfId="50290"/>
    <cellStyle name="Input 33 3 2 2 5 4" xfId="38254"/>
    <cellStyle name="Input 33 3 2 2 6" xfId="21515"/>
    <cellStyle name="Input 33 3 2 2 6 2" xfId="47037"/>
    <cellStyle name="Input 33 3 2 2 6 3" xfId="50943"/>
    <cellStyle name="Input 33 3 2 2 7" xfId="40840"/>
    <cellStyle name="Input 33 3 2 2 8" xfId="39363"/>
    <cellStyle name="Input 33 3 2 3" xfId="10957"/>
    <cellStyle name="Input 33 3 2 3 2" xfId="18744"/>
    <cellStyle name="Input 33 3 2 3 2 2" xfId="44276"/>
    <cellStyle name="Input 33 3 2 3 2 3" xfId="48185"/>
    <cellStyle name="Input 33 3 2 3 2 4" xfId="36367"/>
    <cellStyle name="Input 33 3 2 3 3" xfId="19384"/>
    <cellStyle name="Input 33 3 2 3 3 2" xfId="44906"/>
    <cellStyle name="Input 33 3 2 3 3 3" xfId="48812"/>
    <cellStyle name="Input 33 3 2 3 3 4" xfId="36935"/>
    <cellStyle name="Input 33 3 2 3 4" xfId="13282"/>
    <cellStyle name="Input 33 3 2 3 4 2" xfId="42433"/>
    <cellStyle name="Input 33 3 2 3 4 3" xfId="39413"/>
    <cellStyle name="Input 33 3 2 3 4 4" xfId="30913"/>
    <cellStyle name="Input 33 3 2 3 5" xfId="21157"/>
    <cellStyle name="Input 33 3 2 3 5 2" xfId="46679"/>
    <cellStyle name="Input 33 3 2 3 5 3" xfId="50585"/>
    <cellStyle name="Input 33 3 2 3 5 4" xfId="38549"/>
    <cellStyle name="Input 33 3 2 3 6" xfId="21810"/>
    <cellStyle name="Input 33 3 2 3 6 2" xfId="47332"/>
    <cellStyle name="Input 33 3 2 3 6 3" xfId="51238"/>
    <cellStyle name="Input 33 3 2 3 7" xfId="41135"/>
    <cellStyle name="Input 33 3 2 3 8" xfId="39666"/>
    <cellStyle name="Input 33 3 2 4" xfId="14917"/>
    <cellStyle name="Input 33 3 2 4 2" xfId="43015"/>
    <cellStyle name="Input 33 3 2 4 3" xfId="42642"/>
    <cellStyle name="Input 33 3 2 4 4" xfId="32538"/>
    <cellStyle name="Input 33 3 2 5" xfId="13153"/>
    <cellStyle name="Input 33 3 2 5 2" xfId="42355"/>
    <cellStyle name="Input 33 3 2 5 3" xfId="39066"/>
    <cellStyle name="Input 33 3 2 5 4" xfId="30788"/>
    <cellStyle name="Input 33 3 2 6" xfId="19451"/>
    <cellStyle name="Input 33 3 2 6 2" xfId="44973"/>
    <cellStyle name="Input 33 3 2 6 3" xfId="48879"/>
    <cellStyle name="Input 33 3 2 6 4" xfId="36995"/>
    <cellStyle name="Input 33 3 2 7" xfId="11841"/>
    <cellStyle name="Input 33 3 2 7 2" xfId="41739"/>
    <cellStyle name="Input 33 3 2 7 3" xfId="39432"/>
    <cellStyle name="Input 33 3 2 7 4" xfId="29511"/>
    <cellStyle name="Input 33 3 2 8" xfId="20597"/>
    <cellStyle name="Input 33 3 2 8 2" xfId="46119"/>
    <cellStyle name="Input 33 3 2 8 3" xfId="50025"/>
    <cellStyle name="Input 33 3 2 9" xfId="39875"/>
    <cellStyle name="Input 33 3 3" xfId="53130"/>
    <cellStyle name="Input 33 4" xfId="7132"/>
    <cellStyle name="Input 33 4 10" xfId="43246"/>
    <cellStyle name="Input 33 4 11" xfId="53131"/>
    <cellStyle name="Input 33 4 2" xfId="10659"/>
    <cellStyle name="Input 33 4 2 2" xfId="18446"/>
    <cellStyle name="Input 33 4 2 2 2" xfId="43978"/>
    <cellStyle name="Input 33 4 2 2 3" xfId="47887"/>
    <cellStyle name="Input 33 4 2 2 4" xfId="36069"/>
    <cellStyle name="Input 33 4 2 3" xfId="19280"/>
    <cellStyle name="Input 33 4 2 3 2" xfId="44802"/>
    <cellStyle name="Input 33 4 2 3 3" xfId="48708"/>
    <cellStyle name="Input 33 4 2 3 4" xfId="36844"/>
    <cellStyle name="Input 33 4 2 4" xfId="12655"/>
    <cellStyle name="Input 33 4 2 4 2" xfId="42115"/>
    <cellStyle name="Input 33 4 2 4 3" xfId="39082"/>
    <cellStyle name="Input 33 4 2 4 4" xfId="30305"/>
    <cellStyle name="Input 33 4 2 5" xfId="20859"/>
    <cellStyle name="Input 33 4 2 5 2" xfId="46381"/>
    <cellStyle name="Input 33 4 2 5 3" xfId="50287"/>
    <cellStyle name="Input 33 4 2 5 4" xfId="38251"/>
    <cellStyle name="Input 33 4 2 6" xfId="21512"/>
    <cellStyle name="Input 33 4 2 6 2" xfId="47034"/>
    <cellStyle name="Input 33 4 2 6 3" xfId="50940"/>
    <cellStyle name="Input 33 4 2 7" xfId="40837"/>
    <cellStyle name="Input 33 4 2 8" xfId="42042"/>
    <cellStyle name="Input 33 4 3" xfId="10954"/>
    <cellStyle name="Input 33 4 3 2" xfId="18741"/>
    <cellStyle name="Input 33 4 3 2 2" xfId="44273"/>
    <cellStyle name="Input 33 4 3 2 3" xfId="48182"/>
    <cellStyle name="Input 33 4 3 2 4" xfId="36364"/>
    <cellStyle name="Input 33 4 3 3" xfId="12634"/>
    <cellStyle name="Input 33 4 3 3 2" xfId="42094"/>
    <cellStyle name="Input 33 4 3 3 3" xfId="39287"/>
    <cellStyle name="Input 33 4 3 3 4" xfId="30285"/>
    <cellStyle name="Input 33 4 3 4" xfId="19537"/>
    <cellStyle name="Input 33 4 3 4 2" xfId="45059"/>
    <cellStyle name="Input 33 4 3 4 3" xfId="48965"/>
    <cellStyle name="Input 33 4 3 4 4" xfId="37065"/>
    <cellStyle name="Input 33 4 3 5" xfId="21154"/>
    <cellStyle name="Input 33 4 3 5 2" xfId="46676"/>
    <cellStyle name="Input 33 4 3 5 3" xfId="50582"/>
    <cellStyle name="Input 33 4 3 5 4" xfId="38546"/>
    <cellStyle name="Input 33 4 3 6" xfId="21807"/>
    <cellStyle name="Input 33 4 3 6 2" xfId="47329"/>
    <cellStyle name="Input 33 4 3 6 3" xfId="51235"/>
    <cellStyle name="Input 33 4 3 7" xfId="41132"/>
    <cellStyle name="Input 33 4 3 8" xfId="42807"/>
    <cellStyle name="Input 33 4 4" xfId="14914"/>
    <cellStyle name="Input 33 4 4 2" xfId="43012"/>
    <cellStyle name="Input 33 4 4 3" xfId="43639"/>
    <cellStyle name="Input 33 4 4 4" xfId="32535"/>
    <cellStyle name="Input 33 4 5" xfId="13150"/>
    <cellStyle name="Input 33 4 5 2" xfId="42352"/>
    <cellStyle name="Input 33 4 5 3" xfId="39266"/>
    <cellStyle name="Input 33 4 5 4" xfId="30785"/>
    <cellStyle name="Input 33 4 6" xfId="20235"/>
    <cellStyle name="Input 33 4 6 2" xfId="45757"/>
    <cellStyle name="Input 33 4 6 3" xfId="49663"/>
    <cellStyle name="Input 33 4 6 4" xfId="37693"/>
    <cellStyle name="Input 33 4 7" xfId="19492"/>
    <cellStyle name="Input 33 4 7 2" xfId="45014"/>
    <cellStyle name="Input 33 4 7 3" xfId="48920"/>
    <cellStyle name="Input 33 4 7 4" xfId="37027"/>
    <cellStyle name="Input 33 4 8" xfId="20326"/>
    <cellStyle name="Input 33 4 8 2" xfId="45848"/>
    <cellStyle name="Input 33 4 8 3" xfId="49754"/>
    <cellStyle name="Input 33 4 9" xfId="39872"/>
    <cellStyle name="Input 33 5" xfId="22462"/>
    <cellStyle name="Input 33 5 2" xfId="23026"/>
    <cellStyle name="Input 33 5 2 2" xfId="47613"/>
    <cellStyle name="Input 33 5 2 3" xfId="51424"/>
    <cellStyle name="Input 33 5 3" xfId="47506"/>
    <cellStyle name="Input 33 5 4" xfId="51360"/>
    <cellStyle name="Input 33 5 5" xfId="53132"/>
    <cellStyle name="Input 33 6" xfId="22897"/>
    <cellStyle name="Input 33 6 2" xfId="23045"/>
    <cellStyle name="Input 33 6 2 2" xfId="47631"/>
    <cellStyle name="Input 33 6 2 3" xfId="51442"/>
    <cellStyle name="Input 33 6 3" xfId="47587"/>
    <cellStyle name="Input 33 6 4" xfId="51402"/>
    <cellStyle name="Input 33 6 5" xfId="53133"/>
    <cellStyle name="Input 33 7" xfId="53127"/>
    <cellStyle name="Input 33_Sheet1" xfId="1975"/>
    <cellStyle name="Input 34" xfId="1976"/>
    <cellStyle name="Input 34 2" xfId="1977"/>
    <cellStyle name="Input 34 2 2" xfId="1978"/>
    <cellStyle name="Input 34 2 2 2" xfId="7138"/>
    <cellStyle name="Input 34 2 2 2 10" xfId="42734"/>
    <cellStyle name="Input 34 2 2 2 2" xfId="10665"/>
    <cellStyle name="Input 34 2 2 2 2 2" xfId="18452"/>
    <cellStyle name="Input 34 2 2 2 2 2 2" xfId="43984"/>
    <cellStyle name="Input 34 2 2 2 2 2 3" xfId="47893"/>
    <cellStyle name="Input 34 2 2 2 2 2 4" xfId="36075"/>
    <cellStyle name="Input 34 2 2 2 2 3" xfId="19730"/>
    <cellStyle name="Input 34 2 2 2 2 3 2" xfId="45252"/>
    <cellStyle name="Input 34 2 2 2 2 3 3" xfId="49158"/>
    <cellStyle name="Input 34 2 2 2 2 3 4" xfId="37243"/>
    <cellStyle name="Input 34 2 2 2 2 4" xfId="11546"/>
    <cellStyle name="Input 34 2 2 2 2 4 2" xfId="41537"/>
    <cellStyle name="Input 34 2 2 2 2 4 3" xfId="41998"/>
    <cellStyle name="Input 34 2 2 2 2 4 4" xfId="29244"/>
    <cellStyle name="Input 34 2 2 2 2 5" xfId="20865"/>
    <cellStyle name="Input 34 2 2 2 2 5 2" xfId="46387"/>
    <cellStyle name="Input 34 2 2 2 2 5 3" xfId="50293"/>
    <cellStyle name="Input 34 2 2 2 2 5 4" xfId="38257"/>
    <cellStyle name="Input 34 2 2 2 2 6" xfId="21518"/>
    <cellStyle name="Input 34 2 2 2 2 6 2" xfId="47040"/>
    <cellStyle name="Input 34 2 2 2 2 6 3" xfId="50946"/>
    <cellStyle name="Input 34 2 2 2 2 7" xfId="40843"/>
    <cellStyle name="Input 34 2 2 2 2 8" xfId="43212"/>
    <cellStyle name="Input 34 2 2 2 3" xfId="10960"/>
    <cellStyle name="Input 34 2 2 2 3 2" xfId="18747"/>
    <cellStyle name="Input 34 2 2 2 3 2 2" xfId="44279"/>
    <cellStyle name="Input 34 2 2 2 3 2 3" xfId="48188"/>
    <cellStyle name="Input 34 2 2 2 3 2 4" xfId="36370"/>
    <cellStyle name="Input 34 2 2 2 3 3" xfId="19866"/>
    <cellStyle name="Input 34 2 2 2 3 3 2" xfId="45388"/>
    <cellStyle name="Input 34 2 2 2 3 3 3" xfId="49294"/>
    <cellStyle name="Input 34 2 2 2 3 3 4" xfId="37366"/>
    <cellStyle name="Input 34 2 2 2 3 4" xfId="19456"/>
    <cellStyle name="Input 34 2 2 2 3 4 2" xfId="44978"/>
    <cellStyle name="Input 34 2 2 2 3 4 3" xfId="48884"/>
    <cellStyle name="Input 34 2 2 2 3 4 4" xfId="37000"/>
    <cellStyle name="Input 34 2 2 2 3 5" xfId="21160"/>
    <cellStyle name="Input 34 2 2 2 3 5 2" xfId="46682"/>
    <cellStyle name="Input 34 2 2 2 3 5 3" xfId="50588"/>
    <cellStyle name="Input 34 2 2 2 3 5 4" xfId="38552"/>
    <cellStyle name="Input 34 2 2 2 3 6" xfId="21813"/>
    <cellStyle name="Input 34 2 2 2 3 6 2" xfId="47335"/>
    <cellStyle name="Input 34 2 2 2 3 6 3" xfId="51241"/>
    <cellStyle name="Input 34 2 2 2 3 7" xfId="41138"/>
    <cellStyle name="Input 34 2 2 2 3 8" xfId="40450"/>
    <cellStyle name="Input 34 2 2 2 4" xfId="14920"/>
    <cellStyle name="Input 34 2 2 2 4 2" xfId="43018"/>
    <cellStyle name="Input 34 2 2 2 4 3" xfId="39500"/>
    <cellStyle name="Input 34 2 2 2 4 4" xfId="32541"/>
    <cellStyle name="Input 34 2 2 2 5" xfId="11311"/>
    <cellStyle name="Input 34 2 2 2 5 2" xfId="41336"/>
    <cellStyle name="Input 34 2 2 2 5 3" xfId="42799"/>
    <cellStyle name="Input 34 2 2 2 5 4" xfId="29025"/>
    <cellStyle name="Input 34 2 2 2 6" xfId="11335"/>
    <cellStyle name="Input 34 2 2 2 6 2" xfId="41354"/>
    <cellStyle name="Input 34 2 2 2 6 3" xfId="43687"/>
    <cellStyle name="Input 34 2 2 2 6 4" xfId="29047"/>
    <cellStyle name="Input 34 2 2 2 7" xfId="20317"/>
    <cellStyle name="Input 34 2 2 2 7 2" xfId="45839"/>
    <cellStyle name="Input 34 2 2 2 7 3" xfId="49745"/>
    <cellStyle name="Input 34 2 2 2 7 4" xfId="37767"/>
    <cellStyle name="Input 34 2 2 2 8" xfId="13297"/>
    <cellStyle name="Input 34 2 2 2 8 2" xfId="42448"/>
    <cellStyle name="Input 34 2 2 2 8 3" xfId="40403"/>
    <cellStyle name="Input 34 2 2 2 9" xfId="39878"/>
    <cellStyle name="Input 34 2 2 3" xfId="53136"/>
    <cellStyle name="Input 34 2 3" xfId="7137"/>
    <cellStyle name="Input 34 2 3 10" xfId="39934"/>
    <cellStyle name="Input 34 2 3 2" xfId="10664"/>
    <cellStyle name="Input 34 2 3 2 2" xfId="18451"/>
    <cellStyle name="Input 34 2 3 2 2 2" xfId="43983"/>
    <cellStyle name="Input 34 2 3 2 2 3" xfId="47892"/>
    <cellStyle name="Input 34 2 3 2 2 4" xfId="36074"/>
    <cellStyle name="Input 34 2 3 2 3" xfId="13913"/>
    <cellStyle name="Input 34 2 3 2 3 2" xfId="42629"/>
    <cellStyle name="Input 34 2 3 2 3 3" xfId="39615"/>
    <cellStyle name="Input 34 2 3 2 3 4" xfId="31535"/>
    <cellStyle name="Input 34 2 3 2 4" xfId="20291"/>
    <cellStyle name="Input 34 2 3 2 4 2" xfId="45813"/>
    <cellStyle name="Input 34 2 3 2 4 3" xfId="49719"/>
    <cellStyle name="Input 34 2 3 2 4 4" xfId="37743"/>
    <cellStyle name="Input 34 2 3 2 5" xfId="20864"/>
    <cellStyle name="Input 34 2 3 2 5 2" xfId="46386"/>
    <cellStyle name="Input 34 2 3 2 5 3" xfId="50292"/>
    <cellStyle name="Input 34 2 3 2 5 4" xfId="38256"/>
    <cellStyle name="Input 34 2 3 2 6" xfId="21517"/>
    <cellStyle name="Input 34 2 3 2 6 2" xfId="47039"/>
    <cellStyle name="Input 34 2 3 2 6 3" xfId="50945"/>
    <cellStyle name="Input 34 2 3 2 7" xfId="40842"/>
    <cellStyle name="Input 34 2 3 2 8" xfId="41409"/>
    <cellStyle name="Input 34 2 3 3" xfId="10959"/>
    <cellStyle name="Input 34 2 3 3 2" xfId="18746"/>
    <cellStyle name="Input 34 2 3 3 2 2" xfId="44278"/>
    <cellStyle name="Input 34 2 3 3 2 3" xfId="48187"/>
    <cellStyle name="Input 34 2 3 3 2 4" xfId="36369"/>
    <cellStyle name="Input 34 2 3 3 3" xfId="19257"/>
    <cellStyle name="Input 34 2 3 3 3 2" xfId="44779"/>
    <cellStyle name="Input 34 2 3 3 3 3" xfId="48685"/>
    <cellStyle name="Input 34 2 3 3 3 4" xfId="36821"/>
    <cellStyle name="Input 34 2 3 3 4" xfId="11653"/>
    <cellStyle name="Input 34 2 3 3 4 2" xfId="41644"/>
    <cellStyle name="Input 34 2 3 3 4 3" xfId="40178"/>
    <cellStyle name="Input 34 2 3 3 4 4" xfId="29338"/>
    <cellStyle name="Input 34 2 3 3 5" xfId="21159"/>
    <cellStyle name="Input 34 2 3 3 5 2" xfId="46681"/>
    <cellStyle name="Input 34 2 3 3 5 3" xfId="50587"/>
    <cellStyle name="Input 34 2 3 3 5 4" xfId="38551"/>
    <cellStyle name="Input 34 2 3 3 6" xfId="21812"/>
    <cellStyle name="Input 34 2 3 3 6 2" xfId="47334"/>
    <cellStyle name="Input 34 2 3 3 6 3" xfId="51240"/>
    <cellStyle name="Input 34 2 3 3 7" xfId="41137"/>
    <cellStyle name="Input 34 2 3 3 8" xfId="43592"/>
    <cellStyle name="Input 34 2 3 4" xfId="14919"/>
    <cellStyle name="Input 34 2 3 4 2" xfId="43017"/>
    <cellStyle name="Input 34 2 3 4 3" xfId="40391"/>
    <cellStyle name="Input 34 2 3 4 4" xfId="32540"/>
    <cellStyle name="Input 34 2 3 5" xfId="12475"/>
    <cellStyle name="Input 34 2 3 5 2" xfId="41976"/>
    <cellStyle name="Input 34 2 3 5 3" xfId="42539"/>
    <cellStyle name="Input 34 2 3 5 4" xfId="30132"/>
    <cellStyle name="Input 34 2 3 6" xfId="20256"/>
    <cellStyle name="Input 34 2 3 6 2" xfId="45778"/>
    <cellStyle name="Input 34 2 3 6 3" xfId="49684"/>
    <cellStyle name="Input 34 2 3 6 4" xfId="37712"/>
    <cellStyle name="Input 34 2 3 7" xfId="11583"/>
    <cellStyle name="Input 34 2 3 7 2" xfId="41574"/>
    <cellStyle name="Input 34 2 3 7 3" xfId="41364"/>
    <cellStyle name="Input 34 2 3 7 4" xfId="29277"/>
    <cellStyle name="Input 34 2 3 8" xfId="19375"/>
    <cellStyle name="Input 34 2 3 8 2" xfId="44897"/>
    <cellStyle name="Input 34 2 3 8 3" xfId="48803"/>
    <cellStyle name="Input 34 2 3 9" xfId="39877"/>
    <cellStyle name="Input 34 2 4" xfId="53135"/>
    <cellStyle name="Input 34 2_Sheet1" xfId="1979"/>
    <cellStyle name="Input 34 3" xfId="1980"/>
    <cellStyle name="Input 34 3 2" xfId="7139"/>
    <cellStyle name="Input 34 3 2 10" xfId="43622"/>
    <cellStyle name="Input 34 3 2 2" xfId="10666"/>
    <cellStyle name="Input 34 3 2 2 2" xfId="18453"/>
    <cellStyle name="Input 34 3 2 2 2 2" xfId="43985"/>
    <cellStyle name="Input 34 3 2 2 2 3" xfId="47894"/>
    <cellStyle name="Input 34 3 2 2 2 4" xfId="36076"/>
    <cellStyle name="Input 34 3 2 2 3" xfId="11494"/>
    <cellStyle name="Input 34 3 2 2 3 2" xfId="41485"/>
    <cellStyle name="Input 34 3 2 2 3 3" xfId="42689"/>
    <cellStyle name="Input 34 3 2 2 3 4" xfId="29195"/>
    <cellStyle name="Input 34 3 2 2 4" xfId="20216"/>
    <cellStyle name="Input 34 3 2 2 4 2" xfId="45738"/>
    <cellStyle name="Input 34 3 2 2 4 3" xfId="49644"/>
    <cellStyle name="Input 34 3 2 2 4 4" xfId="37677"/>
    <cellStyle name="Input 34 3 2 2 5" xfId="20866"/>
    <cellStyle name="Input 34 3 2 2 5 2" xfId="46388"/>
    <cellStyle name="Input 34 3 2 2 5 3" xfId="50294"/>
    <cellStyle name="Input 34 3 2 2 5 4" xfId="38258"/>
    <cellStyle name="Input 34 3 2 2 6" xfId="21519"/>
    <cellStyle name="Input 34 3 2 2 6 2" xfId="47041"/>
    <cellStyle name="Input 34 3 2 2 6 3" xfId="50947"/>
    <cellStyle name="Input 34 3 2 2 7" xfId="40844"/>
    <cellStyle name="Input 34 3 2 2 8" xfId="40071"/>
    <cellStyle name="Input 34 3 2 3" xfId="10961"/>
    <cellStyle name="Input 34 3 2 3 2" xfId="18748"/>
    <cellStyle name="Input 34 3 2 3 2 2" xfId="44280"/>
    <cellStyle name="Input 34 3 2 3 2 3" xfId="48189"/>
    <cellStyle name="Input 34 3 2 3 2 4" xfId="36371"/>
    <cellStyle name="Input 34 3 2 3 3" xfId="19089"/>
    <cellStyle name="Input 34 3 2 3 3 2" xfId="44611"/>
    <cellStyle name="Input 34 3 2 3 3 3" xfId="48517"/>
    <cellStyle name="Input 34 3 2 3 3 4" xfId="36670"/>
    <cellStyle name="Input 34 3 2 3 4" xfId="19016"/>
    <cellStyle name="Input 34 3 2 3 4 2" xfId="44538"/>
    <cellStyle name="Input 34 3 2 3 4 3" xfId="48444"/>
    <cellStyle name="Input 34 3 2 3 4 4" xfId="36608"/>
    <cellStyle name="Input 34 3 2 3 5" xfId="21161"/>
    <cellStyle name="Input 34 3 2 3 5 2" xfId="46683"/>
    <cellStyle name="Input 34 3 2 3 5 3" xfId="50589"/>
    <cellStyle name="Input 34 3 2 3 5 4" xfId="38553"/>
    <cellStyle name="Input 34 3 2 3 6" xfId="21814"/>
    <cellStyle name="Input 34 3 2 3 6 2" xfId="47336"/>
    <cellStyle name="Input 34 3 2 3 6 3" xfId="51242"/>
    <cellStyle name="Input 34 3 2 3 7" xfId="41139"/>
    <cellStyle name="Input 34 3 2 3 8" xfId="39560"/>
    <cellStyle name="Input 34 3 2 4" xfId="14921"/>
    <cellStyle name="Input 34 3 2 4 2" xfId="43019"/>
    <cellStyle name="Input 34 3 2 4 3" xfId="42510"/>
    <cellStyle name="Input 34 3 2 4 4" xfId="32542"/>
    <cellStyle name="Input 34 3 2 5" xfId="12476"/>
    <cellStyle name="Input 34 3 2 5 2" xfId="41977"/>
    <cellStyle name="Input 34 3 2 5 3" xfId="43452"/>
    <cellStyle name="Input 34 3 2 5 4" xfId="30133"/>
    <cellStyle name="Input 34 3 2 6" xfId="19772"/>
    <cellStyle name="Input 34 3 2 6 2" xfId="45294"/>
    <cellStyle name="Input 34 3 2 6 3" xfId="49200"/>
    <cellStyle name="Input 34 3 2 6 4" xfId="37283"/>
    <cellStyle name="Input 34 3 2 7" xfId="20486"/>
    <cellStyle name="Input 34 3 2 7 2" xfId="46008"/>
    <cellStyle name="Input 34 3 2 7 3" xfId="49914"/>
    <cellStyle name="Input 34 3 2 7 4" xfId="37916"/>
    <cellStyle name="Input 34 3 2 8" xfId="18886"/>
    <cellStyle name="Input 34 3 2 8 2" xfId="44408"/>
    <cellStyle name="Input 34 3 2 8 3" xfId="48314"/>
    <cellStyle name="Input 34 3 2 9" xfId="39879"/>
    <cellStyle name="Input 34 3 3" xfId="53137"/>
    <cellStyle name="Input 34 4" xfId="7136"/>
    <cellStyle name="Input 34 4 10" xfId="40600"/>
    <cellStyle name="Input 34 4 11" xfId="53138"/>
    <cellStyle name="Input 34 4 2" xfId="10663"/>
    <cellStyle name="Input 34 4 2 2" xfId="18450"/>
    <cellStyle name="Input 34 4 2 2 2" xfId="43982"/>
    <cellStyle name="Input 34 4 2 2 3" xfId="47891"/>
    <cellStyle name="Input 34 4 2 2 4" xfId="36073"/>
    <cellStyle name="Input 34 4 2 3" xfId="11493"/>
    <cellStyle name="Input 34 4 2 3 2" xfId="41484"/>
    <cellStyle name="Input 34 4 2 3 3" xfId="39652"/>
    <cellStyle name="Input 34 4 2 3 4" xfId="29194"/>
    <cellStyle name="Input 34 4 2 4" xfId="11675"/>
    <cellStyle name="Input 34 4 2 4 2" xfId="41666"/>
    <cellStyle name="Input 34 4 2 4 3" xfId="39318"/>
    <cellStyle name="Input 34 4 2 4 4" xfId="29354"/>
    <cellStyle name="Input 34 4 2 5" xfId="20863"/>
    <cellStyle name="Input 34 4 2 5 2" xfId="46385"/>
    <cellStyle name="Input 34 4 2 5 3" xfId="50291"/>
    <cellStyle name="Input 34 4 2 5 4" xfId="38255"/>
    <cellStyle name="Input 34 4 2 6" xfId="21516"/>
    <cellStyle name="Input 34 4 2 6 2" xfId="47038"/>
    <cellStyle name="Input 34 4 2 6 3" xfId="50944"/>
    <cellStyle name="Input 34 4 2 7" xfId="40841"/>
    <cellStyle name="Input 34 4 2 8" xfId="39168"/>
    <cellStyle name="Input 34 4 3" xfId="10958"/>
    <cellStyle name="Input 34 4 3 2" xfId="18745"/>
    <cellStyle name="Input 34 4 3 2 2" xfId="44277"/>
    <cellStyle name="Input 34 4 3 2 3" xfId="48186"/>
    <cellStyle name="Input 34 4 3 2 4" xfId="36368"/>
    <cellStyle name="Input 34 4 3 3" xfId="19991"/>
    <cellStyle name="Input 34 4 3 3 2" xfId="45513"/>
    <cellStyle name="Input 34 4 3 3 3" xfId="49419"/>
    <cellStyle name="Input 34 4 3 3 4" xfId="37475"/>
    <cellStyle name="Input 34 4 3 4" xfId="12079"/>
    <cellStyle name="Input 34 4 3 4 2" xfId="41804"/>
    <cellStyle name="Input 34 4 3 4 3" xfId="39303"/>
    <cellStyle name="Input 34 4 3 4 4" xfId="29741"/>
    <cellStyle name="Input 34 4 3 5" xfId="21158"/>
    <cellStyle name="Input 34 4 3 5 2" xfId="46680"/>
    <cellStyle name="Input 34 4 3 5 3" xfId="50586"/>
    <cellStyle name="Input 34 4 3 5 4" xfId="38550"/>
    <cellStyle name="Input 34 4 3 6" xfId="21811"/>
    <cellStyle name="Input 34 4 3 6 2" xfId="47333"/>
    <cellStyle name="Input 34 4 3 6 3" xfId="51239"/>
    <cellStyle name="Input 34 4 3 7" xfId="41136"/>
    <cellStyle name="Input 34 4 3 8" xfId="42703"/>
    <cellStyle name="Input 34 4 4" xfId="14918"/>
    <cellStyle name="Input 34 4 4 2" xfId="43016"/>
    <cellStyle name="Input 34 4 4 3" xfId="43530"/>
    <cellStyle name="Input 34 4 4 4" xfId="32539"/>
    <cellStyle name="Input 34 4 5" xfId="12474"/>
    <cellStyle name="Input 34 4 5 2" xfId="41975"/>
    <cellStyle name="Input 34 4 5 3" xfId="39533"/>
    <cellStyle name="Input 34 4 5 4" xfId="30131"/>
    <cellStyle name="Input 34 4 6" xfId="11454"/>
    <cellStyle name="Input 34 4 6 2" xfId="41445"/>
    <cellStyle name="Input 34 4 6 3" xfId="42557"/>
    <cellStyle name="Input 34 4 6 4" xfId="29159"/>
    <cellStyle name="Input 34 4 7" xfId="11793"/>
    <cellStyle name="Input 34 4 7 2" xfId="41723"/>
    <cellStyle name="Input 34 4 7 3" xfId="43140"/>
    <cellStyle name="Input 34 4 7 4" xfId="29465"/>
    <cellStyle name="Input 34 4 8" xfId="13903"/>
    <cellStyle name="Input 34 4 8 2" xfId="42619"/>
    <cellStyle name="Input 34 4 8 3" xfId="39255"/>
    <cellStyle name="Input 34 4 9" xfId="39876"/>
    <cellStyle name="Input 34 5" xfId="22463"/>
    <cellStyle name="Input 34 5 2" xfId="23027"/>
    <cellStyle name="Input 34 5 2 2" xfId="47614"/>
    <cellStyle name="Input 34 5 2 3" xfId="51425"/>
    <cellStyle name="Input 34 5 3" xfId="47507"/>
    <cellStyle name="Input 34 5 4" xfId="51361"/>
    <cellStyle name="Input 34 5 5" xfId="53139"/>
    <cellStyle name="Input 34 6" xfId="22896"/>
    <cellStyle name="Input 34 6 2" xfId="23044"/>
    <cellStyle name="Input 34 6 2 2" xfId="47630"/>
    <cellStyle name="Input 34 6 2 3" xfId="51441"/>
    <cellStyle name="Input 34 6 3" xfId="47586"/>
    <cellStyle name="Input 34 6 4" xfId="51401"/>
    <cellStyle name="Input 34 6 5" xfId="53140"/>
    <cellStyle name="Input 34 7" xfId="53134"/>
    <cellStyle name="Input 34_Sheet1" xfId="1981"/>
    <cellStyle name="Input 35" xfId="1982"/>
    <cellStyle name="Input 35 2" xfId="1983"/>
    <cellStyle name="Input 35 2 2" xfId="1984"/>
    <cellStyle name="Input 35 2 2 2" xfId="7142"/>
    <cellStyle name="Input 35 2 2 2 10" xfId="42598"/>
    <cellStyle name="Input 35 2 2 2 2" xfId="10669"/>
    <cellStyle name="Input 35 2 2 2 2 2" xfId="18456"/>
    <cellStyle name="Input 35 2 2 2 2 2 2" xfId="43988"/>
    <cellStyle name="Input 35 2 2 2 2 2 3" xfId="47897"/>
    <cellStyle name="Input 35 2 2 2 2 2 4" xfId="36079"/>
    <cellStyle name="Input 35 2 2 2 2 3" xfId="19593"/>
    <cellStyle name="Input 35 2 2 2 2 3 2" xfId="45115"/>
    <cellStyle name="Input 35 2 2 2 2 3 3" xfId="49021"/>
    <cellStyle name="Input 35 2 2 2 2 3 4" xfId="37119"/>
    <cellStyle name="Input 35 2 2 2 2 4" xfId="11440"/>
    <cellStyle name="Input 35 2 2 2 2 4 2" xfId="41431"/>
    <cellStyle name="Input 35 2 2 2 2 4 3" xfId="43327"/>
    <cellStyle name="Input 35 2 2 2 2 4 4" xfId="29146"/>
    <cellStyle name="Input 35 2 2 2 2 5" xfId="20869"/>
    <cellStyle name="Input 35 2 2 2 2 5 2" xfId="46391"/>
    <cellStyle name="Input 35 2 2 2 2 5 3" xfId="50297"/>
    <cellStyle name="Input 35 2 2 2 2 5 4" xfId="38261"/>
    <cellStyle name="Input 35 2 2 2 2 6" xfId="21522"/>
    <cellStyle name="Input 35 2 2 2 2 6 2" xfId="47044"/>
    <cellStyle name="Input 35 2 2 2 2 6 3" xfId="50950"/>
    <cellStyle name="Input 35 2 2 2 2 7" xfId="40847"/>
    <cellStyle name="Input 35 2 2 2 2 8" xfId="40568"/>
    <cellStyle name="Input 35 2 2 2 3" xfId="10964"/>
    <cellStyle name="Input 35 2 2 2 3 2" xfId="18751"/>
    <cellStyle name="Input 35 2 2 2 3 2 2" xfId="44283"/>
    <cellStyle name="Input 35 2 2 2 3 2 3" xfId="48192"/>
    <cellStyle name="Input 35 2 2 2 3 2 4" xfId="36374"/>
    <cellStyle name="Input 35 2 2 2 3 3" xfId="20124"/>
    <cellStyle name="Input 35 2 2 2 3 3 2" xfId="45646"/>
    <cellStyle name="Input 35 2 2 2 3 3 3" xfId="49552"/>
    <cellStyle name="Input 35 2 2 2 3 3 4" xfId="37596"/>
    <cellStyle name="Input 35 2 2 2 3 4" xfId="11616"/>
    <cellStyle name="Input 35 2 2 2 3 4 2" xfId="41607"/>
    <cellStyle name="Input 35 2 2 2 3 4 3" xfId="43463"/>
    <cellStyle name="Input 35 2 2 2 3 4 4" xfId="29305"/>
    <cellStyle name="Input 35 2 2 2 3 5" xfId="21164"/>
    <cellStyle name="Input 35 2 2 2 3 5 2" xfId="46686"/>
    <cellStyle name="Input 35 2 2 2 3 5 3" xfId="50592"/>
    <cellStyle name="Input 35 2 2 2 3 5 4" xfId="38556"/>
    <cellStyle name="Input 35 2 2 2 3 6" xfId="21817"/>
    <cellStyle name="Input 35 2 2 2 3 6 2" xfId="47339"/>
    <cellStyle name="Input 35 2 2 2 3 6 3" xfId="51245"/>
    <cellStyle name="Input 35 2 2 2 3 7" xfId="41142"/>
    <cellStyle name="Input 35 2 2 2 3 8" xfId="40344"/>
    <cellStyle name="Input 35 2 2 2 4" xfId="14924"/>
    <cellStyle name="Input 35 2 2 2 4 2" xfId="43022"/>
    <cellStyle name="Input 35 2 2 2 4 3" xfId="39400"/>
    <cellStyle name="Input 35 2 2 2 4 4" xfId="32545"/>
    <cellStyle name="Input 35 2 2 2 5" xfId="13156"/>
    <cellStyle name="Input 35 2 2 2 5 2" xfId="42358"/>
    <cellStyle name="Input 35 2 2 2 5 3" xfId="39063"/>
    <cellStyle name="Input 35 2 2 2 5 4" xfId="30791"/>
    <cellStyle name="Input 35 2 2 2 6" xfId="12035"/>
    <cellStyle name="Input 35 2 2 2 6 2" xfId="41771"/>
    <cellStyle name="Input 35 2 2 2 6 3" xfId="47559"/>
    <cellStyle name="Input 35 2 2 2 6 4" xfId="29700"/>
    <cellStyle name="Input 35 2 2 2 7" xfId="20455"/>
    <cellStyle name="Input 35 2 2 2 7 2" xfId="45977"/>
    <cellStyle name="Input 35 2 2 2 7 3" xfId="49883"/>
    <cellStyle name="Input 35 2 2 2 7 4" xfId="37894"/>
    <cellStyle name="Input 35 2 2 2 8" xfId="19211"/>
    <cellStyle name="Input 35 2 2 2 8 2" xfId="44733"/>
    <cellStyle name="Input 35 2 2 2 8 3" xfId="48639"/>
    <cellStyle name="Input 35 2 2 2 9" xfId="39882"/>
    <cellStyle name="Input 35 2 2 3" xfId="53143"/>
    <cellStyle name="Input 35 2 3" xfId="7141"/>
    <cellStyle name="Input 35 2 3 10" xfId="39590"/>
    <cellStyle name="Input 35 2 3 2" xfId="10668"/>
    <cellStyle name="Input 35 2 3 2 2" xfId="18455"/>
    <cellStyle name="Input 35 2 3 2 2 2" xfId="43987"/>
    <cellStyle name="Input 35 2 3 2 2 3" xfId="47896"/>
    <cellStyle name="Input 35 2 3 2 2 4" xfId="36078"/>
    <cellStyle name="Input 35 2 3 2 3" xfId="12621"/>
    <cellStyle name="Input 35 2 3 2 3 2" xfId="42081"/>
    <cellStyle name="Input 35 2 3 2 3 3" xfId="40524"/>
    <cellStyle name="Input 35 2 3 2 3 4" xfId="30272"/>
    <cellStyle name="Input 35 2 3 2 4" xfId="19812"/>
    <cellStyle name="Input 35 2 3 2 4 2" xfId="45334"/>
    <cellStyle name="Input 35 2 3 2 4 3" xfId="49240"/>
    <cellStyle name="Input 35 2 3 2 4 4" xfId="37316"/>
    <cellStyle name="Input 35 2 3 2 5" xfId="20868"/>
    <cellStyle name="Input 35 2 3 2 5 2" xfId="46390"/>
    <cellStyle name="Input 35 2 3 2 5 3" xfId="50296"/>
    <cellStyle name="Input 35 2 3 2 5 4" xfId="38260"/>
    <cellStyle name="Input 35 2 3 2 6" xfId="21521"/>
    <cellStyle name="Input 35 2 3 2 6 2" xfId="47043"/>
    <cellStyle name="Input 35 2 3 2 6 3" xfId="50949"/>
    <cellStyle name="Input 35 2 3 2 7" xfId="40846"/>
    <cellStyle name="Input 35 2 3 2 8" xfId="43709"/>
    <cellStyle name="Input 35 2 3 3" xfId="10963"/>
    <cellStyle name="Input 35 2 3 3 2" xfId="18750"/>
    <cellStyle name="Input 35 2 3 3 2 2" xfId="44282"/>
    <cellStyle name="Input 35 2 3 3 2 3" xfId="48191"/>
    <cellStyle name="Input 35 2 3 3 2 4" xfId="36373"/>
    <cellStyle name="Input 35 2 3 3 3" xfId="19573"/>
    <cellStyle name="Input 35 2 3 3 3 2" xfId="45095"/>
    <cellStyle name="Input 35 2 3 3 3 3" xfId="49001"/>
    <cellStyle name="Input 35 2 3 3 3 4" xfId="37099"/>
    <cellStyle name="Input 35 2 3 3 4" xfId="11552"/>
    <cellStyle name="Input 35 2 3 3 4 2" xfId="41543"/>
    <cellStyle name="Input 35 2 3 3 4 3" xfId="39650"/>
    <cellStyle name="Input 35 2 3 3 4 4" xfId="29250"/>
    <cellStyle name="Input 35 2 3 3 5" xfId="21163"/>
    <cellStyle name="Input 35 2 3 3 5 2" xfId="46685"/>
    <cellStyle name="Input 35 2 3 3 5 3" xfId="50591"/>
    <cellStyle name="Input 35 2 3 3 5 4" xfId="38555"/>
    <cellStyle name="Input 35 2 3 3 6" xfId="21816"/>
    <cellStyle name="Input 35 2 3 3 6 2" xfId="47338"/>
    <cellStyle name="Input 35 2 3 3 6 3" xfId="51244"/>
    <cellStyle name="Input 35 2 3 3 7" xfId="41141"/>
    <cellStyle name="Input 35 2 3 3 8" xfId="43481"/>
    <cellStyle name="Input 35 2 3 4" xfId="14923"/>
    <cellStyle name="Input 35 2 3 4 2" xfId="43021"/>
    <cellStyle name="Input 35 2 3 4 3" xfId="40283"/>
    <cellStyle name="Input 35 2 3 4 4" xfId="32544"/>
    <cellStyle name="Input 35 2 3 5" xfId="13155"/>
    <cellStyle name="Input 35 2 3 5 2" xfId="42357"/>
    <cellStyle name="Input 35 2 3 5 3" xfId="39064"/>
    <cellStyle name="Input 35 2 3 5 4" xfId="30790"/>
    <cellStyle name="Input 35 2 3 6" xfId="20182"/>
    <cellStyle name="Input 35 2 3 6 2" xfId="45704"/>
    <cellStyle name="Input 35 2 3 6 3" xfId="49610"/>
    <cellStyle name="Input 35 2 3 6 4" xfId="37651"/>
    <cellStyle name="Input 35 2 3 7" xfId="13300"/>
    <cellStyle name="Input 35 2 3 7 2" xfId="42451"/>
    <cellStyle name="Input 35 2 3 7 3" xfId="43431"/>
    <cellStyle name="Input 35 2 3 7 4" xfId="30927"/>
    <cellStyle name="Input 35 2 3 8" xfId="19143"/>
    <cellStyle name="Input 35 2 3 8 2" xfId="44665"/>
    <cellStyle name="Input 35 2 3 8 3" xfId="48571"/>
    <cellStyle name="Input 35 2 3 9" xfId="39881"/>
    <cellStyle name="Input 35 2 4" xfId="53142"/>
    <cellStyle name="Input 35 2_Sheet1" xfId="1985"/>
    <cellStyle name="Input 35 3" xfId="1986"/>
    <cellStyle name="Input 35 3 2" xfId="7143"/>
    <cellStyle name="Input 35 3 2 10" xfId="43511"/>
    <cellStyle name="Input 35 3 2 2" xfId="10670"/>
    <cellStyle name="Input 35 3 2 2 2" xfId="18457"/>
    <cellStyle name="Input 35 3 2 2 2 2" xfId="43989"/>
    <cellStyle name="Input 35 3 2 2 2 3" xfId="47898"/>
    <cellStyle name="Input 35 3 2 2 2 4" xfId="36080"/>
    <cellStyle name="Input 35 3 2 2 3" xfId="20147"/>
    <cellStyle name="Input 35 3 2 2 3 2" xfId="45669"/>
    <cellStyle name="Input 35 3 2 2 3 3" xfId="49575"/>
    <cellStyle name="Input 35 3 2 2 3 4" xfId="37619"/>
    <cellStyle name="Input 35 3 2 2 4" xfId="11531"/>
    <cellStyle name="Input 35 3 2 2 4 2" xfId="41522"/>
    <cellStyle name="Input 35 3 2 2 4 3" xfId="43679"/>
    <cellStyle name="Input 35 3 2 2 4 4" xfId="29231"/>
    <cellStyle name="Input 35 3 2 2 5" xfId="20870"/>
    <cellStyle name="Input 35 3 2 2 5 2" xfId="46392"/>
    <cellStyle name="Input 35 3 2 2 5 3" xfId="50298"/>
    <cellStyle name="Input 35 3 2 2 5 4" xfId="38262"/>
    <cellStyle name="Input 35 3 2 2 6" xfId="21523"/>
    <cellStyle name="Input 35 3 2 2 6 2" xfId="47045"/>
    <cellStyle name="Input 35 3 2 2 6 3" xfId="50951"/>
    <cellStyle name="Input 35 3 2 2 7" xfId="40848"/>
    <cellStyle name="Input 35 3 2 2 8" xfId="39679"/>
    <cellStyle name="Input 35 3 2 3" xfId="10965"/>
    <cellStyle name="Input 35 3 2 3 2" xfId="18752"/>
    <cellStyle name="Input 35 3 2 3 2 2" xfId="44284"/>
    <cellStyle name="Input 35 3 2 3 2 3" xfId="48193"/>
    <cellStyle name="Input 35 3 2 3 2 4" xfId="36375"/>
    <cellStyle name="Input 35 3 2 3 3" xfId="19383"/>
    <cellStyle name="Input 35 3 2 3 3 2" xfId="44905"/>
    <cellStyle name="Input 35 3 2 3 3 3" xfId="48811"/>
    <cellStyle name="Input 35 3 2 3 3 4" xfId="36934"/>
    <cellStyle name="Input 35 3 2 3 4" xfId="20327"/>
    <cellStyle name="Input 35 3 2 3 4 2" xfId="45849"/>
    <cellStyle name="Input 35 3 2 3 4 3" xfId="49755"/>
    <cellStyle name="Input 35 3 2 3 4 4" xfId="37775"/>
    <cellStyle name="Input 35 3 2 3 5" xfId="21165"/>
    <cellStyle name="Input 35 3 2 3 5 2" xfId="46687"/>
    <cellStyle name="Input 35 3 2 3 5 3" xfId="50593"/>
    <cellStyle name="Input 35 3 2 3 5 4" xfId="38557"/>
    <cellStyle name="Input 35 3 2 3 6" xfId="21818"/>
    <cellStyle name="Input 35 3 2 3 6 2" xfId="47340"/>
    <cellStyle name="Input 35 3 2 3 6 3" xfId="51246"/>
    <cellStyle name="Input 35 3 2 3 7" xfId="41143"/>
    <cellStyle name="Input 35 3 2 3 8" xfId="39456"/>
    <cellStyle name="Input 35 3 2 4" xfId="14925"/>
    <cellStyle name="Input 35 3 2 4 2" xfId="43023"/>
    <cellStyle name="Input 35 3 2 4 3" xfId="41915"/>
    <cellStyle name="Input 35 3 2 4 4" xfId="32546"/>
    <cellStyle name="Input 35 3 2 5" xfId="13157"/>
    <cellStyle name="Input 35 3 2 5 2" xfId="42359"/>
    <cellStyle name="Input 35 3 2 5 3" xfId="39062"/>
    <cellStyle name="Input 35 3 2 5 4" xfId="30792"/>
    <cellStyle name="Input 35 3 2 6" xfId="19912"/>
    <cellStyle name="Input 35 3 2 6 2" xfId="45434"/>
    <cellStyle name="Input 35 3 2 6 3" xfId="49340"/>
    <cellStyle name="Input 35 3 2 6 4" xfId="37412"/>
    <cellStyle name="Input 35 3 2 7" xfId="19496"/>
    <cellStyle name="Input 35 3 2 7 2" xfId="45018"/>
    <cellStyle name="Input 35 3 2 7 3" xfId="48924"/>
    <cellStyle name="Input 35 3 2 7 4" xfId="37030"/>
    <cellStyle name="Input 35 3 2 8" xfId="12068"/>
    <cellStyle name="Input 35 3 2 8 2" xfId="41794"/>
    <cellStyle name="Input 35 3 2 8 3" xfId="41971"/>
    <cellStyle name="Input 35 3 2 9" xfId="39883"/>
    <cellStyle name="Input 35 3 3" xfId="53144"/>
    <cellStyle name="Input 35 4" xfId="7140"/>
    <cellStyle name="Input 35 4 10" xfId="40480"/>
    <cellStyle name="Input 35 4 11" xfId="53145"/>
    <cellStyle name="Input 35 4 2" xfId="10667"/>
    <cellStyle name="Input 35 4 2 2" xfId="18454"/>
    <cellStyle name="Input 35 4 2 2 2" xfId="43986"/>
    <cellStyle name="Input 35 4 2 2 3" xfId="47895"/>
    <cellStyle name="Input 35 4 2 2 4" xfId="36077"/>
    <cellStyle name="Input 35 4 2 3" xfId="19729"/>
    <cellStyle name="Input 35 4 2 3 2" xfId="45251"/>
    <cellStyle name="Input 35 4 2 3 3" xfId="49157"/>
    <cellStyle name="Input 35 4 2 3 4" xfId="37242"/>
    <cellStyle name="Input 35 4 2 4" xfId="11547"/>
    <cellStyle name="Input 35 4 2 4 2" xfId="41538"/>
    <cellStyle name="Input 35 4 2 4 3" xfId="43321"/>
    <cellStyle name="Input 35 4 2 4 4" xfId="29245"/>
    <cellStyle name="Input 35 4 2 5" xfId="20867"/>
    <cellStyle name="Input 35 4 2 5 2" xfId="46389"/>
    <cellStyle name="Input 35 4 2 5 3" xfId="50295"/>
    <cellStyle name="Input 35 4 2 5 4" xfId="38259"/>
    <cellStyle name="Input 35 4 2 6" xfId="21520"/>
    <cellStyle name="Input 35 4 2 6 2" xfId="47042"/>
    <cellStyle name="Input 35 4 2 6 3" xfId="50948"/>
    <cellStyle name="Input 35 4 2 7" xfId="40845"/>
    <cellStyle name="Input 35 4 2 8" xfId="42820"/>
    <cellStyle name="Input 35 4 3" xfId="10962"/>
    <cellStyle name="Input 35 4 3 2" xfId="18749"/>
    <cellStyle name="Input 35 4 3 2 2" xfId="44281"/>
    <cellStyle name="Input 35 4 3 2 3" xfId="48190"/>
    <cellStyle name="Input 35 4 3 2 4" xfId="36372"/>
    <cellStyle name="Input 35 4 3 3" xfId="12632"/>
    <cellStyle name="Input 35 4 3 3 2" xfId="42092"/>
    <cellStyle name="Input 35 4 3 3 3" xfId="43306"/>
    <cellStyle name="Input 35 4 3 3 4" xfId="30283"/>
    <cellStyle name="Input 35 4 3 4" xfId="13304"/>
    <cellStyle name="Input 35 4 3 4 2" xfId="42455"/>
    <cellStyle name="Input 35 4 3 4 3" xfId="43283"/>
    <cellStyle name="Input 35 4 3 4 4" xfId="30930"/>
    <cellStyle name="Input 35 4 3 5" xfId="21162"/>
    <cellStyle name="Input 35 4 3 5 2" xfId="46684"/>
    <cellStyle name="Input 35 4 3 5 3" xfId="50590"/>
    <cellStyle name="Input 35 4 3 5 4" xfId="38554"/>
    <cellStyle name="Input 35 4 3 6" xfId="21815"/>
    <cellStyle name="Input 35 4 3 6 2" xfId="47337"/>
    <cellStyle name="Input 35 4 3 6 3" xfId="51243"/>
    <cellStyle name="Input 35 4 3 7" xfId="41140"/>
    <cellStyle name="Input 35 4 3 8" xfId="42568"/>
    <cellStyle name="Input 35 4 4" xfId="14922"/>
    <cellStyle name="Input 35 4 4 2" xfId="43020"/>
    <cellStyle name="Input 35 4 4 3" xfId="43421"/>
    <cellStyle name="Input 35 4 4 4" xfId="32543"/>
    <cellStyle name="Input 35 4 5" xfId="13154"/>
    <cellStyle name="Input 35 4 5 2" xfId="42356"/>
    <cellStyle name="Input 35 4 5 3" xfId="39065"/>
    <cellStyle name="Input 35 4 5 4" xfId="30789"/>
    <cellStyle name="Input 35 4 6" xfId="12855"/>
    <cellStyle name="Input 35 4 6 2" xfId="42219"/>
    <cellStyle name="Input 35 4 6 3" xfId="40415"/>
    <cellStyle name="Input 35 4 6 4" xfId="30493"/>
    <cellStyle name="Input 35 4 7" xfId="12047"/>
    <cellStyle name="Input 35 4 7 2" xfId="41782"/>
    <cellStyle name="Input 35 4 7 3" xfId="39431"/>
    <cellStyle name="Input 35 4 7 4" xfId="29712"/>
    <cellStyle name="Input 35 4 8" xfId="19922"/>
    <cellStyle name="Input 35 4 8 2" xfId="45444"/>
    <cellStyle name="Input 35 4 8 3" xfId="49350"/>
    <cellStyle name="Input 35 4 9" xfId="39880"/>
    <cellStyle name="Input 35 5" xfId="22464"/>
    <cellStyle name="Input 35 5 2" xfId="23028"/>
    <cellStyle name="Input 35 5 2 2" xfId="47615"/>
    <cellStyle name="Input 35 5 2 3" xfId="51426"/>
    <cellStyle name="Input 35 5 3" xfId="47508"/>
    <cellStyle name="Input 35 5 4" xfId="51362"/>
    <cellStyle name="Input 35 5 5" xfId="53146"/>
    <cellStyle name="Input 35 6" xfId="22895"/>
    <cellStyle name="Input 35 6 2" xfId="23043"/>
    <cellStyle name="Input 35 6 2 2" xfId="47629"/>
    <cellStyle name="Input 35 6 2 3" xfId="51440"/>
    <cellStyle name="Input 35 6 3" xfId="47585"/>
    <cellStyle name="Input 35 6 4" xfId="51400"/>
    <cellStyle name="Input 35 6 5" xfId="53147"/>
    <cellStyle name="Input 35 7" xfId="53141"/>
    <cellStyle name="Input 35_Sheet1" xfId="1987"/>
    <cellStyle name="Input 36" xfId="1988"/>
    <cellStyle name="Input 36 2" xfId="7144"/>
    <cellStyle name="Input 36 2 10" xfId="40374"/>
    <cellStyle name="Input 36 2 11" xfId="53149"/>
    <cellStyle name="Input 36 2 2" xfId="10671"/>
    <cellStyle name="Input 36 2 2 2" xfId="18458"/>
    <cellStyle name="Input 36 2 2 2 2" xfId="43990"/>
    <cellStyle name="Input 36 2 2 2 3" xfId="47899"/>
    <cellStyle name="Input 36 2 2 2 4" xfId="36081"/>
    <cellStyle name="Input 36 2 2 3" xfId="19406"/>
    <cellStyle name="Input 36 2 2 3 2" xfId="44928"/>
    <cellStyle name="Input 36 2 2 3 3" xfId="48834"/>
    <cellStyle name="Input 36 2 2 3 4" xfId="36957"/>
    <cellStyle name="Input 36 2 2 4" xfId="19555"/>
    <cellStyle name="Input 36 2 2 4 2" xfId="45077"/>
    <cellStyle name="Input 36 2 2 4 3" xfId="48983"/>
    <cellStyle name="Input 36 2 2 4 4" xfId="37082"/>
    <cellStyle name="Input 36 2 2 5" xfId="20871"/>
    <cellStyle name="Input 36 2 2 5 2" xfId="46393"/>
    <cellStyle name="Input 36 2 2 5 3" xfId="50299"/>
    <cellStyle name="Input 36 2 2 5 4" xfId="38263"/>
    <cellStyle name="Input 36 2 2 6" xfId="21524"/>
    <cellStyle name="Input 36 2 2 6 2" xfId="47046"/>
    <cellStyle name="Input 36 2 2 6 3" xfId="50952"/>
    <cellStyle name="Input 36 2 2 7" xfId="40849"/>
    <cellStyle name="Input 36 2 2 8" xfId="42716"/>
    <cellStyle name="Input 36 2 3" xfId="10966"/>
    <cellStyle name="Input 36 2 3 2" xfId="18753"/>
    <cellStyle name="Input 36 2 3 2 2" xfId="44285"/>
    <cellStyle name="Input 36 2 3 2 3" xfId="48194"/>
    <cellStyle name="Input 36 2 3 2 4" xfId="36376"/>
    <cellStyle name="Input 36 2 3 3" xfId="19990"/>
    <cellStyle name="Input 36 2 3 3 2" xfId="45512"/>
    <cellStyle name="Input 36 2 3 3 3" xfId="49418"/>
    <cellStyle name="Input 36 2 3 3 4" xfId="37474"/>
    <cellStyle name="Input 36 2 3 4" xfId="20338"/>
    <cellStyle name="Input 36 2 3 4 2" xfId="45860"/>
    <cellStyle name="Input 36 2 3 4 3" xfId="49766"/>
    <cellStyle name="Input 36 2 3 4 4" xfId="37782"/>
    <cellStyle name="Input 36 2 3 5" xfId="21166"/>
    <cellStyle name="Input 36 2 3 5 2" xfId="46688"/>
    <cellStyle name="Input 36 2 3 5 3" xfId="50594"/>
    <cellStyle name="Input 36 2 3 5 4" xfId="38558"/>
    <cellStyle name="Input 36 2 3 6" xfId="21819"/>
    <cellStyle name="Input 36 2 3 6 2" xfId="47341"/>
    <cellStyle name="Input 36 2 3 6 3" xfId="51247"/>
    <cellStyle name="Input 36 2 3 7" xfId="41144"/>
    <cellStyle name="Input 36 2 3 8" xfId="42024"/>
    <cellStyle name="Input 36 2 4" xfId="14926"/>
    <cellStyle name="Input 36 2 4 2" xfId="43024"/>
    <cellStyle name="Input 36 2 4 3" xfId="43269"/>
    <cellStyle name="Input 36 2 4 4" xfId="32547"/>
    <cellStyle name="Input 36 2 5" xfId="11312"/>
    <cellStyle name="Input 36 2 5 2" xfId="41337"/>
    <cellStyle name="Input 36 2 5 3" xfId="43689"/>
    <cellStyle name="Input 36 2 5 4" xfId="29026"/>
    <cellStyle name="Input 36 2 6" xfId="12135"/>
    <cellStyle name="Input 36 2 6 2" xfId="41860"/>
    <cellStyle name="Input 36 2 6 3" xfId="47464"/>
    <cellStyle name="Input 36 2 6 4" xfId="29793"/>
    <cellStyle name="Input 36 2 7" xfId="13234"/>
    <cellStyle name="Input 36 2 7 2" xfId="42396"/>
    <cellStyle name="Input 36 2 7 3" xfId="39622"/>
    <cellStyle name="Input 36 2 7 4" xfId="30865"/>
    <cellStyle name="Input 36 2 8" xfId="11715"/>
    <cellStyle name="Input 36 2 8 2" xfId="41684"/>
    <cellStyle name="Input 36 2 8 3" xfId="39433"/>
    <cellStyle name="Input 36 2 9" xfId="39884"/>
    <cellStyle name="Input 36 3" xfId="22465"/>
    <cellStyle name="Input 36 3 2" xfId="23029"/>
    <cellStyle name="Input 36 3 2 2" xfId="47616"/>
    <cellStyle name="Input 36 3 2 3" xfId="51427"/>
    <cellStyle name="Input 36 3 3" xfId="47509"/>
    <cellStyle name="Input 36 3 4" xfId="51363"/>
    <cellStyle name="Input 36 3 5" xfId="53150"/>
    <cellStyle name="Input 36 4" xfId="53148"/>
    <cellStyle name="Input 37" xfId="1989"/>
    <cellStyle name="Input 37 2" xfId="7145"/>
    <cellStyle name="Input 37 2 10" xfId="39486"/>
    <cellStyle name="Input 37 2 2" xfId="10672"/>
    <cellStyle name="Input 37 2 2 2" xfId="18459"/>
    <cellStyle name="Input 37 2 2 2 2" xfId="43991"/>
    <cellStyle name="Input 37 2 2 2 3" xfId="47900"/>
    <cellStyle name="Input 37 2 2 2 4" xfId="36082"/>
    <cellStyle name="Input 37 2 2 3" xfId="20013"/>
    <cellStyle name="Input 37 2 2 3 2" xfId="45535"/>
    <cellStyle name="Input 37 2 2 3 3" xfId="49441"/>
    <cellStyle name="Input 37 2 2 3 4" xfId="37497"/>
    <cellStyle name="Input 37 2 2 4" xfId="13259"/>
    <cellStyle name="Input 37 2 2 4 2" xfId="42410"/>
    <cellStyle name="Input 37 2 2 4 3" xfId="42524"/>
    <cellStyle name="Input 37 2 2 4 4" xfId="30890"/>
    <cellStyle name="Input 37 2 2 5" xfId="20872"/>
    <cellStyle name="Input 37 2 2 5 2" xfId="46394"/>
    <cellStyle name="Input 37 2 2 5 3" xfId="50300"/>
    <cellStyle name="Input 37 2 2 5 4" xfId="38264"/>
    <cellStyle name="Input 37 2 2 6" xfId="21525"/>
    <cellStyle name="Input 37 2 2 6 2" xfId="47047"/>
    <cellStyle name="Input 37 2 2 6 3" xfId="50953"/>
    <cellStyle name="Input 37 2 2 7" xfId="40850"/>
    <cellStyle name="Input 37 2 2 8" xfId="43605"/>
    <cellStyle name="Input 37 2 3" xfId="10967"/>
    <cellStyle name="Input 37 2 3 2" xfId="18754"/>
    <cellStyle name="Input 37 2 3 2 2" xfId="44286"/>
    <cellStyle name="Input 37 2 3 2 3" xfId="48195"/>
    <cellStyle name="Input 37 2 3 2 4" xfId="36377"/>
    <cellStyle name="Input 37 2 3 3" xfId="19256"/>
    <cellStyle name="Input 37 2 3 3 2" xfId="44778"/>
    <cellStyle name="Input 37 2 3 3 3" xfId="48684"/>
    <cellStyle name="Input 37 2 3 3 4" xfId="36820"/>
    <cellStyle name="Input 37 2 3 4" xfId="11654"/>
    <cellStyle name="Input 37 2 3 4 2" xfId="41645"/>
    <cellStyle name="Input 37 2 3 4 3" xfId="39319"/>
    <cellStyle name="Input 37 2 3 4 4" xfId="29339"/>
    <cellStyle name="Input 37 2 3 5" xfId="21167"/>
    <cellStyle name="Input 37 2 3 5 2" xfId="46689"/>
    <cellStyle name="Input 37 2 3 5 3" xfId="50595"/>
    <cellStyle name="Input 37 2 3 5 4" xfId="38559"/>
    <cellStyle name="Input 37 2 3 6" xfId="21820"/>
    <cellStyle name="Input 37 2 3 6 2" xfId="47342"/>
    <cellStyle name="Input 37 2 3 6 3" xfId="51248"/>
    <cellStyle name="Input 37 2 3 7" xfId="41145"/>
    <cellStyle name="Input 37 2 3 8" xfId="43343"/>
    <cellStyle name="Input 37 2 4" xfId="14927"/>
    <cellStyle name="Input 37 2 4 2" xfId="43025"/>
    <cellStyle name="Input 37 2 4 3" xfId="40128"/>
    <cellStyle name="Input 37 2 4 4" xfId="32548"/>
    <cellStyle name="Input 37 2 5" xfId="13158"/>
    <cellStyle name="Input 37 2 5 2" xfId="42360"/>
    <cellStyle name="Input 37 2 5 3" xfId="39061"/>
    <cellStyle name="Input 37 2 5 4" xfId="30793"/>
    <cellStyle name="Input 37 2 6" xfId="19786"/>
    <cellStyle name="Input 37 2 6 2" xfId="45308"/>
    <cellStyle name="Input 37 2 6 3" xfId="49214"/>
    <cellStyle name="Input 37 2 6 4" xfId="37295"/>
    <cellStyle name="Input 37 2 7" xfId="19624"/>
    <cellStyle name="Input 37 2 7 2" xfId="45146"/>
    <cellStyle name="Input 37 2 7 3" xfId="49052"/>
    <cellStyle name="Input 37 2 7 4" xfId="37147"/>
    <cellStyle name="Input 37 2 8" xfId="20594"/>
    <cellStyle name="Input 37 2 8 2" xfId="46116"/>
    <cellStyle name="Input 37 2 8 3" xfId="50022"/>
    <cellStyle name="Input 37 2 9" xfId="39885"/>
    <cellStyle name="Input 37 3" xfId="53151"/>
    <cellStyle name="Input 38" xfId="1990"/>
    <cellStyle name="Input 38 2" xfId="7146"/>
    <cellStyle name="Input 38 2 10" xfId="42167"/>
    <cellStyle name="Input 38 2 2" xfId="10673"/>
    <cellStyle name="Input 38 2 2 2" xfId="18460"/>
    <cellStyle name="Input 38 2 2 2 2" xfId="43992"/>
    <cellStyle name="Input 38 2 2 2 3" xfId="47901"/>
    <cellStyle name="Input 38 2 2 2 4" xfId="36083"/>
    <cellStyle name="Input 38 2 2 3" xfId="19279"/>
    <cellStyle name="Input 38 2 2 3 2" xfId="44801"/>
    <cellStyle name="Input 38 2 2 3 3" xfId="48707"/>
    <cellStyle name="Input 38 2 2 3 4" xfId="36843"/>
    <cellStyle name="Input 38 2 2 4" xfId="12656"/>
    <cellStyle name="Input 38 2 2 4 2" xfId="42116"/>
    <cellStyle name="Input 38 2 2 4 3" xfId="41284"/>
    <cellStyle name="Input 38 2 2 4 4" xfId="30306"/>
    <cellStyle name="Input 38 2 2 5" xfId="20873"/>
    <cellStyle name="Input 38 2 2 5 2" xfId="46395"/>
    <cellStyle name="Input 38 2 2 5 3" xfId="50301"/>
    <cellStyle name="Input 38 2 2 5 4" xfId="38265"/>
    <cellStyle name="Input 38 2 2 6" xfId="21526"/>
    <cellStyle name="Input 38 2 2 6 2" xfId="47048"/>
    <cellStyle name="Input 38 2 2 6 3" xfId="50954"/>
    <cellStyle name="Input 38 2 2 7" xfId="40851"/>
    <cellStyle name="Input 38 2 2 8" xfId="40463"/>
    <cellStyle name="Input 38 2 3" xfId="10968"/>
    <cellStyle name="Input 38 2 3 2" xfId="18755"/>
    <cellStyle name="Input 38 2 3 2 2" xfId="44287"/>
    <cellStyle name="Input 38 2 3 2 3" xfId="48196"/>
    <cellStyle name="Input 38 2 3 2 4" xfId="36378"/>
    <cellStyle name="Input 38 2 3 3" xfId="19865"/>
    <cellStyle name="Input 38 2 3 3 2" xfId="45387"/>
    <cellStyle name="Input 38 2 3 3 3" xfId="49293"/>
    <cellStyle name="Input 38 2 3 3 4" xfId="37365"/>
    <cellStyle name="Input 38 2 3 4" xfId="11799"/>
    <cellStyle name="Input 38 2 3 4 2" xfId="41728"/>
    <cellStyle name="Input 38 2 3 4 3" xfId="43673"/>
    <cellStyle name="Input 38 2 3 4 4" xfId="29471"/>
    <cellStyle name="Input 38 2 3 5" xfId="21168"/>
    <cellStyle name="Input 38 2 3 5 2" xfId="46690"/>
    <cellStyle name="Input 38 2 3 5 3" xfId="50596"/>
    <cellStyle name="Input 38 2 3 5 4" xfId="38560"/>
    <cellStyle name="Input 38 2 3 6" xfId="21821"/>
    <cellStyle name="Input 38 2 3 6 2" xfId="47343"/>
    <cellStyle name="Input 38 2 3 6 3" xfId="51249"/>
    <cellStyle name="Input 38 2 3 7" xfId="41146"/>
    <cellStyle name="Input 38 2 3 8" xfId="40205"/>
    <cellStyle name="Input 38 2 4" xfId="14928"/>
    <cellStyle name="Input 38 2 4 2" xfId="43026"/>
    <cellStyle name="Input 38 2 4 3" xfId="39242"/>
    <cellStyle name="Input 38 2 4 4" xfId="32549"/>
    <cellStyle name="Input 38 2 5" xfId="13159"/>
    <cellStyle name="Input 38 2 5 2" xfId="42361"/>
    <cellStyle name="Input 38 2 5 3" xfId="39060"/>
    <cellStyle name="Input 38 2 5 4" xfId="30794"/>
    <cellStyle name="Input 38 2 6" xfId="19515"/>
    <cellStyle name="Input 38 2 6 2" xfId="45037"/>
    <cellStyle name="Input 38 2 6 3" xfId="48943"/>
    <cellStyle name="Input 38 2 6 4" xfId="37048"/>
    <cellStyle name="Input 38 2 7" xfId="11684"/>
    <cellStyle name="Input 38 2 7 2" xfId="41671"/>
    <cellStyle name="Input 38 2 7 3" xfId="39643"/>
    <cellStyle name="Input 38 2 7 4" xfId="29363"/>
    <cellStyle name="Input 38 2 8" xfId="20296"/>
    <cellStyle name="Input 38 2 8 2" xfId="45818"/>
    <cellStyle name="Input 38 2 8 3" xfId="49724"/>
    <cellStyle name="Input 38 2 9" xfId="39886"/>
    <cellStyle name="Input 38 3" xfId="53152"/>
    <cellStyle name="Input 39" xfId="1991"/>
    <cellStyle name="Input 39 2" xfId="7147"/>
    <cellStyle name="Input 39 2 10" xfId="43394"/>
    <cellStyle name="Input 39 2 11" xfId="53154"/>
    <cellStyle name="Input 39 2 2" xfId="10674"/>
    <cellStyle name="Input 39 2 2 2" xfId="18461"/>
    <cellStyle name="Input 39 2 2 2 2" xfId="43993"/>
    <cellStyle name="Input 39 2 2 2 3" xfId="47902"/>
    <cellStyle name="Input 39 2 2 2 4" xfId="36084"/>
    <cellStyle name="Input 39 2 2 3" xfId="19888"/>
    <cellStyle name="Input 39 2 2 3 2" xfId="45410"/>
    <cellStyle name="Input 39 2 2 3 3" xfId="49316"/>
    <cellStyle name="Input 39 2 2 3 4" xfId="37388"/>
    <cellStyle name="Input 39 2 2 4" xfId="20275"/>
    <cellStyle name="Input 39 2 2 4 2" xfId="45797"/>
    <cellStyle name="Input 39 2 2 4 3" xfId="49703"/>
    <cellStyle name="Input 39 2 2 4 4" xfId="37728"/>
    <cellStyle name="Input 39 2 2 5" xfId="20874"/>
    <cellStyle name="Input 39 2 2 5 2" xfId="46396"/>
    <cellStyle name="Input 39 2 2 5 3" xfId="50302"/>
    <cellStyle name="Input 39 2 2 5 4" xfId="38266"/>
    <cellStyle name="Input 39 2 2 6" xfId="21527"/>
    <cellStyle name="Input 39 2 2 6 2" xfId="47049"/>
    <cellStyle name="Input 39 2 2 6 3" xfId="50955"/>
    <cellStyle name="Input 39 2 2 7" xfId="40852"/>
    <cellStyle name="Input 39 2 2 8" xfId="39573"/>
    <cellStyle name="Input 39 2 3" xfId="10969"/>
    <cellStyle name="Input 39 2 3 2" xfId="18756"/>
    <cellStyle name="Input 39 2 3 2 2" xfId="44288"/>
    <cellStyle name="Input 39 2 3 2 3" xfId="48197"/>
    <cellStyle name="Input 39 2 3 2 4" xfId="36379"/>
    <cellStyle name="Input 39 2 3 3" xfId="19088"/>
    <cellStyle name="Input 39 2 3 3 2" xfId="44610"/>
    <cellStyle name="Input 39 2 3 3 3" xfId="48516"/>
    <cellStyle name="Input 39 2 3 3 4" xfId="36669"/>
    <cellStyle name="Input 39 2 3 4" xfId="19852"/>
    <cellStyle name="Input 39 2 3 4 2" xfId="45374"/>
    <cellStyle name="Input 39 2 3 4 3" xfId="49280"/>
    <cellStyle name="Input 39 2 3 4 4" xfId="37352"/>
    <cellStyle name="Input 39 2 3 5" xfId="21169"/>
    <cellStyle name="Input 39 2 3 5 2" xfId="46691"/>
    <cellStyle name="Input 39 2 3 5 3" xfId="50597"/>
    <cellStyle name="Input 39 2 3 5 4" xfId="38561"/>
    <cellStyle name="Input 39 2 3 6" xfId="21822"/>
    <cellStyle name="Input 39 2 3 6 2" xfId="47344"/>
    <cellStyle name="Input 39 2 3 6 3" xfId="51250"/>
    <cellStyle name="Input 39 2 3 7" xfId="41147"/>
    <cellStyle name="Input 39 2 3 8" xfId="39345"/>
    <cellStyle name="Input 39 2 4" xfId="14929"/>
    <cellStyle name="Input 39 2 4 2" xfId="43027"/>
    <cellStyle name="Input 39 2 4 3" xfId="39030"/>
    <cellStyle name="Input 39 2 4 4" xfId="32550"/>
    <cellStyle name="Input 39 2 5" xfId="13160"/>
    <cellStyle name="Input 39 2 5 2" xfId="42362"/>
    <cellStyle name="Input 39 2 5 3" xfId="39059"/>
    <cellStyle name="Input 39 2 5 4" xfId="30795"/>
    <cellStyle name="Input 39 2 6" xfId="20263"/>
    <cellStyle name="Input 39 2 6 2" xfId="45785"/>
    <cellStyle name="Input 39 2 6 3" xfId="49691"/>
    <cellStyle name="Input 39 2 6 4" xfId="37717"/>
    <cellStyle name="Input 39 2 7" xfId="19033"/>
    <cellStyle name="Input 39 2 7 2" xfId="44555"/>
    <cellStyle name="Input 39 2 7 3" xfId="48461"/>
    <cellStyle name="Input 39 2 7 4" xfId="36622"/>
    <cellStyle name="Input 39 2 8" xfId="19188"/>
    <cellStyle name="Input 39 2 8 2" xfId="44710"/>
    <cellStyle name="Input 39 2 8 3" xfId="48616"/>
    <cellStyle name="Input 39 2 9" xfId="39887"/>
    <cellStyle name="Input 39 3" xfId="22466"/>
    <cellStyle name="Input 39 3 2" xfId="23030"/>
    <cellStyle name="Input 39 3 2 2" xfId="47617"/>
    <cellStyle name="Input 39 3 2 3" xfId="51428"/>
    <cellStyle name="Input 39 3 3" xfId="47510"/>
    <cellStyle name="Input 39 3 4" xfId="51364"/>
    <cellStyle name="Input 39 3 5" xfId="53155"/>
    <cellStyle name="Input 39 4" xfId="53153"/>
    <cellStyle name="Input 4" xfId="108"/>
    <cellStyle name="Input 4 10" xfId="1993"/>
    <cellStyle name="Input 4 10 2" xfId="7149"/>
    <cellStyle name="Input 4 10 2 10" xfId="39383"/>
    <cellStyle name="Input 4 10 2 2" xfId="10676"/>
    <cellStyle name="Input 4 10 2 2 2" xfId="18463"/>
    <cellStyle name="Input 4 10 2 2 2 2" xfId="43995"/>
    <cellStyle name="Input 4 10 2 2 2 3" xfId="47904"/>
    <cellStyle name="Input 4 10 2 2 2 4" xfId="36086"/>
    <cellStyle name="Input 4 10 2 2 3" xfId="19727"/>
    <cellStyle name="Input 4 10 2 2 3 2" xfId="45249"/>
    <cellStyle name="Input 4 10 2 2 3 3" xfId="49155"/>
    <cellStyle name="Input 4 10 2 2 3 4" xfId="37240"/>
    <cellStyle name="Input 4 10 2 2 4" xfId="19048"/>
    <cellStyle name="Input 4 10 2 2 4 2" xfId="44570"/>
    <cellStyle name="Input 4 10 2 2 4 3" xfId="48476"/>
    <cellStyle name="Input 4 10 2 2 4 4" xfId="36633"/>
    <cellStyle name="Input 4 10 2 2 5" xfId="20876"/>
    <cellStyle name="Input 4 10 2 2 5 2" xfId="46398"/>
    <cellStyle name="Input 4 10 2 2 5 3" xfId="50304"/>
    <cellStyle name="Input 4 10 2 2 5 4" xfId="38268"/>
    <cellStyle name="Input 4 10 2 2 6" xfId="21529"/>
    <cellStyle name="Input 4 10 2 2 6 2" xfId="47051"/>
    <cellStyle name="Input 4 10 2 2 6 3" xfId="50957"/>
    <cellStyle name="Input 4 10 2 2 7" xfId="40854"/>
    <cellStyle name="Input 4 10 2 2 8" xfId="43494"/>
    <cellStyle name="Input 4 10 2 3" xfId="10971"/>
    <cellStyle name="Input 4 10 2 3 2" xfId="18758"/>
    <cellStyle name="Input 4 10 2 3 2 2" xfId="44290"/>
    <cellStyle name="Input 4 10 2 3 2 3" xfId="48199"/>
    <cellStyle name="Input 4 10 2 3 2 4" xfId="36381"/>
    <cellStyle name="Input 4 10 2 3 3" xfId="12633"/>
    <cellStyle name="Input 4 10 2 3 3 2" xfId="42093"/>
    <cellStyle name="Input 4 10 2 3 3 3" xfId="40164"/>
    <cellStyle name="Input 4 10 2 3 3 4" xfId="30284"/>
    <cellStyle name="Input 4 10 2 3 4" xfId="13257"/>
    <cellStyle name="Input 4 10 2 3 4 2" xfId="42408"/>
    <cellStyle name="Input 4 10 2 3 4 3" xfId="40407"/>
    <cellStyle name="Input 4 10 2 3 4 4" xfId="30888"/>
    <cellStyle name="Input 4 10 2 3 5" xfId="21171"/>
    <cellStyle name="Input 4 10 2 3 5 2" xfId="46693"/>
    <cellStyle name="Input 4 10 2 3 5 3" xfId="50599"/>
    <cellStyle name="Input 4 10 2 3 5 4" xfId="38563"/>
    <cellStyle name="Input 4 10 2 3 6" xfId="21824"/>
    <cellStyle name="Input 4 10 2 3 6 2" xfId="47346"/>
    <cellStyle name="Input 4 10 2 3 6 3" xfId="51252"/>
    <cellStyle name="Input 4 10 2 3 7" xfId="41149"/>
    <cellStyle name="Input 4 10 2 3 8" xfId="39155"/>
    <cellStyle name="Input 4 10 2 4" xfId="14931"/>
    <cellStyle name="Input 4 10 2 4 2" xfId="43029"/>
    <cellStyle name="Input 4 10 2 4 3" xfId="43268"/>
    <cellStyle name="Input 4 10 2 4 4" xfId="32552"/>
    <cellStyle name="Input 4 10 2 5" xfId="13161"/>
    <cellStyle name="Input 4 10 2 5 2" xfId="42363"/>
    <cellStyle name="Input 4 10 2 5 3" xfId="39058"/>
    <cellStyle name="Input 4 10 2 5 4" xfId="30796"/>
    <cellStyle name="Input 4 10 2 6" xfId="20055"/>
    <cellStyle name="Input 4 10 2 6 2" xfId="45577"/>
    <cellStyle name="Input 4 10 2 6 3" xfId="49483"/>
    <cellStyle name="Input 4 10 2 6 4" xfId="37535"/>
    <cellStyle name="Input 4 10 2 7" xfId="12928"/>
    <cellStyle name="Input 4 10 2 7 2" xfId="42230"/>
    <cellStyle name="Input 4 10 2 7 3" xfId="42772"/>
    <cellStyle name="Input 4 10 2 7 4" xfId="30564"/>
    <cellStyle name="Input 4 10 2 8" xfId="18957"/>
    <cellStyle name="Input 4 10 2 8 2" xfId="44479"/>
    <cellStyle name="Input 4 10 2 8 3" xfId="48385"/>
    <cellStyle name="Input 4 10 2 9" xfId="39889"/>
    <cellStyle name="Input 4 11" xfId="1994"/>
    <cellStyle name="Input 4 11 2" xfId="7150"/>
    <cellStyle name="Input 4 11 2 10" xfId="39212"/>
    <cellStyle name="Input 4 11 2 2" xfId="10677"/>
    <cellStyle name="Input 4 11 2 2 2" xfId="18464"/>
    <cellStyle name="Input 4 11 2 2 2 2" xfId="43996"/>
    <cellStyle name="Input 4 11 2 2 2 3" xfId="47905"/>
    <cellStyle name="Input 4 11 2 2 2 4" xfId="36087"/>
    <cellStyle name="Input 4 11 2 2 3" xfId="11496"/>
    <cellStyle name="Input 4 11 2 2 3 2" xfId="41487"/>
    <cellStyle name="Input 4 11 2 2 3 3" xfId="40437"/>
    <cellStyle name="Input 4 11 2 2 3 4" xfId="29197"/>
    <cellStyle name="Input 4 11 2 2 4" xfId="19656"/>
    <cellStyle name="Input 4 11 2 2 4 2" xfId="45178"/>
    <cellStyle name="Input 4 11 2 2 4 3" xfId="49084"/>
    <cellStyle name="Input 4 11 2 2 4 4" xfId="37176"/>
    <cellStyle name="Input 4 11 2 2 5" xfId="20877"/>
    <cellStyle name="Input 4 11 2 2 5 2" xfId="46399"/>
    <cellStyle name="Input 4 11 2 2 5 3" xfId="50305"/>
    <cellStyle name="Input 4 11 2 2 5 4" xfId="38269"/>
    <cellStyle name="Input 4 11 2 2 6" xfId="21530"/>
    <cellStyle name="Input 4 11 2 2 6 2" xfId="47052"/>
    <cellStyle name="Input 4 11 2 2 6 3" xfId="50958"/>
    <cellStyle name="Input 4 11 2 2 7" xfId="40855"/>
    <cellStyle name="Input 4 11 2 2 8" xfId="40357"/>
    <cellStyle name="Input 4 11 2 3" xfId="10972"/>
    <cellStyle name="Input 4 11 2 3 2" xfId="18759"/>
    <cellStyle name="Input 4 11 2 3 2 2" xfId="44291"/>
    <cellStyle name="Input 4 11 2 3 2 3" xfId="48200"/>
    <cellStyle name="Input 4 11 2 3 2 4" xfId="36382"/>
    <cellStyle name="Input 4 11 2 3 3" xfId="12173"/>
    <cellStyle name="Input 4 11 2 3 3 2" xfId="41898"/>
    <cellStyle name="Input 4 11 2 3 3 3" xfId="39291"/>
    <cellStyle name="Input 4 11 2 3 3 4" xfId="29831"/>
    <cellStyle name="Input 4 11 2 3 4" xfId="19498"/>
    <cellStyle name="Input 4 11 2 3 4 2" xfId="45020"/>
    <cellStyle name="Input 4 11 2 3 4 3" xfId="48926"/>
    <cellStyle name="Input 4 11 2 3 4 4" xfId="37032"/>
    <cellStyle name="Input 4 11 2 3 5" xfId="21172"/>
    <cellStyle name="Input 4 11 2 3 5 2" xfId="46694"/>
    <cellStyle name="Input 4 11 2 3 5 3" xfId="50600"/>
    <cellStyle name="Input 4 11 2 3 5 4" xfId="38564"/>
    <cellStyle name="Input 4 11 2 3 6" xfId="21825"/>
    <cellStyle name="Input 4 11 2 3 6 2" xfId="47347"/>
    <cellStyle name="Input 4 11 2 3 6 3" xfId="51253"/>
    <cellStyle name="Input 4 11 2 3 7" xfId="41150"/>
    <cellStyle name="Input 4 11 2 3 8" xfId="47563"/>
    <cellStyle name="Input 4 11 2 4" xfId="14932"/>
    <cellStyle name="Input 4 11 2 4 2" xfId="43030"/>
    <cellStyle name="Input 4 11 2 4 3" xfId="40127"/>
    <cellStyle name="Input 4 11 2 4 4" xfId="32553"/>
    <cellStyle name="Input 4 11 2 5" xfId="12477"/>
    <cellStyle name="Input 4 11 2 5 2" xfId="41978"/>
    <cellStyle name="Input 4 11 2 5 3" xfId="40313"/>
    <cellStyle name="Input 4 11 2 5 4" xfId="30134"/>
    <cellStyle name="Input 4 11 2 6" xfId="19847"/>
    <cellStyle name="Input 4 11 2 6 2" xfId="45369"/>
    <cellStyle name="Input 4 11 2 6 3" xfId="49275"/>
    <cellStyle name="Input 4 11 2 6 4" xfId="37347"/>
    <cellStyle name="Input 4 11 2 7" xfId="12061"/>
    <cellStyle name="Input 4 11 2 7 2" xfId="41791"/>
    <cellStyle name="Input 4 11 2 7 3" xfId="43566"/>
    <cellStyle name="Input 4 11 2 7 4" xfId="29725"/>
    <cellStyle name="Input 4 11 2 8" xfId="18995"/>
    <cellStyle name="Input 4 11 2 8 2" xfId="44517"/>
    <cellStyle name="Input 4 11 2 8 3" xfId="48423"/>
    <cellStyle name="Input 4 11 2 9" xfId="39890"/>
    <cellStyle name="Input 4 12" xfId="1995"/>
    <cellStyle name="Input 4 12 2" xfId="7151"/>
    <cellStyle name="Input 4 12 2 10" xfId="47570"/>
    <cellStyle name="Input 4 12 2 2" xfId="10678"/>
    <cellStyle name="Input 4 12 2 2 2" xfId="18465"/>
    <cellStyle name="Input 4 12 2 2 2 2" xfId="43997"/>
    <cellStyle name="Input 4 12 2 2 2 3" xfId="47906"/>
    <cellStyle name="Input 4 12 2 2 2 4" xfId="36088"/>
    <cellStyle name="Input 4 12 2 2 3" xfId="19728"/>
    <cellStyle name="Input 4 12 2 2 3 2" xfId="45250"/>
    <cellStyle name="Input 4 12 2 2 3 3" xfId="49156"/>
    <cellStyle name="Input 4 12 2 2 3 4" xfId="37241"/>
    <cellStyle name="Input 4 12 2 2 4" xfId="19242"/>
    <cellStyle name="Input 4 12 2 2 4 2" xfId="44764"/>
    <cellStyle name="Input 4 12 2 2 4 3" xfId="48670"/>
    <cellStyle name="Input 4 12 2 2 4 4" xfId="36806"/>
    <cellStyle name="Input 4 12 2 2 5" xfId="20878"/>
    <cellStyle name="Input 4 12 2 2 5 2" xfId="46400"/>
    <cellStyle name="Input 4 12 2 2 5 3" xfId="50306"/>
    <cellStyle name="Input 4 12 2 2 5 4" xfId="38270"/>
    <cellStyle name="Input 4 12 2 2 6" xfId="21531"/>
    <cellStyle name="Input 4 12 2 2 6 2" xfId="47053"/>
    <cellStyle name="Input 4 12 2 2 6 3" xfId="50959"/>
    <cellStyle name="Input 4 12 2 2 7" xfId="40856"/>
    <cellStyle name="Input 4 12 2 2 8" xfId="39469"/>
    <cellStyle name="Input 4 12 2 3" xfId="10973"/>
    <cellStyle name="Input 4 12 2 3 2" xfId="18760"/>
    <cellStyle name="Input 4 12 2 3 2 2" xfId="44292"/>
    <cellStyle name="Input 4 12 2 3 2 3" xfId="48201"/>
    <cellStyle name="Input 4 12 2 3 2 4" xfId="36383"/>
    <cellStyle name="Input 4 12 2 3 3" xfId="13350"/>
    <cellStyle name="Input 4 12 2 3 3 2" xfId="42501"/>
    <cellStyle name="Input 4 12 2 3 3 3" xfId="39617"/>
    <cellStyle name="Input 4 12 2 3 3 4" xfId="30976"/>
    <cellStyle name="Input 4 12 2 3 4" xfId="12759"/>
    <cellStyle name="Input 4 12 2 3 4 2" xfId="42183"/>
    <cellStyle name="Input 4 12 2 3 4 3" xfId="43299"/>
    <cellStyle name="Input 4 12 2 3 4 4" xfId="30403"/>
    <cellStyle name="Input 4 12 2 3 5" xfId="21173"/>
    <cellStyle name="Input 4 12 2 3 5 2" xfId="46695"/>
    <cellStyle name="Input 4 12 2 3 5 3" xfId="50601"/>
    <cellStyle name="Input 4 12 2 3 5 4" xfId="38565"/>
    <cellStyle name="Input 4 12 2 3 6" xfId="21826"/>
    <cellStyle name="Input 4 12 2 3 6 2" xfId="47348"/>
    <cellStyle name="Input 4 12 2 3 6 3" xfId="51254"/>
    <cellStyle name="Input 4 12 2 3 7" xfId="41151"/>
    <cellStyle name="Input 4 12 2 3 8" xfId="41396"/>
    <cellStyle name="Input 4 12 2 4" xfId="14933"/>
    <cellStyle name="Input 4 12 2 4 2" xfId="43031"/>
    <cellStyle name="Input 4 12 2 4 3" xfId="39241"/>
    <cellStyle name="Input 4 12 2 4 4" xfId="32554"/>
    <cellStyle name="Input 4 12 2 5" xfId="12478"/>
    <cellStyle name="Input 4 12 2 5 2" xfId="41979"/>
    <cellStyle name="Input 4 12 2 5 3" xfId="39428"/>
    <cellStyle name="Input 4 12 2 5 4" xfId="30135"/>
    <cellStyle name="Input 4 12 2 6" xfId="18898"/>
    <cellStyle name="Input 4 12 2 6 2" xfId="44420"/>
    <cellStyle name="Input 4 12 2 6 3" xfId="48326"/>
    <cellStyle name="Input 4 12 2 6 4" xfId="36516"/>
    <cellStyle name="Input 4 12 2 7" xfId="11549"/>
    <cellStyle name="Input 4 12 2 7 2" xfId="41540"/>
    <cellStyle name="Input 4 12 2 7 3" xfId="42792"/>
    <cellStyle name="Input 4 12 2 7 4" xfId="29247"/>
    <cellStyle name="Input 4 12 2 8" xfId="20102"/>
    <cellStyle name="Input 4 12 2 8 2" xfId="45624"/>
    <cellStyle name="Input 4 12 2 8 3" xfId="49530"/>
    <cellStyle name="Input 4 12 2 9" xfId="39891"/>
    <cellStyle name="Input 4 13" xfId="1996"/>
    <cellStyle name="Input 4 13 2" xfId="7152"/>
    <cellStyle name="Input 4 13 2 10" xfId="41693"/>
    <cellStyle name="Input 4 13 2 2" xfId="10679"/>
    <cellStyle name="Input 4 13 2 2 2" xfId="18466"/>
    <cellStyle name="Input 4 13 2 2 2 2" xfId="43998"/>
    <cellStyle name="Input 4 13 2 2 2 3" xfId="47907"/>
    <cellStyle name="Input 4 13 2 2 2 4" xfId="36089"/>
    <cellStyle name="Input 4 13 2 2 3" xfId="11495"/>
    <cellStyle name="Input 4 13 2 2 3 2" xfId="41486"/>
    <cellStyle name="Input 4 13 2 2 3 3" xfId="43577"/>
    <cellStyle name="Input 4 13 2 2 3 4" xfId="29196"/>
    <cellStyle name="Input 4 13 2 2 4" xfId="19951"/>
    <cellStyle name="Input 4 13 2 2 4 2" xfId="45473"/>
    <cellStyle name="Input 4 13 2 2 4 3" xfId="49379"/>
    <cellStyle name="Input 4 13 2 2 4 4" xfId="37442"/>
    <cellStyle name="Input 4 13 2 2 5" xfId="20879"/>
    <cellStyle name="Input 4 13 2 2 5 2" xfId="46401"/>
    <cellStyle name="Input 4 13 2 2 5 3" xfId="50307"/>
    <cellStyle name="Input 4 13 2 2 5 4" xfId="38271"/>
    <cellStyle name="Input 4 13 2 2 6" xfId="21532"/>
    <cellStyle name="Input 4 13 2 2 6 2" xfId="47054"/>
    <cellStyle name="Input 4 13 2 2 6 3" xfId="50960"/>
    <cellStyle name="Input 4 13 2 2 7" xfId="40857"/>
    <cellStyle name="Input 4 13 2 2 8" xfId="42040"/>
    <cellStyle name="Input 4 13 2 3" xfId="10974"/>
    <cellStyle name="Input 4 13 2 3 2" xfId="18761"/>
    <cellStyle name="Input 4 13 2 3 2 2" xfId="44293"/>
    <cellStyle name="Input 4 13 2 3 2 3" xfId="48202"/>
    <cellStyle name="Input 4 13 2 3 2 4" xfId="36384"/>
    <cellStyle name="Input 4 13 2 3 3" xfId="19576"/>
    <cellStyle name="Input 4 13 2 3 3 2" xfId="45098"/>
    <cellStyle name="Input 4 13 2 3 3 3" xfId="49004"/>
    <cellStyle name="Input 4 13 2 3 3 4" xfId="37102"/>
    <cellStyle name="Input 4 13 2 3 4" xfId="18923"/>
    <cellStyle name="Input 4 13 2 3 4 2" xfId="44445"/>
    <cellStyle name="Input 4 13 2 3 4 3" xfId="48351"/>
    <cellStyle name="Input 4 13 2 3 4 4" xfId="36536"/>
    <cellStyle name="Input 4 13 2 3 5" xfId="21174"/>
    <cellStyle name="Input 4 13 2 3 5 2" xfId="46696"/>
    <cellStyle name="Input 4 13 2 3 5 3" xfId="50602"/>
    <cellStyle name="Input 4 13 2 3 5 4" xfId="38566"/>
    <cellStyle name="Input 4 13 2 3 6" xfId="21827"/>
    <cellStyle name="Input 4 13 2 3 6 2" xfId="47349"/>
    <cellStyle name="Input 4 13 2 3 6 3" xfId="51255"/>
    <cellStyle name="Input 4 13 2 3 7" xfId="41152"/>
    <cellStyle name="Input 4 13 2 3 8" xfId="43199"/>
    <cellStyle name="Input 4 13 2 4" xfId="14934"/>
    <cellStyle name="Input 4 13 2 4 2" xfId="43032"/>
    <cellStyle name="Input 4 13 2 4 3" xfId="41913"/>
    <cellStyle name="Input 4 13 2 4 4" xfId="32555"/>
    <cellStyle name="Input 4 13 2 5" xfId="11314"/>
    <cellStyle name="Input 4 13 2 5 2" xfId="41339"/>
    <cellStyle name="Input 4 13 2 5 3" xfId="39658"/>
    <cellStyle name="Input 4 13 2 5 4" xfId="29028"/>
    <cellStyle name="Input 4 13 2 6" xfId="12126"/>
    <cellStyle name="Input 4 13 2 6 2" xfId="41851"/>
    <cellStyle name="Input 4 13 2 6 3" xfId="42779"/>
    <cellStyle name="Input 4 13 2 6 4" xfId="29785"/>
    <cellStyle name="Input 4 13 2 7" xfId="19447"/>
    <cellStyle name="Input 4 13 2 7 2" xfId="44969"/>
    <cellStyle name="Input 4 13 2 7 3" xfId="48875"/>
    <cellStyle name="Input 4 13 2 7 4" xfId="36992"/>
    <cellStyle name="Input 4 13 2 8" xfId="12130"/>
    <cellStyle name="Input 4 13 2 8 2" xfId="41855"/>
    <cellStyle name="Input 4 13 2 8 3" xfId="47465"/>
    <cellStyle name="Input 4 13 2 9" xfId="39892"/>
    <cellStyle name="Input 4 14" xfId="4238"/>
    <cellStyle name="Input 4 14 2" xfId="7153"/>
    <cellStyle name="Input 4 14 2 10" xfId="43245"/>
    <cellStyle name="Input 4 14 2 2" xfId="10680"/>
    <cellStyle name="Input 4 14 2 2 2" xfId="18467"/>
    <cellStyle name="Input 4 14 2 2 2 2" xfId="43999"/>
    <cellStyle name="Input 4 14 2 2 2 3" xfId="47908"/>
    <cellStyle name="Input 4 14 2 2 2 4" xfId="36090"/>
    <cellStyle name="Input 4 14 2 2 3" xfId="13320"/>
    <cellStyle name="Input 4 14 2 2 3 2" xfId="42471"/>
    <cellStyle name="Input 4 14 2 2 3 3" xfId="40295"/>
    <cellStyle name="Input 4 14 2 2 3 4" xfId="30946"/>
    <cellStyle name="Input 4 14 2 2 4" xfId="19507"/>
    <cellStyle name="Input 4 14 2 2 4 2" xfId="45029"/>
    <cellStyle name="Input 4 14 2 2 4 3" xfId="48935"/>
    <cellStyle name="Input 4 14 2 2 4 4" xfId="37041"/>
    <cellStyle name="Input 4 14 2 2 5" xfId="20880"/>
    <cellStyle name="Input 4 14 2 2 5 2" xfId="46402"/>
    <cellStyle name="Input 4 14 2 2 5 3" xfId="50308"/>
    <cellStyle name="Input 4 14 2 2 5 4" xfId="38272"/>
    <cellStyle name="Input 4 14 2 2 6" xfId="21533"/>
    <cellStyle name="Input 4 14 2 2 6 2" xfId="47055"/>
    <cellStyle name="Input 4 14 2 2 6 3" xfId="50961"/>
    <cellStyle name="Input 4 14 2 2 7" xfId="40858"/>
    <cellStyle name="Input 4 14 2 2 8" xfId="43359"/>
    <cellStyle name="Input 4 14 2 3" xfId="10975"/>
    <cellStyle name="Input 4 14 2 3 2" xfId="18762"/>
    <cellStyle name="Input 4 14 2 3 2 2" xfId="44294"/>
    <cellStyle name="Input 4 14 2 3 2 3" xfId="48203"/>
    <cellStyle name="Input 4 14 2 3 2 4" xfId="36385"/>
    <cellStyle name="Input 4 14 2 3 3" xfId="20122"/>
    <cellStyle name="Input 4 14 2 3 3 2" xfId="45644"/>
    <cellStyle name="Input 4 14 2 3 3 3" xfId="49550"/>
    <cellStyle name="Input 4 14 2 3 3 4" xfId="37594"/>
    <cellStyle name="Input 4 14 2 3 4" xfId="20341"/>
    <cellStyle name="Input 4 14 2 3 4 2" xfId="45863"/>
    <cellStyle name="Input 4 14 2 3 4 3" xfId="49769"/>
    <cellStyle name="Input 4 14 2 3 4 4" xfId="37783"/>
    <cellStyle name="Input 4 14 2 3 5" xfId="21175"/>
    <cellStyle name="Input 4 14 2 3 5 2" xfId="46697"/>
    <cellStyle name="Input 4 14 2 3 5 3" xfId="50603"/>
    <cellStyle name="Input 4 14 2 3 5 4" xfId="38567"/>
    <cellStyle name="Input 4 14 2 3 6" xfId="21828"/>
    <cellStyle name="Input 4 14 2 3 6 2" xfId="47350"/>
    <cellStyle name="Input 4 14 2 3 6 3" xfId="51256"/>
    <cellStyle name="Input 4 14 2 3 7" xfId="41153"/>
    <cellStyle name="Input 4 14 2 3 8" xfId="40058"/>
    <cellStyle name="Input 4 14 2 4" xfId="14935"/>
    <cellStyle name="Input 4 14 2 4 2" xfId="43033"/>
    <cellStyle name="Input 4 14 2 4 3" xfId="43267"/>
    <cellStyle name="Input 4 14 2 4 4" xfId="32556"/>
    <cellStyle name="Input 4 14 2 5" xfId="13162"/>
    <cellStyle name="Input 4 14 2 5 2" xfId="42364"/>
    <cellStyle name="Input 4 14 2 5 3" xfId="39057"/>
    <cellStyle name="Input 4 14 2 5 4" xfId="30797"/>
    <cellStyle name="Input 4 14 2 6" xfId="11844"/>
    <cellStyle name="Input 4 14 2 6 2" xfId="41742"/>
    <cellStyle name="Input 4 14 2 6 3" xfId="43313"/>
    <cellStyle name="Input 4 14 2 6 4" xfId="29514"/>
    <cellStyle name="Input 4 14 2 7" xfId="19031"/>
    <cellStyle name="Input 4 14 2 7 2" xfId="44553"/>
    <cellStyle name="Input 4 14 2 7 3" xfId="48459"/>
    <cellStyle name="Input 4 14 2 7 4" xfId="36621"/>
    <cellStyle name="Input 4 14 2 8" xfId="19221"/>
    <cellStyle name="Input 4 14 2 8 2" xfId="44743"/>
    <cellStyle name="Input 4 14 2 8 3" xfId="48649"/>
    <cellStyle name="Input 4 14 2 9" xfId="39893"/>
    <cellStyle name="Input 4 15" xfId="4239"/>
    <cellStyle name="Input 4 15 2" xfId="7154"/>
    <cellStyle name="Input 4 15 2 10" xfId="40104"/>
    <cellStyle name="Input 4 15 2 2" xfId="10681"/>
    <cellStyle name="Input 4 15 2 2 2" xfId="18468"/>
    <cellStyle name="Input 4 15 2 2 2 2" xfId="44000"/>
    <cellStyle name="Input 4 15 2 2 2 3" xfId="47909"/>
    <cellStyle name="Input 4 15 2 2 2 4" xfId="36091"/>
    <cellStyle name="Input 4 15 2 2 3" xfId="19592"/>
    <cellStyle name="Input 4 15 2 2 3 2" xfId="45114"/>
    <cellStyle name="Input 4 15 2 2 3 3" xfId="49020"/>
    <cellStyle name="Input 4 15 2 2 3 4" xfId="37118"/>
    <cellStyle name="Input 4 15 2 2 4" xfId="20268"/>
    <cellStyle name="Input 4 15 2 2 4 2" xfId="45790"/>
    <cellStyle name="Input 4 15 2 2 4 3" xfId="49696"/>
    <cellStyle name="Input 4 15 2 2 4 4" xfId="37722"/>
    <cellStyle name="Input 4 15 2 2 5" xfId="20881"/>
    <cellStyle name="Input 4 15 2 2 5 2" xfId="46403"/>
    <cellStyle name="Input 4 15 2 2 5 3" xfId="50309"/>
    <cellStyle name="Input 4 15 2 2 5 4" xfId="38273"/>
    <cellStyle name="Input 4 15 2 2 6" xfId="21534"/>
    <cellStyle name="Input 4 15 2 2 6 2" xfId="47056"/>
    <cellStyle name="Input 4 15 2 2 6 3" xfId="50962"/>
    <cellStyle name="Input 4 15 2 2 7" xfId="40859"/>
    <cellStyle name="Input 4 15 2 2 8" xfId="40221"/>
    <cellStyle name="Input 4 15 2 3" xfId="10976"/>
    <cellStyle name="Input 4 15 2 3 2" xfId="18763"/>
    <cellStyle name="Input 4 15 2 3 2 2" xfId="44295"/>
    <cellStyle name="Input 4 15 2 3 2 3" xfId="48204"/>
    <cellStyle name="Input 4 15 2 3 2 4" xfId="36386"/>
    <cellStyle name="Input 4 15 2 3 3" xfId="19381"/>
    <cellStyle name="Input 4 15 2 3 3 2" xfId="44903"/>
    <cellStyle name="Input 4 15 2 3 3 3" xfId="48809"/>
    <cellStyle name="Input 4 15 2 3 3 4" xfId="36932"/>
    <cellStyle name="Input 4 15 2 3 4" xfId="12239"/>
    <cellStyle name="Input 4 15 2 3 4 2" xfId="41908"/>
    <cellStyle name="Input 4 15 2 3 4 3" xfId="40528"/>
    <cellStyle name="Input 4 15 2 3 4 4" xfId="29896"/>
    <cellStyle name="Input 4 15 2 3 5" xfId="21176"/>
    <cellStyle name="Input 4 15 2 3 5 2" xfId="46698"/>
    <cellStyle name="Input 4 15 2 3 5 3" xfId="50604"/>
    <cellStyle name="Input 4 15 2 3 5 4" xfId="38568"/>
    <cellStyle name="Input 4 15 2 3 6" xfId="21829"/>
    <cellStyle name="Input 4 15 2 3 6 2" xfId="47351"/>
    <cellStyle name="Input 4 15 2 3 6 3" xfId="51257"/>
    <cellStyle name="Input 4 15 2 3 7" xfId="41154"/>
    <cellStyle name="Input 4 15 2 3 8" xfId="42805"/>
    <cellStyle name="Input 4 15 2 4" xfId="14936"/>
    <cellStyle name="Input 4 15 2 4 2" xfId="43034"/>
    <cellStyle name="Input 4 15 2 4 3" xfId="40126"/>
    <cellStyle name="Input 4 15 2 4 4" xfId="32557"/>
    <cellStyle name="Input 4 15 2 5" xfId="13163"/>
    <cellStyle name="Input 4 15 2 5 2" xfId="42365"/>
    <cellStyle name="Input 4 15 2 5 3" xfId="39056"/>
    <cellStyle name="Input 4 15 2 5 4" xfId="30798"/>
    <cellStyle name="Input 4 15 2 6" xfId="19444"/>
    <cellStyle name="Input 4 15 2 6 2" xfId="44966"/>
    <cellStyle name="Input 4 15 2 6 3" xfId="48872"/>
    <cellStyle name="Input 4 15 2 6 4" xfId="36990"/>
    <cellStyle name="Input 4 15 2 7" xfId="19818"/>
    <cellStyle name="Input 4 15 2 7 2" xfId="45340"/>
    <cellStyle name="Input 4 15 2 7 3" xfId="49246"/>
    <cellStyle name="Input 4 15 2 7 4" xfId="37322"/>
    <cellStyle name="Input 4 15 2 8" xfId="20596"/>
    <cellStyle name="Input 4 15 2 8 2" xfId="46118"/>
    <cellStyle name="Input 4 15 2 8 3" xfId="50024"/>
    <cellStyle name="Input 4 15 2 9" xfId="39894"/>
    <cellStyle name="Input 4 16" xfId="4240"/>
    <cellStyle name="Input 4 16 2" xfId="10458"/>
    <cellStyle name="Input 4 16 2 2" xfId="18245"/>
    <cellStyle name="Input 4 16 2 2 2" xfId="43777"/>
    <cellStyle name="Input 4 16 2 2 3" xfId="47686"/>
    <cellStyle name="Input 4 16 2 2 4" xfId="35868"/>
    <cellStyle name="Input 4 16 2 3" xfId="20167"/>
    <cellStyle name="Input 4 16 2 3 2" xfId="45689"/>
    <cellStyle name="Input 4 16 2 3 3" xfId="49595"/>
    <cellStyle name="Input 4 16 2 3 4" xfId="37639"/>
    <cellStyle name="Input 4 16 2 4" xfId="19082"/>
    <cellStyle name="Input 4 16 2 4 2" xfId="44604"/>
    <cellStyle name="Input 4 16 2 4 3" xfId="48510"/>
    <cellStyle name="Input 4 16 2 4 4" xfId="36664"/>
    <cellStyle name="Input 4 16 2 5" xfId="20658"/>
    <cellStyle name="Input 4 16 2 5 2" xfId="46180"/>
    <cellStyle name="Input 4 16 2 5 3" xfId="50086"/>
    <cellStyle name="Input 4 16 2 5 4" xfId="38050"/>
    <cellStyle name="Input 4 16 2 6" xfId="21311"/>
    <cellStyle name="Input 4 16 2 6 2" xfId="46833"/>
    <cellStyle name="Input 4 16 2 6 3" xfId="50739"/>
    <cellStyle name="Input 4 16 2 7" xfId="40636"/>
    <cellStyle name="Input 4 16 2 8" xfId="43615"/>
    <cellStyle name="Input 4 16 3" xfId="8461"/>
    <cellStyle name="Input 4 16 3 2" xfId="16251"/>
    <cellStyle name="Input 4 16 3 2 2" xfId="43386"/>
    <cellStyle name="Input 4 16 3 2 3" xfId="40386"/>
    <cellStyle name="Input 4 16 3 2 4" xfId="33872"/>
    <cellStyle name="Input 4 16 3 3" xfId="13284"/>
    <cellStyle name="Input 4 16 3 3 2" xfId="42435"/>
    <cellStyle name="Input 4 16 3 3 3" xfId="43286"/>
    <cellStyle name="Input 4 16 3 3 4" xfId="30915"/>
    <cellStyle name="Input 4 16 3 4" xfId="19650"/>
    <cellStyle name="Input 4 16 3 4 2" xfId="45172"/>
    <cellStyle name="Input 4 16 3 4 3" xfId="49078"/>
    <cellStyle name="Input 4 16 3 4 4" xfId="37170"/>
    <cellStyle name="Input 4 16 3 5" xfId="11324"/>
    <cellStyle name="Input 4 16 3 5 2" xfId="41349"/>
    <cellStyle name="Input 4 16 3 5 3" xfId="43332"/>
    <cellStyle name="Input 4 16 3 5 4" xfId="29037"/>
    <cellStyle name="Input 4 16 3 6" xfId="19915"/>
    <cellStyle name="Input 4 16 3 6 2" xfId="45437"/>
    <cellStyle name="Input 4 16 3 6 3" xfId="49343"/>
    <cellStyle name="Input 4 16 3 7" xfId="40248"/>
    <cellStyle name="Input 4 16 3 8" xfId="39198"/>
    <cellStyle name="Input 4 17" xfId="7148"/>
    <cellStyle name="Input 4 17 10" xfId="40256"/>
    <cellStyle name="Input 4 17 2" xfId="10675"/>
    <cellStyle name="Input 4 17 2 2" xfId="18462"/>
    <cellStyle name="Input 4 17 2 2 2" xfId="43994"/>
    <cellStyle name="Input 4 17 2 2 3" xfId="47903"/>
    <cellStyle name="Input 4 17 2 2 4" xfId="36085"/>
    <cellStyle name="Input 4 17 2 3" xfId="19111"/>
    <cellStyle name="Input 4 17 2 3 2" xfId="44633"/>
    <cellStyle name="Input 4 17 2 3 3" xfId="48539"/>
    <cellStyle name="Input 4 17 2 3 4" xfId="36692"/>
    <cellStyle name="Input 4 17 2 4" xfId="18905"/>
    <cellStyle name="Input 4 17 2 4 2" xfId="44427"/>
    <cellStyle name="Input 4 17 2 4 3" xfId="48333"/>
    <cellStyle name="Input 4 17 2 4 4" xfId="36521"/>
    <cellStyle name="Input 4 17 2 5" xfId="20875"/>
    <cellStyle name="Input 4 17 2 5 2" xfId="46397"/>
    <cellStyle name="Input 4 17 2 5 3" xfId="50303"/>
    <cellStyle name="Input 4 17 2 5 4" xfId="38267"/>
    <cellStyle name="Input 4 17 2 6" xfId="21528"/>
    <cellStyle name="Input 4 17 2 6 2" xfId="47050"/>
    <cellStyle name="Input 4 17 2 6 3" xfId="50956"/>
    <cellStyle name="Input 4 17 2 7" xfId="40853"/>
    <cellStyle name="Input 4 17 2 8" xfId="42581"/>
    <cellStyle name="Input 4 17 3" xfId="10970"/>
    <cellStyle name="Input 4 17 3 2" xfId="18757"/>
    <cellStyle name="Input 4 17 3 2 2" xfId="44289"/>
    <cellStyle name="Input 4 17 3 2 3" xfId="48198"/>
    <cellStyle name="Input 4 17 3 2 4" xfId="36380"/>
    <cellStyle name="Input 4 17 3 3" xfId="19697"/>
    <cellStyle name="Input 4 17 3 3 2" xfId="45219"/>
    <cellStyle name="Input 4 17 3 3 3" xfId="49125"/>
    <cellStyle name="Input 4 17 3 3 4" xfId="37210"/>
    <cellStyle name="Input 4 17 3 4" xfId="19166"/>
    <cellStyle name="Input 4 17 3 4 2" xfId="44688"/>
    <cellStyle name="Input 4 17 3 4 3" xfId="48594"/>
    <cellStyle name="Input 4 17 3 4 4" xfId="36741"/>
    <cellStyle name="Input 4 17 3 5" xfId="21170"/>
    <cellStyle name="Input 4 17 3 5 2" xfId="46692"/>
    <cellStyle name="Input 4 17 3 5 3" xfId="50598"/>
    <cellStyle name="Input 4 17 3 5 4" xfId="38562"/>
    <cellStyle name="Input 4 17 3 6" xfId="21823"/>
    <cellStyle name="Input 4 17 3 6 2" xfId="47345"/>
    <cellStyle name="Input 4 17 3 6 3" xfId="51251"/>
    <cellStyle name="Input 4 17 3 7" xfId="41148"/>
    <cellStyle name="Input 4 17 3 8" xfId="39156"/>
    <cellStyle name="Input 4 17 4" xfId="14930"/>
    <cellStyle name="Input 4 17 4 2" xfId="43028"/>
    <cellStyle name="Input 4 17 4 3" xfId="41914"/>
    <cellStyle name="Input 4 17 4 4" xfId="32551"/>
    <cellStyle name="Input 4 17 5" xfId="11313"/>
    <cellStyle name="Input 4 17 5 2" xfId="41338"/>
    <cellStyle name="Input 4 17 5 3" xfId="40547"/>
    <cellStyle name="Input 4 17 5 4" xfId="29027"/>
    <cellStyle name="Input 4 17 6" xfId="19468"/>
    <cellStyle name="Input 4 17 6 2" xfId="44990"/>
    <cellStyle name="Input 4 17 6 3" xfId="48896"/>
    <cellStyle name="Input 4 17 6 4" xfId="37010"/>
    <cellStyle name="Input 4 17 7" xfId="20253"/>
    <cellStyle name="Input 4 17 7 2" xfId="45775"/>
    <cellStyle name="Input 4 17 7 3" xfId="49681"/>
    <cellStyle name="Input 4 17 7 4" xfId="37709"/>
    <cellStyle name="Input 4 17 8" xfId="13189"/>
    <cellStyle name="Input 4 17 8 2" xfId="42391"/>
    <cellStyle name="Input 4 17 8 3" xfId="40024"/>
    <cellStyle name="Input 4 17 9" xfId="39888"/>
    <cellStyle name="Input 4 18" xfId="1992"/>
    <cellStyle name="Input 4 19" xfId="52730"/>
    <cellStyle name="Input 4 2" xfId="1997"/>
    <cellStyle name="Input 4 2 2" xfId="1998"/>
    <cellStyle name="Input 4 2 2 2" xfId="7156"/>
    <cellStyle name="Input 4 2 2 2 10" xfId="43740"/>
    <cellStyle name="Input 4 2 2 2 2" xfId="10683"/>
    <cellStyle name="Input 4 2 2 2 2 2" xfId="18470"/>
    <cellStyle name="Input 4 2 2 2 2 2 2" xfId="44002"/>
    <cellStyle name="Input 4 2 2 2 2 2 3" xfId="47911"/>
    <cellStyle name="Input 4 2 2 2 2 2 4" xfId="36093"/>
    <cellStyle name="Input 4 2 2 2 2 3" xfId="19405"/>
    <cellStyle name="Input 4 2 2 2 2 3 2" xfId="44927"/>
    <cellStyle name="Input 4 2 2 2 2 3 3" xfId="48833"/>
    <cellStyle name="Input 4 2 2 2 2 3 4" xfId="36956"/>
    <cellStyle name="Input 4 2 2 2 2 4" xfId="12648"/>
    <cellStyle name="Input 4 2 2 2 2 4 2" xfId="42108"/>
    <cellStyle name="Input 4 2 2 2 2 4 3" xfId="43449"/>
    <cellStyle name="Input 4 2 2 2 2 4 4" xfId="30299"/>
    <cellStyle name="Input 4 2 2 2 2 5" xfId="20883"/>
    <cellStyle name="Input 4 2 2 2 2 5 2" xfId="46405"/>
    <cellStyle name="Input 4 2 2 2 2 5 3" xfId="50311"/>
    <cellStyle name="Input 4 2 2 2 2 5 4" xfId="38275"/>
    <cellStyle name="Input 4 2 2 2 2 6" xfId="21536"/>
    <cellStyle name="Input 4 2 2 2 2 6 2" xfId="47058"/>
    <cellStyle name="Input 4 2 2 2 2 6 3" xfId="50964"/>
    <cellStyle name="Input 4 2 2 2 2 7" xfId="40861"/>
    <cellStyle name="Input 4 2 2 2 2 8" xfId="39167"/>
    <cellStyle name="Input 4 2 2 2 3" xfId="10978"/>
    <cellStyle name="Input 4 2 2 2 3 2" xfId="18765"/>
    <cellStyle name="Input 4 2 2 2 3 2 2" xfId="44297"/>
    <cellStyle name="Input 4 2 2 2 3 2 3" xfId="48206"/>
    <cellStyle name="Input 4 2 2 2 3 2 4" xfId="36388"/>
    <cellStyle name="Input 4 2 2 2 3 3" xfId="19254"/>
    <cellStyle name="Input 4 2 2 2 3 3 2" xfId="44776"/>
    <cellStyle name="Input 4 2 2 2 3 3 3" xfId="48682"/>
    <cellStyle name="Input 4 2 2 2 3 3 4" xfId="36818"/>
    <cellStyle name="Input 4 2 2 2 3 4" xfId="11569"/>
    <cellStyle name="Input 4 2 2 2 3 4 2" xfId="41560"/>
    <cellStyle name="Input 4 2 2 2 3 4 3" xfId="42686"/>
    <cellStyle name="Input 4 2 2 2 3 4 4" xfId="29266"/>
    <cellStyle name="Input 4 2 2 2 3 5" xfId="21178"/>
    <cellStyle name="Input 4 2 2 2 3 5 2" xfId="46700"/>
    <cellStyle name="Input 4 2 2 2 3 5 3" xfId="50606"/>
    <cellStyle name="Input 4 2 2 2 3 5 4" xfId="38570"/>
    <cellStyle name="Input 4 2 2 2 3 6" xfId="21831"/>
    <cellStyle name="Input 4 2 2 2 3 6 2" xfId="47353"/>
    <cellStyle name="Input 4 2 2 2 3 6 3" xfId="51259"/>
    <cellStyle name="Input 4 2 2 2 3 7" xfId="41156"/>
    <cellStyle name="Input 4 2 2 2 3 8" xfId="40553"/>
    <cellStyle name="Input 4 2 2 2 4" xfId="14938"/>
    <cellStyle name="Input 4 2 2 2 4 2" xfId="43036"/>
    <cellStyle name="Input 4 2 2 2 4 3" xfId="41258"/>
    <cellStyle name="Input 4 2 2 2 4 4" xfId="32559"/>
    <cellStyle name="Input 4 2 2 2 5" xfId="13165"/>
    <cellStyle name="Input 4 2 2 2 5 2" xfId="42367"/>
    <cellStyle name="Input 4 2 2 2 5 3" xfId="39054"/>
    <cellStyle name="Input 4 2 2 2 5 4" xfId="30800"/>
    <cellStyle name="Input 4 2 2 2 6" xfId="19135"/>
    <cellStyle name="Input 4 2 2 2 6 2" xfId="44657"/>
    <cellStyle name="Input 4 2 2 2 6 3" xfId="48563"/>
    <cellStyle name="Input 4 2 2 2 6 4" xfId="36716"/>
    <cellStyle name="Input 4 2 2 2 7" xfId="19861"/>
    <cellStyle name="Input 4 2 2 2 7 2" xfId="45383"/>
    <cellStyle name="Input 4 2 2 2 7 3" xfId="49289"/>
    <cellStyle name="Input 4 2 2 2 7 4" xfId="37361"/>
    <cellStyle name="Input 4 2 2 2 8" xfId="11698"/>
    <cellStyle name="Input 4 2 2 2 8 2" xfId="41676"/>
    <cellStyle name="Input 4 2 2 2 8 3" xfId="39133"/>
    <cellStyle name="Input 4 2 2 2 9" xfId="39896"/>
    <cellStyle name="Input 4 2 2 3" xfId="53157"/>
    <cellStyle name="Input 4 2 3" xfId="1999"/>
    <cellStyle name="Input 4 2 3 2" xfId="7157"/>
    <cellStyle name="Input 4 2 3 2 10" xfId="40599"/>
    <cellStyle name="Input 4 2 3 2 2" xfId="10684"/>
    <cellStyle name="Input 4 2 3 2 2 2" xfId="18471"/>
    <cellStyle name="Input 4 2 3 2 2 2 2" xfId="44003"/>
    <cellStyle name="Input 4 2 3 2 2 2 3" xfId="47912"/>
    <cellStyle name="Input 4 2 3 2 2 2 4" xfId="36094"/>
    <cellStyle name="Input 4 2 3 2 2 3" xfId="20012"/>
    <cellStyle name="Input 4 2 3 2 2 3 2" xfId="45534"/>
    <cellStyle name="Input 4 2 3 2 2 3 3" xfId="49440"/>
    <cellStyle name="Input 4 2 3 2 2 3 4" xfId="37496"/>
    <cellStyle name="Input 4 2 3 2 2 4" xfId="19493"/>
    <cellStyle name="Input 4 2 3 2 2 4 2" xfId="45015"/>
    <cellStyle name="Input 4 2 3 2 2 4 3" xfId="48921"/>
    <cellStyle name="Input 4 2 3 2 2 4 4" xfId="37028"/>
    <cellStyle name="Input 4 2 3 2 2 5" xfId="20884"/>
    <cellStyle name="Input 4 2 3 2 2 5 2" xfId="46406"/>
    <cellStyle name="Input 4 2 3 2 2 5 3" xfId="50312"/>
    <cellStyle name="Input 4 2 3 2 2 5 4" xfId="38276"/>
    <cellStyle name="Input 4 2 3 2 2 6" xfId="21537"/>
    <cellStyle name="Input 4 2 3 2 2 6 2" xfId="47059"/>
    <cellStyle name="Input 4 2 3 2 2 6 3" xfId="50965"/>
    <cellStyle name="Input 4 2 3 2 2 7" xfId="40862"/>
    <cellStyle name="Input 4 2 3 2 2 8" xfId="41408"/>
    <cellStyle name="Input 4 2 3 2 3" xfId="10979"/>
    <cellStyle name="Input 4 2 3 2 3 2" xfId="18766"/>
    <cellStyle name="Input 4 2 3 2 3 2 2" xfId="44298"/>
    <cellStyle name="Input 4 2 3 2 3 2 3" xfId="48207"/>
    <cellStyle name="Input 4 2 3 2 3 2 4" xfId="36389"/>
    <cellStyle name="Input 4 2 3 2 3 3" xfId="19863"/>
    <cellStyle name="Input 4 2 3 2 3 3 2" xfId="45385"/>
    <cellStyle name="Input 4 2 3 2 3 3 3" xfId="49291"/>
    <cellStyle name="Input 4 2 3 2 3 3 4" xfId="37363"/>
    <cellStyle name="Input 4 2 3 2 3 4" xfId="12329"/>
    <cellStyle name="Input 4 2 3 2 3 4 2" xfId="41931"/>
    <cellStyle name="Input 4 2 3 2 3 4 3" xfId="39087"/>
    <cellStyle name="Input 4 2 3 2 3 4 4" xfId="29986"/>
    <cellStyle name="Input 4 2 3 2 3 5" xfId="21179"/>
    <cellStyle name="Input 4 2 3 2 3 5 2" xfId="46701"/>
    <cellStyle name="Input 4 2 3 2 3 5 3" xfId="50607"/>
    <cellStyle name="Input 4 2 3 2 3 5 4" xfId="38571"/>
    <cellStyle name="Input 4 2 3 2 3 6" xfId="21832"/>
    <cellStyle name="Input 4 2 3 2 3 6 2" xfId="47354"/>
    <cellStyle name="Input 4 2 3 2 3 6 3" xfId="51260"/>
    <cellStyle name="Input 4 2 3 2 3 7" xfId="41157"/>
    <cellStyle name="Input 4 2 3 2 3 8" xfId="39664"/>
    <cellStyle name="Input 4 2 3 2 4" xfId="14939"/>
    <cellStyle name="Input 4 2 3 2 4 2" xfId="43037"/>
    <cellStyle name="Input 4 2 3 2 4 3" xfId="43151"/>
    <cellStyle name="Input 4 2 3 2 4 4" xfId="32560"/>
    <cellStyle name="Input 4 2 3 2 5" xfId="13166"/>
    <cellStyle name="Input 4 2 3 2 5 2" xfId="42368"/>
    <cellStyle name="Input 4 2 3 2 5 3" xfId="39265"/>
    <cellStyle name="Input 4 2 3 2 5 4" xfId="30801"/>
    <cellStyle name="Input 4 2 3 2 6" xfId="11448"/>
    <cellStyle name="Input 4 2 3 2 6 2" xfId="41439"/>
    <cellStyle name="Input 4 2 3 2 6 3" xfId="40543"/>
    <cellStyle name="Input 4 2 3 2 6 4" xfId="29153"/>
    <cellStyle name="Input 4 2 3 2 7" xfId="12128"/>
    <cellStyle name="Input 4 2 3 2 7 2" xfId="41853"/>
    <cellStyle name="Input 4 2 3 2 7 3" xfId="40529"/>
    <cellStyle name="Input 4 2 3 2 7 4" xfId="29787"/>
    <cellStyle name="Input 4 2 3 2 8" xfId="20260"/>
    <cellStyle name="Input 4 2 3 2 8 2" xfId="45782"/>
    <cellStyle name="Input 4 2 3 2 8 3" xfId="49688"/>
    <cellStyle name="Input 4 2 3 2 9" xfId="39897"/>
    <cellStyle name="Input 4 2 4" xfId="4241"/>
    <cellStyle name="Input 4 2 4 2" xfId="7158"/>
    <cellStyle name="Input 4 2 4 2 10" xfId="39933"/>
    <cellStyle name="Input 4 2 4 2 2" xfId="10685"/>
    <cellStyle name="Input 4 2 4 2 2 2" xfId="18472"/>
    <cellStyle name="Input 4 2 4 2 2 2 2" xfId="44004"/>
    <cellStyle name="Input 4 2 4 2 2 2 3" xfId="47913"/>
    <cellStyle name="Input 4 2 4 2 2 2 4" xfId="36095"/>
    <cellStyle name="Input 4 2 4 2 2 3" xfId="19278"/>
    <cellStyle name="Input 4 2 4 2 2 3 2" xfId="44800"/>
    <cellStyle name="Input 4 2 4 2 2 3 3" xfId="48706"/>
    <cellStyle name="Input 4 2 4 2 2 3 4" xfId="36842"/>
    <cellStyle name="Input 4 2 4 2 2 4" xfId="11567"/>
    <cellStyle name="Input 4 2 4 2 2 4 2" xfId="41558"/>
    <cellStyle name="Input 4 2 4 2 2 4 3" xfId="40538"/>
    <cellStyle name="Input 4 2 4 2 2 4 4" xfId="29264"/>
    <cellStyle name="Input 4 2 4 2 2 5" xfId="20885"/>
    <cellStyle name="Input 4 2 4 2 2 5 2" xfId="46407"/>
    <cellStyle name="Input 4 2 4 2 2 5 3" xfId="50313"/>
    <cellStyle name="Input 4 2 4 2 2 5 4" xfId="38277"/>
    <cellStyle name="Input 4 2 4 2 2 6" xfId="21538"/>
    <cellStyle name="Input 4 2 4 2 2 6 2" xfId="47060"/>
    <cellStyle name="Input 4 2 4 2 2 6 3" xfId="50966"/>
    <cellStyle name="Input 4 2 4 2 2 7" xfId="40863"/>
    <cellStyle name="Input 4 2 4 2 2 8" xfId="43211"/>
    <cellStyle name="Input 4 2 4 2 3" xfId="10980"/>
    <cellStyle name="Input 4 2 4 2 3 2" xfId="18767"/>
    <cellStyle name="Input 4 2 4 2 3 2 2" xfId="44299"/>
    <cellStyle name="Input 4 2 4 2 3 2 3" xfId="48208"/>
    <cellStyle name="Input 4 2 4 2 3 2 4" xfId="36390"/>
    <cellStyle name="Input 4 2 4 2 3 3" xfId="19086"/>
    <cellStyle name="Input 4 2 4 2 3 3 2" xfId="44608"/>
    <cellStyle name="Input 4 2 4 2 3 3 3" xfId="48514"/>
    <cellStyle name="Input 4 2 4 2 3 3 4" xfId="36667"/>
    <cellStyle name="Input 4 2 4 2 3 4" xfId="19544"/>
    <cellStyle name="Input 4 2 4 2 3 4 2" xfId="45066"/>
    <cellStyle name="Input 4 2 4 2 3 4 3" xfId="48972"/>
    <cellStyle name="Input 4 2 4 2 3 4 4" xfId="37071"/>
    <cellStyle name="Input 4 2 4 2 3 5" xfId="21180"/>
    <cellStyle name="Input 4 2 4 2 3 5 2" xfId="46702"/>
    <cellStyle name="Input 4 2 4 2 3 5 3" xfId="50608"/>
    <cellStyle name="Input 4 2 4 2 3 5 4" xfId="38572"/>
    <cellStyle name="Input 4 2 4 2 3 6" xfId="21833"/>
    <cellStyle name="Input 4 2 4 2 3 6 2" xfId="47355"/>
    <cellStyle name="Input 4 2 4 2 3 6 3" xfId="51261"/>
    <cellStyle name="Input 4 2 4 2 3 7" xfId="41158"/>
    <cellStyle name="Input 4 2 4 2 3 8" xfId="42701"/>
    <cellStyle name="Input 4 2 4 2 4" xfId="14940"/>
    <cellStyle name="Input 4 2 4 2 4 2" xfId="43038"/>
    <cellStyle name="Input 4 2 4 2 4 3" xfId="40010"/>
    <cellStyle name="Input 4 2 4 2 4 4" xfId="32561"/>
    <cellStyle name="Input 4 2 4 2 5" xfId="13167"/>
    <cellStyle name="Input 4 2 4 2 5 2" xfId="42369"/>
    <cellStyle name="Input 4 2 4 2 5 3" xfId="39264"/>
    <cellStyle name="Input 4 2 4 2 5 4" xfId="30802"/>
    <cellStyle name="Input 4 2 4 2 6" xfId="20363"/>
    <cellStyle name="Input 4 2 4 2 6 2" xfId="45885"/>
    <cellStyle name="Input 4 2 4 2 6 3" xfId="49791"/>
    <cellStyle name="Input 4 2 4 2 6 4" xfId="37805"/>
    <cellStyle name="Input 4 2 4 2 7" xfId="19027"/>
    <cellStyle name="Input 4 2 4 2 7 2" xfId="44549"/>
    <cellStyle name="Input 4 2 4 2 7 3" xfId="48455"/>
    <cellStyle name="Input 4 2 4 2 7 4" xfId="36617"/>
    <cellStyle name="Input 4 2 4 2 8" xfId="19032"/>
    <cellStyle name="Input 4 2 4 2 8 2" xfId="44554"/>
    <cellStyle name="Input 4 2 4 2 8 3" xfId="48460"/>
    <cellStyle name="Input 4 2 4 2 9" xfId="39898"/>
    <cellStyle name="Input 4 2 5" xfId="7155"/>
    <cellStyle name="Input 4 2 5 10" xfId="43073"/>
    <cellStyle name="Input 4 2 5 2" xfId="10682"/>
    <cellStyle name="Input 4 2 5 2 2" xfId="18469"/>
    <cellStyle name="Input 4 2 5 2 2 2" xfId="44001"/>
    <cellStyle name="Input 4 2 5 2 2 3" xfId="47910"/>
    <cellStyle name="Input 4 2 5 2 2 4" xfId="36092"/>
    <cellStyle name="Input 4 2 5 2 3" xfId="20146"/>
    <cellStyle name="Input 4 2 5 2 3 2" xfId="45668"/>
    <cellStyle name="Input 4 2 5 2 3 3" xfId="49574"/>
    <cellStyle name="Input 4 2 5 2 3 4" xfId="37618"/>
    <cellStyle name="Input 4 2 5 2 4" xfId="19072"/>
    <cellStyle name="Input 4 2 5 2 4 2" xfId="44594"/>
    <cellStyle name="Input 4 2 5 2 4 3" xfId="48500"/>
    <cellStyle name="Input 4 2 5 2 4 4" xfId="36654"/>
    <cellStyle name="Input 4 2 5 2 5" xfId="20882"/>
    <cellStyle name="Input 4 2 5 2 5 2" xfId="46404"/>
    <cellStyle name="Input 4 2 5 2 5 3" xfId="50310"/>
    <cellStyle name="Input 4 2 5 2 5 4" xfId="38274"/>
    <cellStyle name="Input 4 2 5 2 6" xfId="21535"/>
    <cellStyle name="Input 4 2 5 2 6 2" xfId="47057"/>
    <cellStyle name="Input 4 2 5 2 6 3" xfId="50963"/>
    <cellStyle name="Input 4 2 5 2 7" xfId="40860"/>
    <cellStyle name="Input 4 2 5 2 8" xfId="39361"/>
    <cellStyle name="Input 4 2 5 3" xfId="10977"/>
    <cellStyle name="Input 4 2 5 3 2" xfId="18764"/>
    <cellStyle name="Input 4 2 5 3 2 2" xfId="44296"/>
    <cellStyle name="Input 4 2 5 3 2 3" xfId="48205"/>
    <cellStyle name="Input 4 2 5 3 2 4" xfId="36387"/>
    <cellStyle name="Input 4 2 5 3 3" xfId="19988"/>
    <cellStyle name="Input 4 2 5 3 3 2" xfId="45510"/>
    <cellStyle name="Input 4 2 5 3 3 3" xfId="49416"/>
    <cellStyle name="Input 4 2 5 3 3 4" xfId="37472"/>
    <cellStyle name="Input 4 2 5 3 4" xfId="18868"/>
    <cellStyle name="Input 4 2 5 3 4 2" xfId="44390"/>
    <cellStyle name="Input 4 2 5 3 4 3" xfId="48296"/>
    <cellStyle name="Input 4 2 5 3 4 4" xfId="36491"/>
    <cellStyle name="Input 4 2 5 3 5" xfId="21177"/>
    <cellStyle name="Input 4 2 5 3 5 2" xfId="46699"/>
    <cellStyle name="Input 4 2 5 3 5 3" xfId="50605"/>
    <cellStyle name="Input 4 2 5 3 5 4" xfId="38569"/>
    <cellStyle name="Input 4 2 5 3 6" xfId="21830"/>
    <cellStyle name="Input 4 2 5 3 6 2" xfId="47352"/>
    <cellStyle name="Input 4 2 5 3 6 3" xfId="51258"/>
    <cellStyle name="Input 4 2 5 3 7" xfId="41155"/>
    <cellStyle name="Input 4 2 5 3 8" xfId="43694"/>
    <cellStyle name="Input 4 2 5 4" xfId="14937"/>
    <cellStyle name="Input 4 2 5 4 2" xfId="43035"/>
    <cellStyle name="Input 4 2 5 4 3" xfId="39240"/>
    <cellStyle name="Input 4 2 5 4 4" xfId="32558"/>
    <cellStyle name="Input 4 2 5 5" xfId="13164"/>
    <cellStyle name="Input 4 2 5 5 2" xfId="42366"/>
    <cellStyle name="Input 4 2 5 5 3" xfId="39055"/>
    <cellStyle name="Input 4 2 5 5 4" xfId="30799"/>
    <cellStyle name="Input 4 2 5 6" xfId="12036"/>
    <cellStyle name="Input 4 2 5 6 2" xfId="41772"/>
    <cellStyle name="Input 4 2 5 6 3" xfId="42677"/>
    <cellStyle name="Input 4 2 5 6 4" xfId="29701"/>
    <cellStyle name="Input 4 2 5 7" xfId="12800"/>
    <cellStyle name="Input 4 2 5 7 2" xfId="42196"/>
    <cellStyle name="Input 4 2 5 7 3" xfId="39422"/>
    <cellStyle name="Input 4 2 5 7 4" xfId="30442"/>
    <cellStyle name="Input 4 2 5 8" xfId="19842"/>
    <cellStyle name="Input 4 2 5 8 2" xfId="45364"/>
    <cellStyle name="Input 4 2 5 8 3" xfId="49270"/>
    <cellStyle name="Input 4 2 5 9" xfId="39895"/>
    <cellStyle name="Input 4 2 6" xfId="53156"/>
    <cellStyle name="Input 4 2_Sheet1" xfId="2000"/>
    <cellStyle name="Input 4 3" xfId="2001"/>
    <cellStyle name="Input 4 3 2" xfId="7159"/>
    <cellStyle name="Input 4 3 2 10" xfId="42733"/>
    <cellStyle name="Input 4 3 2 2" xfId="10686"/>
    <cellStyle name="Input 4 3 2 2 2" xfId="18473"/>
    <cellStyle name="Input 4 3 2 2 2 2" xfId="44005"/>
    <cellStyle name="Input 4 3 2 2 2 3" xfId="47914"/>
    <cellStyle name="Input 4 3 2 2 2 4" xfId="36096"/>
    <cellStyle name="Input 4 3 2 2 3" xfId="19887"/>
    <cellStyle name="Input 4 3 2 2 3 2" xfId="45409"/>
    <cellStyle name="Input 4 3 2 2 3 3" xfId="49315"/>
    <cellStyle name="Input 4 3 2 2 3 4" xfId="37387"/>
    <cellStyle name="Input 4 3 2 2 4" xfId="13288"/>
    <cellStyle name="Input 4 3 2 2 4 2" xfId="42439"/>
    <cellStyle name="Input 4 3 2 2 4 3" xfId="41273"/>
    <cellStyle name="Input 4 3 2 2 4 4" xfId="30918"/>
    <cellStyle name="Input 4 3 2 2 5" xfId="20886"/>
    <cellStyle name="Input 4 3 2 2 5 2" xfId="46408"/>
    <cellStyle name="Input 4 3 2 2 5 3" xfId="50314"/>
    <cellStyle name="Input 4 3 2 2 5 4" xfId="38278"/>
    <cellStyle name="Input 4 3 2 2 6" xfId="21539"/>
    <cellStyle name="Input 4 3 2 2 6 2" xfId="47061"/>
    <cellStyle name="Input 4 3 2 2 6 3" xfId="50967"/>
    <cellStyle name="Input 4 3 2 2 7" xfId="40864"/>
    <cellStyle name="Input 4 3 2 2 8" xfId="40070"/>
    <cellStyle name="Input 4 3 2 3" xfId="10981"/>
    <cellStyle name="Input 4 3 2 3 2" xfId="18768"/>
    <cellStyle name="Input 4 3 2 3 2 2" xfId="44300"/>
    <cellStyle name="Input 4 3 2 3 2 3" xfId="48209"/>
    <cellStyle name="Input 4 3 2 3 2 4" xfId="36391"/>
    <cellStyle name="Input 4 3 2 3 3" xfId="19695"/>
    <cellStyle name="Input 4 3 2 3 3 2" xfId="45217"/>
    <cellStyle name="Input 4 3 2 3 3 3" xfId="49123"/>
    <cellStyle name="Input 4 3 2 3 3 4" xfId="37208"/>
    <cellStyle name="Input 4 3 2 3 4" xfId="19323"/>
    <cellStyle name="Input 4 3 2 3 4 2" xfId="44845"/>
    <cellStyle name="Input 4 3 2 3 4 3" xfId="48751"/>
    <cellStyle name="Input 4 3 2 3 4 4" xfId="36881"/>
    <cellStyle name="Input 4 3 2 3 5" xfId="21181"/>
    <cellStyle name="Input 4 3 2 3 5 2" xfId="46703"/>
    <cellStyle name="Input 4 3 2 3 5 3" xfId="50609"/>
    <cellStyle name="Input 4 3 2 3 5 4" xfId="38573"/>
    <cellStyle name="Input 4 3 2 3 6" xfId="21834"/>
    <cellStyle name="Input 4 3 2 3 6 2" xfId="47356"/>
    <cellStyle name="Input 4 3 2 3 6 3" xfId="51262"/>
    <cellStyle name="Input 4 3 2 3 7" xfId="41159"/>
    <cellStyle name="Input 4 3 2 3 8" xfId="43590"/>
    <cellStyle name="Input 4 3 2 4" xfId="14941"/>
    <cellStyle name="Input 4 3 2 4 2" xfId="43039"/>
    <cellStyle name="Input 4 3 2 4 3" xfId="42751"/>
    <cellStyle name="Input 4 3 2 4 4" xfId="32562"/>
    <cellStyle name="Input 4 3 2 5" xfId="11315"/>
    <cellStyle name="Input 4 3 2 5 2" xfId="41340"/>
    <cellStyle name="Input 4 3 2 5 3" xfId="42695"/>
    <cellStyle name="Input 4 3 2 5 4" xfId="29029"/>
    <cellStyle name="Input 4 3 2 6" xfId="11775"/>
    <cellStyle name="Input 4 3 2 6 2" xfId="41709"/>
    <cellStyle name="Input 4 3 2 6 3" xfId="39131"/>
    <cellStyle name="Input 4 3 2 6 4" xfId="29448"/>
    <cellStyle name="Input 4 3 2 7" xfId="12845"/>
    <cellStyle name="Input 4 3 2 7 2" xfId="42209"/>
    <cellStyle name="Input 4 3 2 7 3" xfId="39079"/>
    <cellStyle name="Input 4 3 2 7 4" xfId="30485"/>
    <cellStyle name="Input 4 3 2 8" xfId="19062"/>
    <cellStyle name="Input 4 3 2 8 2" xfId="44584"/>
    <cellStyle name="Input 4 3 2 8 3" xfId="48490"/>
    <cellStyle name="Input 4 3 2 9" xfId="39899"/>
    <cellStyle name="Input 4 3 3" xfId="53158"/>
    <cellStyle name="Input 4 4" xfId="2002"/>
    <cellStyle name="Input 4 4 2" xfId="7160"/>
    <cellStyle name="Input 4 4 2 10" xfId="43621"/>
    <cellStyle name="Input 4 4 2 2" xfId="10687"/>
    <cellStyle name="Input 4 4 2 2 2" xfId="18474"/>
    <cellStyle name="Input 4 4 2 2 2 2" xfId="44006"/>
    <cellStyle name="Input 4 4 2 2 2 3" xfId="47915"/>
    <cellStyle name="Input 4 4 2 2 2 4" xfId="36097"/>
    <cellStyle name="Input 4 4 2 2 3" xfId="19110"/>
    <cellStyle name="Input 4 4 2 2 3 2" xfId="44632"/>
    <cellStyle name="Input 4 4 2 2 3 3" xfId="48538"/>
    <cellStyle name="Input 4 4 2 2 3 4" xfId="36691"/>
    <cellStyle name="Input 4 4 2 2 4" xfId="19018"/>
    <cellStyle name="Input 4 4 2 2 4 2" xfId="44540"/>
    <cellStyle name="Input 4 4 2 2 4 3" xfId="48446"/>
    <cellStyle name="Input 4 4 2 2 4 4" xfId="36610"/>
    <cellStyle name="Input 4 4 2 2 5" xfId="20887"/>
    <cellStyle name="Input 4 4 2 2 5 2" xfId="46409"/>
    <cellStyle name="Input 4 4 2 2 5 3" xfId="50315"/>
    <cellStyle name="Input 4 4 2 2 5 4" xfId="38279"/>
    <cellStyle name="Input 4 4 2 2 6" xfId="21540"/>
    <cellStyle name="Input 4 4 2 2 6 2" xfId="47062"/>
    <cellStyle name="Input 4 4 2 2 6 3" xfId="50968"/>
    <cellStyle name="Input 4 4 2 2 7" xfId="40865"/>
    <cellStyle name="Input 4 4 2 2 8" xfId="42819"/>
    <cellStyle name="Input 4 4 2 3" xfId="10982"/>
    <cellStyle name="Input 4 4 2 3 2" xfId="18769"/>
    <cellStyle name="Input 4 4 2 3 2 2" xfId="44301"/>
    <cellStyle name="Input 4 4 2 3 2 3" xfId="48210"/>
    <cellStyle name="Input 4 4 2 3 2 4" xfId="36392"/>
    <cellStyle name="Input 4 4 2 3 3" xfId="11526"/>
    <cellStyle name="Input 4 4 2 3 3 2" xfId="41517"/>
    <cellStyle name="Input 4 4 2 3 3 3" xfId="39142"/>
    <cellStyle name="Input 4 4 2 3 3 4" xfId="29227"/>
    <cellStyle name="Input 4 4 2 3 4" xfId="19949"/>
    <cellStyle name="Input 4 4 2 3 4 2" xfId="45471"/>
    <cellStyle name="Input 4 4 2 3 4 3" xfId="49377"/>
    <cellStyle name="Input 4 4 2 3 4 4" xfId="37440"/>
    <cellStyle name="Input 4 4 2 3 5" xfId="21182"/>
    <cellStyle name="Input 4 4 2 3 5 2" xfId="46704"/>
    <cellStyle name="Input 4 4 2 3 5 3" xfId="50610"/>
    <cellStyle name="Input 4 4 2 3 5 4" xfId="38574"/>
    <cellStyle name="Input 4 4 2 3 6" xfId="21835"/>
    <cellStyle name="Input 4 4 2 3 6 2" xfId="47357"/>
    <cellStyle name="Input 4 4 2 3 6 3" xfId="51263"/>
    <cellStyle name="Input 4 4 2 3 7" xfId="41160"/>
    <cellStyle name="Input 4 4 2 3 8" xfId="40448"/>
    <cellStyle name="Input 4 4 2 4" xfId="14942"/>
    <cellStyle name="Input 4 4 2 4 2" xfId="43040"/>
    <cellStyle name="Input 4 4 2 4 3" xfId="43638"/>
    <cellStyle name="Input 4 4 2 4 4" xfId="32563"/>
    <cellStyle name="Input 4 4 2 5" xfId="11316"/>
    <cellStyle name="Input 4 4 2 5 2" xfId="41341"/>
    <cellStyle name="Input 4 4 2 5 3" xfId="43583"/>
    <cellStyle name="Input 4 4 2 5 4" xfId="29030"/>
    <cellStyle name="Input 4 4 2 6" xfId="19780"/>
    <cellStyle name="Input 4 4 2 6 2" xfId="45302"/>
    <cellStyle name="Input 4 4 2 6 3" xfId="49208"/>
    <cellStyle name="Input 4 4 2 6 4" xfId="37290"/>
    <cellStyle name="Input 4 4 2 7" xfId="19778"/>
    <cellStyle name="Input 4 4 2 7 2" xfId="45300"/>
    <cellStyle name="Input 4 4 2 7 3" xfId="49206"/>
    <cellStyle name="Input 4 4 2 7 4" xfId="37288"/>
    <cellStyle name="Input 4 4 2 8" xfId="20212"/>
    <cellStyle name="Input 4 4 2 8 2" xfId="45734"/>
    <cellStyle name="Input 4 4 2 8 3" xfId="49640"/>
    <cellStyle name="Input 4 4 2 9" xfId="39900"/>
    <cellStyle name="Input 4 4 3" xfId="22913"/>
    <cellStyle name="Input 4 4 3 2" xfId="47595"/>
    <cellStyle name="Input 4 4 3 3" xfId="51410"/>
    <cellStyle name="Input 4 4 3 4" xfId="39007"/>
    <cellStyle name="Input 4 4 4" xfId="23053"/>
    <cellStyle name="Input 4 4 4 2" xfId="47639"/>
    <cellStyle name="Input 4 4 4 3" xfId="51450"/>
    <cellStyle name="Input 4 4 5" xfId="53159"/>
    <cellStyle name="Input 4 5" xfId="2003"/>
    <cellStyle name="Input 4 5 2" xfId="7161"/>
    <cellStyle name="Input 4 5 2 10" xfId="40479"/>
    <cellStyle name="Input 4 5 2 2" xfId="10688"/>
    <cellStyle name="Input 4 5 2 2 2" xfId="18475"/>
    <cellStyle name="Input 4 5 2 2 2 2" xfId="44007"/>
    <cellStyle name="Input 4 5 2 2 2 3" xfId="47916"/>
    <cellStyle name="Input 4 5 2 2 2 4" xfId="36098"/>
    <cellStyle name="Input 4 5 2 2 3" xfId="19726"/>
    <cellStyle name="Input 4 5 2 2 3 2" xfId="45248"/>
    <cellStyle name="Input 4 5 2 2 3 3" xfId="49154"/>
    <cellStyle name="Input 4 5 2 2 3 4" xfId="37239"/>
    <cellStyle name="Input 4 5 2 2 4" xfId="12644"/>
    <cellStyle name="Input 4 5 2 2 4 2" xfId="42104"/>
    <cellStyle name="Input 4 5 2 2 4 3" xfId="43559"/>
    <cellStyle name="Input 4 5 2 2 4 4" xfId="30295"/>
    <cellStyle name="Input 4 5 2 2 5" xfId="20888"/>
    <cellStyle name="Input 4 5 2 2 5 2" xfId="46410"/>
    <cellStyle name="Input 4 5 2 2 5 3" xfId="50316"/>
    <cellStyle name="Input 4 5 2 2 5 4" xfId="38280"/>
    <cellStyle name="Input 4 5 2 2 6" xfId="21541"/>
    <cellStyle name="Input 4 5 2 2 6 2" xfId="47063"/>
    <cellStyle name="Input 4 5 2 2 6 3" xfId="50969"/>
    <cellStyle name="Input 4 5 2 2 7" xfId="40866"/>
    <cellStyle name="Input 4 5 2 2 8" xfId="43708"/>
    <cellStyle name="Input 4 5 2 3" xfId="10983"/>
    <cellStyle name="Input 4 5 2 3 2" xfId="18770"/>
    <cellStyle name="Input 4 5 2 3 2 2" xfId="44302"/>
    <cellStyle name="Input 4 5 2 3 2 3" xfId="48211"/>
    <cellStyle name="Input 4 5 2 3 2 4" xfId="36393"/>
    <cellStyle name="Input 4 5 2 3 3" xfId="13351"/>
    <cellStyle name="Input 4 5 2 3 3 2" xfId="42502"/>
    <cellStyle name="Input 4 5 2 3 3 3" xfId="42653"/>
    <cellStyle name="Input 4 5 2 3 3 4" xfId="30977"/>
    <cellStyle name="Input 4 5 2 3 4" xfId="20343"/>
    <cellStyle name="Input 4 5 2 3 4 2" xfId="45865"/>
    <cellStyle name="Input 4 5 2 3 4 3" xfId="49771"/>
    <cellStyle name="Input 4 5 2 3 4 4" xfId="37785"/>
    <cellStyle name="Input 4 5 2 3 5" xfId="21183"/>
    <cellStyle name="Input 4 5 2 3 5 2" xfId="46705"/>
    <cellStyle name="Input 4 5 2 3 5 3" xfId="50611"/>
    <cellStyle name="Input 4 5 2 3 5 4" xfId="38575"/>
    <cellStyle name="Input 4 5 2 3 6" xfId="21836"/>
    <cellStyle name="Input 4 5 2 3 6 2" xfId="47358"/>
    <cellStyle name="Input 4 5 2 3 6 3" xfId="51264"/>
    <cellStyle name="Input 4 5 2 3 7" xfId="41161"/>
    <cellStyle name="Input 4 5 2 3 8" xfId="39558"/>
    <cellStyle name="Input 4 5 2 4" xfId="14943"/>
    <cellStyle name="Input 4 5 2 4 2" xfId="43041"/>
    <cellStyle name="Input 4 5 2 4 3" xfId="40497"/>
    <cellStyle name="Input 4 5 2 4 4" xfId="32564"/>
    <cellStyle name="Input 4 5 2 5" xfId="11317"/>
    <cellStyle name="Input 4 5 2 5 2" xfId="41342"/>
    <cellStyle name="Input 4 5 2 5 3" xfId="40442"/>
    <cellStyle name="Input 4 5 2 5 4" xfId="29031"/>
    <cellStyle name="Input 4 5 2 6" xfId="11113"/>
    <cellStyle name="Input 4 5 2 6 2" xfId="41254"/>
    <cellStyle name="Input 4 5 2 6 3" xfId="40444"/>
    <cellStyle name="Input 4 5 2 6 4" xfId="28827"/>
    <cellStyle name="Input 4 5 2 7" xfId="19791"/>
    <cellStyle name="Input 4 5 2 7 2" xfId="45313"/>
    <cellStyle name="Input 4 5 2 7 3" xfId="49219"/>
    <cellStyle name="Input 4 5 2 7 4" xfId="37299"/>
    <cellStyle name="Input 4 5 2 8" xfId="19084"/>
    <cellStyle name="Input 4 5 2 8 2" xfId="44606"/>
    <cellStyle name="Input 4 5 2 8 3" xfId="48512"/>
    <cellStyle name="Input 4 5 2 9" xfId="39901"/>
    <cellStyle name="Input 4 5 3" xfId="53160"/>
    <cellStyle name="Input 4 6" xfId="2004"/>
    <cellStyle name="Input 4 6 2" xfId="7162"/>
    <cellStyle name="Input 4 6 2 10" xfId="39589"/>
    <cellStyle name="Input 4 6 2 2" xfId="10689"/>
    <cellStyle name="Input 4 6 2 2 2" xfId="18476"/>
    <cellStyle name="Input 4 6 2 2 2 2" xfId="44008"/>
    <cellStyle name="Input 4 6 2 2 2 3" xfId="47917"/>
    <cellStyle name="Input 4 6 2 2 2 4" xfId="36099"/>
    <cellStyle name="Input 4 6 2 2 3" xfId="11497"/>
    <cellStyle name="Input 4 6 2 2 3 2" xfId="41488"/>
    <cellStyle name="Input 4 6 2 2 3 3" xfId="39548"/>
    <cellStyle name="Input 4 6 2 2 3 4" xfId="29198"/>
    <cellStyle name="Input 4 6 2 2 4" xfId="19972"/>
    <cellStyle name="Input 4 6 2 2 4 2" xfId="45494"/>
    <cellStyle name="Input 4 6 2 2 4 3" xfId="49400"/>
    <cellStyle name="Input 4 6 2 2 4 4" xfId="37457"/>
    <cellStyle name="Input 4 6 2 2 5" xfId="20889"/>
    <cellStyle name="Input 4 6 2 2 5 2" xfId="46411"/>
    <cellStyle name="Input 4 6 2 2 5 3" xfId="50317"/>
    <cellStyle name="Input 4 6 2 2 5 4" xfId="38281"/>
    <cellStyle name="Input 4 6 2 2 6" xfId="21542"/>
    <cellStyle name="Input 4 6 2 2 6 2" xfId="47064"/>
    <cellStyle name="Input 4 6 2 2 6 3" xfId="50970"/>
    <cellStyle name="Input 4 6 2 2 7" xfId="40867"/>
    <cellStyle name="Input 4 6 2 2 8" xfId="40567"/>
    <cellStyle name="Input 4 6 2 3" xfId="10984"/>
    <cellStyle name="Input 4 6 2 3 2" xfId="18771"/>
    <cellStyle name="Input 4 6 2 3 2 2" xfId="44303"/>
    <cellStyle name="Input 4 6 2 3 2 3" xfId="48212"/>
    <cellStyle name="Input 4 6 2 3 2 4" xfId="36394"/>
    <cellStyle name="Input 4 6 2 3 3" xfId="19568"/>
    <cellStyle name="Input 4 6 2 3 3 2" xfId="45090"/>
    <cellStyle name="Input 4 6 2 3 3 3" xfId="48996"/>
    <cellStyle name="Input 4 6 2 3 3 4" xfId="37094"/>
    <cellStyle name="Input 4 6 2 3 4" xfId="19227"/>
    <cellStyle name="Input 4 6 2 3 4 2" xfId="44749"/>
    <cellStyle name="Input 4 6 2 3 4 3" xfId="48655"/>
    <cellStyle name="Input 4 6 2 3 4 4" xfId="36792"/>
    <cellStyle name="Input 4 6 2 3 5" xfId="21184"/>
    <cellStyle name="Input 4 6 2 3 5 2" xfId="46706"/>
    <cellStyle name="Input 4 6 2 3 5 3" xfId="50612"/>
    <cellStyle name="Input 4 6 2 3 5 4" xfId="38576"/>
    <cellStyle name="Input 4 6 2 3 6" xfId="21837"/>
    <cellStyle name="Input 4 6 2 3 6 2" xfId="47359"/>
    <cellStyle name="Input 4 6 2 3 6 3" xfId="51265"/>
    <cellStyle name="Input 4 6 2 3 7" xfId="41162"/>
    <cellStyle name="Input 4 6 2 3 8" xfId="42566"/>
    <cellStyle name="Input 4 6 2 4" xfId="14944"/>
    <cellStyle name="Input 4 6 2 4 2" xfId="43042"/>
    <cellStyle name="Input 4 6 2 4 3" xfId="39605"/>
    <cellStyle name="Input 4 6 2 4 4" xfId="32565"/>
    <cellStyle name="Input 4 6 2 5" xfId="13168"/>
    <cellStyle name="Input 4 6 2 5 2" xfId="42370"/>
    <cellStyle name="Input 4 6 2 5 3" xfId="39053"/>
    <cellStyle name="Input 4 6 2 5 4" xfId="30803"/>
    <cellStyle name="Input 4 6 2 6" xfId="19478"/>
    <cellStyle name="Input 4 6 2 6 2" xfId="45000"/>
    <cellStyle name="Input 4 6 2 6 3" xfId="48906"/>
    <cellStyle name="Input 4 6 2 6 4" xfId="37020"/>
    <cellStyle name="Input 4 6 2 7" xfId="19981"/>
    <cellStyle name="Input 4 6 2 7 2" xfId="45503"/>
    <cellStyle name="Input 4 6 2 7 3" xfId="49409"/>
    <cellStyle name="Input 4 6 2 7 4" xfId="37465"/>
    <cellStyle name="Input 4 6 2 8" xfId="20595"/>
    <cellStyle name="Input 4 6 2 8 2" xfId="46117"/>
    <cellStyle name="Input 4 6 2 8 3" xfId="50023"/>
    <cellStyle name="Input 4 6 2 9" xfId="39902"/>
    <cellStyle name="Input 4 6 3" xfId="53161"/>
    <cellStyle name="Input 4 7" xfId="2005"/>
    <cellStyle name="Input 4 7 2" xfId="7163"/>
    <cellStyle name="Input 4 7 2 10" xfId="42597"/>
    <cellStyle name="Input 4 7 2 2" xfId="10690"/>
    <cellStyle name="Input 4 7 2 2 2" xfId="18477"/>
    <cellStyle name="Input 4 7 2 2 2 2" xfId="44009"/>
    <cellStyle name="Input 4 7 2 2 2 3" xfId="47918"/>
    <cellStyle name="Input 4 7 2 2 2 4" xfId="36100"/>
    <cellStyle name="Input 4 7 2 2 3" xfId="13312"/>
    <cellStyle name="Input 4 7 2 2 3 2" xfId="42463"/>
    <cellStyle name="Input 4 7 2 2 3 3" xfId="40511"/>
    <cellStyle name="Input 4 7 2 2 3 4" xfId="30938"/>
    <cellStyle name="Input 4 7 2 2 4" xfId="12681"/>
    <cellStyle name="Input 4 7 2 2 4 2" xfId="42141"/>
    <cellStyle name="Input 4 7 2 2 4 3" xfId="39632"/>
    <cellStyle name="Input 4 7 2 2 4 4" xfId="30328"/>
    <cellStyle name="Input 4 7 2 2 5" xfId="20890"/>
    <cellStyle name="Input 4 7 2 2 5 2" xfId="46412"/>
    <cellStyle name="Input 4 7 2 2 5 3" xfId="50318"/>
    <cellStyle name="Input 4 7 2 2 5 4" xfId="38282"/>
    <cellStyle name="Input 4 7 2 2 6" xfId="21543"/>
    <cellStyle name="Input 4 7 2 2 6 2" xfId="47065"/>
    <cellStyle name="Input 4 7 2 2 6 3" xfId="50971"/>
    <cellStyle name="Input 4 7 2 2 7" xfId="40868"/>
    <cellStyle name="Input 4 7 2 2 8" xfId="39678"/>
    <cellStyle name="Input 4 7 2 3" xfId="10985"/>
    <cellStyle name="Input 4 7 2 3 2" xfId="18772"/>
    <cellStyle name="Input 4 7 2 3 2 2" xfId="44304"/>
    <cellStyle name="Input 4 7 2 3 2 3" xfId="48213"/>
    <cellStyle name="Input 4 7 2 3 2 4" xfId="36395"/>
    <cellStyle name="Input 4 7 2 3 3" xfId="20121"/>
    <cellStyle name="Input 4 7 2 3 3 2" xfId="45643"/>
    <cellStyle name="Input 4 7 2 3 3 3" xfId="49549"/>
    <cellStyle name="Input 4 7 2 3 3 4" xfId="37593"/>
    <cellStyle name="Input 4 7 2 3 4" xfId="19325"/>
    <cellStyle name="Input 4 7 2 3 4 2" xfId="44847"/>
    <cellStyle name="Input 4 7 2 3 4 3" xfId="48753"/>
    <cellStyle name="Input 4 7 2 3 4 4" xfId="36883"/>
    <cellStyle name="Input 4 7 2 3 5" xfId="21185"/>
    <cellStyle name="Input 4 7 2 3 5 2" xfId="46707"/>
    <cellStyle name="Input 4 7 2 3 5 3" xfId="50613"/>
    <cellStyle name="Input 4 7 2 3 5 4" xfId="38577"/>
    <cellStyle name="Input 4 7 2 3 6" xfId="21838"/>
    <cellStyle name="Input 4 7 2 3 6 2" xfId="47360"/>
    <cellStyle name="Input 4 7 2 3 6 3" xfId="51266"/>
    <cellStyle name="Input 4 7 2 3 7" xfId="41163"/>
    <cellStyle name="Input 4 7 2 3 8" xfId="43479"/>
    <cellStyle name="Input 4 7 2 4" xfId="14945"/>
    <cellStyle name="Input 4 7 2 4 2" xfId="43043"/>
    <cellStyle name="Input 4 7 2 4 3" xfId="42641"/>
    <cellStyle name="Input 4 7 2 4 4" xfId="32566"/>
    <cellStyle name="Input 4 7 2 5" xfId="13169"/>
    <cellStyle name="Input 4 7 2 5 2" xfId="42371"/>
    <cellStyle name="Input 4 7 2 5 3" xfId="39052"/>
    <cellStyle name="Input 4 7 2 5 4" xfId="30804"/>
    <cellStyle name="Input 4 7 2 6" xfId="19317"/>
    <cellStyle name="Input 4 7 2 6 2" xfId="44839"/>
    <cellStyle name="Input 4 7 2 6 3" xfId="48745"/>
    <cellStyle name="Input 4 7 2 6 4" xfId="36878"/>
    <cellStyle name="Input 4 7 2 7" xfId="19319"/>
    <cellStyle name="Input 4 7 2 7 2" xfId="44841"/>
    <cellStyle name="Input 4 7 2 7 3" xfId="48747"/>
    <cellStyle name="Input 4 7 2 7 4" xfId="36880"/>
    <cellStyle name="Input 4 7 2 8" xfId="20505"/>
    <cellStyle name="Input 4 7 2 8 2" xfId="46027"/>
    <cellStyle name="Input 4 7 2 8 3" xfId="49933"/>
    <cellStyle name="Input 4 7 2 9" xfId="39903"/>
    <cellStyle name="Input 4 7 3" xfId="53162"/>
    <cellStyle name="Input 4 8" xfId="2006"/>
    <cellStyle name="Input 4 8 2" xfId="7164"/>
    <cellStyle name="Input 4 8 2 10" xfId="43510"/>
    <cellStyle name="Input 4 8 2 2" xfId="10691"/>
    <cellStyle name="Input 4 8 2 2 2" xfId="18478"/>
    <cellStyle name="Input 4 8 2 2 2 2" xfId="44010"/>
    <cellStyle name="Input 4 8 2 2 2 3" xfId="47919"/>
    <cellStyle name="Input 4 8 2 2 2 4" xfId="36101"/>
    <cellStyle name="Input 4 8 2 2 3" xfId="19591"/>
    <cellStyle name="Input 4 8 2 2 3 2" xfId="45113"/>
    <cellStyle name="Input 4 8 2 2 3 3" xfId="49019"/>
    <cellStyle name="Input 4 8 2 2 3 4" xfId="37117"/>
    <cellStyle name="Input 4 8 2 2 4" xfId="12601"/>
    <cellStyle name="Input 4 8 2 2 4 2" xfId="42061"/>
    <cellStyle name="Input 4 8 2 2 4 3" xfId="40525"/>
    <cellStyle name="Input 4 8 2 2 4 4" xfId="30253"/>
    <cellStyle name="Input 4 8 2 2 5" xfId="20891"/>
    <cellStyle name="Input 4 8 2 2 5 2" xfId="46413"/>
    <cellStyle name="Input 4 8 2 2 5 3" xfId="50319"/>
    <cellStyle name="Input 4 8 2 2 5 4" xfId="38283"/>
    <cellStyle name="Input 4 8 2 2 6" xfId="21544"/>
    <cellStyle name="Input 4 8 2 2 6 2" xfId="47066"/>
    <cellStyle name="Input 4 8 2 2 6 3" xfId="50972"/>
    <cellStyle name="Input 4 8 2 2 7" xfId="40869"/>
    <cellStyle name="Input 4 8 2 2 8" xfId="42715"/>
    <cellStyle name="Input 4 8 2 3" xfId="10986"/>
    <cellStyle name="Input 4 8 2 3 2" xfId="18773"/>
    <cellStyle name="Input 4 8 2 3 2 2" xfId="44305"/>
    <cellStyle name="Input 4 8 2 3 2 3" xfId="48214"/>
    <cellStyle name="Input 4 8 2 3 2 4" xfId="36396"/>
    <cellStyle name="Input 4 8 2 3 3" xfId="19380"/>
    <cellStyle name="Input 4 8 2 3 3 2" xfId="44902"/>
    <cellStyle name="Input 4 8 2 3 3 3" xfId="48808"/>
    <cellStyle name="Input 4 8 2 3 3 4" xfId="36931"/>
    <cellStyle name="Input 4 8 2 3 4" xfId="19448"/>
    <cellStyle name="Input 4 8 2 3 4 2" xfId="44970"/>
    <cellStyle name="Input 4 8 2 3 4 3" xfId="48876"/>
    <cellStyle name="Input 4 8 2 3 4 4" xfId="36993"/>
    <cellStyle name="Input 4 8 2 3 5" xfId="21186"/>
    <cellStyle name="Input 4 8 2 3 5 2" xfId="46708"/>
    <cellStyle name="Input 4 8 2 3 5 3" xfId="50614"/>
    <cellStyle name="Input 4 8 2 3 5 4" xfId="38578"/>
    <cellStyle name="Input 4 8 2 3 6" xfId="21839"/>
    <cellStyle name="Input 4 8 2 3 6 2" xfId="47361"/>
    <cellStyle name="Input 4 8 2 3 6 3" xfId="51267"/>
    <cellStyle name="Input 4 8 2 3 7" xfId="41164"/>
    <cellStyle name="Input 4 8 2 3 8" xfId="40342"/>
    <cellStyle name="Input 4 8 2 4" xfId="14946"/>
    <cellStyle name="Input 4 8 2 4 2" xfId="43044"/>
    <cellStyle name="Input 4 8 2 4 3" xfId="43529"/>
    <cellStyle name="Input 4 8 2 4 4" xfId="32567"/>
    <cellStyle name="Input 4 8 2 5" xfId="13170"/>
    <cellStyle name="Input 4 8 2 5 2" xfId="42372"/>
    <cellStyle name="Input 4 8 2 5 3" xfId="39051"/>
    <cellStyle name="Input 4 8 2 5 4" xfId="30805"/>
    <cellStyle name="Input 4 8 2 6" xfId="11845"/>
    <cellStyle name="Input 4 8 2 6 2" xfId="41743"/>
    <cellStyle name="Input 4 8 2 6 3" xfId="40175"/>
    <cellStyle name="Input 4 8 2 6 4" xfId="29515"/>
    <cellStyle name="Input 4 8 2 7" xfId="20316"/>
    <cellStyle name="Input 4 8 2 7 2" xfId="45838"/>
    <cellStyle name="Input 4 8 2 7 3" xfId="49744"/>
    <cellStyle name="Input 4 8 2 7 4" xfId="37766"/>
    <cellStyle name="Input 4 8 2 8" xfId="12600"/>
    <cellStyle name="Input 4 8 2 8 2" xfId="42060"/>
    <cellStyle name="Input 4 8 2 8 3" xfId="43666"/>
    <cellStyle name="Input 4 8 2 9" xfId="39904"/>
    <cellStyle name="Input 4 8 3" xfId="53163"/>
    <cellStyle name="Input 4 9" xfId="2007"/>
    <cellStyle name="Input 4 9 2" xfId="7165"/>
    <cellStyle name="Input 4 9 2 10" xfId="40373"/>
    <cellStyle name="Input 4 9 2 2" xfId="10692"/>
    <cellStyle name="Input 4 9 2 2 2" xfId="18479"/>
    <cellStyle name="Input 4 9 2 2 2 2" xfId="44011"/>
    <cellStyle name="Input 4 9 2 2 2 3" xfId="47920"/>
    <cellStyle name="Input 4 9 2 2 2 4" xfId="36102"/>
    <cellStyle name="Input 4 9 2 2 3" xfId="20145"/>
    <cellStyle name="Input 4 9 2 2 3 2" xfId="45667"/>
    <cellStyle name="Input 4 9 2 2 3 3" xfId="49573"/>
    <cellStyle name="Input 4 9 2 2 3 4" xfId="37617"/>
    <cellStyle name="Input 4 9 2 2 4" xfId="11532"/>
    <cellStyle name="Input 4 9 2 2 4 2" xfId="41523"/>
    <cellStyle name="Input 4 9 2 2 4 3" xfId="40537"/>
    <cellStyle name="Input 4 9 2 2 4 4" xfId="29232"/>
    <cellStyle name="Input 4 9 2 2 5" xfId="20892"/>
    <cellStyle name="Input 4 9 2 2 5 2" xfId="46414"/>
    <cellStyle name="Input 4 9 2 2 5 3" xfId="50320"/>
    <cellStyle name="Input 4 9 2 2 5 4" xfId="38284"/>
    <cellStyle name="Input 4 9 2 2 6" xfId="21545"/>
    <cellStyle name="Input 4 9 2 2 6 2" xfId="47067"/>
    <cellStyle name="Input 4 9 2 2 6 3" xfId="50973"/>
    <cellStyle name="Input 4 9 2 2 7" xfId="40870"/>
    <cellStyle name="Input 4 9 2 2 8" xfId="43604"/>
    <cellStyle name="Input 4 9 2 3" xfId="10987"/>
    <cellStyle name="Input 4 9 2 3 2" xfId="18774"/>
    <cellStyle name="Input 4 9 2 3 2 2" xfId="44306"/>
    <cellStyle name="Input 4 9 2 3 2 3" xfId="48215"/>
    <cellStyle name="Input 4 9 2 3 2 4" xfId="36397"/>
    <cellStyle name="Input 4 9 2 3 3" xfId="19987"/>
    <cellStyle name="Input 4 9 2 3 3 2" xfId="45509"/>
    <cellStyle name="Input 4 9 2 3 3 3" xfId="49415"/>
    <cellStyle name="Input 4 9 2 3 3 4" xfId="37471"/>
    <cellStyle name="Input 4 9 2 3 4" xfId="19625"/>
    <cellStyle name="Input 4 9 2 3 4 2" xfId="45147"/>
    <cellStyle name="Input 4 9 2 3 4 3" xfId="49053"/>
    <cellStyle name="Input 4 9 2 3 4 4" xfId="37148"/>
    <cellStyle name="Input 4 9 2 3 5" xfId="21187"/>
    <cellStyle name="Input 4 9 2 3 5 2" xfId="46709"/>
    <cellStyle name="Input 4 9 2 3 5 3" xfId="50615"/>
    <cellStyle name="Input 4 9 2 3 5 4" xfId="38579"/>
    <cellStyle name="Input 4 9 2 3 6" xfId="21840"/>
    <cellStyle name="Input 4 9 2 3 6 2" xfId="47362"/>
    <cellStyle name="Input 4 9 2 3 6 3" xfId="51268"/>
    <cellStyle name="Input 4 9 2 3 7" xfId="41165"/>
    <cellStyle name="Input 4 9 2 3 8" xfId="39454"/>
    <cellStyle name="Input 4 9 2 4" xfId="14947"/>
    <cellStyle name="Input 4 9 2 4 2" xfId="43045"/>
    <cellStyle name="Input 4 9 2 4 3" xfId="40390"/>
    <cellStyle name="Input 4 9 2 4 4" xfId="32568"/>
    <cellStyle name="Input 4 9 2 5" xfId="13171"/>
    <cellStyle name="Input 4 9 2 5 2" xfId="42373"/>
    <cellStyle name="Input 4 9 2 5 3" xfId="39263"/>
    <cellStyle name="Input 4 9 2 5 4" xfId="30806"/>
    <cellStyle name="Input 4 9 2 6" xfId="20046"/>
    <cellStyle name="Input 4 9 2 6 2" xfId="45568"/>
    <cellStyle name="Input 4 9 2 6 3" xfId="49474"/>
    <cellStyle name="Input 4 9 2 6 4" xfId="37527"/>
    <cellStyle name="Input 4 9 2 7" xfId="18882"/>
    <cellStyle name="Input 4 9 2 7 2" xfId="44404"/>
    <cellStyle name="Input 4 9 2 7 3" xfId="48310"/>
    <cellStyle name="Input 4 9 2 7 4" xfId="36504"/>
    <cellStyle name="Input 4 9 2 8" xfId="13295"/>
    <cellStyle name="Input 4 9 2 8 2" xfId="42446"/>
    <cellStyle name="Input 4 9 2 8 3" xfId="42654"/>
    <cellStyle name="Input 4 9 2 9" xfId="39905"/>
    <cellStyle name="Input 4 9 3" xfId="53337"/>
    <cellStyle name="Input 4_Sheet1" xfId="2008"/>
    <cellStyle name="Input 40" xfId="2009"/>
    <cellStyle name="Input 40 2" xfId="22467"/>
    <cellStyle name="Input 40 2 2" xfId="47511"/>
    <cellStyle name="Input 40 2 3" xfId="51365"/>
    <cellStyle name="Input 40 2 4" xfId="38807"/>
    <cellStyle name="Input 40 3" xfId="23031"/>
    <cellStyle name="Input 40 3 2" xfId="47618"/>
    <cellStyle name="Input 40 3 3" xfId="51429"/>
    <cellStyle name="Input 40 4" xfId="53164"/>
    <cellStyle name="Input 41" xfId="2010"/>
    <cellStyle name="Input 41 2" xfId="7166"/>
    <cellStyle name="Input 41 2 10" xfId="39485"/>
    <cellStyle name="Input 41 2 2" xfId="10693"/>
    <cellStyle name="Input 41 2 2 2" xfId="18480"/>
    <cellStyle name="Input 41 2 2 2 2" xfId="44012"/>
    <cellStyle name="Input 41 2 2 2 3" xfId="47921"/>
    <cellStyle name="Input 41 2 2 2 4" xfId="36103"/>
    <cellStyle name="Input 41 2 2 3" xfId="19404"/>
    <cellStyle name="Input 41 2 2 3 2" xfId="44926"/>
    <cellStyle name="Input 41 2 2 3 3" xfId="48832"/>
    <cellStyle name="Input 41 2 2 3 4" xfId="36955"/>
    <cellStyle name="Input 41 2 2 4" xfId="20369"/>
    <cellStyle name="Input 41 2 2 4 2" xfId="45891"/>
    <cellStyle name="Input 41 2 2 4 3" xfId="49797"/>
    <cellStyle name="Input 41 2 2 4 4" xfId="37809"/>
    <cellStyle name="Input 41 2 2 5" xfId="20893"/>
    <cellStyle name="Input 41 2 2 5 2" xfId="46415"/>
    <cellStyle name="Input 41 2 2 5 3" xfId="50321"/>
    <cellStyle name="Input 41 2 2 5 4" xfId="38285"/>
    <cellStyle name="Input 41 2 2 6" xfId="21546"/>
    <cellStyle name="Input 41 2 2 6 2" xfId="47068"/>
    <cellStyle name="Input 41 2 2 6 3" xfId="50974"/>
    <cellStyle name="Input 41 2 2 7" xfId="40871"/>
    <cellStyle name="Input 41 2 2 8" xfId="40462"/>
    <cellStyle name="Input 41 2 3" xfId="10988"/>
    <cellStyle name="Input 41 2 3 2" xfId="18775"/>
    <cellStyle name="Input 41 2 3 2 2" xfId="44307"/>
    <cellStyle name="Input 41 2 3 2 3" xfId="48216"/>
    <cellStyle name="Input 41 2 3 2 4" xfId="36398"/>
    <cellStyle name="Input 41 2 3 3" xfId="19253"/>
    <cellStyle name="Input 41 2 3 3 2" xfId="44775"/>
    <cellStyle name="Input 41 2 3 3 3" xfId="48681"/>
    <cellStyle name="Input 41 2 3 3 4" xfId="36817"/>
    <cellStyle name="Input 41 2 3 4" xfId="11570"/>
    <cellStyle name="Input 41 2 3 4 2" xfId="41561"/>
    <cellStyle name="Input 41 2 3 4 3" xfId="43574"/>
    <cellStyle name="Input 41 2 3 4 4" xfId="29267"/>
    <cellStyle name="Input 41 2 3 5" xfId="21188"/>
    <cellStyle name="Input 41 2 3 5 2" xfId="46710"/>
    <cellStyle name="Input 41 2 3 5 3" xfId="50616"/>
    <cellStyle name="Input 41 2 3 5 4" xfId="38580"/>
    <cellStyle name="Input 41 2 3 6" xfId="21841"/>
    <cellStyle name="Input 41 2 3 6 2" xfId="47363"/>
    <cellStyle name="Input 41 2 3 6 3" xfId="51269"/>
    <cellStyle name="Input 41 2 3 7" xfId="41166"/>
    <cellStyle name="Input 41 2 3 8" xfId="42022"/>
    <cellStyle name="Input 41 2 4" xfId="14948"/>
    <cellStyle name="Input 41 2 4 2" xfId="43046"/>
    <cellStyle name="Input 41 2 4 3" xfId="39499"/>
    <cellStyle name="Input 41 2 4 4" xfId="32569"/>
    <cellStyle name="Input 41 2 5" xfId="13172"/>
    <cellStyle name="Input 41 2 5 2" xfId="42374"/>
    <cellStyle name="Input 41 2 5 3" xfId="39262"/>
    <cellStyle name="Input 41 2 5 4" xfId="30807"/>
    <cellStyle name="Input 41 2 6" xfId="12037"/>
    <cellStyle name="Input 41 2 6 2" xfId="41773"/>
    <cellStyle name="Input 41 2 6 3" xfId="47476"/>
    <cellStyle name="Input 41 2 6 4" xfId="29702"/>
    <cellStyle name="Input 41 2 7" xfId="20451"/>
    <cellStyle name="Input 41 2 7 2" xfId="45973"/>
    <cellStyle name="Input 41 2 7 3" xfId="49879"/>
    <cellStyle name="Input 41 2 7 4" xfId="37890"/>
    <cellStyle name="Input 41 2 8" xfId="12022"/>
    <cellStyle name="Input 41 2 8 2" xfId="41759"/>
    <cellStyle name="Input 41 2 8 3" xfId="43312"/>
    <cellStyle name="Input 41 2 9" xfId="39906"/>
    <cellStyle name="Input 41 3" xfId="22468"/>
    <cellStyle name="Input 41 3 2" xfId="47512"/>
    <cellStyle name="Input 41 3 3" xfId="51366"/>
    <cellStyle name="Input 41 3 4" xfId="38808"/>
    <cellStyle name="Input 41 4" xfId="23032"/>
    <cellStyle name="Input 41 4 2" xfId="47619"/>
    <cellStyle name="Input 41 4 3" xfId="51430"/>
    <cellStyle name="Input 41 5" xfId="53165"/>
    <cellStyle name="Input 42" xfId="2011"/>
    <cellStyle name="Input 42 2" xfId="7167"/>
    <cellStyle name="Input 42 2 10" xfId="42166"/>
    <cellStyle name="Input 42 2 2" xfId="10694"/>
    <cellStyle name="Input 42 2 2 2" xfId="18481"/>
    <cellStyle name="Input 42 2 2 2 2" xfId="44013"/>
    <cellStyle name="Input 42 2 2 2 3" xfId="47922"/>
    <cellStyle name="Input 42 2 2 2 4" xfId="36104"/>
    <cellStyle name="Input 42 2 2 3" xfId="20011"/>
    <cellStyle name="Input 42 2 2 3 2" xfId="45533"/>
    <cellStyle name="Input 42 2 2 3 3" xfId="49439"/>
    <cellStyle name="Input 42 2 2 3 4" xfId="37495"/>
    <cellStyle name="Input 42 2 2 4" xfId="19782"/>
    <cellStyle name="Input 42 2 2 4 2" xfId="45304"/>
    <cellStyle name="Input 42 2 2 4 3" xfId="49210"/>
    <cellStyle name="Input 42 2 2 4 4" xfId="37291"/>
    <cellStyle name="Input 42 2 2 5" xfId="20894"/>
    <cellStyle name="Input 42 2 2 5 2" xfId="46416"/>
    <cellStyle name="Input 42 2 2 5 3" xfId="50322"/>
    <cellStyle name="Input 42 2 2 5 4" xfId="38286"/>
    <cellStyle name="Input 42 2 2 6" xfId="21547"/>
    <cellStyle name="Input 42 2 2 6 2" xfId="47069"/>
    <cellStyle name="Input 42 2 2 6 3" xfId="50975"/>
    <cellStyle name="Input 42 2 2 7" xfId="40872"/>
    <cellStyle name="Input 42 2 2 8" xfId="39572"/>
    <cellStyle name="Input 42 2 3" xfId="10989"/>
    <cellStyle name="Input 42 2 3 2" xfId="18776"/>
    <cellStyle name="Input 42 2 3 2 2" xfId="44308"/>
    <cellStyle name="Input 42 2 3 2 3" xfId="48217"/>
    <cellStyle name="Input 42 2 3 2 4" xfId="36399"/>
    <cellStyle name="Input 42 2 3 3" xfId="19862"/>
    <cellStyle name="Input 42 2 3 3 2" xfId="45384"/>
    <cellStyle name="Input 42 2 3 3 3" xfId="49290"/>
    <cellStyle name="Input 42 2 3 3 4" xfId="37362"/>
    <cellStyle name="Input 42 2 3 4" xfId="12134"/>
    <cellStyle name="Input 42 2 3 4 2" xfId="41859"/>
    <cellStyle name="Input 42 2 3 4 3" xfId="39536"/>
    <cellStyle name="Input 42 2 3 4 4" xfId="29792"/>
    <cellStyle name="Input 42 2 3 5" xfId="21189"/>
    <cellStyle name="Input 42 2 3 5 2" xfId="46711"/>
    <cellStyle name="Input 42 2 3 5 3" xfId="50617"/>
    <cellStyle name="Input 42 2 3 5 4" xfId="38581"/>
    <cellStyle name="Input 42 2 3 6" xfId="21842"/>
    <cellStyle name="Input 42 2 3 6 2" xfId="47364"/>
    <cellStyle name="Input 42 2 3 6 3" xfId="51270"/>
    <cellStyle name="Input 42 2 3 7" xfId="41167"/>
    <cellStyle name="Input 42 2 3 8" xfId="43341"/>
    <cellStyle name="Input 42 2 4" xfId="14949"/>
    <cellStyle name="Input 42 2 4 2" xfId="43047"/>
    <cellStyle name="Input 42 2 4 3" xfId="42509"/>
    <cellStyle name="Input 42 2 4 4" xfId="32570"/>
    <cellStyle name="Input 42 2 5" xfId="13173"/>
    <cellStyle name="Input 42 2 5 2" xfId="42375"/>
    <cellStyle name="Input 42 2 5 3" xfId="39261"/>
    <cellStyle name="Input 42 2 5 4" xfId="30808"/>
    <cellStyle name="Input 42 2 6" xfId="19760"/>
    <cellStyle name="Input 42 2 6 2" xfId="45282"/>
    <cellStyle name="Input 42 2 6 3" xfId="49188"/>
    <cellStyle name="Input 42 2 6 4" xfId="37273"/>
    <cellStyle name="Input 42 2 7" xfId="20509"/>
    <cellStyle name="Input 42 2 7 2" xfId="46031"/>
    <cellStyle name="Input 42 2 7 3" xfId="49937"/>
    <cellStyle name="Input 42 2 7 4" xfId="37928"/>
    <cellStyle name="Input 42 2 8" xfId="19957"/>
    <cellStyle name="Input 42 2 8 2" xfId="45479"/>
    <cellStyle name="Input 42 2 8 3" xfId="49385"/>
    <cellStyle name="Input 42 2 9" xfId="39907"/>
    <cellStyle name="Input 42 3" xfId="22469"/>
    <cellStyle name="Input 42 3 2" xfId="47513"/>
    <cellStyle name="Input 42 3 3" xfId="51367"/>
    <cellStyle name="Input 42 3 4" xfId="38809"/>
    <cellStyle name="Input 42 4" xfId="23033"/>
    <cellStyle name="Input 42 4 2" xfId="47620"/>
    <cellStyle name="Input 42 4 3" xfId="51431"/>
    <cellStyle name="Input 42 5" xfId="53166"/>
    <cellStyle name="Input 43" xfId="2012"/>
    <cellStyle name="Input 43 2" xfId="7168"/>
    <cellStyle name="Input 43 2 10" xfId="43393"/>
    <cellStyle name="Input 43 2 2" xfId="10695"/>
    <cellStyle name="Input 43 2 2 2" xfId="18482"/>
    <cellStyle name="Input 43 2 2 2 2" xfId="44014"/>
    <cellStyle name="Input 43 2 2 2 3" xfId="47923"/>
    <cellStyle name="Input 43 2 2 2 4" xfId="36105"/>
    <cellStyle name="Input 43 2 2 3" xfId="19277"/>
    <cellStyle name="Input 43 2 2 3 2" xfId="44799"/>
    <cellStyle name="Input 43 2 2 3 3" xfId="48705"/>
    <cellStyle name="Input 43 2 2 3 4" xfId="36841"/>
    <cellStyle name="Input 43 2 2 4" xfId="18913"/>
    <cellStyle name="Input 43 2 2 4 2" xfId="44435"/>
    <cellStyle name="Input 43 2 2 4 3" xfId="48341"/>
    <cellStyle name="Input 43 2 2 4 4" xfId="36527"/>
    <cellStyle name="Input 43 2 2 5" xfId="20895"/>
    <cellStyle name="Input 43 2 2 5 2" xfId="46417"/>
    <cellStyle name="Input 43 2 2 5 3" xfId="50323"/>
    <cellStyle name="Input 43 2 2 5 4" xfId="38287"/>
    <cellStyle name="Input 43 2 2 6" xfId="21548"/>
    <cellStyle name="Input 43 2 2 6 2" xfId="47070"/>
    <cellStyle name="Input 43 2 2 6 3" xfId="50976"/>
    <cellStyle name="Input 43 2 2 7" xfId="40873"/>
    <cellStyle name="Input 43 2 2 8" xfId="42580"/>
    <cellStyle name="Input 43 2 3" xfId="10990"/>
    <cellStyle name="Input 43 2 3 2" xfId="18777"/>
    <cellStyle name="Input 43 2 3 2 2" xfId="44309"/>
    <cellStyle name="Input 43 2 3 2 3" xfId="48218"/>
    <cellStyle name="Input 43 2 3 2 4" xfId="36400"/>
    <cellStyle name="Input 43 2 3 3" xfId="19085"/>
    <cellStyle name="Input 43 2 3 3 2" xfId="44607"/>
    <cellStyle name="Input 43 2 3 3 3" xfId="48513"/>
    <cellStyle name="Input 43 2 3 3 4" xfId="36666"/>
    <cellStyle name="Input 43 2 3 4" xfId="20111"/>
    <cellStyle name="Input 43 2 3 4 2" xfId="45633"/>
    <cellStyle name="Input 43 2 3 4 3" xfId="49539"/>
    <cellStyle name="Input 43 2 3 4 4" xfId="37583"/>
    <cellStyle name="Input 43 2 3 5" xfId="21190"/>
    <cellStyle name="Input 43 2 3 5 2" xfId="46712"/>
    <cellStyle name="Input 43 2 3 5 3" xfId="50618"/>
    <cellStyle name="Input 43 2 3 5 4" xfId="38582"/>
    <cellStyle name="Input 43 2 3 6" xfId="21843"/>
    <cellStyle name="Input 43 2 3 6 2" xfId="47365"/>
    <cellStyle name="Input 43 2 3 6 3" xfId="51271"/>
    <cellStyle name="Input 43 2 3 7" xfId="41168"/>
    <cellStyle name="Input 43 2 3 8" xfId="40203"/>
    <cellStyle name="Input 43 2 4" xfId="14950"/>
    <cellStyle name="Input 43 2 4 2" xfId="43048"/>
    <cellStyle name="Input 43 2 4 3" xfId="43420"/>
    <cellStyle name="Input 43 2 4 4" xfId="32571"/>
    <cellStyle name="Input 43 2 5" xfId="12020"/>
    <cellStyle name="Input 43 2 5 2" xfId="41757"/>
    <cellStyle name="Input 43 2 5 3" xfId="40037"/>
    <cellStyle name="Input 43 2 5 4" xfId="29688"/>
    <cellStyle name="Input 43 2 6" xfId="12127"/>
    <cellStyle name="Input 43 2 6 2" xfId="41852"/>
    <cellStyle name="Input 43 2 6 3" xfId="43669"/>
    <cellStyle name="Input 43 2 6 4" xfId="29786"/>
    <cellStyle name="Input 43 2 7" xfId="19794"/>
    <cellStyle name="Input 43 2 7 2" xfId="45316"/>
    <cellStyle name="Input 43 2 7 3" xfId="49222"/>
    <cellStyle name="Input 43 2 7 4" xfId="37301"/>
    <cellStyle name="Input 43 2 8" xfId="20040"/>
    <cellStyle name="Input 43 2 8 2" xfId="45562"/>
    <cellStyle name="Input 43 2 8 3" xfId="49468"/>
    <cellStyle name="Input 43 2 9" xfId="39908"/>
    <cellStyle name="Input 43 3" xfId="22470"/>
    <cellStyle name="Input 43 3 2" xfId="47514"/>
    <cellStyle name="Input 43 3 3" xfId="51368"/>
    <cellStyle name="Input 43 3 4" xfId="38810"/>
    <cellStyle name="Input 43 4" xfId="23034"/>
    <cellStyle name="Input 43 4 2" xfId="47621"/>
    <cellStyle name="Input 43 4 3" xfId="51432"/>
    <cellStyle name="Input 43 5" xfId="53167"/>
    <cellStyle name="Input 44" xfId="22471"/>
    <cellStyle name="Input 44 2" xfId="23035"/>
    <cellStyle name="Input 44 2 2" xfId="47622"/>
    <cellStyle name="Input 44 2 3" xfId="51433"/>
    <cellStyle name="Input 44 3" xfId="47515"/>
    <cellStyle name="Input 44 4" xfId="51369"/>
    <cellStyle name="Input 44 5" xfId="53168"/>
    <cellStyle name="Input 45" xfId="22472"/>
    <cellStyle name="Input 45 2" xfId="23036"/>
    <cellStyle name="Input 45 2 2" xfId="47623"/>
    <cellStyle name="Input 45 2 3" xfId="51434"/>
    <cellStyle name="Input 45 3" xfId="47516"/>
    <cellStyle name="Input 45 4" xfId="51370"/>
    <cellStyle name="Input 45 5" xfId="53169"/>
    <cellStyle name="Input 46" xfId="22473"/>
    <cellStyle name="Input 46 2" xfId="23037"/>
    <cellStyle name="Input 46 2 2" xfId="47624"/>
    <cellStyle name="Input 46 2 3" xfId="51435"/>
    <cellStyle name="Input 46 3" xfId="47517"/>
    <cellStyle name="Input 46 4" xfId="51371"/>
    <cellStyle name="Input 46 5" xfId="53170"/>
    <cellStyle name="Input 47" xfId="22474"/>
    <cellStyle name="Input 47 2" xfId="23038"/>
    <cellStyle name="Input 47 2 2" xfId="47625"/>
    <cellStyle name="Input 47 2 3" xfId="51436"/>
    <cellStyle name="Input 47 3" xfId="47518"/>
    <cellStyle name="Input 47 4" xfId="51372"/>
    <cellStyle name="Input 47 5" xfId="53171"/>
    <cellStyle name="Input 48" xfId="22475"/>
    <cellStyle name="Input 48 2" xfId="23039"/>
    <cellStyle name="Input 48 2 2" xfId="47626"/>
    <cellStyle name="Input 48 2 3" xfId="51437"/>
    <cellStyle name="Input 48 3" xfId="47519"/>
    <cellStyle name="Input 48 4" xfId="51373"/>
    <cellStyle name="Input 48 5" xfId="53172"/>
    <cellStyle name="Input 49" xfId="22659"/>
    <cellStyle name="Input 5" xfId="2013"/>
    <cellStyle name="Input 5 2" xfId="2014"/>
    <cellStyle name="Input 5 2 2" xfId="2015"/>
    <cellStyle name="Input 5 2 2 2" xfId="7171"/>
    <cellStyle name="Input 5 2 2 2 10" xfId="39211"/>
    <cellStyle name="Input 5 2 2 2 2" xfId="10698"/>
    <cellStyle name="Input 5 2 2 2 2 2" xfId="18485"/>
    <cellStyle name="Input 5 2 2 2 2 2 2" xfId="44017"/>
    <cellStyle name="Input 5 2 2 2 2 2 3" xfId="47926"/>
    <cellStyle name="Input 5 2 2 2 2 2 4" xfId="36108"/>
    <cellStyle name="Input 5 2 2 2 2 3" xfId="19725"/>
    <cellStyle name="Input 5 2 2 2 2 3 2" xfId="45247"/>
    <cellStyle name="Input 5 2 2 2 2 3 3" xfId="49153"/>
    <cellStyle name="Input 5 2 2 2 2 3 4" xfId="37238"/>
    <cellStyle name="Input 5 2 2 2 2 4" xfId="20225"/>
    <cellStyle name="Input 5 2 2 2 2 4 2" xfId="45747"/>
    <cellStyle name="Input 5 2 2 2 2 4 3" xfId="49653"/>
    <cellStyle name="Input 5 2 2 2 2 4 4" xfId="37684"/>
    <cellStyle name="Input 5 2 2 2 2 5" xfId="20898"/>
    <cellStyle name="Input 5 2 2 2 2 5 2" xfId="46420"/>
    <cellStyle name="Input 5 2 2 2 2 5 3" xfId="50326"/>
    <cellStyle name="Input 5 2 2 2 2 5 4" xfId="38290"/>
    <cellStyle name="Input 5 2 2 2 2 6" xfId="21551"/>
    <cellStyle name="Input 5 2 2 2 2 6 2" xfId="47073"/>
    <cellStyle name="Input 5 2 2 2 2 6 3" xfId="50979"/>
    <cellStyle name="Input 5 2 2 2 2 7" xfId="40876"/>
    <cellStyle name="Input 5 2 2 2 2 8" xfId="39468"/>
    <cellStyle name="Input 5 2 2 2 3" xfId="10993"/>
    <cellStyle name="Input 5 2 2 2 3 2" xfId="18780"/>
    <cellStyle name="Input 5 2 2 2 3 2 2" xfId="44312"/>
    <cellStyle name="Input 5 2 2 2 3 2 3" xfId="48221"/>
    <cellStyle name="Input 5 2 2 2 3 2 4" xfId="36403"/>
    <cellStyle name="Input 5 2 2 2 3 3" xfId="13352"/>
    <cellStyle name="Input 5 2 2 2 3 3 2" xfId="42503"/>
    <cellStyle name="Input 5 2 2 2 3 3 3" xfId="43541"/>
    <cellStyle name="Input 5 2 2 2 3 3 4" xfId="30978"/>
    <cellStyle name="Input 5 2 2 2 3 4" xfId="20282"/>
    <cellStyle name="Input 5 2 2 2 3 4 2" xfId="45804"/>
    <cellStyle name="Input 5 2 2 2 3 4 3" xfId="49710"/>
    <cellStyle name="Input 5 2 2 2 3 4 4" xfId="37734"/>
    <cellStyle name="Input 5 2 2 2 3 5" xfId="21193"/>
    <cellStyle name="Input 5 2 2 2 3 5 2" xfId="46715"/>
    <cellStyle name="Input 5 2 2 2 3 5 3" xfId="50621"/>
    <cellStyle name="Input 5 2 2 2 3 5 4" xfId="38585"/>
    <cellStyle name="Input 5 2 2 2 3 6" xfId="21846"/>
    <cellStyle name="Input 5 2 2 2 3 6 2" xfId="47368"/>
    <cellStyle name="Input 5 2 2 2 3 6 3" xfId="51274"/>
    <cellStyle name="Input 5 2 2 2 3 7" xfId="41171"/>
    <cellStyle name="Input 5 2 2 2 3 8" xfId="47486"/>
    <cellStyle name="Input 5 2 2 2 4" xfId="14953"/>
    <cellStyle name="Input 5 2 2 2 4 2" xfId="43051"/>
    <cellStyle name="Input 5 2 2 2 4 3" xfId="41911"/>
    <cellStyle name="Input 5 2 2 2 4 4" xfId="32574"/>
    <cellStyle name="Input 5 2 2 2 5" xfId="13176"/>
    <cellStyle name="Input 5 2 2 2 5 2" xfId="42378"/>
    <cellStyle name="Input 5 2 2 2 5 3" xfId="39048"/>
    <cellStyle name="Input 5 2 2 2 5 4" xfId="30811"/>
    <cellStyle name="Input 5 2 2 2 6" xfId="19927"/>
    <cellStyle name="Input 5 2 2 2 6 2" xfId="45449"/>
    <cellStyle name="Input 5 2 2 2 6 3" xfId="49355"/>
    <cellStyle name="Input 5 2 2 2 6 4" xfId="37422"/>
    <cellStyle name="Input 5 2 2 2 7" xfId="11562"/>
    <cellStyle name="Input 5 2 2 2 7 2" xfId="41553"/>
    <cellStyle name="Input 5 2 2 2 7 3" xfId="41366"/>
    <cellStyle name="Input 5 2 2 2 7 4" xfId="29259"/>
    <cellStyle name="Input 5 2 2 2 8" xfId="19321"/>
    <cellStyle name="Input 5 2 2 2 8 2" xfId="44843"/>
    <cellStyle name="Input 5 2 2 2 8 3" xfId="48749"/>
    <cellStyle name="Input 5 2 2 2 9" xfId="39911"/>
    <cellStyle name="Input 5 2 2 3" xfId="53175"/>
    <cellStyle name="Input 5 2 3" xfId="7170"/>
    <cellStyle name="Input 5 2 3 10" xfId="39382"/>
    <cellStyle name="Input 5 2 3 2" xfId="10697"/>
    <cellStyle name="Input 5 2 3 2 2" xfId="18484"/>
    <cellStyle name="Input 5 2 3 2 2 2" xfId="44016"/>
    <cellStyle name="Input 5 2 3 2 2 3" xfId="47925"/>
    <cellStyle name="Input 5 2 3 2 2 4" xfId="36107"/>
    <cellStyle name="Input 5 2 3 2 3" xfId="19109"/>
    <cellStyle name="Input 5 2 3 2 3 2" xfId="44631"/>
    <cellStyle name="Input 5 2 3 2 3 3" xfId="48537"/>
    <cellStyle name="Input 5 2 3 2 3 4" xfId="36690"/>
    <cellStyle name="Input 5 2 3 2 4" xfId="19854"/>
    <cellStyle name="Input 5 2 3 2 4 2" xfId="45376"/>
    <cellStyle name="Input 5 2 3 2 4 3" xfId="49282"/>
    <cellStyle name="Input 5 2 3 2 4 4" xfId="37354"/>
    <cellStyle name="Input 5 2 3 2 5" xfId="20897"/>
    <cellStyle name="Input 5 2 3 2 5 2" xfId="46419"/>
    <cellStyle name="Input 5 2 3 2 5 3" xfId="50325"/>
    <cellStyle name="Input 5 2 3 2 5 4" xfId="38289"/>
    <cellStyle name="Input 5 2 3 2 6" xfId="21550"/>
    <cellStyle name="Input 5 2 3 2 6 2" xfId="47072"/>
    <cellStyle name="Input 5 2 3 2 6 3" xfId="50978"/>
    <cellStyle name="Input 5 2 3 2 7" xfId="40875"/>
    <cellStyle name="Input 5 2 3 2 8" xfId="40356"/>
    <cellStyle name="Input 5 2 3 3" xfId="10992"/>
    <cellStyle name="Input 5 2 3 3 2" xfId="18779"/>
    <cellStyle name="Input 5 2 3 3 2 2" xfId="44311"/>
    <cellStyle name="Input 5 2 3 3 2 3" xfId="48220"/>
    <cellStyle name="Input 5 2 3 3 2 4" xfId="36402"/>
    <cellStyle name="Input 5 2 3 3 3" xfId="11527"/>
    <cellStyle name="Input 5 2 3 3 3 2" xfId="41518"/>
    <cellStyle name="Input 5 2 3 3 3 3" xfId="41365"/>
    <cellStyle name="Input 5 2 3 3 3 4" xfId="29228"/>
    <cellStyle name="Input 5 2 3 3 4" xfId="13895"/>
    <cellStyle name="Input 5 2 3 3 4 2" xfId="42611"/>
    <cellStyle name="Input 5 2 3 3 4 3" xfId="39510"/>
    <cellStyle name="Input 5 2 3 3 4 4" xfId="31520"/>
    <cellStyle name="Input 5 2 3 3 5" xfId="21192"/>
    <cellStyle name="Input 5 2 3 3 5 2" xfId="46714"/>
    <cellStyle name="Input 5 2 3 3 5 3" xfId="50620"/>
    <cellStyle name="Input 5 2 3 3 5 4" xfId="38584"/>
    <cellStyle name="Input 5 2 3 3 6" xfId="21845"/>
    <cellStyle name="Input 5 2 3 3 6 2" xfId="47367"/>
    <cellStyle name="Input 5 2 3 3 6 3" xfId="51273"/>
    <cellStyle name="Input 5 2 3 3 7" xfId="41170"/>
    <cellStyle name="Input 5 2 3 3 8" xfId="39154"/>
    <cellStyle name="Input 5 2 3 4" xfId="14952"/>
    <cellStyle name="Input 5 2 3 4 2" xfId="43050"/>
    <cellStyle name="Input 5 2 3 4 3" xfId="39399"/>
    <cellStyle name="Input 5 2 3 4 4" xfId="32573"/>
    <cellStyle name="Input 5 2 3 5" xfId="13175"/>
    <cellStyle name="Input 5 2 3 5 2" xfId="42377"/>
    <cellStyle name="Input 5 2 3 5 3" xfId="39049"/>
    <cellStyle name="Input 5 2 3 5 4" xfId="30810"/>
    <cellStyle name="Input 5 2 3 6" xfId="11780"/>
    <cellStyle name="Input 5 2 3 6 2" xfId="41713"/>
    <cellStyle name="Input 5 2 3 6 3" xfId="39312"/>
    <cellStyle name="Input 5 2 3 6 4" xfId="29452"/>
    <cellStyle name="Input 5 2 3 7" xfId="20269"/>
    <cellStyle name="Input 5 2 3 7 2" xfId="45791"/>
    <cellStyle name="Input 5 2 3 7 3" xfId="49697"/>
    <cellStyle name="Input 5 2 3 7 4" xfId="37723"/>
    <cellStyle name="Input 5 2 3 8" xfId="19622"/>
    <cellStyle name="Input 5 2 3 8 2" xfId="45144"/>
    <cellStyle name="Input 5 2 3 8 3" xfId="49050"/>
    <cellStyle name="Input 5 2 3 9" xfId="39910"/>
    <cellStyle name="Input 5 2 4" xfId="53174"/>
    <cellStyle name="Input 5 2_Sheet1" xfId="2016"/>
    <cellStyle name="Input 5 3" xfId="2017"/>
    <cellStyle name="Input 5 3 2" xfId="7172"/>
    <cellStyle name="Input 5 3 2 10" xfId="47571"/>
    <cellStyle name="Input 5 3 2 2" xfId="10699"/>
    <cellStyle name="Input 5 3 2 2 2" xfId="18486"/>
    <cellStyle name="Input 5 3 2 2 2 2" xfId="44018"/>
    <cellStyle name="Input 5 3 2 2 2 3" xfId="47927"/>
    <cellStyle name="Input 5 3 2 2 2 4" xfId="36109"/>
    <cellStyle name="Input 5 3 2 2 3" xfId="11498"/>
    <cellStyle name="Input 5 3 2 2 3 2" xfId="41489"/>
    <cellStyle name="Input 5 3 2 2 3 3" xfId="42555"/>
    <cellStyle name="Input 5 3 2 2 3 4" xfId="29199"/>
    <cellStyle name="Input 5 3 2 2 4" xfId="19207"/>
    <cellStyle name="Input 5 3 2 2 4 2" xfId="44729"/>
    <cellStyle name="Input 5 3 2 2 4 3" xfId="48635"/>
    <cellStyle name="Input 5 3 2 2 4 4" xfId="36778"/>
    <cellStyle name="Input 5 3 2 2 5" xfId="20899"/>
    <cellStyle name="Input 5 3 2 2 5 2" xfId="46421"/>
    <cellStyle name="Input 5 3 2 2 5 3" xfId="50327"/>
    <cellStyle name="Input 5 3 2 2 5 4" xfId="38291"/>
    <cellStyle name="Input 5 3 2 2 6" xfId="21552"/>
    <cellStyle name="Input 5 3 2 2 6 2" xfId="47074"/>
    <cellStyle name="Input 5 3 2 2 6 3" xfId="50980"/>
    <cellStyle name="Input 5 3 2 2 7" xfId="40877"/>
    <cellStyle name="Input 5 3 2 2 8" xfId="42039"/>
    <cellStyle name="Input 5 3 2 3" xfId="10994"/>
    <cellStyle name="Input 5 3 2 3 2" xfId="18781"/>
    <cellStyle name="Input 5 3 2 3 2 2" xfId="44313"/>
    <cellStyle name="Input 5 3 2 3 2 3" xfId="48222"/>
    <cellStyle name="Input 5 3 2 3 2 4" xfId="36404"/>
    <cellStyle name="Input 5 3 2 3 3" xfId="19569"/>
    <cellStyle name="Input 5 3 2 3 3 2" xfId="45091"/>
    <cellStyle name="Input 5 3 2 3 3 3" xfId="48997"/>
    <cellStyle name="Input 5 3 2 3 3 4" xfId="37095"/>
    <cellStyle name="Input 5 3 2 3 4" xfId="12645"/>
    <cellStyle name="Input 5 3 2 3 4 2" xfId="42105"/>
    <cellStyle name="Input 5 3 2 3 4 3" xfId="40420"/>
    <cellStyle name="Input 5 3 2 3 4 4" xfId="30296"/>
    <cellStyle name="Input 5 3 2 3 5" xfId="21194"/>
    <cellStyle name="Input 5 3 2 3 5 2" xfId="46716"/>
    <cellStyle name="Input 5 3 2 3 5 3" xfId="50622"/>
    <cellStyle name="Input 5 3 2 3 5 4" xfId="38586"/>
    <cellStyle name="Input 5 3 2 3 6" xfId="21847"/>
    <cellStyle name="Input 5 3 2 3 6 2" xfId="47369"/>
    <cellStyle name="Input 5 3 2 3 6 3" xfId="51275"/>
    <cellStyle name="Input 5 3 2 3 7" xfId="41172"/>
    <cellStyle name="Input 5 3 2 3 8" xfId="41395"/>
    <cellStyle name="Input 5 3 2 4" xfId="14954"/>
    <cellStyle name="Input 5 3 2 4 2" xfId="43052"/>
    <cellStyle name="Input 5 3 2 4 3" xfId="43265"/>
    <cellStyle name="Input 5 3 2 4 4" xfId="32575"/>
    <cellStyle name="Input 5 3 2 5" xfId="13177"/>
    <cellStyle name="Input 5 3 2 5 2" xfId="42379"/>
    <cellStyle name="Input 5 3 2 5 3" xfId="39047"/>
    <cellStyle name="Input 5 3 2 5 4" xfId="30812"/>
    <cellStyle name="Input 5 3 2 6" xfId="12857"/>
    <cellStyle name="Input 5 3 2 6 2" xfId="42221"/>
    <cellStyle name="Input 5 3 2 6 3" xfId="42531"/>
    <cellStyle name="Input 5 3 2 6 4" xfId="30495"/>
    <cellStyle name="Input 5 3 2 7" xfId="11797"/>
    <cellStyle name="Input 5 3 2 7 2" xfId="41726"/>
    <cellStyle name="Input 5 3 2 7 3" xfId="40038"/>
    <cellStyle name="Input 5 3 2 7 4" xfId="29469"/>
    <cellStyle name="Input 5 3 2 8" xfId="20230"/>
    <cellStyle name="Input 5 3 2 8 2" xfId="45752"/>
    <cellStyle name="Input 5 3 2 8 3" xfId="49658"/>
    <cellStyle name="Input 5 3 2 9" xfId="39912"/>
    <cellStyle name="Input 5 3 3" xfId="53176"/>
    <cellStyle name="Input 5 4" xfId="4242"/>
    <cellStyle name="Input 5 4 2" xfId="10459"/>
    <cellStyle name="Input 5 4 2 2" xfId="18246"/>
    <cellStyle name="Input 5 4 2 2 2" xfId="43778"/>
    <cellStyle name="Input 5 4 2 2 3" xfId="47687"/>
    <cellStyle name="Input 5 4 2 2 4" xfId="35869"/>
    <cellStyle name="Input 5 4 2 3" xfId="19426"/>
    <cellStyle name="Input 5 4 2 3 2" xfId="44948"/>
    <cellStyle name="Input 5 4 2 3 3" xfId="48854"/>
    <cellStyle name="Input 5 4 2 3 4" xfId="36977"/>
    <cellStyle name="Input 5 4 2 4" xfId="20315"/>
    <cellStyle name="Input 5 4 2 4 2" xfId="45837"/>
    <cellStyle name="Input 5 4 2 4 3" xfId="49743"/>
    <cellStyle name="Input 5 4 2 4 4" xfId="37765"/>
    <cellStyle name="Input 5 4 2 5" xfId="20659"/>
    <cellStyle name="Input 5 4 2 5 2" xfId="46181"/>
    <cellStyle name="Input 5 4 2 5 3" xfId="50087"/>
    <cellStyle name="Input 5 4 2 5 4" xfId="38051"/>
    <cellStyle name="Input 5 4 2 6" xfId="21312"/>
    <cellStyle name="Input 5 4 2 6 2" xfId="46834"/>
    <cellStyle name="Input 5 4 2 6 3" xfId="50740"/>
    <cellStyle name="Input 5 4 2 7" xfId="40637"/>
    <cellStyle name="Input 5 4 2 8" xfId="40473"/>
    <cellStyle name="Input 5 4 3" xfId="8462"/>
    <cellStyle name="Input 5 4 3 2" xfId="16252"/>
    <cellStyle name="Input 5 4 3 2 2" xfId="43387"/>
    <cellStyle name="Input 5 4 3 2 3" xfId="39495"/>
    <cellStyle name="Input 5 4 3 2 4" xfId="33873"/>
    <cellStyle name="Input 5 4 3 3" xfId="13892"/>
    <cellStyle name="Input 5 4 3 3 2" xfId="42608"/>
    <cellStyle name="Input 5 4 3 3 3" xfId="42652"/>
    <cellStyle name="Input 5 4 3 3 4" xfId="31518"/>
    <cellStyle name="Input 5 4 3 4" xfId="19508"/>
    <cellStyle name="Input 5 4 3 4 2" xfId="45030"/>
    <cellStyle name="Input 5 4 3 4 3" xfId="48936"/>
    <cellStyle name="Input 5 4 3 4 4" xfId="37042"/>
    <cellStyle name="Input 5 4 3 5" xfId="20085"/>
    <cellStyle name="Input 5 4 3 5 2" xfId="45607"/>
    <cellStyle name="Input 5 4 3 5 3" xfId="49513"/>
    <cellStyle name="Input 5 4 3 5 4" xfId="37560"/>
    <cellStyle name="Input 5 4 3 6" xfId="11432"/>
    <cellStyle name="Input 5 4 3 6 2" xfId="41428"/>
    <cellStyle name="Input 5 4 3 6 3" xfId="40191"/>
    <cellStyle name="Input 5 4 3 7" xfId="40249"/>
    <cellStyle name="Input 5 4 3 8" xfId="39197"/>
    <cellStyle name="Input 5 5" xfId="4243"/>
    <cellStyle name="Input 5 5 2" xfId="10460"/>
    <cellStyle name="Input 5 5 2 2" xfId="18247"/>
    <cellStyle name="Input 5 5 2 2 2" xfId="43779"/>
    <cellStyle name="Input 5 5 2 2 3" xfId="47688"/>
    <cellStyle name="Input 5 5 2 2 4" xfId="35870"/>
    <cellStyle name="Input 5 5 2 3" xfId="20033"/>
    <cellStyle name="Input 5 5 2 3 2" xfId="45555"/>
    <cellStyle name="Input 5 5 2 3 3" xfId="49461"/>
    <cellStyle name="Input 5 5 2 3 4" xfId="37517"/>
    <cellStyle name="Input 5 5 2 4" xfId="11431"/>
    <cellStyle name="Input 5 5 2 4 2" xfId="41427"/>
    <cellStyle name="Input 5 5 2 4 3" xfId="43328"/>
    <cellStyle name="Input 5 5 2 4 4" xfId="29138"/>
    <cellStyle name="Input 5 5 2 5" xfId="20660"/>
    <cellStyle name="Input 5 5 2 5 2" xfId="46182"/>
    <cellStyle name="Input 5 5 2 5 3" xfId="50088"/>
    <cellStyle name="Input 5 5 2 5 4" xfId="38052"/>
    <cellStyle name="Input 5 5 2 6" xfId="21313"/>
    <cellStyle name="Input 5 5 2 6 2" xfId="46835"/>
    <cellStyle name="Input 5 5 2 6 3" xfId="50741"/>
    <cellStyle name="Input 5 5 2 7" xfId="40638"/>
    <cellStyle name="Input 5 5 2 8" xfId="39583"/>
    <cellStyle name="Input 5 5 3" xfId="8463"/>
    <cellStyle name="Input 5 5 3 2" xfId="16253"/>
    <cellStyle name="Input 5 5 3 2 2" xfId="43388"/>
    <cellStyle name="Input 5 5 3 2 3" xfId="42505"/>
    <cellStyle name="Input 5 5 3 2 4" xfId="33874"/>
    <cellStyle name="Input 5 5 3 3" xfId="20378"/>
    <cellStyle name="Input 5 5 3 3 2" xfId="45900"/>
    <cellStyle name="Input 5 5 3 3 3" xfId="49806"/>
    <cellStyle name="Input 5 5 3 3 4" xfId="37818"/>
    <cellStyle name="Input 5 5 3 4" xfId="20522"/>
    <cellStyle name="Input 5 5 3 4 2" xfId="46044"/>
    <cellStyle name="Input 5 5 3 4 3" xfId="49950"/>
    <cellStyle name="Input 5 5 3 4 4" xfId="37936"/>
    <cellStyle name="Input 5 5 3 5" xfId="11472"/>
    <cellStyle name="Input 5 5 3 5 2" xfId="41463"/>
    <cellStyle name="Input 5 5 3 5 3" xfId="40542"/>
    <cellStyle name="Input 5 5 3 5 4" xfId="29174"/>
    <cellStyle name="Input 5 5 3 6" xfId="20039"/>
    <cellStyle name="Input 5 5 3 6 2" xfId="45561"/>
    <cellStyle name="Input 5 5 3 6 3" xfId="49467"/>
    <cellStyle name="Input 5 5 3 7" xfId="40250"/>
    <cellStyle name="Input 5 5 3 8" xfId="39196"/>
    <cellStyle name="Input 5 6" xfId="4244"/>
    <cellStyle name="Input 5 6 2" xfId="10461"/>
    <cellStyle name="Input 5 6 2 2" xfId="18248"/>
    <cellStyle name="Input 5 6 2 2 2" xfId="43780"/>
    <cellStyle name="Input 5 6 2 2 3" xfId="47689"/>
    <cellStyle name="Input 5 6 2 2 4" xfId="35871"/>
    <cellStyle name="Input 5 6 2 3" xfId="19299"/>
    <cellStyle name="Input 5 6 2 3 2" xfId="44821"/>
    <cellStyle name="Input 5 6 2 3 3" xfId="48727"/>
    <cellStyle name="Input 5 6 2 3 4" xfId="36863"/>
    <cellStyle name="Input 5 6 2 4" xfId="19691"/>
    <cellStyle name="Input 5 6 2 4 2" xfId="45213"/>
    <cellStyle name="Input 5 6 2 4 3" xfId="49119"/>
    <cellStyle name="Input 5 6 2 4 4" xfId="37205"/>
    <cellStyle name="Input 5 6 2 5" xfId="20661"/>
    <cellStyle name="Input 5 6 2 5 2" xfId="46183"/>
    <cellStyle name="Input 5 6 2 5 3" xfId="50089"/>
    <cellStyle name="Input 5 6 2 5 4" xfId="38053"/>
    <cellStyle name="Input 5 6 2 6" xfId="21314"/>
    <cellStyle name="Input 5 6 2 6 2" xfId="46836"/>
    <cellStyle name="Input 5 6 2 6 3" xfId="50742"/>
    <cellStyle name="Input 5 6 2 7" xfId="40639"/>
    <cellStyle name="Input 5 6 2 8" xfId="42591"/>
    <cellStyle name="Input 5 6 3" xfId="8464"/>
    <cellStyle name="Input 5 6 3 2" xfId="16254"/>
    <cellStyle name="Input 5 6 3 2 2" xfId="43389"/>
    <cellStyle name="Input 5 6 3 2 3" xfId="43416"/>
    <cellStyle name="Input 5 6 3 2 4" xfId="33875"/>
    <cellStyle name="Input 5 6 3 3" xfId="19637"/>
    <cellStyle name="Input 5 6 3 3 2" xfId="45159"/>
    <cellStyle name="Input 5 6 3 3 3" xfId="49065"/>
    <cellStyle name="Input 5 6 3 3 4" xfId="37158"/>
    <cellStyle name="Input 5 6 3 4" xfId="11219"/>
    <cellStyle name="Input 5 6 3 4 2" xfId="41278"/>
    <cellStyle name="Input 5 6 3 4 3" xfId="39660"/>
    <cellStyle name="Input 5 6 3 4 4" xfId="28933"/>
    <cellStyle name="Input 5 6 3 5" xfId="11669"/>
    <cellStyle name="Input 5 6 3 5 2" xfId="41660"/>
    <cellStyle name="Input 5 6 3 5 3" xfId="43461"/>
    <cellStyle name="Input 5 6 3 5 4" xfId="29349"/>
    <cellStyle name="Input 5 6 3 6" xfId="20503"/>
    <cellStyle name="Input 5 6 3 6 2" xfId="46025"/>
    <cellStyle name="Input 5 6 3 6 3" xfId="49931"/>
    <cellStyle name="Input 5 6 3 7" xfId="40251"/>
    <cellStyle name="Input 5 6 3 8" xfId="39195"/>
    <cellStyle name="Input 5 7" xfId="7169"/>
    <cellStyle name="Input 5 7 10" xfId="40255"/>
    <cellStyle name="Input 5 7 2" xfId="10696"/>
    <cellStyle name="Input 5 7 2 2" xfId="18483"/>
    <cellStyle name="Input 5 7 2 2 2" xfId="44015"/>
    <cellStyle name="Input 5 7 2 2 3" xfId="47924"/>
    <cellStyle name="Input 5 7 2 2 4" xfId="36106"/>
    <cellStyle name="Input 5 7 2 3" xfId="19886"/>
    <cellStyle name="Input 5 7 2 3 2" xfId="45408"/>
    <cellStyle name="Input 5 7 2 3 3" xfId="49314"/>
    <cellStyle name="Input 5 7 2 3 4" xfId="37386"/>
    <cellStyle name="Input 5 7 2 4" xfId="12803"/>
    <cellStyle name="Input 5 7 2 4 2" xfId="42198"/>
    <cellStyle name="Input 5 7 2 4 3" xfId="40158"/>
    <cellStyle name="Input 5 7 2 4 4" xfId="30445"/>
    <cellStyle name="Input 5 7 2 5" xfId="20896"/>
    <cellStyle name="Input 5 7 2 5 2" xfId="46418"/>
    <cellStyle name="Input 5 7 2 5 3" xfId="50324"/>
    <cellStyle name="Input 5 7 2 5 4" xfId="38288"/>
    <cellStyle name="Input 5 7 2 6" xfId="21549"/>
    <cellStyle name="Input 5 7 2 6 2" xfId="47071"/>
    <cellStyle name="Input 5 7 2 6 3" xfId="50977"/>
    <cellStyle name="Input 5 7 2 7" xfId="40874"/>
    <cellStyle name="Input 5 7 2 8" xfId="43493"/>
    <cellStyle name="Input 5 7 3" xfId="10991"/>
    <cellStyle name="Input 5 7 3 2" xfId="18778"/>
    <cellStyle name="Input 5 7 3 2 2" xfId="44310"/>
    <cellStyle name="Input 5 7 3 2 3" xfId="48219"/>
    <cellStyle name="Input 5 7 3 2 4" xfId="36401"/>
    <cellStyle name="Input 5 7 3 3" xfId="19694"/>
    <cellStyle name="Input 5 7 3 3 2" xfId="45216"/>
    <cellStyle name="Input 5 7 3 3 3" xfId="49122"/>
    <cellStyle name="Input 5 7 3 3 4" xfId="37207"/>
    <cellStyle name="Input 5 7 3 4" xfId="11812"/>
    <cellStyle name="Input 5 7 3 4 2" xfId="41730"/>
    <cellStyle name="Input 5 7 3 4 3" xfId="40176"/>
    <cellStyle name="Input 5 7 3 4 4" xfId="29484"/>
    <cellStyle name="Input 5 7 3 5" xfId="21191"/>
    <cellStyle name="Input 5 7 3 5 2" xfId="46713"/>
    <cellStyle name="Input 5 7 3 5 3" xfId="50619"/>
    <cellStyle name="Input 5 7 3 5 4" xfId="38583"/>
    <cellStyle name="Input 5 7 3 6" xfId="21844"/>
    <cellStyle name="Input 5 7 3 6 2" xfId="47366"/>
    <cellStyle name="Input 5 7 3 6 3" xfId="51272"/>
    <cellStyle name="Input 5 7 3 7" xfId="41169"/>
    <cellStyle name="Input 5 7 3 8" xfId="39343"/>
    <cellStyle name="Input 5 7 4" xfId="14951"/>
    <cellStyle name="Input 5 7 4 2" xfId="43049"/>
    <cellStyle name="Input 5 7 4 3" xfId="40282"/>
    <cellStyle name="Input 5 7 4 4" xfId="32572"/>
    <cellStyle name="Input 5 7 5" xfId="13174"/>
    <cellStyle name="Input 5 7 5 2" xfId="42376"/>
    <cellStyle name="Input 5 7 5 3" xfId="39050"/>
    <cellStyle name="Input 5 7 5 4" xfId="30809"/>
    <cellStyle name="Input 5 7 6" xfId="20306"/>
    <cellStyle name="Input 5 7 6 2" xfId="45828"/>
    <cellStyle name="Input 5 7 6 3" xfId="49734"/>
    <cellStyle name="Input 5 7 6 4" xfId="37756"/>
    <cellStyle name="Input 5 7 7" xfId="19623"/>
    <cellStyle name="Input 5 7 7 2" xfId="45145"/>
    <cellStyle name="Input 5 7 7 3" xfId="49051"/>
    <cellStyle name="Input 5 7 7 4" xfId="37146"/>
    <cellStyle name="Input 5 7 8" xfId="19169"/>
    <cellStyle name="Input 5 7 8 2" xfId="44691"/>
    <cellStyle name="Input 5 7 8 3" xfId="48597"/>
    <cellStyle name="Input 5 7 9" xfId="39909"/>
    <cellStyle name="Input 5 8" xfId="53173"/>
    <cellStyle name="Input 5_Sheet1" xfId="2018"/>
    <cellStyle name="Input 50" xfId="22683"/>
    <cellStyle name="Input 51" xfId="22685"/>
    <cellStyle name="Input 52" xfId="22687"/>
    <cellStyle name="Input 53" xfId="22688"/>
    <cellStyle name="Input 54" xfId="22694"/>
    <cellStyle name="Input 55" xfId="22413"/>
    <cellStyle name="Input 55 2" xfId="23021"/>
    <cellStyle name="Input 55 2 2" xfId="47608"/>
    <cellStyle name="Input 55 2 3" xfId="51419"/>
    <cellStyle name="Input 55 3" xfId="47501"/>
    <cellStyle name="Input 55 4" xfId="51355"/>
    <cellStyle name="Input 55 5" xfId="53177"/>
    <cellStyle name="Input 6" xfId="2019"/>
    <cellStyle name="Input 6 2" xfId="2020"/>
    <cellStyle name="Input 6 2 2" xfId="2021"/>
    <cellStyle name="Input 6 2 2 2" xfId="7175"/>
    <cellStyle name="Input 6 2 2 2 10" xfId="40103"/>
    <cellStyle name="Input 6 2 2 2 2" xfId="10702"/>
    <cellStyle name="Input 6 2 2 2 2 2" xfId="18489"/>
    <cellStyle name="Input 6 2 2 2 2 2 2" xfId="44021"/>
    <cellStyle name="Input 6 2 2 2 2 2 3" xfId="47930"/>
    <cellStyle name="Input 6 2 2 2 2 2 4" xfId="36112"/>
    <cellStyle name="Input 6 2 2 2 2 3" xfId="20144"/>
    <cellStyle name="Input 6 2 2 2 2 3 2" xfId="45666"/>
    <cellStyle name="Input 6 2 2 2 2 3 3" xfId="49572"/>
    <cellStyle name="Input 6 2 2 2 2 3 4" xfId="37616"/>
    <cellStyle name="Input 6 2 2 2 2 4" xfId="11533"/>
    <cellStyle name="Input 6 2 2 2 2 4 2" xfId="41524"/>
    <cellStyle name="Input 6 2 2 2 2 4 3" xfId="39648"/>
    <cellStyle name="Input 6 2 2 2 2 4 4" xfId="29233"/>
    <cellStyle name="Input 6 2 2 2 2 5" xfId="20902"/>
    <cellStyle name="Input 6 2 2 2 2 5 2" xfId="46424"/>
    <cellStyle name="Input 6 2 2 2 2 5 3" xfId="50330"/>
    <cellStyle name="Input 6 2 2 2 2 5 4" xfId="38294"/>
    <cellStyle name="Input 6 2 2 2 2 6" xfId="21555"/>
    <cellStyle name="Input 6 2 2 2 2 6 2" xfId="47077"/>
    <cellStyle name="Input 6 2 2 2 2 6 3" xfId="50983"/>
    <cellStyle name="Input 6 2 2 2 2 7" xfId="40880"/>
    <cellStyle name="Input 6 2 2 2 2 8" xfId="39360"/>
    <cellStyle name="Input 6 2 2 2 3" xfId="10997"/>
    <cellStyle name="Input 6 2 2 2 3 2" xfId="18784"/>
    <cellStyle name="Input 6 2 2 2 3 2 2" xfId="44316"/>
    <cellStyle name="Input 6 2 2 2 3 2 3" xfId="48225"/>
    <cellStyle name="Input 6 2 2 2 3 2 4" xfId="36407"/>
    <cellStyle name="Input 6 2 2 2 3 3" xfId="13353"/>
    <cellStyle name="Input 6 2 2 2 3 3 2" xfId="42504"/>
    <cellStyle name="Input 6 2 2 2 3 3 3" xfId="40402"/>
    <cellStyle name="Input 6 2 2 2 3 3 4" xfId="30979"/>
    <cellStyle name="Input 6 2 2 2 3 4" xfId="20283"/>
    <cellStyle name="Input 6 2 2 2 3 4 2" xfId="45805"/>
    <cellStyle name="Input 6 2 2 2 3 4 3" xfId="49711"/>
    <cellStyle name="Input 6 2 2 2 3 4 4" xfId="37735"/>
    <cellStyle name="Input 6 2 2 2 3 5" xfId="21197"/>
    <cellStyle name="Input 6 2 2 2 3 5 2" xfId="46719"/>
    <cellStyle name="Input 6 2 2 2 3 5 3" xfId="50625"/>
    <cellStyle name="Input 6 2 2 2 3 5 4" xfId="38589"/>
    <cellStyle name="Input 6 2 2 2 3 6" xfId="21850"/>
    <cellStyle name="Input 6 2 2 2 3 6 2" xfId="47372"/>
    <cellStyle name="Input 6 2 2 2 3 6 3" xfId="51278"/>
    <cellStyle name="Input 6 2 2 2 3 7" xfId="41175"/>
    <cellStyle name="Input 6 2 2 2 3 8" xfId="42804"/>
    <cellStyle name="Input 6 2 2 2 4" xfId="14957"/>
    <cellStyle name="Input 6 2 2 2 4 2" xfId="43055"/>
    <cellStyle name="Input 6 2 2 2 4 3" xfId="41912"/>
    <cellStyle name="Input 6 2 2 2 4 4" xfId="32578"/>
    <cellStyle name="Input 6 2 2 2 5" xfId="13180"/>
    <cellStyle name="Input 6 2 2 2 5 2" xfId="42382"/>
    <cellStyle name="Input 6 2 2 2 5 3" xfId="47455"/>
    <cellStyle name="Input 6 2 2 2 5 4" xfId="30815"/>
    <cellStyle name="Input 6 2 2 2 6" xfId="12610"/>
    <cellStyle name="Input 6 2 2 2 6 2" xfId="42070"/>
    <cellStyle name="Input 6 2 2 2 6 3" xfId="39427"/>
    <cellStyle name="Input 6 2 2 2 6 4" xfId="30261"/>
    <cellStyle name="Input 6 2 2 2 7" xfId="12071"/>
    <cellStyle name="Input 6 2 2 2 7 2" xfId="41796"/>
    <cellStyle name="Input 6 2 2 2 7 3" xfId="39304"/>
    <cellStyle name="Input 6 2 2 2 7 4" xfId="29733"/>
    <cellStyle name="Input 6 2 2 2 8" xfId="18902"/>
    <cellStyle name="Input 6 2 2 2 8 2" xfId="44424"/>
    <cellStyle name="Input 6 2 2 2 8 3" xfId="48330"/>
    <cellStyle name="Input 6 2 2 2 9" xfId="39915"/>
    <cellStyle name="Input 6 2 2 3" xfId="53180"/>
    <cellStyle name="Input 6 2 3" xfId="7174"/>
    <cellStyle name="Input 6 2 3 10" xfId="43244"/>
    <cellStyle name="Input 6 2 3 2" xfId="10701"/>
    <cellStyle name="Input 6 2 3 2 2" xfId="18488"/>
    <cellStyle name="Input 6 2 3 2 2 2" xfId="44020"/>
    <cellStyle name="Input 6 2 3 2 2 3" xfId="47929"/>
    <cellStyle name="Input 6 2 3 2 2 4" xfId="36111"/>
    <cellStyle name="Input 6 2 3 2 3" xfId="19590"/>
    <cellStyle name="Input 6 2 3 2 3 2" xfId="45112"/>
    <cellStyle name="Input 6 2 3 2 3 3" xfId="49018"/>
    <cellStyle name="Input 6 2 3 2 3 4" xfId="37116"/>
    <cellStyle name="Input 6 2 3 2 4" xfId="12818"/>
    <cellStyle name="Input 6 2 3 2 4 2" xfId="42202"/>
    <cellStyle name="Input 6 2 3 2 4 3" xfId="43444"/>
    <cellStyle name="Input 6 2 3 2 4 4" xfId="30459"/>
    <cellStyle name="Input 6 2 3 2 5" xfId="20901"/>
    <cellStyle name="Input 6 2 3 2 5 2" xfId="46423"/>
    <cellStyle name="Input 6 2 3 2 5 3" xfId="50329"/>
    <cellStyle name="Input 6 2 3 2 5 4" xfId="38293"/>
    <cellStyle name="Input 6 2 3 2 6" xfId="21554"/>
    <cellStyle name="Input 6 2 3 2 6 2" xfId="47076"/>
    <cellStyle name="Input 6 2 3 2 6 3" xfId="50982"/>
    <cellStyle name="Input 6 2 3 2 7" xfId="40879"/>
    <cellStyle name="Input 6 2 3 2 8" xfId="40220"/>
    <cellStyle name="Input 6 2 3 3" xfId="10996"/>
    <cellStyle name="Input 6 2 3 3 2" xfId="18783"/>
    <cellStyle name="Input 6 2 3 3 2 2" xfId="44315"/>
    <cellStyle name="Input 6 2 3 3 2 3" xfId="48224"/>
    <cellStyle name="Input 6 2 3 3 2 4" xfId="36406"/>
    <cellStyle name="Input 6 2 3 3 3" xfId="11528"/>
    <cellStyle name="Input 6 2 3 3 3 2" xfId="41519"/>
    <cellStyle name="Input 6 2 3 3 3 3" xfId="43186"/>
    <cellStyle name="Input 6 2 3 3 3 4" xfId="29229"/>
    <cellStyle name="Input 6 2 3 3 4" xfId="20323"/>
    <cellStyle name="Input 6 2 3 3 4 2" xfId="45845"/>
    <cellStyle name="Input 6 2 3 3 4 3" xfId="49751"/>
    <cellStyle name="Input 6 2 3 3 4 4" xfId="37773"/>
    <cellStyle name="Input 6 2 3 3 5" xfId="21196"/>
    <cellStyle name="Input 6 2 3 3 5 2" xfId="46718"/>
    <cellStyle name="Input 6 2 3 3 5 3" xfId="50624"/>
    <cellStyle name="Input 6 2 3 3 5 4" xfId="38588"/>
    <cellStyle name="Input 6 2 3 3 6" xfId="21849"/>
    <cellStyle name="Input 6 2 3 3 6 2" xfId="47371"/>
    <cellStyle name="Input 6 2 3 3 6 3" xfId="51277"/>
    <cellStyle name="Input 6 2 3 3 7" xfId="41174"/>
    <cellStyle name="Input 6 2 3 3 8" xfId="40057"/>
    <cellStyle name="Input 6 2 3 4" xfId="14956"/>
    <cellStyle name="Input 6 2 3 4 2" xfId="43054"/>
    <cellStyle name="Input 6 2 3 4 3" xfId="39238"/>
    <cellStyle name="Input 6 2 3 4 4" xfId="32577"/>
    <cellStyle name="Input 6 2 3 5" xfId="13179"/>
    <cellStyle name="Input 6 2 3 5 2" xfId="42381"/>
    <cellStyle name="Input 6 2 3 5 3" xfId="39045"/>
    <cellStyle name="Input 6 2 3 5 4" xfId="30814"/>
    <cellStyle name="Input 6 2 3 6" xfId="12038"/>
    <cellStyle name="Input 6 2 3 6 2" xfId="41774"/>
    <cellStyle name="Input 6 2 3 6 3" xfId="47560"/>
    <cellStyle name="Input 6 2 3 6 4" xfId="29703"/>
    <cellStyle name="Input 6 2 3 7" xfId="19173"/>
    <cellStyle name="Input 6 2 3 7 2" xfId="44695"/>
    <cellStyle name="Input 6 2 3 7 3" xfId="48601"/>
    <cellStyle name="Input 6 2 3 7 4" xfId="36746"/>
    <cellStyle name="Input 6 2 3 8" xfId="13190"/>
    <cellStyle name="Input 6 2 3 8 2" xfId="42392"/>
    <cellStyle name="Input 6 2 3 8 3" xfId="47457"/>
    <cellStyle name="Input 6 2 3 9" xfId="39914"/>
    <cellStyle name="Input 6 2 4" xfId="53179"/>
    <cellStyle name="Input 6 2_Sheet1" xfId="2022"/>
    <cellStyle name="Input 6 3" xfId="2023"/>
    <cellStyle name="Input 6 3 2" xfId="7176"/>
    <cellStyle name="Input 6 3 2 10" xfId="43072"/>
    <cellStyle name="Input 6 3 2 2" xfId="10703"/>
    <cellStyle name="Input 6 3 2 2 2" xfId="18490"/>
    <cellStyle name="Input 6 3 2 2 2 2" xfId="44022"/>
    <cellStyle name="Input 6 3 2 2 2 3" xfId="47931"/>
    <cellStyle name="Input 6 3 2 2 2 4" xfId="36113"/>
    <cellStyle name="Input 6 3 2 2 3" xfId="19403"/>
    <cellStyle name="Input 6 3 2 2 3 2" xfId="44925"/>
    <cellStyle name="Input 6 3 2 2 3 3" xfId="48831"/>
    <cellStyle name="Input 6 3 2 2 3 4" xfId="36954"/>
    <cellStyle name="Input 6 3 2 2 4" xfId="20310"/>
    <cellStyle name="Input 6 3 2 2 4 2" xfId="45832"/>
    <cellStyle name="Input 6 3 2 2 4 3" xfId="49738"/>
    <cellStyle name="Input 6 3 2 2 4 4" xfId="37760"/>
    <cellStyle name="Input 6 3 2 2 5" xfId="20903"/>
    <cellStyle name="Input 6 3 2 2 5 2" xfId="46425"/>
    <cellStyle name="Input 6 3 2 2 5 3" xfId="50331"/>
    <cellStyle name="Input 6 3 2 2 5 4" xfId="38295"/>
    <cellStyle name="Input 6 3 2 2 6" xfId="21556"/>
    <cellStyle name="Input 6 3 2 2 6 2" xfId="47078"/>
    <cellStyle name="Input 6 3 2 2 6 3" xfId="50984"/>
    <cellStyle name="Input 6 3 2 2 7" xfId="40881"/>
    <cellStyle name="Input 6 3 2 2 8" xfId="39166"/>
    <cellStyle name="Input 6 3 2 3" xfId="10998"/>
    <cellStyle name="Input 6 3 2 3 2" xfId="18785"/>
    <cellStyle name="Input 6 3 2 3 2 2" xfId="44317"/>
    <cellStyle name="Input 6 3 2 3 2 3" xfId="48226"/>
    <cellStyle name="Input 6 3 2 3 2 4" xfId="36408"/>
    <cellStyle name="Input 6 3 2 3 3" xfId="13349"/>
    <cellStyle name="Input 6 3 2 3 3 2" xfId="42500"/>
    <cellStyle name="Input 6 3 2 3 3 3" xfId="40508"/>
    <cellStyle name="Input 6 3 2 3 3 4" xfId="30975"/>
    <cellStyle name="Input 6 3 2 3 4" xfId="20293"/>
    <cellStyle name="Input 6 3 2 3 4 2" xfId="45815"/>
    <cellStyle name="Input 6 3 2 3 4 3" xfId="49721"/>
    <cellStyle name="Input 6 3 2 3 4 4" xfId="37745"/>
    <cellStyle name="Input 6 3 2 3 5" xfId="21198"/>
    <cellStyle name="Input 6 3 2 3 5 2" xfId="46720"/>
    <cellStyle name="Input 6 3 2 3 5 3" xfId="50626"/>
    <cellStyle name="Input 6 3 2 3 5 4" xfId="38590"/>
    <cellStyle name="Input 6 3 2 3 6" xfId="21851"/>
    <cellStyle name="Input 6 3 2 3 6 2" xfId="47373"/>
    <cellStyle name="Input 6 3 2 3 6 3" xfId="51279"/>
    <cellStyle name="Input 6 3 2 3 7" xfId="41176"/>
    <cellStyle name="Input 6 3 2 3 8" xfId="43693"/>
    <cellStyle name="Input 6 3 2 4" xfId="14958"/>
    <cellStyle name="Input 6 3 2 4 2" xfId="43056"/>
    <cellStyle name="Input 6 3 2 4 3" xfId="43266"/>
    <cellStyle name="Input 6 3 2 4 4" xfId="32579"/>
    <cellStyle name="Input 6 3 2 5" xfId="13181"/>
    <cellStyle name="Input 6 3 2 5 2" xfId="42383"/>
    <cellStyle name="Input 6 3 2 5 3" xfId="47551"/>
    <cellStyle name="Input 6 3 2 5 4" xfId="30816"/>
    <cellStyle name="Input 6 3 2 6" xfId="19633"/>
    <cellStyle name="Input 6 3 2 6 2" xfId="45155"/>
    <cellStyle name="Input 6 3 2 6 3" xfId="49061"/>
    <cellStyle name="Input 6 3 2 6 4" xfId="37155"/>
    <cellStyle name="Input 6 3 2 7" xfId="18928"/>
    <cellStyle name="Input 6 3 2 7 2" xfId="44450"/>
    <cellStyle name="Input 6 3 2 7 3" xfId="48356"/>
    <cellStyle name="Input 6 3 2 7 4" xfId="36541"/>
    <cellStyle name="Input 6 3 2 8" xfId="18998"/>
    <cellStyle name="Input 6 3 2 8 2" xfId="44520"/>
    <cellStyle name="Input 6 3 2 8 3" xfId="48426"/>
    <cellStyle name="Input 6 3 2 9" xfId="39916"/>
    <cellStyle name="Input 6 3 3" xfId="53181"/>
    <cellStyle name="Input 6 4" xfId="7173"/>
    <cellStyle name="Input 6 4 10" xfId="41692"/>
    <cellStyle name="Input 6 4 2" xfId="10700"/>
    <cellStyle name="Input 6 4 2 2" xfId="18487"/>
    <cellStyle name="Input 6 4 2 2 2" xfId="44019"/>
    <cellStyle name="Input 6 4 2 2 3" xfId="47928"/>
    <cellStyle name="Input 6 4 2 2 4" xfId="36110"/>
    <cellStyle name="Input 6 4 2 3" xfId="12155"/>
    <cellStyle name="Input 6 4 2 3 2" xfId="41880"/>
    <cellStyle name="Input 6 4 2 3 3" xfId="40426"/>
    <cellStyle name="Input 6 4 2 3 4" xfId="29813"/>
    <cellStyle name="Input 6 4 2 4" xfId="12682"/>
    <cellStyle name="Input 6 4 2 4 2" xfId="42142"/>
    <cellStyle name="Input 6 4 2 4 3" xfId="42668"/>
    <cellStyle name="Input 6 4 2 4 4" xfId="30329"/>
    <cellStyle name="Input 6 4 2 5" xfId="20900"/>
    <cellStyle name="Input 6 4 2 5 2" xfId="46422"/>
    <cellStyle name="Input 6 4 2 5 3" xfId="50328"/>
    <cellStyle name="Input 6 4 2 5 4" xfId="38292"/>
    <cellStyle name="Input 6 4 2 6" xfId="21553"/>
    <cellStyle name="Input 6 4 2 6 2" xfId="47075"/>
    <cellStyle name="Input 6 4 2 6 3" xfId="50981"/>
    <cellStyle name="Input 6 4 2 7" xfId="40878"/>
    <cellStyle name="Input 6 4 2 8" xfId="43358"/>
    <cellStyle name="Input 6 4 3" xfId="10995"/>
    <cellStyle name="Input 6 4 3 2" xfId="18782"/>
    <cellStyle name="Input 6 4 3 2 2" xfId="44314"/>
    <cellStyle name="Input 6 4 3 2 3" xfId="48223"/>
    <cellStyle name="Input 6 4 3 2 4" xfId="36405"/>
    <cellStyle name="Input 6 4 3 3" xfId="19693"/>
    <cellStyle name="Input 6 4 3 3 2" xfId="45215"/>
    <cellStyle name="Input 6 4 3 3 3" xfId="49121"/>
    <cellStyle name="Input 6 4 3 3 4" xfId="37206"/>
    <cellStyle name="Input 6 4 3 4" xfId="11455"/>
    <cellStyle name="Input 6 4 3 4 2" xfId="41446"/>
    <cellStyle name="Input 6 4 3 4 3" xfId="43471"/>
    <cellStyle name="Input 6 4 3 4 4" xfId="29160"/>
    <cellStyle name="Input 6 4 3 5" xfId="21195"/>
    <cellStyle name="Input 6 4 3 5 2" xfId="46717"/>
    <cellStyle name="Input 6 4 3 5 3" xfId="50623"/>
    <cellStyle name="Input 6 4 3 5 4" xfId="38587"/>
    <cellStyle name="Input 6 4 3 6" xfId="21848"/>
    <cellStyle name="Input 6 4 3 6 2" xfId="47370"/>
    <cellStyle name="Input 6 4 3 6 3" xfId="51276"/>
    <cellStyle name="Input 6 4 3 7" xfId="41173"/>
    <cellStyle name="Input 6 4 3 8" xfId="43198"/>
    <cellStyle name="Input 6 4 4" xfId="14955"/>
    <cellStyle name="Input 6 4 4 2" xfId="43053"/>
    <cellStyle name="Input 6 4 4 3" xfId="40124"/>
    <cellStyle name="Input 6 4 4 4" xfId="32576"/>
    <cellStyle name="Input 6 4 5" xfId="13178"/>
    <cellStyle name="Input 6 4 5 2" xfId="42380"/>
    <cellStyle name="Input 6 4 5 3" xfId="39046"/>
    <cellStyle name="Input 6 4 5 4" xfId="30813"/>
    <cellStyle name="Input 6 4 6" xfId="19310"/>
    <cellStyle name="Input 6 4 6 2" xfId="44832"/>
    <cellStyle name="Input 6 4 6 3" xfId="48738"/>
    <cellStyle name="Input 6 4 6 4" xfId="36874"/>
    <cellStyle name="Input 6 4 7" xfId="11779"/>
    <cellStyle name="Input 6 4 7 2" xfId="41712"/>
    <cellStyle name="Input 6 4 7 3" xfId="39313"/>
    <cellStyle name="Input 6 4 7 4" xfId="29451"/>
    <cellStyle name="Input 6 4 8" xfId="20593"/>
    <cellStyle name="Input 6 4 8 2" xfId="46115"/>
    <cellStyle name="Input 6 4 8 3" xfId="50021"/>
    <cellStyle name="Input 6 4 9" xfId="39913"/>
    <cellStyle name="Input 6 5" xfId="53178"/>
    <cellStyle name="Input 6_Sheet1" xfId="2024"/>
    <cellStyle name="Input 7" xfId="2025"/>
    <cellStyle name="Input 7 2" xfId="2026"/>
    <cellStyle name="Input 7 2 2" xfId="2027"/>
    <cellStyle name="Input 7 2 2 2" xfId="7179"/>
    <cellStyle name="Input 7 2 2 2 10" xfId="39932"/>
    <cellStyle name="Input 7 2 2 2 2" xfId="10706"/>
    <cellStyle name="Input 7 2 2 2 2 2" xfId="18493"/>
    <cellStyle name="Input 7 2 2 2 2 2 2" xfId="44025"/>
    <cellStyle name="Input 7 2 2 2 2 2 3" xfId="47934"/>
    <cellStyle name="Input 7 2 2 2 2 2 4" xfId="36116"/>
    <cellStyle name="Input 7 2 2 2 2 3" xfId="19885"/>
    <cellStyle name="Input 7 2 2 2 2 3 2" xfId="45407"/>
    <cellStyle name="Input 7 2 2 2 2 3 3" xfId="49313"/>
    <cellStyle name="Input 7 2 2 2 2 3 4" xfId="37385"/>
    <cellStyle name="Input 7 2 2 2 2 4" xfId="13904"/>
    <cellStyle name="Input 7 2 2 2 2 4 2" xfId="42620"/>
    <cellStyle name="Input 7 2 2 2 2 4 3" xfId="39040"/>
    <cellStyle name="Input 7 2 2 2 2 4 4" xfId="31527"/>
    <cellStyle name="Input 7 2 2 2 2 5" xfId="20906"/>
    <cellStyle name="Input 7 2 2 2 2 5 2" xfId="46428"/>
    <cellStyle name="Input 7 2 2 2 2 5 3" xfId="50334"/>
    <cellStyle name="Input 7 2 2 2 2 5 4" xfId="38298"/>
    <cellStyle name="Input 7 2 2 2 2 6" xfId="21559"/>
    <cellStyle name="Input 7 2 2 2 2 6 2" xfId="47081"/>
    <cellStyle name="Input 7 2 2 2 2 6 3" xfId="50987"/>
    <cellStyle name="Input 7 2 2 2 2 7" xfId="40884"/>
    <cellStyle name="Input 7 2 2 2 2 8" xfId="40069"/>
    <cellStyle name="Input 7 2 2 2 3" xfId="11001"/>
    <cellStyle name="Input 7 2 2 2 3 2" xfId="18788"/>
    <cellStyle name="Input 7 2 2 2 3 2 2" xfId="44320"/>
    <cellStyle name="Input 7 2 2 2 3 2 3" xfId="48229"/>
    <cellStyle name="Input 7 2 2 2 3 2 4" xfId="36411"/>
    <cellStyle name="Input 7 2 2 2 3 3" xfId="20381"/>
    <cellStyle name="Input 7 2 2 2 3 3 2" xfId="45903"/>
    <cellStyle name="Input 7 2 2 2 3 3 3" xfId="49809"/>
    <cellStyle name="Input 7 2 2 2 3 3 4" xfId="37821"/>
    <cellStyle name="Input 7 2 2 2 3 4" xfId="20525"/>
    <cellStyle name="Input 7 2 2 2 3 4 2" xfId="46047"/>
    <cellStyle name="Input 7 2 2 2 3 4 3" xfId="49953"/>
    <cellStyle name="Input 7 2 2 2 3 4 4" xfId="37938"/>
    <cellStyle name="Input 7 2 2 2 3 5" xfId="21201"/>
    <cellStyle name="Input 7 2 2 2 3 5 2" xfId="46723"/>
    <cellStyle name="Input 7 2 2 2 3 5 3" xfId="50629"/>
    <cellStyle name="Input 7 2 2 2 3 5 4" xfId="38593"/>
    <cellStyle name="Input 7 2 2 2 3 6" xfId="21854"/>
    <cellStyle name="Input 7 2 2 2 3 6 2" xfId="47376"/>
    <cellStyle name="Input 7 2 2 2 3 6 3" xfId="51282"/>
    <cellStyle name="Input 7 2 2 2 3 7" xfId="41179"/>
    <cellStyle name="Input 7 2 2 2 3 8" xfId="42700"/>
    <cellStyle name="Input 7 2 2 2 4" xfId="14961"/>
    <cellStyle name="Input 7 2 2 2 4 2" xfId="43059"/>
    <cellStyle name="Input 7 2 2 2 4 3" xfId="39029"/>
    <cellStyle name="Input 7 2 2 2 4 4" xfId="32582"/>
    <cellStyle name="Input 7 2 2 2 5" xfId="13182"/>
    <cellStyle name="Input 7 2 2 2 5 2" xfId="42384"/>
    <cellStyle name="Input 7 2 2 2 5 3" xfId="47459"/>
    <cellStyle name="Input 7 2 2 2 5 4" xfId="30817"/>
    <cellStyle name="Input 7 2 2 2 6" xfId="19516"/>
    <cellStyle name="Input 7 2 2 2 6 2" xfId="45038"/>
    <cellStyle name="Input 7 2 2 2 6 3" xfId="48944"/>
    <cellStyle name="Input 7 2 2 2 6 4" xfId="37049"/>
    <cellStyle name="Input 7 2 2 2 7" xfId="19626"/>
    <cellStyle name="Input 7 2 2 2 7 2" xfId="45148"/>
    <cellStyle name="Input 7 2 2 2 7 3" xfId="49054"/>
    <cellStyle name="Input 7 2 2 2 7 4" xfId="37149"/>
    <cellStyle name="Input 7 2 2 2 8" xfId="19793"/>
    <cellStyle name="Input 7 2 2 2 8 2" xfId="45315"/>
    <cellStyle name="Input 7 2 2 2 8 3" xfId="49221"/>
    <cellStyle name="Input 7 2 2 2 9" xfId="39919"/>
    <cellStyle name="Input 7 2 2 3" xfId="53184"/>
    <cellStyle name="Input 7 2 3" xfId="7178"/>
    <cellStyle name="Input 7 2 3 10" xfId="40598"/>
    <cellStyle name="Input 7 2 3 2" xfId="10705"/>
    <cellStyle name="Input 7 2 3 2 2" xfId="18492"/>
    <cellStyle name="Input 7 2 3 2 2 2" xfId="44024"/>
    <cellStyle name="Input 7 2 3 2 2 3" xfId="47933"/>
    <cellStyle name="Input 7 2 3 2 2 4" xfId="36115"/>
    <cellStyle name="Input 7 2 3 2 3" xfId="19276"/>
    <cellStyle name="Input 7 2 3 2 3 2" xfId="44798"/>
    <cellStyle name="Input 7 2 3 2 3 3" xfId="48704"/>
    <cellStyle name="Input 7 2 3 2 3 4" xfId="36840"/>
    <cellStyle name="Input 7 2 3 2 4" xfId="12657"/>
    <cellStyle name="Input 7 2 3 2 4 2" xfId="42117"/>
    <cellStyle name="Input 7 2 3 2 4 3" xfId="43171"/>
    <cellStyle name="Input 7 2 3 2 4 4" xfId="30307"/>
    <cellStyle name="Input 7 2 3 2 5" xfId="20905"/>
    <cellStyle name="Input 7 2 3 2 5 2" xfId="46427"/>
    <cellStyle name="Input 7 2 3 2 5 3" xfId="50333"/>
    <cellStyle name="Input 7 2 3 2 5 4" xfId="38297"/>
    <cellStyle name="Input 7 2 3 2 6" xfId="21558"/>
    <cellStyle name="Input 7 2 3 2 6 2" xfId="47080"/>
    <cellStyle name="Input 7 2 3 2 6 3" xfId="50986"/>
    <cellStyle name="Input 7 2 3 2 7" xfId="40883"/>
    <cellStyle name="Input 7 2 3 2 8" xfId="43210"/>
    <cellStyle name="Input 7 2 3 3" xfId="11000"/>
    <cellStyle name="Input 7 2 3 3 2" xfId="18787"/>
    <cellStyle name="Input 7 2 3 3 2 2" xfId="44319"/>
    <cellStyle name="Input 7 2 3 3 2 3" xfId="48228"/>
    <cellStyle name="Input 7 2 3 3 2 4" xfId="36410"/>
    <cellStyle name="Input 7 2 3 3 3" xfId="20380"/>
    <cellStyle name="Input 7 2 3 3 3 2" xfId="45902"/>
    <cellStyle name="Input 7 2 3 3 3 3" xfId="49808"/>
    <cellStyle name="Input 7 2 3 3 3 4" xfId="37820"/>
    <cellStyle name="Input 7 2 3 3 4" xfId="20524"/>
    <cellStyle name="Input 7 2 3 3 4 2" xfId="46046"/>
    <cellStyle name="Input 7 2 3 3 4 3" xfId="49952"/>
    <cellStyle name="Input 7 2 3 3 4 4" xfId="37937"/>
    <cellStyle name="Input 7 2 3 3 5" xfId="21200"/>
    <cellStyle name="Input 7 2 3 3 5 2" xfId="46722"/>
    <cellStyle name="Input 7 2 3 3 5 3" xfId="50628"/>
    <cellStyle name="Input 7 2 3 3 5 4" xfId="38592"/>
    <cellStyle name="Input 7 2 3 3 6" xfId="21853"/>
    <cellStyle name="Input 7 2 3 3 6 2" xfId="47375"/>
    <cellStyle name="Input 7 2 3 3 6 3" xfId="51281"/>
    <cellStyle name="Input 7 2 3 3 7" xfId="41178"/>
    <cellStyle name="Input 7 2 3 3 8" xfId="39663"/>
    <cellStyle name="Input 7 2 3 4" xfId="14960"/>
    <cellStyle name="Input 7 2 3 4 2" xfId="43058"/>
    <cellStyle name="Input 7 2 3 4 3" xfId="39239"/>
    <cellStyle name="Input 7 2 3 4 4" xfId="32581"/>
    <cellStyle name="Input 7 2 3 5" xfId="11319"/>
    <cellStyle name="Input 7 2 3 5 2" xfId="41344"/>
    <cellStyle name="Input 7 2 3 5 3" xfId="42560"/>
    <cellStyle name="Input 7 2 3 5 4" xfId="29033"/>
    <cellStyle name="Input 7 2 3 6" xfId="13191"/>
    <cellStyle name="Input 7 2 3 6 2" xfId="42393"/>
    <cellStyle name="Input 7 2 3 6 3" xfId="41938"/>
    <cellStyle name="Input 7 2 3 6 4" xfId="30824"/>
    <cellStyle name="Input 7 2 3 7" xfId="12063"/>
    <cellStyle name="Input 7 2 3 7 2" xfId="41792"/>
    <cellStyle name="Input 7 2 3 7 3" xfId="39539"/>
    <cellStyle name="Input 7 2 3 7 4" xfId="29727"/>
    <cellStyle name="Input 7 2 3 8" xfId="18994"/>
    <cellStyle name="Input 7 2 3 8 2" xfId="44516"/>
    <cellStyle name="Input 7 2 3 8 3" xfId="48422"/>
    <cellStyle name="Input 7 2 3 9" xfId="39918"/>
    <cellStyle name="Input 7 2 4" xfId="53183"/>
    <cellStyle name="Input 7 2_Sheet1" xfId="2028"/>
    <cellStyle name="Input 7 3" xfId="2029"/>
    <cellStyle name="Input 7 3 2" xfId="7180"/>
    <cellStyle name="Input 7 3 2 10" xfId="42732"/>
    <cellStyle name="Input 7 3 2 2" xfId="10707"/>
    <cellStyle name="Input 7 3 2 2 2" xfId="18494"/>
    <cellStyle name="Input 7 3 2 2 2 2" xfId="44026"/>
    <cellStyle name="Input 7 3 2 2 2 3" xfId="47935"/>
    <cellStyle name="Input 7 3 2 2 2 4" xfId="36117"/>
    <cellStyle name="Input 7 3 2 2 3" xfId="19108"/>
    <cellStyle name="Input 7 3 2 2 3 2" xfId="44630"/>
    <cellStyle name="Input 7 3 2 2 3 3" xfId="48536"/>
    <cellStyle name="Input 7 3 2 2 3 4" xfId="36689"/>
    <cellStyle name="Input 7 3 2 2 4" xfId="20245"/>
    <cellStyle name="Input 7 3 2 2 4 2" xfId="45767"/>
    <cellStyle name="Input 7 3 2 2 4 3" xfId="49673"/>
    <cellStyle name="Input 7 3 2 2 4 4" xfId="37702"/>
    <cellStyle name="Input 7 3 2 2 5" xfId="20907"/>
    <cellStyle name="Input 7 3 2 2 5 2" xfId="46429"/>
    <cellStyle name="Input 7 3 2 2 5 3" xfId="50335"/>
    <cellStyle name="Input 7 3 2 2 5 4" xfId="38299"/>
    <cellStyle name="Input 7 3 2 2 6" xfId="21560"/>
    <cellStyle name="Input 7 3 2 2 6 2" xfId="47082"/>
    <cellStyle name="Input 7 3 2 2 6 3" xfId="50988"/>
    <cellStyle name="Input 7 3 2 2 7" xfId="40885"/>
    <cellStyle name="Input 7 3 2 2 8" xfId="42818"/>
    <cellStyle name="Input 7 3 2 3" xfId="11002"/>
    <cellStyle name="Input 7 3 2 3 2" xfId="18789"/>
    <cellStyle name="Input 7 3 2 3 2 2" xfId="44321"/>
    <cellStyle name="Input 7 3 2 3 2 3" xfId="48230"/>
    <cellStyle name="Input 7 3 2 3 2 4" xfId="36412"/>
    <cellStyle name="Input 7 3 2 3 3" xfId="20382"/>
    <cellStyle name="Input 7 3 2 3 3 2" xfId="45904"/>
    <cellStyle name="Input 7 3 2 3 3 3" xfId="49810"/>
    <cellStyle name="Input 7 3 2 3 3 4" xfId="37822"/>
    <cellStyle name="Input 7 3 2 3 4" xfId="20526"/>
    <cellStyle name="Input 7 3 2 3 4 2" xfId="46048"/>
    <cellStyle name="Input 7 3 2 3 4 3" xfId="49954"/>
    <cellStyle name="Input 7 3 2 3 4 4" xfId="37939"/>
    <cellStyle name="Input 7 3 2 3 5" xfId="21202"/>
    <cellStyle name="Input 7 3 2 3 5 2" xfId="46724"/>
    <cellStyle name="Input 7 3 2 3 5 3" xfId="50630"/>
    <cellStyle name="Input 7 3 2 3 5 4" xfId="38594"/>
    <cellStyle name="Input 7 3 2 3 6" xfId="21855"/>
    <cellStyle name="Input 7 3 2 3 6 2" xfId="47377"/>
    <cellStyle name="Input 7 3 2 3 6 3" xfId="51283"/>
    <cellStyle name="Input 7 3 2 3 7" xfId="41180"/>
    <cellStyle name="Input 7 3 2 3 8" xfId="43589"/>
    <cellStyle name="Input 7 3 2 4" xfId="14962"/>
    <cellStyle name="Input 7 3 2 4 2" xfId="43060"/>
    <cellStyle name="Input 7 3 2 4 3" xfId="41257"/>
    <cellStyle name="Input 7 3 2 4 4" xfId="32583"/>
    <cellStyle name="Input 7 3 2 5" xfId="13183"/>
    <cellStyle name="Input 7 3 2 5 2" xfId="42385"/>
    <cellStyle name="Input 7 3 2 5 3" xfId="43141"/>
    <cellStyle name="Input 7 3 2 5 4" xfId="30818"/>
    <cellStyle name="Input 7 3 2 6" xfId="11781"/>
    <cellStyle name="Input 7 3 2 6 2" xfId="41714"/>
    <cellStyle name="Input 7 3 2 6 3" xfId="39128"/>
    <cellStyle name="Input 7 3 2 6 4" xfId="29453"/>
    <cellStyle name="Input 7 3 2 7" xfId="20500"/>
    <cellStyle name="Input 7 3 2 7 2" xfId="46022"/>
    <cellStyle name="Input 7 3 2 7 3" xfId="49928"/>
    <cellStyle name="Input 7 3 2 7 4" xfId="37922"/>
    <cellStyle name="Input 7 3 2 8" xfId="12688"/>
    <cellStyle name="Input 7 3 2 8 2" xfId="42148"/>
    <cellStyle name="Input 7 3 2 8 3" xfId="40309"/>
    <cellStyle name="Input 7 3 2 9" xfId="39920"/>
    <cellStyle name="Input 7 3 3" xfId="53185"/>
    <cellStyle name="Input 7 4" xfId="7177"/>
    <cellStyle name="Input 7 4 10" xfId="43739"/>
    <cellStyle name="Input 7 4 11" xfId="53186"/>
    <cellStyle name="Input 7 4 2" xfId="10704"/>
    <cellStyle name="Input 7 4 2 2" xfId="18491"/>
    <cellStyle name="Input 7 4 2 2 2" xfId="44023"/>
    <cellStyle name="Input 7 4 2 2 3" xfId="47932"/>
    <cellStyle name="Input 7 4 2 2 4" xfId="36114"/>
    <cellStyle name="Input 7 4 2 3" xfId="20010"/>
    <cellStyle name="Input 7 4 2 3 2" xfId="45532"/>
    <cellStyle name="Input 7 4 2 3 3" xfId="49438"/>
    <cellStyle name="Input 7 4 2 3 4" xfId="37494"/>
    <cellStyle name="Input 7 4 2 4" xfId="11796"/>
    <cellStyle name="Input 7 4 2 4 2" xfId="41725"/>
    <cellStyle name="Input 7 4 2 4 3" xfId="43179"/>
    <cellStyle name="Input 7 4 2 4 4" xfId="29468"/>
    <cellStyle name="Input 7 4 2 5" xfId="20904"/>
    <cellStyle name="Input 7 4 2 5 2" xfId="46426"/>
    <cellStyle name="Input 7 4 2 5 3" xfId="50332"/>
    <cellStyle name="Input 7 4 2 5 4" xfId="38296"/>
    <cellStyle name="Input 7 4 2 6" xfId="21557"/>
    <cellStyle name="Input 7 4 2 6 2" xfId="47079"/>
    <cellStyle name="Input 7 4 2 6 3" xfId="50985"/>
    <cellStyle name="Input 7 4 2 7" xfId="40882"/>
    <cellStyle name="Input 7 4 2 8" xfId="41407"/>
    <cellStyle name="Input 7 4 3" xfId="10999"/>
    <cellStyle name="Input 7 4 3 2" xfId="18786"/>
    <cellStyle name="Input 7 4 3 2 2" xfId="44318"/>
    <cellStyle name="Input 7 4 3 2 3" xfId="48227"/>
    <cellStyle name="Input 7 4 3 2 4" xfId="36409"/>
    <cellStyle name="Input 7 4 3 3" xfId="19563"/>
    <cellStyle name="Input 7 4 3 3 2" xfId="45085"/>
    <cellStyle name="Input 7 4 3 3 3" xfId="48991"/>
    <cellStyle name="Input 7 4 3 3 4" xfId="37089"/>
    <cellStyle name="Input 7 4 3 4" xfId="18922"/>
    <cellStyle name="Input 7 4 3 4 2" xfId="44444"/>
    <cellStyle name="Input 7 4 3 4 3" xfId="48350"/>
    <cellStyle name="Input 7 4 3 4 4" xfId="36535"/>
    <cellStyle name="Input 7 4 3 5" xfId="21199"/>
    <cellStyle name="Input 7 4 3 5 2" xfId="46721"/>
    <cellStyle name="Input 7 4 3 5 3" xfId="50627"/>
    <cellStyle name="Input 7 4 3 5 4" xfId="38591"/>
    <cellStyle name="Input 7 4 3 6" xfId="21852"/>
    <cellStyle name="Input 7 4 3 6 2" xfId="47374"/>
    <cellStyle name="Input 7 4 3 6 3" xfId="51280"/>
    <cellStyle name="Input 7 4 3 7" xfId="41177"/>
    <cellStyle name="Input 7 4 3 8" xfId="40552"/>
    <cellStyle name="Input 7 4 4" xfId="14959"/>
    <cellStyle name="Input 7 4 4 2" xfId="43057"/>
    <cellStyle name="Input 7 4 4 3" xfId="40125"/>
    <cellStyle name="Input 7 4 4 4" xfId="32580"/>
    <cellStyle name="Input 7 4 5" xfId="11318"/>
    <cellStyle name="Input 7 4 5 2" xfId="41343"/>
    <cellStyle name="Input 7 4 5 3" xfId="39553"/>
    <cellStyle name="Input 7 4 5 4" xfId="29032"/>
    <cellStyle name="Input 7 4 6" xfId="11457"/>
    <cellStyle name="Input 7 4 6 2" xfId="41448"/>
    <cellStyle name="Input 7 4 6 3" xfId="39444"/>
    <cellStyle name="Input 7 4 6 4" xfId="29161"/>
    <cellStyle name="Input 7 4 7" xfId="19453"/>
    <cellStyle name="Input 7 4 7 2" xfId="44975"/>
    <cellStyle name="Input 7 4 7 3" xfId="48881"/>
    <cellStyle name="Input 7 4 7 4" xfId="36997"/>
    <cellStyle name="Input 7 4 8" xfId="19449"/>
    <cellStyle name="Input 7 4 8 2" xfId="44971"/>
    <cellStyle name="Input 7 4 8 3" xfId="48877"/>
    <cellStyle name="Input 7 4 9" xfId="39917"/>
    <cellStyle name="Input 7 5" xfId="22476"/>
    <cellStyle name="Input 7 6" xfId="22894"/>
    <cellStyle name="Input 7 7" xfId="53182"/>
    <cellStyle name="Input 7_Sheet1" xfId="2030"/>
    <cellStyle name="Input 8" xfId="2031"/>
    <cellStyle name="Input 8 2" xfId="2032"/>
    <cellStyle name="Input 8 2 2" xfId="2033"/>
    <cellStyle name="Input 8 2 2 2" xfId="7183"/>
    <cellStyle name="Input 8 2 2 2 10" xfId="39588"/>
    <cellStyle name="Input 8 2 2 2 2" xfId="10710"/>
    <cellStyle name="Input 8 2 2 2 2 2" xfId="18497"/>
    <cellStyle name="Input 8 2 2 2 2 2 2" xfId="44029"/>
    <cellStyle name="Input 8 2 2 2 2 2 3" xfId="47938"/>
    <cellStyle name="Input 8 2 2 2 2 2 4" xfId="36120"/>
    <cellStyle name="Input 8 2 2 2 2 3" xfId="12156"/>
    <cellStyle name="Input 8 2 2 2 2 3 2" xfId="41881"/>
    <cellStyle name="Input 8 2 2 2 2 3 3" xfId="39537"/>
    <cellStyle name="Input 8 2 2 2 2 3 4" xfId="29814"/>
    <cellStyle name="Input 8 2 2 2 2 4" xfId="12752"/>
    <cellStyle name="Input 8 2 2 2 2 4 2" xfId="42178"/>
    <cellStyle name="Input 8 2 2 2 2 4 3" xfId="39283"/>
    <cellStyle name="Input 8 2 2 2 2 4 4" xfId="30396"/>
    <cellStyle name="Input 8 2 2 2 2 5" xfId="20910"/>
    <cellStyle name="Input 8 2 2 2 2 5 2" xfId="46432"/>
    <cellStyle name="Input 8 2 2 2 2 5 3" xfId="50338"/>
    <cellStyle name="Input 8 2 2 2 2 5 4" xfId="38302"/>
    <cellStyle name="Input 8 2 2 2 2 6" xfId="21563"/>
    <cellStyle name="Input 8 2 2 2 2 6 2" xfId="47085"/>
    <cellStyle name="Input 8 2 2 2 2 6 3" xfId="50991"/>
    <cellStyle name="Input 8 2 2 2 2 7" xfId="40888"/>
    <cellStyle name="Input 8 2 2 2 2 8" xfId="39677"/>
    <cellStyle name="Input 8 2 2 2 3" xfId="11005"/>
    <cellStyle name="Input 8 2 2 2 3 2" xfId="18792"/>
    <cellStyle name="Input 8 2 2 2 3 2 2" xfId="44324"/>
    <cellStyle name="Input 8 2 2 2 3 2 3" xfId="48233"/>
    <cellStyle name="Input 8 2 2 2 3 2 4" xfId="36415"/>
    <cellStyle name="Input 8 2 2 2 3 3" xfId="20385"/>
    <cellStyle name="Input 8 2 2 2 3 3 2" xfId="45907"/>
    <cellStyle name="Input 8 2 2 2 3 3 3" xfId="49813"/>
    <cellStyle name="Input 8 2 2 2 3 3 4" xfId="37825"/>
    <cellStyle name="Input 8 2 2 2 3 4" xfId="20529"/>
    <cellStyle name="Input 8 2 2 2 3 4 2" xfId="46051"/>
    <cellStyle name="Input 8 2 2 2 3 4 3" xfId="49957"/>
    <cellStyle name="Input 8 2 2 2 3 4 4" xfId="37942"/>
    <cellStyle name="Input 8 2 2 2 3 5" xfId="21205"/>
    <cellStyle name="Input 8 2 2 2 3 5 2" xfId="46727"/>
    <cellStyle name="Input 8 2 2 2 3 5 3" xfId="50633"/>
    <cellStyle name="Input 8 2 2 2 3 5 4" xfId="38597"/>
    <cellStyle name="Input 8 2 2 2 3 6" xfId="21858"/>
    <cellStyle name="Input 8 2 2 2 3 6 2" xfId="47380"/>
    <cellStyle name="Input 8 2 2 2 3 6 3" xfId="51286"/>
    <cellStyle name="Input 8 2 2 2 3 7" xfId="41183"/>
    <cellStyle name="Input 8 2 2 2 3 8" xfId="42565"/>
    <cellStyle name="Input 8 2 2 2 4" xfId="14965"/>
    <cellStyle name="Input 8 2 2 2 4 2" xfId="43063"/>
    <cellStyle name="Input 8 2 2 2 4 3" xfId="42750"/>
    <cellStyle name="Input 8 2 2 2 4 4" xfId="32586"/>
    <cellStyle name="Input 8 2 2 2 5" xfId="11321"/>
    <cellStyle name="Input 8 2 2 2 5 2" xfId="41346"/>
    <cellStyle name="Input 8 2 2 2 5 3" xfId="40335"/>
    <cellStyle name="Input 8 2 2 2 5 4" xfId="29035"/>
    <cellStyle name="Input 8 2 2 2 6" xfId="20069"/>
    <cellStyle name="Input 8 2 2 2 6 2" xfId="45591"/>
    <cellStyle name="Input 8 2 2 2 6 3" xfId="49497"/>
    <cellStyle name="Input 8 2 2 2 6 4" xfId="37548"/>
    <cellStyle name="Input 8 2 2 2 7" xfId="20471"/>
    <cellStyle name="Input 8 2 2 2 7 2" xfId="45993"/>
    <cellStyle name="Input 8 2 2 2 7 3" xfId="49899"/>
    <cellStyle name="Input 8 2 2 2 7 4" xfId="37907"/>
    <cellStyle name="Input 8 2 2 2 8" xfId="20592"/>
    <cellStyle name="Input 8 2 2 2 8 2" xfId="46114"/>
    <cellStyle name="Input 8 2 2 2 8 3" xfId="50020"/>
    <cellStyle name="Input 8 2 2 2 9" xfId="39923"/>
    <cellStyle name="Input 8 2 2 3" xfId="53189"/>
    <cellStyle name="Input 8 2 3" xfId="7182"/>
    <cellStyle name="Input 8 2 3 10" xfId="40478"/>
    <cellStyle name="Input 8 2 3 2" xfId="10709"/>
    <cellStyle name="Input 8 2 3 2 2" xfId="18496"/>
    <cellStyle name="Input 8 2 3 2 2 2" xfId="44028"/>
    <cellStyle name="Input 8 2 3 2 2 3" xfId="47937"/>
    <cellStyle name="Input 8 2 3 2 2 4" xfId="36119"/>
    <cellStyle name="Input 8 2 3 2 3" xfId="12623"/>
    <cellStyle name="Input 8 2 3 2 3 2" xfId="42083"/>
    <cellStyle name="Input 8 2 3 2 3 3" xfId="42670"/>
    <cellStyle name="Input 8 2 3 2 3 4" xfId="30274"/>
    <cellStyle name="Input 8 2 3 2 4" xfId="20081"/>
    <cellStyle name="Input 8 2 3 2 4 2" xfId="45603"/>
    <cellStyle name="Input 8 2 3 2 4 3" xfId="49509"/>
    <cellStyle name="Input 8 2 3 2 4 4" xfId="37557"/>
    <cellStyle name="Input 8 2 3 2 5" xfId="20909"/>
    <cellStyle name="Input 8 2 3 2 5 2" xfId="46431"/>
    <cellStyle name="Input 8 2 3 2 5 3" xfId="50337"/>
    <cellStyle name="Input 8 2 3 2 5 4" xfId="38301"/>
    <cellStyle name="Input 8 2 3 2 6" xfId="21562"/>
    <cellStyle name="Input 8 2 3 2 6 2" xfId="47084"/>
    <cellStyle name="Input 8 2 3 2 6 3" xfId="50990"/>
    <cellStyle name="Input 8 2 3 2 7" xfId="40887"/>
    <cellStyle name="Input 8 2 3 2 8" xfId="40566"/>
    <cellStyle name="Input 8 2 3 3" xfId="11004"/>
    <cellStyle name="Input 8 2 3 3 2" xfId="18791"/>
    <cellStyle name="Input 8 2 3 3 2 2" xfId="44323"/>
    <cellStyle name="Input 8 2 3 3 2 3" xfId="48232"/>
    <cellStyle name="Input 8 2 3 3 2 4" xfId="36414"/>
    <cellStyle name="Input 8 2 3 3 3" xfId="20384"/>
    <cellStyle name="Input 8 2 3 3 3 2" xfId="45906"/>
    <cellStyle name="Input 8 2 3 3 3 3" xfId="49812"/>
    <cellStyle name="Input 8 2 3 3 3 4" xfId="37824"/>
    <cellStyle name="Input 8 2 3 3 4" xfId="20528"/>
    <cellStyle name="Input 8 2 3 3 4 2" xfId="46050"/>
    <cellStyle name="Input 8 2 3 3 4 3" xfId="49956"/>
    <cellStyle name="Input 8 2 3 3 4 4" xfId="37941"/>
    <cellStyle name="Input 8 2 3 3 5" xfId="21204"/>
    <cellStyle name="Input 8 2 3 3 5 2" xfId="46726"/>
    <cellStyle name="Input 8 2 3 3 5 3" xfId="50632"/>
    <cellStyle name="Input 8 2 3 3 5 4" xfId="38596"/>
    <cellStyle name="Input 8 2 3 3 6" xfId="21857"/>
    <cellStyle name="Input 8 2 3 3 6 2" xfId="47379"/>
    <cellStyle name="Input 8 2 3 3 6 3" xfId="51285"/>
    <cellStyle name="Input 8 2 3 3 7" xfId="41182"/>
    <cellStyle name="Input 8 2 3 3 8" xfId="39557"/>
    <cellStyle name="Input 8 2 3 4" xfId="14964"/>
    <cellStyle name="Input 8 2 3 4 2" xfId="43062"/>
    <cellStyle name="Input 8 2 3 4 3" xfId="40009"/>
    <cellStyle name="Input 8 2 3 4 4" xfId="32585"/>
    <cellStyle name="Input 8 2 3 5" xfId="11320"/>
    <cellStyle name="Input 8 2 3 5 2" xfId="41345"/>
    <cellStyle name="Input 8 2 3 5 3" xfId="43474"/>
    <cellStyle name="Input 8 2 3 5 4" xfId="29034"/>
    <cellStyle name="Input 8 2 3 6" xfId="11471"/>
    <cellStyle name="Input 8 2 3 6 2" xfId="41462"/>
    <cellStyle name="Input 8 2 3 6 3" xfId="43684"/>
    <cellStyle name="Input 8 2 3 6 4" xfId="29173"/>
    <cellStyle name="Input 8 2 3 7" xfId="19982"/>
    <cellStyle name="Input 8 2 3 7 2" xfId="45504"/>
    <cellStyle name="Input 8 2 3 7 3" xfId="49410"/>
    <cellStyle name="Input 8 2 3 7 4" xfId="37466"/>
    <cellStyle name="Input 8 2 3 8" xfId="20168"/>
    <cellStyle name="Input 8 2 3 8 2" xfId="45690"/>
    <cellStyle name="Input 8 2 3 8 3" xfId="49596"/>
    <cellStyle name="Input 8 2 3 9" xfId="39922"/>
    <cellStyle name="Input 8 2 4" xfId="53188"/>
    <cellStyle name="Input 8 2_Sheet1" xfId="2034"/>
    <cellStyle name="Input 8 3" xfId="2035"/>
    <cellStyle name="Input 8 3 2" xfId="7184"/>
    <cellStyle name="Input 8 3 2 10" xfId="42596"/>
    <cellStyle name="Input 8 3 2 2" xfId="10711"/>
    <cellStyle name="Input 8 3 2 2 2" xfId="18498"/>
    <cellStyle name="Input 8 3 2 2 2 2" xfId="44030"/>
    <cellStyle name="Input 8 3 2 2 2 3" xfId="47939"/>
    <cellStyle name="Input 8 3 2 2 2 4" xfId="36121"/>
    <cellStyle name="Input 8 3 2 2 3" xfId="19588"/>
    <cellStyle name="Input 8 3 2 2 3 2" xfId="45110"/>
    <cellStyle name="Input 8 3 2 2 3 3" xfId="49016"/>
    <cellStyle name="Input 8 3 2 2 3 4" xfId="37114"/>
    <cellStyle name="Input 8 3 2 2 4" xfId="12392"/>
    <cellStyle name="Input 8 3 2 2 4 2" xfId="41939"/>
    <cellStyle name="Input 8 3 2 2 4 3" xfId="43455"/>
    <cellStyle name="Input 8 3 2 2 4 4" xfId="30049"/>
    <cellStyle name="Input 8 3 2 2 5" xfId="20911"/>
    <cellStyle name="Input 8 3 2 2 5 2" xfId="46433"/>
    <cellStyle name="Input 8 3 2 2 5 3" xfId="50339"/>
    <cellStyle name="Input 8 3 2 2 5 4" xfId="38303"/>
    <cellStyle name="Input 8 3 2 2 6" xfId="21564"/>
    <cellStyle name="Input 8 3 2 2 6 2" xfId="47086"/>
    <cellStyle name="Input 8 3 2 2 6 3" xfId="50992"/>
    <cellStyle name="Input 8 3 2 2 7" xfId="40889"/>
    <cellStyle name="Input 8 3 2 2 8" xfId="42714"/>
    <cellStyle name="Input 8 3 2 3" xfId="11006"/>
    <cellStyle name="Input 8 3 2 3 2" xfId="18793"/>
    <cellStyle name="Input 8 3 2 3 2 2" xfId="44325"/>
    <cellStyle name="Input 8 3 2 3 2 3" xfId="48234"/>
    <cellStyle name="Input 8 3 2 3 2 4" xfId="36416"/>
    <cellStyle name="Input 8 3 2 3 3" xfId="20386"/>
    <cellStyle name="Input 8 3 2 3 3 2" xfId="45908"/>
    <cellStyle name="Input 8 3 2 3 3 3" xfId="49814"/>
    <cellStyle name="Input 8 3 2 3 3 4" xfId="37826"/>
    <cellStyle name="Input 8 3 2 3 4" xfId="20530"/>
    <cellStyle name="Input 8 3 2 3 4 2" xfId="46052"/>
    <cellStyle name="Input 8 3 2 3 4 3" xfId="49958"/>
    <cellStyle name="Input 8 3 2 3 4 4" xfId="37943"/>
    <cellStyle name="Input 8 3 2 3 5" xfId="21206"/>
    <cellStyle name="Input 8 3 2 3 5 2" xfId="46728"/>
    <cellStyle name="Input 8 3 2 3 5 3" xfId="50634"/>
    <cellStyle name="Input 8 3 2 3 5 4" xfId="38598"/>
    <cellStyle name="Input 8 3 2 3 6" xfId="21859"/>
    <cellStyle name="Input 8 3 2 3 6 2" xfId="47381"/>
    <cellStyle name="Input 8 3 2 3 6 3" xfId="51287"/>
    <cellStyle name="Input 8 3 2 3 7" xfId="41184"/>
    <cellStyle name="Input 8 3 2 3 8" xfId="43478"/>
    <cellStyle name="Input 8 3 2 4" xfId="14966"/>
    <cellStyle name="Input 8 3 2 4 2" xfId="43064"/>
    <cellStyle name="Input 8 3 2 4 3" xfId="43637"/>
    <cellStyle name="Input 8 3 2 4 4" xfId="32587"/>
    <cellStyle name="Input 8 3 2 5" xfId="11322"/>
    <cellStyle name="Input 8 3 2 5 2" xfId="41347"/>
    <cellStyle name="Input 8 3 2 5 3" xfId="39447"/>
    <cellStyle name="Input 8 3 2 5 4" xfId="29036"/>
    <cellStyle name="Input 8 3 2 6" xfId="18982"/>
    <cellStyle name="Input 8 3 2 6 2" xfId="44504"/>
    <cellStyle name="Input 8 3 2 6 3" xfId="48410"/>
    <cellStyle name="Input 8 3 2 6 4" xfId="36590"/>
    <cellStyle name="Input 8 3 2 7" xfId="11618"/>
    <cellStyle name="Input 8 3 2 7 2" xfId="41609"/>
    <cellStyle name="Input 8 3 2 7 3" xfId="39436"/>
    <cellStyle name="Input 8 3 2 7 4" xfId="29307"/>
    <cellStyle name="Input 8 3 2 8" xfId="12842"/>
    <cellStyle name="Input 8 3 2 8 2" xfId="42206"/>
    <cellStyle name="Input 8 3 2 8 3" xfId="43296"/>
    <cellStyle name="Input 8 3 2 9" xfId="39924"/>
    <cellStyle name="Input 8 3 3" xfId="53190"/>
    <cellStyle name="Input 8 4" xfId="7181"/>
    <cellStyle name="Input 8 4 10" xfId="43620"/>
    <cellStyle name="Input 8 4 11" xfId="53191"/>
    <cellStyle name="Input 8 4 2" xfId="10708"/>
    <cellStyle name="Input 8 4 2 2" xfId="18495"/>
    <cellStyle name="Input 8 4 2 2 2" xfId="44027"/>
    <cellStyle name="Input 8 4 2 2 3" xfId="47936"/>
    <cellStyle name="Input 8 4 2 2 4" xfId="36118"/>
    <cellStyle name="Input 8 4 2 3" xfId="19724"/>
    <cellStyle name="Input 8 4 2 3 2" xfId="45246"/>
    <cellStyle name="Input 8 4 2 3 3" xfId="49152"/>
    <cellStyle name="Input 8 4 2 3 4" xfId="37237"/>
    <cellStyle name="Input 8 4 2 4" xfId="19528"/>
    <cellStyle name="Input 8 4 2 4 2" xfId="45050"/>
    <cellStyle name="Input 8 4 2 4 3" xfId="48956"/>
    <cellStyle name="Input 8 4 2 4 4" xfId="37059"/>
    <cellStyle name="Input 8 4 2 5" xfId="20908"/>
    <cellStyle name="Input 8 4 2 5 2" xfId="46430"/>
    <cellStyle name="Input 8 4 2 5 3" xfId="50336"/>
    <cellStyle name="Input 8 4 2 5 4" xfId="38300"/>
    <cellStyle name="Input 8 4 2 6" xfId="21561"/>
    <cellStyle name="Input 8 4 2 6 2" xfId="47083"/>
    <cellStyle name="Input 8 4 2 6 3" xfId="50989"/>
    <cellStyle name="Input 8 4 2 7" xfId="40886"/>
    <cellStyle name="Input 8 4 2 8" xfId="43707"/>
    <cellStyle name="Input 8 4 3" xfId="11003"/>
    <cellStyle name="Input 8 4 3 2" xfId="18790"/>
    <cellStyle name="Input 8 4 3 2 2" xfId="44322"/>
    <cellStyle name="Input 8 4 3 2 3" xfId="48231"/>
    <cellStyle name="Input 8 4 3 2 4" xfId="36413"/>
    <cellStyle name="Input 8 4 3 3" xfId="20383"/>
    <cellStyle name="Input 8 4 3 3 2" xfId="45905"/>
    <cellStyle name="Input 8 4 3 3 3" xfId="49811"/>
    <cellStyle name="Input 8 4 3 3 4" xfId="37823"/>
    <cellStyle name="Input 8 4 3 4" xfId="20527"/>
    <cellStyle name="Input 8 4 3 4 2" xfId="46049"/>
    <cellStyle name="Input 8 4 3 4 3" xfId="49955"/>
    <cellStyle name="Input 8 4 3 4 4" xfId="37940"/>
    <cellStyle name="Input 8 4 3 5" xfId="21203"/>
    <cellStyle name="Input 8 4 3 5 2" xfId="46725"/>
    <cellStyle name="Input 8 4 3 5 3" xfId="50631"/>
    <cellStyle name="Input 8 4 3 5 4" xfId="38595"/>
    <cellStyle name="Input 8 4 3 6" xfId="21856"/>
    <cellStyle name="Input 8 4 3 6 2" xfId="47378"/>
    <cellStyle name="Input 8 4 3 6 3" xfId="51284"/>
    <cellStyle name="Input 8 4 3 7" xfId="41181"/>
    <cellStyle name="Input 8 4 3 8" xfId="40447"/>
    <cellStyle name="Input 8 4 4" xfId="14963"/>
    <cellStyle name="Input 8 4 4 2" xfId="43061"/>
    <cellStyle name="Input 8 4 4 3" xfId="43150"/>
    <cellStyle name="Input 8 4 4 4" xfId="32584"/>
    <cellStyle name="Input 8 4 5" xfId="13184"/>
    <cellStyle name="Input 8 4 5 2" xfId="42386"/>
    <cellStyle name="Input 8 4 5 3" xfId="47458"/>
    <cellStyle name="Input 8 4 5 4" xfId="30819"/>
    <cellStyle name="Input 8 4 6" xfId="19152"/>
    <cellStyle name="Input 8 4 6 2" xfId="44674"/>
    <cellStyle name="Input 8 4 6 3" xfId="48580"/>
    <cellStyle name="Input 8 4 6 4" xfId="36730"/>
    <cellStyle name="Input 8 4 7" xfId="19225"/>
    <cellStyle name="Input 8 4 7 2" xfId="44747"/>
    <cellStyle name="Input 8 4 7 3" xfId="48653"/>
    <cellStyle name="Input 8 4 7 4" xfId="36791"/>
    <cellStyle name="Input 8 4 8" xfId="19781"/>
    <cellStyle name="Input 8 4 8 2" xfId="45303"/>
    <cellStyle name="Input 8 4 8 3" xfId="49209"/>
    <cellStyle name="Input 8 4 9" xfId="39921"/>
    <cellStyle name="Input 8 5" xfId="22477"/>
    <cellStyle name="Input 8 6" xfId="22893"/>
    <cellStyle name="Input 8 7" xfId="53187"/>
    <cellStyle name="Input 8_Sheet1" xfId="2036"/>
    <cellStyle name="Input 9" xfId="2037"/>
    <cellStyle name="Input 9 2" xfId="2038"/>
    <cellStyle name="Input 9 2 2" xfId="2039"/>
    <cellStyle name="Input 9 2 2 2" xfId="7187"/>
    <cellStyle name="Input 9 2 2 2 10" xfId="39484"/>
    <cellStyle name="Input 9 2 2 2 2" xfId="10714"/>
    <cellStyle name="Input 9 2 2 2 2 2" xfId="18501"/>
    <cellStyle name="Input 9 2 2 2 2 2 2" xfId="44033"/>
    <cellStyle name="Input 9 2 2 2 2 2 3" xfId="47942"/>
    <cellStyle name="Input 9 2 2 2 2 2 4" xfId="36124"/>
    <cellStyle name="Input 9 2 2 2 2 3" xfId="20007"/>
    <cellStyle name="Input 9 2 2 2 2 3 2" xfId="45529"/>
    <cellStyle name="Input 9 2 2 2 2 3 3" xfId="49435"/>
    <cellStyle name="Input 9 2 2 2 2 3 4" xfId="37491"/>
    <cellStyle name="Input 9 2 2 2 2 4" xfId="20045"/>
    <cellStyle name="Input 9 2 2 2 2 4 2" xfId="45567"/>
    <cellStyle name="Input 9 2 2 2 2 4 3" xfId="49473"/>
    <cellStyle name="Input 9 2 2 2 2 4 4" xfId="37526"/>
    <cellStyle name="Input 9 2 2 2 2 5" xfId="20914"/>
    <cellStyle name="Input 9 2 2 2 2 5 2" xfId="46436"/>
    <cellStyle name="Input 9 2 2 2 2 5 3" xfId="50342"/>
    <cellStyle name="Input 9 2 2 2 2 5 4" xfId="38306"/>
    <cellStyle name="Input 9 2 2 2 2 6" xfId="21567"/>
    <cellStyle name="Input 9 2 2 2 2 6 2" xfId="47089"/>
    <cellStyle name="Input 9 2 2 2 2 6 3" xfId="50995"/>
    <cellStyle name="Input 9 2 2 2 2 7" xfId="40892"/>
    <cellStyle name="Input 9 2 2 2 2 8" xfId="39571"/>
    <cellStyle name="Input 9 2 2 2 3" xfId="11009"/>
    <cellStyle name="Input 9 2 2 2 3 2" xfId="18796"/>
    <cellStyle name="Input 9 2 2 2 3 2 2" xfId="44328"/>
    <cellStyle name="Input 9 2 2 2 3 2 3" xfId="48237"/>
    <cellStyle name="Input 9 2 2 2 3 2 4" xfId="36419"/>
    <cellStyle name="Input 9 2 2 2 3 3" xfId="20389"/>
    <cellStyle name="Input 9 2 2 2 3 3 2" xfId="45911"/>
    <cellStyle name="Input 9 2 2 2 3 3 3" xfId="49817"/>
    <cellStyle name="Input 9 2 2 2 3 3 4" xfId="37829"/>
    <cellStyle name="Input 9 2 2 2 3 4" xfId="20533"/>
    <cellStyle name="Input 9 2 2 2 3 4 2" xfId="46055"/>
    <cellStyle name="Input 9 2 2 2 3 4 3" xfId="49961"/>
    <cellStyle name="Input 9 2 2 2 3 4 4" xfId="37946"/>
    <cellStyle name="Input 9 2 2 2 3 5" xfId="21209"/>
    <cellStyle name="Input 9 2 2 2 3 5 2" xfId="46731"/>
    <cellStyle name="Input 9 2 2 2 3 5 3" xfId="50637"/>
    <cellStyle name="Input 9 2 2 2 3 5 4" xfId="38601"/>
    <cellStyle name="Input 9 2 2 2 3 6" xfId="21862"/>
    <cellStyle name="Input 9 2 2 2 3 6 2" xfId="47384"/>
    <cellStyle name="Input 9 2 2 2 3 6 3" xfId="51290"/>
    <cellStyle name="Input 9 2 2 2 3 7" xfId="41187"/>
    <cellStyle name="Input 9 2 2 2 3 8" xfId="42021"/>
    <cellStyle name="Input 9 2 2 2 4" xfId="14969"/>
    <cellStyle name="Input 9 2 2 2 4 2" xfId="43067"/>
    <cellStyle name="Input 9 2 2 2 4 3" xfId="42640"/>
    <cellStyle name="Input 9 2 2 2 4 4" xfId="32590"/>
    <cellStyle name="Input 9 2 2 2 5" xfId="13187"/>
    <cellStyle name="Input 9 2 2 2 5 2" xfId="42389"/>
    <cellStyle name="Input 9 2 2 2 5 3" xfId="41276"/>
    <cellStyle name="Input 9 2 2 2 5 4" xfId="30822"/>
    <cellStyle name="Input 9 2 2 2 6" xfId="12039"/>
    <cellStyle name="Input 9 2 2 2 6 2" xfId="41775"/>
    <cellStyle name="Input 9 2 2 2 6 3" xfId="43565"/>
    <cellStyle name="Input 9 2 2 2 6 4" xfId="29704"/>
    <cellStyle name="Input 9 2 2 2 7" xfId="19237"/>
    <cellStyle name="Input 9 2 2 2 7 2" xfId="44759"/>
    <cellStyle name="Input 9 2 2 2 7 3" xfId="48665"/>
    <cellStyle name="Input 9 2 2 2 7 4" xfId="36801"/>
    <cellStyle name="Input 9 2 2 2 8" xfId="11815"/>
    <cellStyle name="Input 9 2 2 2 8 2" xfId="41733"/>
    <cellStyle name="Input 9 2 2 2 8 3" xfId="47479"/>
    <cellStyle name="Input 9 2 2 2 9" xfId="39927"/>
    <cellStyle name="Input 9 2 2 3" xfId="53194"/>
    <cellStyle name="Input 9 2 3" xfId="7186"/>
    <cellStyle name="Input 9 2 3 10" xfId="40372"/>
    <cellStyle name="Input 9 2 3 2" xfId="10713"/>
    <cellStyle name="Input 9 2 3 2 2" xfId="18500"/>
    <cellStyle name="Input 9 2 3 2 2 2" xfId="44032"/>
    <cellStyle name="Input 9 2 3 2 2 3" xfId="47941"/>
    <cellStyle name="Input 9 2 3 2 2 4" xfId="36123"/>
    <cellStyle name="Input 9 2 3 2 3" xfId="19400"/>
    <cellStyle name="Input 9 2 3 2 3 2" xfId="44922"/>
    <cellStyle name="Input 9 2 3 2 3 3" xfId="48828"/>
    <cellStyle name="Input 9 2 3 2 3 4" xfId="36951"/>
    <cellStyle name="Input 9 2 3 2 4" xfId="11632"/>
    <cellStyle name="Input 9 2 3 2 4 2" xfId="41623"/>
    <cellStyle name="Input 9 2 3 2 4 3" xfId="39137"/>
    <cellStyle name="Input 9 2 3 2 4 4" xfId="29319"/>
    <cellStyle name="Input 9 2 3 2 5" xfId="20913"/>
    <cellStyle name="Input 9 2 3 2 5 2" xfId="46435"/>
    <cellStyle name="Input 9 2 3 2 5 3" xfId="50341"/>
    <cellStyle name="Input 9 2 3 2 5 4" xfId="38305"/>
    <cellStyle name="Input 9 2 3 2 6" xfId="21566"/>
    <cellStyle name="Input 9 2 3 2 6 2" xfId="47088"/>
    <cellStyle name="Input 9 2 3 2 6 3" xfId="50994"/>
    <cellStyle name="Input 9 2 3 2 7" xfId="40891"/>
    <cellStyle name="Input 9 2 3 2 8" xfId="40461"/>
    <cellStyle name="Input 9 2 3 3" xfId="11008"/>
    <cellStyle name="Input 9 2 3 3 2" xfId="18795"/>
    <cellStyle name="Input 9 2 3 3 2 2" xfId="44327"/>
    <cellStyle name="Input 9 2 3 3 2 3" xfId="48236"/>
    <cellStyle name="Input 9 2 3 3 2 4" xfId="36418"/>
    <cellStyle name="Input 9 2 3 3 3" xfId="20388"/>
    <cellStyle name="Input 9 2 3 3 3 2" xfId="45910"/>
    <cellStyle name="Input 9 2 3 3 3 3" xfId="49816"/>
    <cellStyle name="Input 9 2 3 3 3 4" xfId="37828"/>
    <cellStyle name="Input 9 2 3 3 4" xfId="20532"/>
    <cellStyle name="Input 9 2 3 3 4 2" xfId="46054"/>
    <cellStyle name="Input 9 2 3 3 4 3" xfId="49960"/>
    <cellStyle name="Input 9 2 3 3 4 4" xfId="37945"/>
    <cellStyle name="Input 9 2 3 3 5" xfId="21208"/>
    <cellStyle name="Input 9 2 3 3 5 2" xfId="46730"/>
    <cellStyle name="Input 9 2 3 3 5 3" xfId="50636"/>
    <cellStyle name="Input 9 2 3 3 5 4" xfId="38600"/>
    <cellStyle name="Input 9 2 3 3 6" xfId="21861"/>
    <cellStyle name="Input 9 2 3 3 6 2" xfId="47383"/>
    <cellStyle name="Input 9 2 3 3 6 3" xfId="51289"/>
    <cellStyle name="Input 9 2 3 3 7" xfId="41186"/>
    <cellStyle name="Input 9 2 3 3 8" xfId="39453"/>
    <cellStyle name="Input 9 2 3 4" xfId="14968"/>
    <cellStyle name="Input 9 2 3 4 2" xfId="43066"/>
    <cellStyle name="Input 9 2 3 4 3" xfId="39604"/>
    <cellStyle name="Input 9 2 3 4 4" xfId="32589"/>
    <cellStyle name="Input 9 2 3 5" xfId="13186"/>
    <cellStyle name="Input 9 2 3 5 2" xfId="42388"/>
    <cellStyle name="Input 9 2 3 5 3" xfId="47456"/>
    <cellStyle name="Input 9 2 3 5 4" xfId="30821"/>
    <cellStyle name="Input 9 2 3 6" xfId="19920"/>
    <cellStyle name="Input 9 2 3 6 2" xfId="45442"/>
    <cellStyle name="Input 9 2 3 6 3" xfId="49348"/>
    <cellStyle name="Input 9 2 3 6 4" xfId="37417"/>
    <cellStyle name="Input 9 2 3 7" xfId="11717"/>
    <cellStyle name="Input 9 2 3 7 2" xfId="41686"/>
    <cellStyle name="Input 9 2 3 7 3" xfId="41990"/>
    <cellStyle name="Input 9 2 3 7 4" xfId="29390"/>
    <cellStyle name="Input 9 2 3 8" xfId="20084"/>
    <cellStyle name="Input 9 2 3 8 2" xfId="45606"/>
    <cellStyle name="Input 9 2 3 8 3" xfId="49512"/>
    <cellStyle name="Input 9 2 3 9" xfId="39926"/>
    <cellStyle name="Input 9 2 4" xfId="53193"/>
    <cellStyle name="Input 9 2_Sheet1" xfId="2040"/>
    <cellStyle name="Input 9 3" xfId="2041"/>
    <cellStyle name="Input 9 3 2" xfId="7188"/>
    <cellStyle name="Input 9 3 2 10" xfId="42165"/>
    <cellStyle name="Input 9 3 2 2" xfId="10715"/>
    <cellStyle name="Input 9 3 2 2 2" xfId="18502"/>
    <cellStyle name="Input 9 3 2 2 2 2" xfId="44034"/>
    <cellStyle name="Input 9 3 2 2 2 3" xfId="47943"/>
    <cellStyle name="Input 9 3 2 2 2 4" xfId="36125"/>
    <cellStyle name="Input 9 3 2 2 3" xfId="19273"/>
    <cellStyle name="Input 9 3 2 2 3 2" xfId="44795"/>
    <cellStyle name="Input 9 3 2 2 3 3" xfId="48701"/>
    <cellStyle name="Input 9 3 2 2 3 4" xfId="36837"/>
    <cellStyle name="Input 9 3 2 2 4" xfId="19690"/>
    <cellStyle name="Input 9 3 2 2 4 2" xfId="45212"/>
    <cellStyle name="Input 9 3 2 2 4 3" xfId="49118"/>
    <cellStyle name="Input 9 3 2 2 4 4" xfId="37204"/>
    <cellStyle name="Input 9 3 2 2 5" xfId="20915"/>
    <cellStyle name="Input 9 3 2 2 5 2" xfId="46437"/>
    <cellStyle name="Input 9 3 2 2 5 3" xfId="50343"/>
    <cellStyle name="Input 9 3 2 2 5 4" xfId="38307"/>
    <cellStyle name="Input 9 3 2 2 6" xfId="21568"/>
    <cellStyle name="Input 9 3 2 2 6 2" xfId="47090"/>
    <cellStyle name="Input 9 3 2 2 6 3" xfId="50996"/>
    <cellStyle name="Input 9 3 2 2 7" xfId="40893"/>
    <cellStyle name="Input 9 3 2 2 8" xfId="42579"/>
    <cellStyle name="Input 9 3 2 3" xfId="11010"/>
    <cellStyle name="Input 9 3 2 3 2" xfId="18797"/>
    <cellStyle name="Input 9 3 2 3 2 2" xfId="44329"/>
    <cellStyle name="Input 9 3 2 3 2 3" xfId="48238"/>
    <cellStyle name="Input 9 3 2 3 2 4" xfId="36420"/>
    <cellStyle name="Input 9 3 2 3 3" xfId="20390"/>
    <cellStyle name="Input 9 3 2 3 3 2" xfId="45912"/>
    <cellStyle name="Input 9 3 2 3 3 3" xfId="49818"/>
    <cellStyle name="Input 9 3 2 3 3 4" xfId="37830"/>
    <cellStyle name="Input 9 3 2 3 4" xfId="20534"/>
    <cellStyle name="Input 9 3 2 3 4 2" xfId="46056"/>
    <cellStyle name="Input 9 3 2 3 4 3" xfId="49962"/>
    <cellStyle name="Input 9 3 2 3 4 4" xfId="37947"/>
    <cellStyle name="Input 9 3 2 3 5" xfId="21210"/>
    <cellStyle name="Input 9 3 2 3 5 2" xfId="46732"/>
    <cellStyle name="Input 9 3 2 3 5 3" xfId="50638"/>
    <cellStyle name="Input 9 3 2 3 5 4" xfId="38602"/>
    <cellStyle name="Input 9 3 2 3 6" xfId="21863"/>
    <cellStyle name="Input 9 3 2 3 6 2" xfId="47385"/>
    <cellStyle name="Input 9 3 2 3 6 3" xfId="51291"/>
    <cellStyle name="Input 9 3 2 3 7" xfId="41188"/>
    <cellStyle name="Input 9 3 2 3 8" xfId="43340"/>
    <cellStyle name="Input 9 3 2 4" xfId="14970"/>
    <cellStyle name="Input 9 3 2 4 2" xfId="43068"/>
    <cellStyle name="Input 9 3 2 4 3" xfId="43528"/>
    <cellStyle name="Input 9 3 2 4 4" xfId="32591"/>
    <cellStyle name="Input 9 3 2 5" xfId="13188"/>
    <cellStyle name="Input 9 3 2 5 2" xfId="42390"/>
    <cellStyle name="Input 9 3 2 5 3" xfId="43165"/>
    <cellStyle name="Input 9 3 2 5 4" xfId="30823"/>
    <cellStyle name="Input 9 3 2 6" xfId="13307"/>
    <cellStyle name="Input 9 3 2 6 2" xfId="42458"/>
    <cellStyle name="Input 9 3 2 6 3" xfId="41935"/>
    <cellStyle name="Input 9 3 2 6 4" xfId="30933"/>
    <cellStyle name="Input 9 3 2 7" xfId="11468"/>
    <cellStyle name="Input 9 3 2 7 2" xfId="41459"/>
    <cellStyle name="Input 9 3 2 7 3" xfId="43190"/>
    <cellStyle name="Input 9 3 2 7 4" xfId="29170"/>
    <cellStyle name="Input 9 3 2 8" xfId="20105"/>
    <cellStyle name="Input 9 3 2 8 2" xfId="45627"/>
    <cellStyle name="Input 9 3 2 8 3" xfId="49533"/>
    <cellStyle name="Input 9 3 2 9" xfId="39928"/>
    <cellStyle name="Input 9 3 3" xfId="53195"/>
    <cellStyle name="Input 9 4" xfId="7185"/>
    <cellStyle name="Input 9 4 10" xfId="43509"/>
    <cellStyle name="Input 9 4 11" xfId="53196"/>
    <cellStyle name="Input 9 4 2" xfId="10712"/>
    <cellStyle name="Input 9 4 2 2" xfId="18499"/>
    <cellStyle name="Input 9 4 2 2 2" xfId="44031"/>
    <cellStyle name="Input 9 4 2 2 3" xfId="47940"/>
    <cellStyle name="Input 9 4 2 2 4" xfId="36122"/>
    <cellStyle name="Input 9 4 2 3" xfId="20141"/>
    <cellStyle name="Input 9 4 2 3 2" xfId="45663"/>
    <cellStyle name="Input 9 4 2 3 3" xfId="49569"/>
    <cellStyle name="Input 9 4 2 3 4" xfId="37613"/>
    <cellStyle name="Input 9 4 2 4" xfId="11534"/>
    <cellStyle name="Input 9 4 2 4 2" xfId="41525"/>
    <cellStyle name="Input 9 4 2 4 3" xfId="42685"/>
    <cellStyle name="Input 9 4 2 4 4" xfId="29234"/>
    <cellStyle name="Input 9 4 2 5" xfId="20912"/>
    <cellStyle name="Input 9 4 2 5 2" xfId="46434"/>
    <cellStyle name="Input 9 4 2 5 3" xfId="50340"/>
    <cellStyle name="Input 9 4 2 5 4" xfId="38304"/>
    <cellStyle name="Input 9 4 2 6" xfId="21565"/>
    <cellStyle name="Input 9 4 2 6 2" xfId="47087"/>
    <cellStyle name="Input 9 4 2 6 3" xfId="50993"/>
    <cellStyle name="Input 9 4 2 7" xfId="40890"/>
    <cellStyle name="Input 9 4 2 8" xfId="43603"/>
    <cellStyle name="Input 9 4 3" xfId="11007"/>
    <cellStyle name="Input 9 4 3 2" xfId="18794"/>
    <cellStyle name="Input 9 4 3 2 2" xfId="44326"/>
    <cellStyle name="Input 9 4 3 2 3" xfId="48235"/>
    <cellStyle name="Input 9 4 3 2 4" xfId="36417"/>
    <cellStyle name="Input 9 4 3 3" xfId="20387"/>
    <cellStyle name="Input 9 4 3 3 2" xfId="45909"/>
    <cellStyle name="Input 9 4 3 3 3" xfId="49815"/>
    <cellStyle name="Input 9 4 3 3 4" xfId="37827"/>
    <cellStyle name="Input 9 4 3 4" xfId="20531"/>
    <cellStyle name="Input 9 4 3 4 2" xfId="46053"/>
    <cellStyle name="Input 9 4 3 4 3" xfId="49959"/>
    <cellStyle name="Input 9 4 3 4 4" xfId="37944"/>
    <cellStyle name="Input 9 4 3 5" xfId="21207"/>
    <cellStyle name="Input 9 4 3 5 2" xfId="46729"/>
    <cellStyle name="Input 9 4 3 5 3" xfId="50635"/>
    <cellStyle name="Input 9 4 3 5 4" xfId="38599"/>
    <cellStyle name="Input 9 4 3 6" xfId="21860"/>
    <cellStyle name="Input 9 4 3 6 2" xfId="47382"/>
    <cellStyle name="Input 9 4 3 6 3" xfId="51288"/>
    <cellStyle name="Input 9 4 3 7" xfId="41185"/>
    <cellStyle name="Input 9 4 3 8" xfId="40341"/>
    <cellStyle name="Input 9 4 4" xfId="14967"/>
    <cellStyle name="Input 9 4 4 2" xfId="43065"/>
    <cellStyle name="Input 9 4 4 3" xfId="40496"/>
    <cellStyle name="Input 9 4 4 4" xfId="32588"/>
    <cellStyle name="Input 9 4 5" xfId="13185"/>
    <cellStyle name="Input 9 4 5 2" xfId="42387"/>
    <cellStyle name="Input 9 4 5 3" xfId="44388"/>
    <cellStyle name="Input 9 4 5 4" xfId="30820"/>
    <cellStyle name="Input 9 4 6" xfId="12856"/>
    <cellStyle name="Input 9 4 6 2" xfId="42220"/>
    <cellStyle name="Input 9 4 6 3" xfId="39522"/>
    <cellStyle name="Input 9 4 6 4" xfId="30494"/>
    <cellStyle name="Input 9 4 7" xfId="20252"/>
    <cellStyle name="Input 9 4 7 2" xfId="45774"/>
    <cellStyle name="Input 9 4 7 3" xfId="49680"/>
    <cellStyle name="Input 9 4 7 4" xfId="37708"/>
    <cellStyle name="Input 9 4 8" xfId="19014"/>
    <cellStyle name="Input 9 4 8 2" xfId="44536"/>
    <cellStyle name="Input 9 4 8 3" xfId="48442"/>
    <cellStyle name="Input 9 4 9" xfId="39925"/>
    <cellStyle name="Input 9 5" xfId="22478"/>
    <cellStyle name="Input 9 6" xfId="22892"/>
    <cellStyle name="Input 9 7" xfId="53192"/>
    <cellStyle name="Input 9_Sheet1" xfId="2042"/>
    <cellStyle name="Linked Cell 2" xfId="109"/>
    <cellStyle name="Linked Cell 2 2" xfId="2043"/>
    <cellStyle name="Linked Cell 2 2 2" xfId="2044"/>
    <cellStyle name="Linked Cell 2 2_Sheet1" xfId="2045"/>
    <cellStyle name="Linked Cell 2 3" xfId="2046"/>
    <cellStyle name="Linked Cell 2 4" xfId="2047"/>
    <cellStyle name="Linked Cell 2 5" xfId="4245"/>
    <cellStyle name="Linked Cell 2_Sheet1" xfId="2048"/>
    <cellStyle name="Linked Cell 3" xfId="110"/>
    <cellStyle name="Linked Cell 3 2" xfId="2049"/>
    <cellStyle name="Linked Cell 3 3" xfId="2050"/>
    <cellStyle name="Linked Cell 3 4" xfId="4246"/>
    <cellStyle name="Linked Cell 4" xfId="111"/>
    <cellStyle name="Linked Cell 4 2" xfId="2051"/>
    <cellStyle name="Linked Cell 4 3" xfId="2052"/>
    <cellStyle name="Linked Cell 4 4" xfId="4247"/>
    <cellStyle name="Linked Cell 4 5" xfId="4248"/>
    <cellStyle name="Linked Cell 5" xfId="2053"/>
    <cellStyle name="Linked Cell 5 2" xfId="4249"/>
    <cellStyle name="Linked Cell 5 3" xfId="4250"/>
    <cellStyle name="Linked Cell 6" xfId="22480"/>
    <cellStyle name="Linked Cell 7" xfId="22481"/>
    <cellStyle name="Linked Cell 8" xfId="22482"/>
    <cellStyle name="Linked Cell 9" xfId="22479"/>
    <cellStyle name="Neutral 2" xfId="112"/>
    <cellStyle name="Neutral 2 10" xfId="2055"/>
    <cellStyle name="Neutral 2 11" xfId="2056"/>
    <cellStyle name="Neutral 2 12" xfId="2057"/>
    <cellStyle name="Neutral 2 13" xfId="2058"/>
    <cellStyle name="Neutral 2 14" xfId="2059"/>
    <cellStyle name="Neutral 2 15" xfId="4251"/>
    <cellStyle name="Neutral 2 16" xfId="4252"/>
    <cellStyle name="Neutral 2 17" xfId="4253"/>
    <cellStyle name="Neutral 2 18" xfId="2054"/>
    <cellStyle name="Neutral 2 2" xfId="2060"/>
    <cellStyle name="Neutral 2 2 2" xfId="2061"/>
    <cellStyle name="Neutral 2 2 3" xfId="2062"/>
    <cellStyle name="Neutral 2 2 4" xfId="4254"/>
    <cellStyle name="Neutral 2 2 5" xfId="4255"/>
    <cellStyle name="Neutral 2 2_Sheet1" xfId="2063"/>
    <cellStyle name="Neutral 2 3" xfId="2064"/>
    <cellStyle name="Neutral 2 4" xfId="2065"/>
    <cellStyle name="Neutral 2 5" xfId="2066"/>
    <cellStyle name="Neutral 2 6" xfId="2067"/>
    <cellStyle name="Neutral 2 7" xfId="2068"/>
    <cellStyle name="Neutral 2 8" xfId="2069"/>
    <cellStyle name="Neutral 2 9" xfId="2070"/>
    <cellStyle name="Neutral 2_BallGrid" xfId="2071"/>
    <cellStyle name="Neutral 3" xfId="113"/>
    <cellStyle name="Neutral 3 2" xfId="2072"/>
    <cellStyle name="Neutral 3 2 2" xfId="22484"/>
    <cellStyle name="Neutral 3 3" xfId="2073"/>
    <cellStyle name="Neutral 3 4" xfId="4256"/>
    <cellStyle name="Neutral 4" xfId="114"/>
    <cellStyle name="Neutral 4 2" xfId="2074"/>
    <cellStyle name="Neutral 4 3" xfId="2075"/>
    <cellStyle name="Neutral 4 4" xfId="4257"/>
    <cellStyle name="Neutral 4 5" xfId="4258"/>
    <cellStyle name="Neutral 5" xfId="2076"/>
    <cellStyle name="Neutral 5 2" xfId="4259"/>
    <cellStyle name="Neutral 5 3" xfId="4260"/>
    <cellStyle name="Neutral 5 4" xfId="22485"/>
    <cellStyle name="Neutral 6" xfId="22486"/>
    <cellStyle name="Neutral 7" xfId="22487"/>
    <cellStyle name="Neutral 8" xfId="22483"/>
    <cellStyle name="Normal - Style1" xfId="2077"/>
    <cellStyle name="Normal 10" xfId="192"/>
    <cellStyle name="Normal 10 2" xfId="209"/>
    <cellStyle name="Normal 10 2 2" xfId="22738"/>
    <cellStyle name="Normal 10 2 2 2" xfId="38931"/>
    <cellStyle name="Normal 10 3" xfId="202"/>
    <cellStyle name="Normal 10 4" xfId="22488"/>
    <cellStyle name="Normal 10 4 2" xfId="38811"/>
    <cellStyle name="Normal 10 5" xfId="51870"/>
    <cellStyle name="Normal 100" xfId="2078"/>
    <cellStyle name="Normal 100 2" xfId="4261"/>
    <cellStyle name="Normal 100 3" xfId="22489"/>
    <cellStyle name="Normal 100 3 2" xfId="38812"/>
    <cellStyle name="Normal 100 4" xfId="51871"/>
    <cellStyle name="Normal 101" xfId="2079"/>
    <cellStyle name="Normal 101 2" xfId="4262"/>
    <cellStyle name="Normal 101 3" xfId="22490"/>
    <cellStyle name="Normal 101 3 2" xfId="38813"/>
    <cellStyle name="Normal 101 4" xfId="51872"/>
    <cellStyle name="Normal 102" xfId="2080"/>
    <cellStyle name="Normal 102 10" xfId="51873"/>
    <cellStyle name="Normal 102 2" xfId="4263"/>
    <cellStyle name="Normal 102 2 2" xfId="8465"/>
    <cellStyle name="Normal 102 2 2 2" xfId="16255"/>
    <cellStyle name="Normal 102 2 2 2 2" xfId="33876"/>
    <cellStyle name="Normal 102 2 2 3" xfId="26852"/>
    <cellStyle name="Normal 102 2 3" xfId="12691"/>
    <cellStyle name="Normal 102 2 3 2" xfId="30337"/>
    <cellStyle name="Normal 102 2 4" xfId="23991"/>
    <cellStyle name="Normal 102 3" xfId="5784"/>
    <cellStyle name="Normal 102 3 2" xfId="9081"/>
    <cellStyle name="Normal 102 3 2 2" xfId="16870"/>
    <cellStyle name="Normal 102 3 2 2 2" xfId="34492"/>
    <cellStyle name="Normal 102 3 2 3" xfId="27455"/>
    <cellStyle name="Normal 102 3 3" xfId="13634"/>
    <cellStyle name="Normal 102 3 3 2" xfId="31260"/>
    <cellStyle name="Normal 102 3 4" xfId="24594"/>
    <cellStyle name="Normal 102 4" xfId="6414"/>
    <cellStyle name="Normal 102 4 2" xfId="9621"/>
    <cellStyle name="Normal 102 4 2 2" xfId="17409"/>
    <cellStyle name="Normal 102 4 2 2 2" xfId="35032"/>
    <cellStyle name="Normal 102 4 2 3" xfId="27991"/>
    <cellStyle name="Normal 102 4 3" xfId="14197"/>
    <cellStyle name="Normal 102 4 3 2" xfId="31818"/>
    <cellStyle name="Normal 102 4 4" xfId="25130"/>
    <cellStyle name="Normal 102 5" xfId="7189"/>
    <cellStyle name="Normal 102 5 2" xfId="10174"/>
    <cellStyle name="Normal 102 5 2 2" xfId="17961"/>
    <cellStyle name="Normal 102 5 2 2 2" xfId="35584"/>
    <cellStyle name="Normal 102 5 2 3" xfId="28527"/>
    <cellStyle name="Normal 102 5 3" xfId="14971"/>
    <cellStyle name="Normal 102 5 3 2" xfId="32592"/>
    <cellStyle name="Normal 102 5 4" xfId="25667"/>
    <cellStyle name="Normal 102 6" xfId="7787"/>
    <cellStyle name="Normal 102 6 2" xfId="15578"/>
    <cellStyle name="Normal 102 6 2 2" xfId="33199"/>
    <cellStyle name="Normal 102 6 3" xfId="26189"/>
    <cellStyle name="Normal 102 7" xfId="11678"/>
    <cellStyle name="Normal 102 7 2" xfId="29357"/>
    <cellStyle name="Normal 102 8" xfId="21946"/>
    <cellStyle name="Normal 102 8 2" xfId="38683"/>
    <cellStyle name="Normal 102 9" xfId="23328"/>
    <cellStyle name="Normal 103" xfId="2081"/>
    <cellStyle name="Normal 103 10" xfId="51874"/>
    <cellStyle name="Normal 103 2" xfId="4264"/>
    <cellStyle name="Normal 103 2 2" xfId="8466"/>
    <cellStyle name="Normal 103 2 2 2" xfId="16256"/>
    <cellStyle name="Normal 103 2 2 2 2" xfId="33877"/>
    <cellStyle name="Normal 103 2 2 3" xfId="26853"/>
    <cellStyle name="Normal 103 2 3" xfId="12692"/>
    <cellStyle name="Normal 103 2 3 2" xfId="30338"/>
    <cellStyle name="Normal 103 2 4" xfId="23992"/>
    <cellStyle name="Normal 103 3" xfId="5785"/>
    <cellStyle name="Normal 103 3 2" xfId="9082"/>
    <cellStyle name="Normal 103 3 2 2" xfId="16871"/>
    <cellStyle name="Normal 103 3 2 2 2" xfId="34493"/>
    <cellStyle name="Normal 103 3 2 3" xfId="27456"/>
    <cellStyle name="Normal 103 3 3" xfId="13635"/>
    <cellStyle name="Normal 103 3 3 2" xfId="31261"/>
    <cellStyle name="Normal 103 3 4" xfId="24595"/>
    <cellStyle name="Normal 103 4" xfId="6415"/>
    <cellStyle name="Normal 103 4 2" xfId="9622"/>
    <cellStyle name="Normal 103 4 2 2" xfId="17410"/>
    <cellStyle name="Normal 103 4 2 2 2" xfId="35033"/>
    <cellStyle name="Normal 103 4 2 3" xfId="27992"/>
    <cellStyle name="Normal 103 4 3" xfId="14198"/>
    <cellStyle name="Normal 103 4 3 2" xfId="31819"/>
    <cellStyle name="Normal 103 4 4" xfId="25131"/>
    <cellStyle name="Normal 103 5" xfId="7190"/>
    <cellStyle name="Normal 103 5 2" xfId="10175"/>
    <cellStyle name="Normal 103 5 2 2" xfId="17962"/>
    <cellStyle name="Normal 103 5 2 2 2" xfId="35585"/>
    <cellStyle name="Normal 103 5 2 3" xfId="28528"/>
    <cellStyle name="Normal 103 5 3" xfId="14972"/>
    <cellStyle name="Normal 103 5 3 2" xfId="32593"/>
    <cellStyle name="Normal 103 5 4" xfId="25668"/>
    <cellStyle name="Normal 103 6" xfId="7788"/>
    <cellStyle name="Normal 103 6 2" xfId="15579"/>
    <cellStyle name="Normal 103 6 2 2" xfId="33200"/>
    <cellStyle name="Normal 103 6 3" xfId="26190"/>
    <cellStyle name="Normal 103 7" xfId="11679"/>
    <cellStyle name="Normal 103 7 2" xfId="29358"/>
    <cellStyle name="Normal 103 8" xfId="21947"/>
    <cellStyle name="Normal 103 8 2" xfId="38684"/>
    <cellStyle name="Normal 103 9" xfId="23329"/>
    <cellStyle name="Normal 104" xfId="2082"/>
    <cellStyle name="Normal 104 10" xfId="51875"/>
    <cellStyle name="Normal 104 2" xfId="4265"/>
    <cellStyle name="Normal 104 2 2" xfId="8467"/>
    <cellStyle name="Normal 104 2 2 2" xfId="16257"/>
    <cellStyle name="Normal 104 2 2 2 2" xfId="33878"/>
    <cellStyle name="Normal 104 2 2 3" xfId="26854"/>
    <cellStyle name="Normal 104 2 3" xfId="12693"/>
    <cellStyle name="Normal 104 2 3 2" xfId="30339"/>
    <cellStyle name="Normal 104 2 4" xfId="23993"/>
    <cellStyle name="Normal 104 3" xfId="5786"/>
    <cellStyle name="Normal 104 3 2" xfId="9083"/>
    <cellStyle name="Normal 104 3 2 2" xfId="16872"/>
    <cellStyle name="Normal 104 3 2 2 2" xfId="34494"/>
    <cellStyle name="Normal 104 3 2 3" xfId="27457"/>
    <cellStyle name="Normal 104 3 3" xfId="13636"/>
    <cellStyle name="Normal 104 3 3 2" xfId="31262"/>
    <cellStyle name="Normal 104 3 4" xfId="24596"/>
    <cellStyle name="Normal 104 4" xfId="6416"/>
    <cellStyle name="Normal 104 4 2" xfId="9623"/>
    <cellStyle name="Normal 104 4 2 2" xfId="17411"/>
    <cellStyle name="Normal 104 4 2 2 2" xfId="35034"/>
    <cellStyle name="Normal 104 4 2 3" xfId="27993"/>
    <cellStyle name="Normal 104 4 3" xfId="14199"/>
    <cellStyle name="Normal 104 4 3 2" xfId="31820"/>
    <cellStyle name="Normal 104 4 4" xfId="25132"/>
    <cellStyle name="Normal 104 5" xfId="7191"/>
    <cellStyle name="Normal 104 5 2" xfId="10176"/>
    <cellStyle name="Normal 104 5 2 2" xfId="17963"/>
    <cellStyle name="Normal 104 5 2 2 2" xfId="35586"/>
    <cellStyle name="Normal 104 5 2 3" xfId="28529"/>
    <cellStyle name="Normal 104 5 3" xfId="14973"/>
    <cellStyle name="Normal 104 5 3 2" xfId="32594"/>
    <cellStyle name="Normal 104 5 4" xfId="25669"/>
    <cellStyle name="Normal 104 6" xfId="7789"/>
    <cellStyle name="Normal 104 6 2" xfId="15580"/>
    <cellStyle name="Normal 104 6 2 2" xfId="33201"/>
    <cellStyle name="Normal 104 6 3" xfId="26191"/>
    <cellStyle name="Normal 104 7" xfId="11680"/>
    <cellStyle name="Normal 104 7 2" xfId="29359"/>
    <cellStyle name="Normal 104 8" xfId="21948"/>
    <cellStyle name="Normal 104 8 2" xfId="38685"/>
    <cellStyle name="Normal 104 9" xfId="23330"/>
    <cellStyle name="Normal 105" xfId="2083"/>
    <cellStyle name="Normal 105 10" xfId="51876"/>
    <cellStyle name="Normal 105 2" xfId="4266"/>
    <cellStyle name="Normal 105 2 2" xfId="8468"/>
    <cellStyle name="Normal 105 2 2 2" xfId="16258"/>
    <cellStyle name="Normal 105 2 2 2 2" xfId="33879"/>
    <cellStyle name="Normal 105 2 2 3" xfId="26855"/>
    <cellStyle name="Normal 105 2 3" xfId="12694"/>
    <cellStyle name="Normal 105 2 3 2" xfId="30340"/>
    <cellStyle name="Normal 105 2 4" xfId="23994"/>
    <cellStyle name="Normal 105 3" xfId="5787"/>
    <cellStyle name="Normal 105 3 2" xfId="9084"/>
    <cellStyle name="Normal 105 3 2 2" xfId="16873"/>
    <cellStyle name="Normal 105 3 2 2 2" xfId="34495"/>
    <cellStyle name="Normal 105 3 2 3" xfId="27458"/>
    <cellStyle name="Normal 105 3 3" xfId="13637"/>
    <cellStyle name="Normal 105 3 3 2" xfId="31263"/>
    <cellStyle name="Normal 105 3 4" xfId="24597"/>
    <cellStyle name="Normal 105 4" xfId="6417"/>
    <cellStyle name="Normal 105 4 2" xfId="9624"/>
    <cellStyle name="Normal 105 4 2 2" xfId="17412"/>
    <cellStyle name="Normal 105 4 2 2 2" xfId="35035"/>
    <cellStyle name="Normal 105 4 2 3" xfId="27994"/>
    <cellStyle name="Normal 105 4 3" xfId="14200"/>
    <cellStyle name="Normal 105 4 3 2" xfId="31821"/>
    <cellStyle name="Normal 105 4 4" xfId="25133"/>
    <cellStyle name="Normal 105 5" xfId="7192"/>
    <cellStyle name="Normal 105 5 2" xfId="10177"/>
    <cellStyle name="Normal 105 5 2 2" xfId="17964"/>
    <cellStyle name="Normal 105 5 2 2 2" xfId="35587"/>
    <cellStyle name="Normal 105 5 2 3" xfId="28530"/>
    <cellStyle name="Normal 105 5 3" xfId="14974"/>
    <cellStyle name="Normal 105 5 3 2" xfId="32595"/>
    <cellStyle name="Normal 105 5 4" xfId="25670"/>
    <cellStyle name="Normal 105 6" xfId="7790"/>
    <cellStyle name="Normal 105 6 2" xfId="15581"/>
    <cellStyle name="Normal 105 6 2 2" xfId="33202"/>
    <cellStyle name="Normal 105 6 3" xfId="26192"/>
    <cellStyle name="Normal 105 7" xfId="11681"/>
    <cellStyle name="Normal 105 7 2" xfId="29360"/>
    <cellStyle name="Normal 105 8" xfId="21949"/>
    <cellStyle name="Normal 105 8 2" xfId="38686"/>
    <cellStyle name="Normal 105 9" xfId="23331"/>
    <cellStyle name="Normal 106" xfId="2084"/>
    <cellStyle name="Normal 106 2" xfId="4267"/>
    <cellStyle name="Normal 106 3" xfId="22491"/>
    <cellStyle name="Normal 106 3 2" xfId="38814"/>
    <cellStyle name="Normal 106 4" xfId="51877"/>
    <cellStyle name="Normal 107" xfId="115"/>
    <cellStyle name="Normal 107 10" xfId="2085"/>
    <cellStyle name="Normal 107 10 2" xfId="2086"/>
    <cellStyle name="Normal 107 10 3" xfId="51878"/>
    <cellStyle name="Normal 107 11" xfId="2087"/>
    <cellStyle name="Normal 107 11 2" xfId="2088"/>
    <cellStyle name="Normal 107 11 2 2" xfId="51880"/>
    <cellStyle name="Normal 107 11 3" xfId="2089"/>
    <cellStyle name="Normal 107 11 3 2" xfId="2090"/>
    <cellStyle name="Normal 107 11 3 3" xfId="2091"/>
    <cellStyle name="Normal 107 11 3 4" xfId="2092"/>
    <cellStyle name="Normal 107 11 4" xfId="51879"/>
    <cellStyle name="Normal 107 12" xfId="2093"/>
    <cellStyle name="Normal 107 12 2" xfId="2094"/>
    <cellStyle name="Normal 107 12 3" xfId="2095"/>
    <cellStyle name="Normal 107 13" xfId="2096"/>
    <cellStyle name="Normal 107 14" xfId="2097"/>
    <cellStyle name="Normal 107 15" xfId="2098"/>
    <cellStyle name="Normal 107 2" xfId="116"/>
    <cellStyle name="Normal 107 2 2" xfId="4268"/>
    <cellStyle name="Normal 107 2 3" xfId="51881"/>
    <cellStyle name="Normal 107 3" xfId="188"/>
    <cellStyle name="Normal 107 3 2" xfId="2099"/>
    <cellStyle name="Normal 107 3 2 2" xfId="4270"/>
    <cellStyle name="Normal 107 3 2 3" xfId="51883"/>
    <cellStyle name="Normal 107 3 3" xfId="4269"/>
    <cellStyle name="Normal 107 3 4" xfId="51882"/>
    <cellStyle name="Normal 107 4" xfId="2100"/>
    <cellStyle name="Normal 107 4 2" xfId="2101"/>
    <cellStyle name="Normal 107 4 2 2" xfId="4272"/>
    <cellStyle name="Normal 107 4 2 3" xfId="51885"/>
    <cellStyle name="Normal 107 4 3" xfId="2102"/>
    <cellStyle name="Normal 107 4 3 2" xfId="4273"/>
    <cellStyle name="Normal 107 4 3 3" xfId="51886"/>
    <cellStyle name="Normal 107 4 4" xfId="2103"/>
    <cellStyle name="Normal 107 4 4 2" xfId="2104"/>
    <cellStyle name="Normal 107 4 4 2 2" xfId="4275"/>
    <cellStyle name="Normal 107 4 4 2 3" xfId="51888"/>
    <cellStyle name="Normal 107 4 4 3" xfId="4274"/>
    <cellStyle name="Normal 107 4 4 4" xfId="51887"/>
    <cellStyle name="Normal 107 4 5" xfId="2105"/>
    <cellStyle name="Normal 107 4 5 2" xfId="2106"/>
    <cellStyle name="Normal 107 4 5 2 2" xfId="4277"/>
    <cellStyle name="Normal 107 4 5 2 3" xfId="51890"/>
    <cellStyle name="Normal 107 4 5 3" xfId="2107"/>
    <cellStyle name="Normal 107 4 5 3 2" xfId="2108"/>
    <cellStyle name="Normal 107 4 5 3 2 2" xfId="4279"/>
    <cellStyle name="Normal 107 4 5 3 2 3" xfId="51892"/>
    <cellStyle name="Normal 107 4 5 3 3" xfId="2109"/>
    <cellStyle name="Normal 107 4 5 3 3 2" xfId="2110"/>
    <cellStyle name="Normal 107 4 5 3 3 2 2" xfId="4281"/>
    <cellStyle name="Normal 107 4 5 3 3 2 3" xfId="51894"/>
    <cellStyle name="Normal 107 4 5 3 3 3" xfId="4280"/>
    <cellStyle name="Normal 107 4 5 3 3 4" xfId="51893"/>
    <cellStyle name="Normal 107 4 5 3 4" xfId="4282"/>
    <cellStyle name="Normal 107 4 5 3 5" xfId="4278"/>
    <cellStyle name="Normal 107 4 5 3 6" xfId="51891"/>
    <cellStyle name="Normal 107 4 5 4" xfId="4276"/>
    <cellStyle name="Normal 107 4 5 5" xfId="51889"/>
    <cellStyle name="Normal 107 4 6" xfId="4271"/>
    <cellStyle name="Normal 107 4 7" xfId="22492"/>
    <cellStyle name="Normal 107 4 7 2" xfId="38815"/>
    <cellStyle name="Normal 107 4 8" xfId="51884"/>
    <cellStyle name="Normal 107 5" xfId="2111"/>
    <cellStyle name="Normal 107 5 2" xfId="4283"/>
    <cellStyle name="Normal 107 5 3" xfId="51895"/>
    <cellStyle name="Normal 107 6" xfId="2112"/>
    <cellStyle name="Normal 107 6 2" xfId="2113"/>
    <cellStyle name="Normal 107 6 2 2" xfId="4285"/>
    <cellStyle name="Normal 107 6 2 3" xfId="51897"/>
    <cellStyle name="Normal 107 6 3" xfId="4284"/>
    <cellStyle name="Normal 107 6 4" xfId="51896"/>
    <cellStyle name="Normal 107 7" xfId="2114"/>
    <cellStyle name="Normal 107 7 2" xfId="2115"/>
    <cellStyle name="Normal 107 7 2 2" xfId="4287"/>
    <cellStyle name="Normal 107 7 2 3" xfId="51899"/>
    <cellStyle name="Normal 107 7 3" xfId="2116"/>
    <cellStyle name="Normal 107 7 3 2" xfId="2117"/>
    <cellStyle name="Normal 107 7 3 2 2" xfId="4289"/>
    <cellStyle name="Normal 107 7 3 2 3" xfId="51901"/>
    <cellStyle name="Normal 107 7 3 3" xfId="2118"/>
    <cellStyle name="Normal 107 7 3 3 2" xfId="2119"/>
    <cellStyle name="Normal 107 7 3 3 2 2" xfId="4291"/>
    <cellStyle name="Normal 107 7 3 3 2 3" xfId="51903"/>
    <cellStyle name="Normal 107 7 3 3 3" xfId="4290"/>
    <cellStyle name="Normal 107 7 3 3 4" xfId="51902"/>
    <cellStyle name="Normal 107 7 3 4" xfId="4292"/>
    <cellStyle name="Normal 107 7 3 5" xfId="4288"/>
    <cellStyle name="Normal 107 7 3 6" xfId="51900"/>
    <cellStyle name="Normal 107 7 4" xfId="4286"/>
    <cellStyle name="Normal 107 7 5" xfId="51898"/>
    <cellStyle name="Normal 107 8" xfId="2120"/>
    <cellStyle name="Normal 107 8 2" xfId="2121"/>
    <cellStyle name="Normal 107 8 2 2" xfId="4294"/>
    <cellStyle name="Normal 107 8 2 3" xfId="51905"/>
    <cellStyle name="Normal 107 8 3" xfId="2122"/>
    <cellStyle name="Normal 107 8 3 2" xfId="2123"/>
    <cellStyle name="Normal 107 8 3 2 2" xfId="4296"/>
    <cellStyle name="Normal 107 8 3 2 3" xfId="51907"/>
    <cellStyle name="Normal 107 8 3 3" xfId="4295"/>
    <cellStyle name="Normal 107 8 3 4" xfId="51906"/>
    <cellStyle name="Normal 107 8 4" xfId="4297"/>
    <cellStyle name="Normal 107 8 5" xfId="4293"/>
    <cellStyle name="Normal 107 8 6" xfId="51904"/>
    <cellStyle name="Normal 107 9" xfId="2124"/>
    <cellStyle name="Normal 107 9 2" xfId="2125"/>
    <cellStyle name="Normal 107 9 2 2" xfId="4298"/>
    <cellStyle name="Normal 107 9 2 3" xfId="51909"/>
    <cellStyle name="Normal 107 9 3" xfId="2126"/>
    <cellStyle name="Normal 107 9 3 2" xfId="4300"/>
    <cellStyle name="Normal 107 9 3 3" xfId="4299"/>
    <cellStyle name="Normal 107 9 3 4" xfId="51910"/>
    <cellStyle name="Normal 107 9 4" xfId="2127"/>
    <cellStyle name="Normal 107 9 5" xfId="51908"/>
    <cellStyle name="Normal 108" xfId="2128"/>
    <cellStyle name="Normal 108 2" xfId="4301"/>
    <cellStyle name="Normal 108 3" xfId="22493"/>
    <cellStyle name="Normal 108 3 2" xfId="38816"/>
    <cellStyle name="Normal 108 4" xfId="51911"/>
    <cellStyle name="Normal 109" xfId="2129"/>
    <cellStyle name="Normal 109 2" xfId="4302"/>
    <cellStyle name="Normal 109 3" xfId="22494"/>
    <cellStyle name="Normal 109 3 2" xfId="38817"/>
    <cellStyle name="Normal 109 4" xfId="51912"/>
    <cellStyle name="Normal 11" xfId="196"/>
    <cellStyle name="Normal 11 2" xfId="210"/>
    <cellStyle name="Normal 11 2 2" xfId="22739"/>
    <cellStyle name="Normal 11 2 2 2" xfId="38932"/>
    <cellStyle name="Normal 11 3" xfId="203"/>
    <cellStyle name="Normal 11 4" xfId="22495"/>
    <cellStyle name="Normal 11 4 2" xfId="38818"/>
    <cellStyle name="Normal 11 5" xfId="51913"/>
    <cellStyle name="Normal 110" xfId="2130"/>
    <cellStyle name="Normal 110 2" xfId="4303"/>
    <cellStyle name="Normal 110 3" xfId="22496"/>
    <cellStyle name="Normal 110 3 2" xfId="38819"/>
    <cellStyle name="Normal 110 4" xfId="51914"/>
    <cellStyle name="Normal 111" xfId="2131"/>
    <cellStyle name="Normal 111 2" xfId="4304"/>
    <cellStyle name="Normal 111 3" xfId="22497"/>
    <cellStyle name="Normal 111 3 2" xfId="38820"/>
    <cellStyle name="Normal 111 4" xfId="51915"/>
    <cellStyle name="Normal 112" xfId="2132"/>
    <cellStyle name="Normal 112 2" xfId="4305"/>
    <cellStyle name="Normal 112 3" xfId="51916"/>
    <cellStyle name="Normal 113" xfId="2133"/>
    <cellStyle name="Normal 113 2" xfId="4306"/>
    <cellStyle name="Normal 113 3" xfId="51917"/>
    <cellStyle name="Normal 114" xfId="2134"/>
    <cellStyle name="Normal 114 2" xfId="4307"/>
    <cellStyle name="Normal 114 3" xfId="51918"/>
    <cellStyle name="Normal 115" xfId="2135"/>
    <cellStyle name="Normal 115 2" xfId="4308"/>
    <cellStyle name="Normal 115 3" xfId="22498"/>
    <cellStyle name="Normal 115 3 2" xfId="38821"/>
    <cellStyle name="Normal 115 4" xfId="51919"/>
    <cellStyle name="Normal 116" xfId="2136"/>
    <cellStyle name="Normal 116 2" xfId="4309"/>
    <cellStyle name="Normal 116 3" xfId="22499"/>
    <cellStyle name="Normal 116 3 2" xfId="38822"/>
    <cellStyle name="Normal 116 4" xfId="51920"/>
    <cellStyle name="Normal 117" xfId="2137"/>
    <cellStyle name="Normal 117 2" xfId="4310"/>
    <cellStyle name="Normal 117 3" xfId="22500"/>
    <cellStyle name="Normal 117 3 2" xfId="38823"/>
    <cellStyle name="Normal 117 4" xfId="51921"/>
    <cellStyle name="Normal 118" xfId="2138"/>
    <cellStyle name="Normal 118 2" xfId="4311"/>
    <cellStyle name="Normal 118 3" xfId="22501"/>
    <cellStyle name="Normal 118 3 2" xfId="38824"/>
    <cellStyle name="Normal 118 4" xfId="51922"/>
    <cellStyle name="Normal 119" xfId="2139"/>
    <cellStyle name="Normal 119 2" xfId="4312"/>
    <cellStyle name="Normal 119 3" xfId="51923"/>
    <cellStyle name="Normal 12" xfId="199"/>
    <cellStyle name="Normal 12 2" xfId="213"/>
    <cellStyle name="Normal 12 2 2" xfId="2142"/>
    <cellStyle name="Normal 12 2 3" xfId="22915"/>
    <cellStyle name="Normal 12 2 4" xfId="22740"/>
    <cellStyle name="Normal 12 2 4 2" xfId="38933"/>
    <cellStyle name="Normal 12 2 5" xfId="2141"/>
    <cellStyle name="Normal 12 2_Sheet1" xfId="2143"/>
    <cellStyle name="Normal 12 3" xfId="206"/>
    <cellStyle name="Normal 12 3 2" xfId="2144"/>
    <cellStyle name="Normal 12 4" xfId="22914"/>
    <cellStyle name="Normal 12 5" xfId="22502"/>
    <cellStyle name="Normal 12 5 2" xfId="38825"/>
    <cellStyle name="Normal 12 6" xfId="2140"/>
    <cellStyle name="Normal 12_Sheet1" xfId="2145"/>
    <cellStyle name="Normal 120" xfId="2146"/>
    <cellStyle name="Normal 120 10" xfId="51924"/>
    <cellStyle name="Normal 120 2" xfId="4313"/>
    <cellStyle name="Normal 120 2 2" xfId="8469"/>
    <cellStyle name="Normal 120 2 2 2" xfId="16259"/>
    <cellStyle name="Normal 120 2 2 2 2" xfId="33880"/>
    <cellStyle name="Normal 120 2 2 3" xfId="26856"/>
    <cellStyle name="Normal 120 2 3" xfId="12700"/>
    <cellStyle name="Normal 120 2 3 2" xfId="30344"/>
    <cellStyle name="Normal 120 2 4" xfId="22504"/>
    <cellStyle name="Normal 120 2 5" xfId="23995"/>
    <cellStyle name="Normal 120 3" xfId="5788"/>
    <cellStyle name="Normal 120 3 2" xfId="9085"/>
    <cellStyle name="Normal 120 3 2 2" xfId="16874"/>
    <cellStyle name="Normal 120 3 2 2 2" xfId="34496"/>
    <cellStyle name="Normal 120 3 2 3" xfId="27459"/>
    <cellStyle name="Normal 120 3 3" xfId="13638"/>
    <cellStyle name="Normal 120 3 3 2" xfId="31264"/>
    <cellStyle name="Normal 120 3 4" xfId="22916"/>
    <cellStyle name="Normal 120 3 4 2" xfId="39008"/>
    <cellStyle name="Normal 120 3 5" xfId="24598"/>
    <cellStyle name="Normal 120 4" xfId="6418"/>
    <cellStyle name="Normal 120 4 2" xfId="9625"/>
    <cellStyle name="Normal 120 4 2 2" xfId="17413"/>
    <cellStyle name="Normal 120 4 2 2 2" xfId="35036"/>
    <cellStyle name="Normal 120 4 2 3" xfId="27995"/>
    <cellStyle name="Normal 120 4 3" xfId="14201"/>
    <cellStyle name="Normal 120 4 3 2" xfId="31822"/>
    <cellStyle name="Normal 120 4 4" xfId="22503"/>
    <cellStyle name="Normal 120 4 5" xfId="25134"/>
    <cellStyle name="Normal 120 5" xfId="7193"/>
    <cellStyle name="Normal 120 5 2" xfId="10178"/>
    <cellStyle name="Normal 120 5 2 2" xfId="17965"/>
    <cellStyle name="Normal 120 5 2 2 2" xfId="35588"/>
    <cellStyle name="Normal 120 5 2 3" xfId="28531"/>
    <cellStyle name="Normal 120 5 3" xfId="14975"/>
    <cellStyle name="Normal 120 5 3 2" xfId="32596"/>
    <cellStyle name="Normal 120 5 4" xfId="25671"/>
    <cellStyle name="Normal 120 6" xfId="7791"/>
    <cellStyle name="Normal 120 6 2" xfId="15582"/>
    <cellStyle name="Normal 120 6 2 2" xfId="33203"/>
    <cellStyle name="Normal 120 6 3" xfId="26193"/>
    <cellStyle name="Normal 120 7" xfId="11688"/>
    <cellStyle name="Normal 120 7 2" xfId="29367"/>
    <cellStyle name="Normal 120 8" xfId="21950"/>
    <cellStyle name="Normal 120 8 2" xfId="38687"/>
    <cellStyle name="Normal 120 9" xfId="23332"/>
    <cellStyle name="Normal 121" xfId="2147"/>
    <cellStyle name="Normal 121 10" xfId="51925"/>
    <cellStyle name="Normal 121 2" xfId="4314"/>
    <cellStyle name="Normal 121 2 2" xfId="8470"/>
    <cellStyle name="Normal 121 2 2 2" xfId="16260"/>
    <cellStyle name="Normal 121 2 2 2 2" xfId="33881"/>
    <cellStyle name="Normal 121 2 2 3" xfId="26857"/>
    <cellStyle name="Normal 121 2 3" xfId="12701"/>
    <cellStyle name="Normal 121 2 3 2" xfId="30345"/>
    <cellStyle name="Normal 121 2 4" xfId="22506"/>
    <cellStyle name="Normal 121 2 5" xfId="23996"/>
    <cellStyle name="Normal 121 3" xfId="5789"/>
    <cellStyle name="Normal 121 3 2" xfId="9086"/>
    <cellStyle name="Normal 121 3 2 2" xfId="16875"/>
    <cellStyle name="Normal 121 3 2 2 2" xfId="34497"/>
    <cellStyle name="Normal 121 3 2 3" xfId="27460"/>
    <cellStyle name="Normal 121 3 3" xfId="13639"/>
    <cellStyle name="Normal 121 3 3 2" xfId="31265"/>
    <cellStyle name="Normal 121 3 4" xfId="22917"/>
    <cellStyle name="Normal 121 3 4 2" xfId="39009"/>
    <cellStyle name="Normal 121 3 5" xfId="24599"/>
    <cellStyle name="Normal 121 4" xfId="6419"/>
    <cellStyle name="Normal 121 4 2" xfId="9626"/>
    <cellStyle name="Normal 121 4 2 2" xfId="17414"/>
    <cellStyle name="Normal 121 4 2 2 2" xfId="35037"/>
    <cellStyle name="Normal 121 4 2 3" xfId="27996"/>
    <cellStyle name="Normal 121 4 3" xfId="14202"/>
    <cellStyle name="Normal 121 4 3 2" xfId="31823"/>
    <cellStyle name="Normal 121 4 4" xfId="22505"/>
    <cellStyle name="Normal 121 4 5" xfId="25135"/>
    <cellStyle name="Normal 121 5" xfId="7194"/>
    <cellStyle name="Normal 121 5 2" xfId="10179"/>
    <cellStyle name="Normal 121 5 2 2" xfId="17966"/>
    <cellStyle name="Normal 121 5 2 2 2" xfId="35589"/>
    <cellStyle name="Normal 121 5 2 3" xfId="28532"/>
    <cellStyle name="Normal 121 5 3" xfId="14976"/>
    <cellStyle name="Normal 121 5 3 2" xfId="32597"/>
    <cellStyle name="Normal 121 5 4" xfId="25672"/>
    <cellStyle name="Normal 121 6" xfId="7792"/>
    <cellStyle name="Normal 121 6 2" xfId="15583"/>
    <cellStyle name="Normal 121 6 2 2" xfId="33204"/>
    <cellStyle name="Normal 121 6 3" xfId="26194"/>
    <cellStyle name="Normal 121 7" xfId="11689"/>
    <cellStyle name="Normal 121 7 2" xfId="29368"/>
    <cellStyle name="Normal 121 8" xfId="21951"/>
    <cellStyle name="Normal 121 8 2" xfId="38688"/>
    <cellStyle name="Normal 121 9" xfId="23333"/>
    <cellStyle name="Normal 122" xfId="2148"/>
    <cellStyle name="Normal 122 10" xfId="51926"/>
    <cellStyle name="Normal 122 2" xfId="4315"/>
    <cellStyle name="Normal 122 2 2" xfId="8471"/>
    <cellStyle name="Normal 122 2 2 2" xfId="16261"/>
    <cellStyle name="Normal 122 2 2 2 2" xfId="33882"/>
    <cellStyle name="Normal 122 2 2 3" xfId="26858"/>
    <cellStyle name="Normal 122 2 3" xfId="12702"/>
    <cellStyle name="Normal 122 2 3 2" xfId="30346"/>
    <cellStyle name="Normal 122 2 4" xfId="22918"/>
    <cellStyle name="Normal 122 2 4 2" xfId="39010"/>
    <cellStyle name="Normal 122 2 5" xfId="23997"/>
    <cellStyle name="Normal 122 3" xfId="5790"/>
    <cellStyle name="Normal 122 3 2" xfId="9087"/>
    <cellStyle name="Normal 122 3 2 2" xfId="16876"/>
    <cellStyle name="Normal 122 3 2 2 2" xfId="34498"/>
    <cellStyle name="Normal 122 3 2 3" xfId="27461"/>
    <cellStyle name="Normal 122 3 3" xfId="13640"/>
    <cellStyle name="Normal 122 3 3 2" xfId="31266"/>
    <cellStyle name="Normal 122 3 4" xfId="22507"/>
    <cellStyle name="Normal 122 3 5" xfId="24600"/>
    <cellStyle name="Normal 122 4" xfId="6420"/>
    <cellStyle name="Normal 122 4 2" xfId="9627"/>
    <cellStyle name="Normal 122 4 2 2" xfId="17415"/>
    <cellStyle name="Normal 122 4 2 2 2" xfId="35038"/>
    <cellStyle name="Normal 122 4 2 3" xfId="27997"/>
    <cellStyle name="Normal 122 4 3" xfId="14203"/>
    <cellStyle name="Normal 122 4 3 2" xfId="31824"/>
    <cellStyle name="Normal 122 4 4" xfId="25136"/>
    <cellStyle name="Normal 122 5" xfId="7195"/>
    <cellStyle name="Normal 122 5 2" xfId="10180"/>
    <cellStyle name="Normal 122 5 2 2" xfId="17967"/>
    <cellStyle name="Normal 122 5 2 2 2" xfId="35590"/>
    <cellStyle name="Normal 122 5 2 3" xfId="28533"/>
    <cellStyle name="Normal 122 5 3" xfId="14977"/>
    <cellStyle name="Normal 122 5 3 2" xfId="32598"/>
    <cellStyle name="Normal 122 5 4" xfId="25673"/>
    <cellStyle name="Normal 122 6" xfId="7793"/>
    <cellStyle name="Normal 122 6 2" xfId="15584"/>
    <cellStyle name="Normal 122 6 2 2" xfId="33205"/>
    <cellStyle name="Normal 122 6 3" xfId="26195"/>
    <cellStyle name="Normal 122 7" xfId="11690"/>
    <cellStyle name="Normal 122 7 2" xfId="29369"/>
    <cellStyle name="Normal 122 8" xfId="21952"/>
    <cellStyle name="Normal 122 8 2" xfId="38689"/>
    <cellStyle name="Normal 122 9" xfId="23334"/>
    <cellStyle name="Normal 123" xfId="2149"/>
    <cellStyle name="Normal 123 10" xfId="51927"/>
    <cellStyle name="Normal 123 2" xfId="4316"/>
    <cellStyle name="Normal 123 2 2" xfId="8472"/>
    <cellStyle name="Normal 123 2 2 2" xfId="16262"/>
    <cellStyle name="Normal 123 2 2 2 2" xfId="33883"/>
    <cellStyle name="Normal 123 2 2 3" xfId="26859"/>
    <cellStyle name="Normal 123 2 3" xfId="12703"/>
    <cellStyle name="Normal 123 2 3 2" xfId="30347"/>
    <cellStyle name="Normal 123 2 4" xfId="22919"/>
    <cellStyle name="Normal 123 2 4 2" xfId="39011"/>
    <cellStyle name="Normal 123 2 5" xfId="23998"/>
    <cellStyle name="Normal 123 3" xfId="5791"/>
    <cellStyle name="Normal 123 3 2" xfId="9088"/>
    <cellStyle name="Normal 123 3 2 2" xfId="16877"/>
    <cellStyle name="Normal 123 3 2 2 2" xfId="34499"/>
    <cellStyle name="Normal 123 3 2 3" xfId="27462"/>
    <cellStyle name="Normal 123 3 3" xfId="13641"/>
    <cellStyle name="Normal 123 3 3 2" xfId="31267"/>
    <cellStyle name="Normal 123 3 4" xfId="22508"/>
    <cellStyle name="Normal 123 3 5" xfId="24601"/>
    <cellStyle name="Normal 123 4" xfId="6421"/>
    <cellStyle name="Normal 123 4 2" xfId="9628"/>
    <cellStyle name="Normal 123 4 2 2" xfId="17416"/>
    <cellStyle name="Normal 123 4 2 2 2" xfId="35039"/>
    <cellStyle name="Normal 123 4 2 3" xfId="27998"/>
    <cellStyle name="Normal 123 4 3" xfId="14204"/>
    <cellStyle name="Normal 123 4 3 2" xfId="31825"/>
    <cellStyle name="Normal 123 4 4" xfId="25137"/>
    <cellStyle name="Normal 123 5" xfId="7196"/>
    <cellStyle name="Normal 123 5 2" xfId="10181"/>
    <cellStyle name="Normal 123 5 2 2" xfId="17968"/>
    <cellStyle name="Normal 123 5 2 2 2" xfId="35591"/>
    <cellStyle name="Normal 123 5 2 3" xfId="28534"/>
    <cellStyle name="Normal 123 5 3" xfId="14978"/>
    <cellStyle name="Normal 123 5 3 2" xfId="32599"/>
    <cellStyle name="Normal 123 5 4" xfId="25674"/>
    <cellStyle name="Normal 123 6" xfId="7794"/>
    <cellStyle name="Normal 123 6 2" xfId="15585"/>
    <cellStyle name="Normal 123 6 2 2" xfId="33206"/>
    <cellStyle name="Normal 123 6 3" xfId="26196"/>
    <cellStyle name="Normal 123 7" xfId="11691"/>
    <cellStyle name="Normal 123 7 2" xfId="29370"/>
    <cellStyle name="Normal 123 8" xfId="21953"/>
    <cellStyle name="Normal 123 8 2" xfId="38690"/>
    <cellStyle name="Normal 123 9" xfId="23335"/>
    <cellStyle name="Normal 124" xfId="2150"/>
    <cellStyle name="Normal 124 10" xfId="51928"/>
    <cellStyle name="Normal 124 2" xfId="4317"/>
    <cellStyle name="Normal 124 2 2" xfId="8473"/>
    <cellStyle name="Normal 124 2 2 2" xfId="16263"/>
    <cellStyle name="Normal 124 2 2 2 2" xfId="33884"/>
    <cellStyle name="Normal 124 2 2 3" xfId="26860"/>
    <cellStyle name="Normal 124 2 3" xfId="12704"/>
    <cellStyle name="Normal 124 2 3 2" xfId="30348"/>
    <cellStyle name="Normal 124 2 4" xfId="22920"/>
    <cellStyle name="Normal 124 2 4 2" xfId="39012"/>
    <cellStyle name="Normal 124 2 5" xfId="23999"/>
    <cellStyle name="Normal 124 3" xfId="5792"/>
    <cellStyle name="Normal 124 3 2" xfId="9089"/>
    <cellStyle name="Normal 124 3 2 2" xfId="16878"/>
    <cellStyle name="Normal 124 3 2 2 2" xfId="34500"/>
    <cellStyle name="Normal 124 3 2 3" xfId="27463"/>
    <cellStyle name="Normal 124 3 3" xfId="13642"/>
    <cellStyle name="Normal 124 3 3 2" xfId="31268"/>
    <cellStyle name="Normal 124 3 4" xfId="22509"/>
    <cellStyle name="Normal 124 3 5" xfId="24602"/>
    <cellStyle name="Normal 124 4" xfId="6422"/>
    <cellStyle name="Normal 124 4 2" xfId="9629"/>
    <cellStyle name="Normal 124 4 2 2" xfId="17417"/>
    <cellStyle name="Normal 124 4 2 2 2" xfId="35040"/>
    <cellStyle name="Normal 124 4 2 3" xfId="27999"/>
    <cellStyle name="Normal 124 4 3" xfId="14205"/>
    <cellStyle name="Normal 124 4 3 2" xfId="31826"/>
    <cellStyle name="Normal 124 4 4" xfId="25138"/>
    <cellStyle name="Normal 124 5" xfId="7197"/>
    <cellStyle name="Normal 124 5 2" xfId="10182"/>
    <cellStyle name="Normal 124 5 2 2" xfId="17969"/>
    <cellStyle name="Normal 124 5 2 2 2" xfId="35592"/>
    <cellStyle name="Normal 124 5 2 3" xfId="28535"/>
    <cellStyle name="Normal 124 5 3" xfId="14979"/>
    <cellStyle name="Normal 124 5 3 2" xfId="32600"/>
    <cellStyle name="Normal 124 5 4" xfId="25675"/>
    <cellStyle name="Normal 124 6" xfId="7795"/>
    <cellStyle name="Normal 124 6 2" xfId="15586"/>
    <cellStyle name="Normal 124 6 2 2" xfId="33207"/>
    <cellStyle name="Normal 124 6 3" xfId="26197"/>
    <cellStyle name="Normal 124 7" xfId="11692"/>
    <cellStyle name="Normal 124 7 2" xfId="29371"/>
    <cellStyle name="Normal 124 8" xfId="21954"/>
    <cellStyle name="Normal 124 8 2" xfId="38691"/>
    <cellStyle name="Normal 124 9" xfId="23336"/>
    <cellStyle name="Normal 125" xfId="2151"/>
    <cellStyle name="Normal 125 10" xfId="51929"/>
    <cellStyle name="Normal 125 2" xfId="4318"/>
    <cellStyle name="Normal 125 2 2" xfId="8474"/>
    <cellStyle name="Normal 125 2 2 2" xfId="16264"/>
    <cellStyle name="Normal 125 2 2 2 2" xfId="33885"/>
    <cellStyle name="Normal 125 2 2 3" xfId="26861"/>
    <cellStyle name="Normal 125 2 3" xfId="12705"/>
    <cellStyle name="Normal 125 2 3 2" xfId="30349"/>
    <cellStyle name="Normal 125 2 4" xfId="22921"/>
    <cellStyle name="Normal 125 2 4 2" xfId="39013"/>
    <cellStyle name="Normal 125 2 5" xfId="24000"/>
    <cellStyle name="Normal 125 3" xfId="5793"/>
    <cellStyle name="Normal 125 3 2" xfId="9090"/>
    <cellStyle name="Normal 125 3 2 2" xfId="16879"/>
    <cellStyle name="Normal 125 3 2 2 2" xfId="34501"/>
    <cellStyle name="Normal 125 3 2 3" xfId="27464"/>
    <cellStyle name="Normal 125 3 3" xfId="13643"/>
    <cellStyle name="Normal 125 3 3 2" xfId="31269"/>
    <cellStyle name="Normal 125 3 4" xfId="22510"/>
    <cellStyle name="Normal 125 3 5" xfId="24603"/>
    <cellStyle name="Normal 125 4" xfId="6423"/>
    <cellStyle name="Normal 125 4 2" xfId="9630"/>
    <cellStyle name="Normal 125 4 2 2" xfId="17418"/>
    <cellStyle name="Normal 125 4 2 2 2" xfId="35041"/>
    <cellStyle name="Normal 125 4 2 3" xfId="28000"/>
    <cellStyle name="Normal 125 4 3" xfId="14206"/>
    <cellStyle name="Normal 125 4 3 2" xfId="31827"/>
    <cellStyle name="Normal 125 4 4" xfId="25139"/>
    <cellStyle name="Normal 125 5" xfId="7198"/>
    <cellStyle name="Normal 125 5 2" xfId="10183"/>
    <cellStyle name="Normal 125 5 2 2" xfId="17970"/>
    <cellStyle name="Normal 125 5 2 2 2" xfId="35593"/>
    <cellStyle name="Normal 125 5 2 3" xfId="28536"/>
    <cellStyle name="Normal 125 5 3" xfId="14980"/>
    <cellStyle name="Normal 125 5 3 2" xfId="32601"/>
    <cellStyle name="Normal 125 5 4" xfId="25676"/>
    <cellStyle name="Normal 125 6" xfId="7796"/>
    <cellStyle name="Normal 125 6 2" xfId="15587"/>
    <cellStyle name="Normal 125 6 2 2" xfId="33208"/>
    <cellStyle name="Normal 125 6 3" xfId="26198"/>
    <cellStyle name="Normal 125 7" xfId="11693"/>
    <cellStyle name="Normal 125 7 2" xfId="29372"/>
    <cellStyle name="Normal 125 8" xfId="21955"/>
    <cellStyle name="Normal 125 8 2" xfId="38692"/>
    <cellStyle name="Normal 125 9" xfId="23337"/>
    <cellStyle name="Normal 126" xfId="2152"/>
    <cellStyle name="Normal 126 10" xfId="51930"/>
    <cellStyle name="Normal 126 2" xfId="4319"/>
    <cellStyle name="Normal 126 2 2" xfId="8475"/>
    <cellStyle name="Normal 126 2 2 2" xfId="16265"/>
    <cellStyle name="Normal 126 2 2 2 2" xfId="33886"/>
    <cellStyle name="Normal 126 2 2 3" xfId="26862"/>
    <cellStyle name="Normal 126 2 3" xfId="12706"/>
    <cellStyle name="Normal 126 2 3 2" xfId="30350"/>
    <cellStyle name="Normal 126 2 4" xfId="22922"/>
    <cellStyle name="Normal 126 2 4 2" xfId="39014"/>
    <cellStyle name="Normal 126 2 5" xfId="24001"/>
    <cellStyle name="Normal 126 3" xfId="5794"/>
    <cellStyle name="Normal 126 3 2" xfId="9091"/>
    <cellStyle name="Normal 126 3 2 2" xfId="16880"/>
    <cellStyle name="Normal 126 3 2 2 2" xfId="34502"/>
    <cellStyle name="Normal 126 3 2 3" xfId="27465"/>
    <cellStyle name="Normal 126 3 3" xfId="13644"/>
    <cellStyle name="Normal 126 3 3 2" xfId="31270"/>
    <cellStyle name="Normal 126 3 4" xfId="22511"/>
    <cellStyle name="Normal 126 3 5" xfId="24604"/>
    <cellStyle name="Normal 126 4" xfId="6424"/>
    <cellStyle name="Normal 126 4 2" xfId="9631"/>
    <cellStyle name="Normal 126 4 2 2" xfId="17419"/>
    <cellStyle name="Normal 126 4 2 2 2" xfId="35042"/>
    <cellStyle name="Normal 126 4 2 3" xfId="28001"/>
    <cellStyle name="Normal 126 4 3" xfId="14207"/>
    <cellStyle name="Normal 126 4 3 2" xfId="31828"/>
    <cellStyle name="Normal 126 4 4" xfId="25140"/>
    <cellStyle name="Normal 126 5" xfId="7199"/>
    <cellStyle name="Normal 126 5 2" xfId="10184"/>
    <cellStyle name="Normal 126 5 2 2" xfId="17971"/>
    <cellStyle name="Normal 126 5 2 2 2" xfId="35594"/>
    <cellStyle name="Normal 126 5 2 3" xfId="28537"/>
    <cellStyle name="Normal 126 5 3" xfId="14981"/>
    <cellStyle name="Normal 126 5 3 2" xfId="32602"/>
    <cellStyle name="Normal 126 5 4" xfId="25677"/>
    <cellStyle name="Normal 126 6" xfId="7797"/>
    <cellStyle name="Normal 126 6 2" xfId="15588"/>
    <cellStyle name="Normal 126 6 2 2" xfId="33209"/>
    <cellStyle name="Normal 126 6 3" xfId="26199"/>
    <cellStyle name="Normal 126 7" xfId="11694"/>
    <cellStyle name="Normal 126 7 2" xfId="29373"/>
    <cellStyle name="Normal 126 8" xfId="21956"/>
    <cellStyle name="Normal 126 8 2" xfId="38693"/>
    <cellStyle name="Normal 126 9" xfId="23338"/>
    <cellStyle name="Normal 127" xfId="2153"/>
    <cellStyle name="Normal 127 10" xfId="51931"/>
    <cellStyle name="Normal 127 2" xfId="4320"/>
    <cellStyle name="Normal 127 2 2" xfId="8476"/>
    <cellStyle name="Normal 127 2 2 2" xfId="16266"/>
    <cellStyle name="Normal 127 2 2 2 2" xfId="33887"/>
    <cellStyle name="Normal 127 2 2 3" xfId="26863"/>
    <cellStyle name="Normal 127 2 3" xfId="12707"/>
    <cellStyle name="Normal 127 2 3 2" xfId="30351"/>
    <cellStyle name="Normal 127 2 4" xfId="22923"/>
    <cellStyle name="Normal 127 2 4 2" xfId="39015"/>
    <cellStyle name="Normal 127 2 5" xfId="24002"/>
    <cellStyle name="Normal 127 3" xfId="5795"/>
    <cellStyle name="Normal 127 3 2" xfId="9092"/>
    <cellStyle name="Normal 127 3 2 2" xfId="16881"/>
    <cellStyle name="Normal 127 3 2 2 2" xfId="34503"/>
    <cellStyle name="Normal 127 3 2 3" xfId="27466"/>
    <cellStyle name="Normal 127 3 3" xfId="13645"/>
    <cellStyle name="Normal 127 3 3 2" xfId="31271"/>
    <cellStyle name="Normal 127 3 4" xfId="22512"/>
    <cellStyle name="Normal 127 3 5" xfId="24605"/>
    <cellStyle name="Normal 127 4" xfId="6425"/>
    <cellStyle name="Normal 127 4 2" xfId="9632"/>
    <cellStyle name="Normal 127 4 2 2" xfId="17420"/>
    <cellStyle name="Normal 127 4 2 2 2" xfId="35043"/>
    <cellStyle name="Normal 127 4 2 3" xfId="28002"/>
    <cellStyle name="Normal 127 4 3" xfId="14208"/>
    <cellStyle name="Normal 127 4 3 2" xfId="31829"/>
    <cellStyle name="Normal 127 4 4" xfId="25141"/>
    <cellStyle name="Normal 127 5" xfId="7200"/>
    <cellStyle name="Normal 127 5 2" xfId="10185"/>
    <cellStyle name="Normal 127 5 2 2" xfId="17972"/>
    <cellStyle name="Normal 127 5 2 2 2" xfId="35595"/>
    <cellStyle name="Normal 127 5 2 3" xfId="28538"/>
    <cellStyle name="Normal 127 5 3" xfId="14982"/>
    <cellStyle name="Normal 127 5 3 2" xfId="32603"/>
    <cellStyle name="Normal 127 5 4" xfId="25678"/>
    <cellStyle name="Normal 127 6" xfId="7798"/>
    <cellStyle name="Normal 127 6 2" xfId="15589"/>
    <cellStyle name="Normal 127 6 2 2" xfId="33210"/>
    <cellStyle name="Normal 127 6 3" xfId="26200"/>
    <cellStyle name="Normal 127 7" xfId="11695"/>
    <cellStyle name="Normal 127 7 2" xfId="29374"/>
    <cellStyle name="Normal 127 8" xfId="21957"/>
    <cellStyle name="Normal 127 8 2" xfId="38694"/>
    <cellStyle name="Normal 127 9" xfId="23339"/>
    <cellStyle name="Normal 128" xfId="2154"/>
    <cellStyle name="Normal 128 10" xfId="51932"/>
    <cellStyle name="Normal 128 2" xfId="4321"/>
    <cellStyle name="Normal 128 2 2" xfId="8477"/>
    <cellStyle name="Normal 128 2 2 2" xfId="16267"/>
    <cellStyle name="Normal 128 2 2 2 2" xfId="33888"/>
    <cellStyle name="Normal 128 2 2 3" xfId="26864"/>
    <cellStyle name="Normal 128 2 3" xfId="12708"/>
    <cellStyle name="Normal 128 2 3 2" xfId="30352"/>
    <cellStyle name="Normal 128 2 4" xfId="22924"/>
    <cellStyle name="Normal 128 2 4 2" xfId="39016"/>
    <cellStyle name="Normal 128 2 5" xfId="24003"/>
    <cellStyle name="Normal 128 3" xfId="5796"/>
    <cellStyle name="Normal 128 3 2" xfId="9093"/>
    <cellStyle name="Normal 128 3 2 2" xfId="16882"/>
    <cellStyle name="Normal 128 3 2 2 2" xfId="34504"/>
    <cellStyle name="Normal 128 3 2 3" xfId="27467"/>
    <cellStyle name="Normal 128 3 3" xfId="13646"/>
    <cellStyle name="Normal 128 3 3 2" xfId="31272"/>
    <cellStyle name="Normal 128 3 4" xfId="22513"/>
    <cellStyle name="Normal 128 3 5" xfId="24606"/>
    <cellStyle name="Normal 128 4" xfId="6426"/>
    <cellStyle name="Normal 128 4 2" xfId="9633"/>
    <cellStyle name="Normal 128 4 2 2" xfId="17421"/>
    <cellStyle name="Normal 128 4 2 2 2" xfId="35044"/>
    <cellStyle name="Normal 128 4 2 3" xfId="28003"/>
    <cellStyle name="Normal 128 4 3" xfId="14209"/>
    <cellStyle name="Normal 128 4 3 2" xfId="31830"/>
    <cellStyle name="Normal 128 4 4" xfId="25142"/>
    <cellStyle name="Normal 128 5" xfId="7201"/>
    <cellStyle name="Normal 128 5 2" xfId="10186"/>
    <cellStyle name="Normal 128 5 2 2" xfId="17973"/>
    <cellStyle name="Normal 128 5 2 2 2" xfId="35596"/>
    <cellStyle name="Normal 128 5 2 3" xfId="28539"/>
    <cellStyle name="Normal 128 5 3" xfId="14983"/>
    <cellStyle name="Normal 128 5 3 2" xfId="32604"/>
    <cellStyle name="Normal 128 5 4" xfId="25679"/>
    <cellStyle name="Normal 128 6" xfId="7799"/>
    <cellStyle name="Normal 128 6 2" xfId="15590"/>
    <cellStyle name="Normal 128 6 2 2" xfId="33211"/>
    <cellStyle name="Normal 128 6 3" xfId="26201"/>
    <cellStyle name="Normal 128 7" xfId="11696"/>
    <cellStyle name="Normal 128 7 2" xfId="29375"/>
    <cellStyle name="Normal 128 8" xfId="21958"/>
    <cellStyle name="Normal 128 8 2" xfId="38695"/>
    <cellStyle name="Normal 128 9" xfId="23340"/>
    <cellStyle name="Normal 129" xfId="2155"/>
    <cellStyle name="Normal 129 10" xfId="51933"/>
    <cellStyle name="Normal 129 2" xfId="4322"/>
    <cellStyle name="Normal 129 2 2" xfId="8478"/>
    <cellStyle name="Normal 129 2 2 2" xfId="16268"/>
    <cellStyle name="Normal 129 2 2 2 2" xfId="33889"/>
    <cellStyle name="Normal 129 2 2 3" xfId="26865"/>
    <cellStyle name="Normal 129 2 3" xfId="12709"/>
    <cellStyle name="Normal 129 2 3 2" xfId="30353"/>
    <cellStyle name="Normal 129 2 4" xfId="22925"/>
    <cellStyle name="Normal 129 2 4 2" xfId="39017"/>
    <cellStyle name="Normal 129 2 5" xfId="24004"/>
    <cellStyle name="Normal 129 3" xfId="5797"/>
    <cellStyle name="Normal 129 3 2" xfId="9094"/>
    <cellStyle name="Normal 129 3 2 2" xfId="16883"/>
    <cellStyle name="Normal 129 3 2 2 2" xfId="34505"/>
    <cellStyle name="Normal 129 3 2 3" xfId="27468"/>
    <cellStyle name="Normal 129 3 3" xfId="13647"/>
    <cellStyle name="Normal 129 3 3 2" xfId="31273"/>
    <cellStyle name="Normal 129 3 4" xfId="22514"/>
    <cellStyle name="Normal 129 3 5" xfId="24607"/>
    <cellStyle name="Normal 129 4" xfId="6427"/>
    <cellStyle name="Normal 129 4 2" xfId="9634"/>
    <cellStyle name="Normal 129 4 2 2" xfId="17422"/>
    <cellStyle name="Normal 129 4 2 2 2" xfId="35045"/>
    <cellStyle name="Normal 129 4 2 3" xfId="28004"/>
    <cellStyle name="Normal 129 4 3" xfId="14210"/>
    <cellStyle name="Normal 129 4 3 2" xfId="31831"/>
    <cellStyle name="Normal 129 4 4" xfId="25143"/>
    <cellStyle name="Normal 129 5" xfId="7202"/>
    <cellStyle name="Normal 129 5 2" xfId="10187"/>
    <cellStyle name="Normal 129 5 2 2" xfId="17974"/>
    <cellStyle name="Normal 129 5 2 2 2" xfId="35597"/>
    <cellStyle name="Normal 129 5 2 3" xfId="28540"/>
    <cellStyle name="Normal 129 5 3" xfId="14984"/>
    <cellStyle name="Normal 129 5 3 2" xfId="32605"/>
    <cellStyle name="Normal 129 5 4" xfId="25680"/>
    <cellStyle name="Normal 129 6" xfId="7800"/>
    <cellStyle name="Normal 129 6 2" xfId="15591"/>
    <cellStyle name="Normal 129 6 2 2" xfId="33212"/>
    <cellStyle name="Normal 129 6 3" xfId="26202"/>
    <cellStyle name="Normal 129 7" xfId="11697"/>
    <cellStyle name="Normal 129 7 2" xfId="29376"/>
    <cellStyle name="Normal 129 8" xfId="21959"/>
    <cellStyle name="Normal 129 8 2" xfId="38696"/>
    <cellStyle name="Normal 129 9" xfId="23341"/>
    <cellStyle name="Normal 13" xfId="2156"/>
    <cellStyle name="Normal 13 2" xfId="2157"/>
    <cellStyle name="Normal 13 2 2" xfId="2158"/>
    <cellStyle name="Normal 13 2_Sheet1" xfId="2159"/>
    <cellStyle name="Normal 13 3" xfId="2160"/>
    <cellStyle name="Normal 13 4" xfId="22926"/>
    <cellStyle name="Normal 13 5" xfId="22515"/>
    <cellStyle name="Normal 13 6" xfId="22890"/>
    <cellStyle name="Normal 13 7" xfId="53198"/>
    <cellStyle name="Normal 13 8" xfId="53199"/>
    <cellStyle name="Normal 13 9" xfId="53197"/>
    <cellStyle name="Normal 13_Sheet1" xfId="2161"/>
    <cellStyle name="Normal 130" xfId="2162"/>
    <cellStyle name="Normal 130 10" xfId="51934"/>
    <cellStyle name="Normal 130 2" xfId="4323"/>
    <cellStyle name="Normal 130 2 2" xfId="8479"/>
    <cellStyle name="Normal 130 2 2 2" xfId="16269"/>
    <cellStyle name="Normal 130 2 2 2 2" xfId="33890"/>
    <cellStyle name="Normal 130 2 2 3" xfId="26866"/>
    <cellStyle name="Normal 130 2 3" xfId="12710"/>
    <cellStyle name="Normal 130 2 3 2" xfId="30354"/>
    <cellStyle name="Normal 130 2 4" xfId="22927"/>
    <cellStyle name="Normal 130 2 4 2" xfId="39018"/>
    <cellStyle name="Normal 130 2 5" xfId="24005"/>
    <cellStyle name="Normal 130 3" xfId="5798"/>
    <cellStyle name="Normal 130 3 2" xfId="9095"/>
    <cellStyle name="Normal 130 3 2 2" xfId="16884"/>
    <cellStyle name="Normal 130 3 2 2 2" xfId="34506"/>
    <cellStyle name="Normal 130 3 2 3" xfId="27469"/>
    <cellStyle name="Normal 130 3 3" xfId="13648"/>
    <cellStyle name="Normal 130 3 3 2" xfId="31274"/>
    <cellStyle name="Normal 130 3 4" xfId="22516"/>
    <cellStyle name="Normal 130 3 5" xfId="24608"/>
    <cellStyle name="Normal 130 4" xfId="6428"/>
    <cellStyle name="Normal 130 4 2" xfId="9635"/>
    <cellStyle name="Normal 130 4 2 2" xfId="17423"/>
    <cellStyle name="Normal 130 4 2 2 2" xfId="35046"/>
    <cellStyle name="Normal 130 4 2 3" xfId="28005"/>
    <cellStyle name="Normal 130 4 3" xfId="14211"/>
    <cellStyle name="Normal 130 4 3 2" xfId="31832"/>
    <cellStyle name="Normal 130 4 4" xfId="25144"/>
    <cellStyle name="Normal 130 5" xfId="7203"/>
    <cellStyle name="Normal 130 5 2" xfId="10188"/>
    <cellStyle name="Normal 130 5 2 2" xfId="17975"/>
    <cellStyle name="Normal 130 5 2 2 2" xfId="35598"/>
    <cellStyle name="Normal 130 5 2 3" xfId="28541"/>
    <cellStyle name="Normal 130 5 3" xfId="14985"/>
    <cellStyle name="Normal 130 5 3 2" xfId="32606"/>
    <cellStyle name="Normal 130 5 4" xfId="25681"/>
    <cellStyle name="Normal 130 6" xfId="7801"/>
    <cellStyle name="Normal 130 6 2" xfId="15592"/>
    <cellStyle name="Normal 130 6 2 2" xfId="33213"/>
    <cellStyle name="Normal 130 6 3" xfId="26203"/>
    <cellStyle name="Normal 130 7" xfId="11700"/>
    <cellStyle name="Normal 130 7 2" xfId="29377"/>
    <cellStyle name="Normal 130 8" xfId="21960"/>
    <cellStyle name="Normal 130 8 2" xfId="38697"/>
    <cellStyle name="Normal 130 9" xfId="23342"/>
    <cellStyle name="Normal 131" xfId="2163"/>
    <cellStyle name="Normal 131 10" xfId="51935"/>
    <cellStyle name="Normal 131 2" xfId="4324"/>
    <cellStyle name="Normal 131 2 2" xfId="8480"/>
    <cellStyle name="Normal 131 2 2 2" xfId="16270"/>
    <cellStyle name="Normal 131 2 2 2 2" xfId="33891"/>
    <cellStyle name="Normal 131 2 2 3" xfId="26867"/>
    <cellStyle name="Normal 131 2 3" xfId="12711"/>
    <cellStyle name="Normal 131 2 3 2" xfId="30355"/>
    <cellStyle name="Normal 131 2 4" xfId="22928"/>
    <cellStyle name="Normal 131 2 4 2" xfId="39019"/>
    <cellStyle name="Normal 131 2 5" xfId="24006"/>
    <cellStyle name="Normal 131 3" xfId="5799"/>
    <cellStyle name="Normal 131 3 2" xfId="9096"/>
    <cellStyle name="Normal 131 3 2 2" xfId="16885"/>
    <cellStyle name="Normal 131 3 2 2 2" xfId="34507"/>
    <cellStyle name="Normal 131 3 2 3" xfId="27470"/>
    <cellStyle name="Normal 131 3 3" xfId="13649"/>
    <cellStyle name="Normal 131 3 3 2" xfId="31275"/>
    <cellStyle name="Normal 131 3 4" xfId="22517"/>
    <cellStyle name="Normal 131 3 5" xfId="24609"/>
    <cellStyle name="Normal 131 4" xfId="6429"/>
    <cellStyle name="Normal 131 4 2" xfId="9636"/>
    <cellStyle name="Normal 131 4 2 2" xfId="17424"/>
    <cellStyle name="Normal 131 4 2 2 2" xfId="35047"/>
    <cellStyle name="Normal 131 4 2 3" xfId="28006"/>
    <cellStyle name="Normal 131 4 3" xfId="14212"/>
    <cellStyle name="Normal 131 4 3 2" xfId="31833"/>
    <cellStyle name="Normal 131 4 4" xfId="25145"/>
    <cellStyle name="Normal 131 5" xfId="7204"/>
    <cellStyle name="Normal 131 5 2" xfId="10189"/>
    <cellStyle name="Normal 131 5 2 2" xfId="17976"/>
    <cellStyle name="Normal 131 5 2 2 2" xfId="35599"/>
    <cellStyle name="Normal 131 5 2 3" xfId="28542"/>
    <cellStyle name="Normal 131 5 3" xfId="14986"/>
    <cellStyle name="Normal 131 5 3 2" xfId="32607"/>
    <cellStyle name="Normal 131 5 4" xfId="25682"/>
    <cellStyle name="Normal 131 6" xfId="7802"/>
    <cellStyle name="Normal 131 6 2" xfId="15593"/>
    <cellStyle name="Normal 131 6 2 2" xfId="33214"/>
    <cellStyle name="Normal 131 6 3" xfId="26204"/>
    <cellStyle name="Normal 131 7" xfId="11701"/>
    <cellStyle name="Normal 131 7 2" xfId="29378"/>
    <cellStyle name="Normal 131 8" xfId="21961"/>
    <cellStyle name="Normal 131 8 2" xfId="38698"/>
    <cellStyle name="Normal 131 9" xfId="23343"/>
    <cellStyle name="Normal 132" xfId="2164"/>
    <cellStyle name="Normal 132 10" xfId="51936"/>
    <cellStyle name="Normal 132 2" xfId="4325"/>
    <cellStyle name="Normal 132 2 2" xfId="8481"/>
    <cellStyle name="Normal 132 2 2 2" xfId="16271"/>
    <cellStyle name="Normal 132 2 2 2 2" xfId="33892"/>
    <cellStyle name="Normal 132 2 2 3" xfId="26868"/>
    <cellStyle name="Normal 132 2 3" xfId="12712"/>
    <cellStyle name="Normal 132 2 3 2" xfId="30356"/>
    <cellStyle name="Normal 132 2 4" xfId="22929"/>
    <cellStyle name="Normal 132 2 4 2" xfId="39020"/>
    <cellStyle name="Normal 132 2 5" xfId="24007"/>
    <cellStyle name="Normal 132 3" xfId="5800"/>
    <cellStyle name="Normal 132 3 2" xfId="9097"/>
    <cellStyle name="Normal 132 3 2 2" xfId="16886"/>
    <cellStyle name="Normal 132 3 2 2 2" xfId="34508"/>
    <cellStyle name="Normal 132 3 2 3" xfId="27471"/>
    <cellStyle name="Normal 132 3 3" xfId="13650"/>
    <cellStyle name="Normal 132 3 3 2" xfId="31276"/>
    <cellStyle name="Normal 132 3 4" xfId="22518"/>
    <cellStyle name="Normal 132 3 5" xfId="24610"/>
    <cellStyle name="Normal 132 4" xfId="6430"/>
    <cellStyle name="Normal 132 4 2" xfId="9637"/>
    <cellStyle name="Normal 132 4 2 2" xfId="17425"/>
    <cellStyle name="Normal 132 4 2 2 2" xfId="35048"/>
    <cellStyle name="Normal 132 4 2 3" xfId="28007"/>
    <cellStyle name="Normal 132 4 3" xfId="14213"/>
    <cellStyle name="Normal 132 4 3 2" xfId="31834"/>
    <cellStyle name="Normal 132 4 4" xfId="25146"/>
    <cellStyle name="Normal 132 5" xfId="7205"/>
    <cellStyle name="Normal 132 5 2" xfId="10190"/>
    <cellStyle name="Normal 132 5 2 2" xfId="17977"/>
    <cellStyle name="Normal 132 5 2 2 2" xfId="35600"/>
    <cellStyle name="Normal 132 5 2 3" xfId="28543"/>
    <cellStyle name="Normal 132 5 3" xfId="14987"/>
    <cellStyle name="Normal 132 5 3 2" xfId="32608"/>
    <cellStyle name="Normal 132 5 4" xfId="25683"/>
    <cellStyle name="Normal 132 6" xfId="7803"/>
    <cellStyle name="Normal 132 6 2" xfId="15594"/>
    <cellStyle name="Normal 132 6 2 2" xfId="33215"/>
    <cellStyle name="Normal 132 6 3" xfId="26205"/>
    <cellStyle name="Normal 132 7" xfId="11702"/>
    <cellStyle name="Normal 132 7 2" xfId="29379"/>
    <cellStyle name="Normal 132 8" xfId="21962"/>
    <cellStyle name="Normal 132 8 2" xfId="38699"/>
    <cellStyle name="Normal 132 9" xfId="23344"/>
    <cellStyle name="Normal 133" xfId="2165"/>
    <cellStyle name="Normal 133 10" xfId="51937"/>
    <cellStyle name="Normal 133 2" xfId="4326"/>
    <cellStyle name="Normal 133 2 2" xfId="8482"/>
    <cellStyle name="Normal 133 2 2 2" xfId="16272"/>
    <cellStyle name="Normal 133 2 2 2 2" xfId="33893"/>
    <cellStyle name="Normal 133 2 2 3" xfId="26869"/>
    <cellStyle name="Normal 133 2 3" xfId="12713"/>
    <cellStyle name="Normal 133 2 3 2" xfId="30357"/>
    <cellStyle name="Normal 133 2 4" xfId="24008"/>
    <cellStyle name="Normal 133 3" xfId="5801"/>
    <cellStyle name="Normal 133 3 2" xfId="9098"/>
    <cellStyle name="Normal 133 3 2 2" xfId="16887"/>
    <cellStyle name="Normal 133 3 2 2 2" xfId="34509"/>
    <cellStyle name="Normal 133 3 2 3" xfId="27472"/>
    <cellStyle name="Normal 133 3 3" xfId="13651"/>
    <cellStyle name="Normal 133 3 3 2" xfId="31277"/>
    <cellStyle name="Normal 133 3 4" xfId="24611"/>
    <cellStyle name="Normal 133 4" xfId="6431"/>
    <cellStyle name="Normal 133 4 2" xfId="9638"/>
    <cellStyle name="Normal 133 4 2 2" xfId="17426"/>
    <cellStyle name="Normal 133 4 2 2 2" xfId="35049"/>
    <cellStyle name="Normal 133 4 2 3" xfId="28008"/>
    <cellStyle name="Normal 133 4 3" xfId="14214"/>
    <cellStyle name="Normal 133 4 3 2" xfId="31835"/>
    <cellStyle name="Normal 133 4 4" xfId="25147"/>
    <cellStyle name="Normal 133 5" xfId="7206"/>
    <cellStyle name="Normal 133 5 2" xfId="10191"/>
    <cellStyle name="Normal 133 5 2 2" xfId="17978"/>
    <cellStyle name="Normal 133 5 2 2 2" xfId="35601"/>
    <cellStyle name="Normal 133 5 2 3" xfId="28544"/>
    <cellStyle name="Normal 133 5 3" xfId="14988"/>
    <cellStyle name="Normal 133 5 3 2" xfId="32609"/>
    <cellStyle name="Normal 133 5 4" xfId="25684"/>
    <cellStyle name="Normal 133 6" xfId="7804"/>
    <cellStyle name="Normal 133 6 2" xfId="15595"/>
    <cellStyle name="Normal 133 6 2 2" xfId="33216"/>
    <cellStyle name="Normal 133 6 3" xfId="26206"/>
    <cellStyle name="Normal 133 7" xfId="11703"/>
    <cellStyle name="Normal 133 7 2" xfId="29380"/>
    <cellStyle name="Normal 133 8" xfId="21963"/>
    <cellStyle name="Normal 133 8 2" xfId="38700"/>
    <cellStyle name="Normal 133 9" xfId="23345"/>
    <cellStyle name="Normal 134" xfId="2166"/>
    <cellStyle name="Normal 134 2" xfId="4327"/>
    <cellStyle name="Normal 134 3" xfId="22519"/>
    <cellStyle name="Normal 134 3 2" xfId="38826"/>
    <cellStyle name="Normal 134 4" xfId="51938"/>
    <cellStyle name="Normal 135" xfId="2167"/>
    <cellStyle name="Normal 135 2" xfId="4328"/>
    <cellStyle name="Normal 135 3" xfId="22520"/>
    <cellStyle name="Normal 135 3 2" xfId="38827"/>
    <cellStyle name="Normal 135 4" xfId="51939"/>
    <cellStyle name="Normal 136" xfId="2168"/>
    <cellStyle name="Normal 136 2" xfId="4329"/>
    <cellStyle name="Normal 136 3" xfId="51940"/>
    <cellStyle name="Normal 137" xfId="2169"/>
    <cellStyle name="Normal 137 10" xfId="51941"/>
    <cellStyle name="Normal 137 2" xfId="4330"/>
    <cellStyle name="Normal 137 2 2" xfId="8483"/>
    <cellStyle name="Normal 137 2 2 2" xfId="16273"/>
    <cellStyle name="Normal 137 2 2 2 2" xfId="33894"/>
    <cellStyle name="Normal 137 2 2 3" xfId="26870"/>
    <cellStyle name="Normal 137 2 3" xfId="12714"/>
    <cellStyle name="Normal 137 2 3 2" xfId="30358"/>
    <cellStyle name="Normal 137 2 4" xfId="22930"/>
    <cellStyle name="Normal 137 2 4 2" xfId="39021"/>
    <cellStyle name="Normal 137 2 5" xfId="24009"/>
    <cellStyle name="Normal 137 3" xfId="5802"/>
    <cellStyle name="Normal 137 3 2" xfId="9099"/>
    <cellStyle name="Normal 137 3 2 2" xfId="16888"/>
    <cellStyle name="Normal 137 3 2 2 2" xfId="34510"/>
    <cellStyle name="Normal 137 3 2 3" xfId="27473"/>
    <cellStyle name="Normal 137 3 3" xfId="13652"/>
    <cellStyle name="Normal 137 3 3 2" xfId="31278"/>
    <cellStyle name="Normal 137 3 4" xfId="22521"/>
    <cellStyle name="Normal 137 3 5" xfId="24612"/>
    <cellStyle name="Normal 137 4" xfId="6432"/>
    <cellStyle name="Normal 137 4 2" xfId="9639"/>
    <cellStyle name="Normal 137 4 2 2" xfId="17427"/>
    <cellStyle name="Normal 137 4 2 2 2" xfId="35050"/>
    <cellStyle name="Normal 137 4 2 3" xfId="28009"/>
    <cellStyle name="Normal 137 4 3" xfId="14215"/>
    <cellStyle name="Normal 137 4 3 2" xfId="31836"/>
    <cellStyle name="Normal 137 4 4" xfId="25148"/>
    <cellStyle name="Normal 137 5" xfId="7207"/>
    <cellStyle name="Normal 137 5 2" xfId="10192"/>
    <cellStyle name="Normal 137 5 2 2" xfId="17979"/>
    <cellStyle name="Normal 137 5 2 2 2" xfId="35602"/>
    <cellStyle name="Normal 137 5 2 3" xfId="28545"/>
    <cellStyle name="Normal 137 5 3" xfId="14989"/>
    <cellStyle name="Normal 137 5 3 2" xfId="32610"/>
    <cellStyle name="Normal 137 5 4" xfId="25685"/>
    <cellStyle name="Normal 137 6" xfId="7805"/>
    <cellStyle name="Normal 137 6 2" xfId="15596"/>
    <cellStyle name="Normal 137 6 2 2" xfId="33217"/>
    <cellStyle name="Normal 137 6 3" xfId="26207"/>
    <cellStyle name="Normal 137 7" xfId="11704"/>
    <cellStyle name="Normal 137 7 2" xfId="29381"/>
    <cellStyle name="Normal 137 8" xfId="21964"/>
    <cellStyle name="Normal 137 8 2" xfId="38701"/>
    <cellStyle name="Normal 137 9" xfId="23346"/>
    <cellStyle name="Normal 138" xfId="2170"/>
    <cellStyle name="Normal 138 10" xfId="51942"/>
    <cellStyle name="Normal 138 2" xfId="4331"/>
    <cellStyle name="Normal 138 2 2" xfId="8484"/>
    <cellStyle name="Normal 138 2 2 2" xfId="16274"/>
    <cellStyle name="Normal 138 2 2 2 2" xfId="33895"/>
    <cellStyle name="Normal 138 2 2 3" xfId="26871"/>
    <cellStyle name="Normal 138 2 3" xfId="12715"/>
    <cellStyle name="Normal 138 2 3 2" xfId="30359"/>
    <cellStyle name="Normal 138 2 4" xfId="22931"/>
    <cellStyle name="Normal 138 2 4 2" xfId="39022"/>
    <cellStyle name="Normal 138 2 5" xfId="24010"/>
    <cellStyle name="Normal 138 3" xfId="5803"/>
    <cellStyle name="Normal 138 3 2" xfId="9100"/>
    <cellStyle name="Normal 138 3 2 2" xfId="16889"/>
    <cellStyle name="Normal 138 3 2 2 2" xfId="34511"/>
    <cellStyle name="Normal 138 3 2 3" xfId="27474"/>
    <cellStyle name="Normal 138 3 3" xfId="13653"/>
    <cellStyle name="Normal 138 3 3 2" xfId="31279"/>
    <cellStyle name="Normal 138 3 4" xfId="22522"/>
    <cellStyle name="Normal 138 3 5" xfId="24613"/>
    <cellStyle name="Normal 138 4" xfId="6433"/>
    <cellStyle name="Normal 138 4 2" xfId="9640"/>
    <cellStyle name="Normal 138 4 2 2" xfId="17428"/>
    <cellStyle name="Normal 138 4 2 2 2" xfId="35051"/>
    <cellStyle name="Normal 138 4 2 3" xfId="28010"/>
    <cellStyle name="Normal 138 4 3" xfId="14216"/>
    <cellStyle name="Normal 138 4 3 2" xfId="31837"/>
    <cellStyle name="Normal 138 4 4" xfId="25149"/>
    <cellStyle name="Normal 138 5" xfId="7208"/>
    <cellStyle name="Normal 138 5 2" xfId="10193"/>
    <cellStyle name="Normal 138 5 2 2" xfId="17980"/>
    <cellStyle name="Normal 138 5 2 2 2" xfId="35603"/>
    <cellStyle name="Normal 138 5 2 3" xfId="28546"/>
    <cellStyle name="Normal 138 5 3" xfId="14990"/>
    <cellStyle name="Normal 138 5 3 2" xfId="32611"/>
    <cellStyle name="Normal 138 5 4" xfId="25686"/>
    <cellStyle name="Normal 138 6" xfId="7806"/>
    <cellStyle name="Normal 138 6 2" xfId="15597"/>
    <cellStyle name="Normal 138 6 2 2" xfId="33218"/>
    <cellStyle name="Normal 138 6 3" xfId="26208"/>
    <cellStyle name="Normal 138 7" xfId="11705"/>
    <cellStyle name="Normal 138 7 2" xfId="29382"/>
    <cellStyle name="Normal 138 8" xfId="21965"/>
    <cellStyle name="Normal 138 8 2" xfId="38702"/>
    <cellStyle name="Normal 138 9" xfId="23347"/>
    <cellStyle name="Normal 139" xfId="2171"/>
    <cellStyle name="Normal 139 10" xfId="51943"/>
    <cellStyle name="Normal 139 2" xfId="4332"/>
    <cellStyle name="Normal 139 2 2" xfId="8485"/>
    <cellStyle name="Normal 139 2 2 2" xfId="16275"/>
    <cellStyle name="Normal 139 2 2 2 2" xfId="33896"/>
    <cellStyle name="Normal 139 2 2 3" xfId="26872"/>
    <cellStyle name="Normal 139 2 3" xfId="12716"/>
    <cellStyle name="Normal 139 2 3 2" xfId="30360"/>
    <cellStyle name="Normal 139 2 4" xfId="22932"/>
    <cellStyle name="Normal 139 2 4 2" xfId="39023"/>
    <cellStyle name="Normal 139 2 5" xfId="24011"/>
    <cellStyle name="Normal 139 3" xfId="5804"/>
    <cellStyle name="Normal 139 3 2" xfId="9101"/>
    <cellStyle name="Normal 139 3 2 2" xfId="16890"/>
    <cellStyle name="Normal 139 3 2 2 2" xfId="34512"/>
    <cellStyle name="Normal 139 3 2 3" xfId="27475"/>
    <cellStyle name="Normal 139 3 3" xfId="13654"/>
    <cellStyle name="Normal 139 3 3 2" xfId="31280"/>
    <cellStyle name="Normal 139 3 4" xfId="22523"/>
    <cellStyle name="Normal 139 3 5" xfId="24614"/>
    <cellStyle name="Normal 139 4" xfId="6434"/>
    <cellStyle name="Normal 139 4 2" xfId="9641"/>
    <cellStyle name="Normal 139 4 2 2" xfId="17429"/>
    <cellStyle name="Normal 139 4 2 2 2" xfId="35052"/>
    <cellStyle name="Normal 139 4 2 3" xfId="28011"/>
    <cellStyle name="Normal 139 4 3" xfId="14217"/>
    <cellStyle name="Normal 139 4 3 2" xfId="31838"/>
    <cellStyle name="Normal 139 4 4" xfId="25150"/>
    <cellStyle name="Normal 139 5" xfId="7209"/>
    <cellStyle name="Normal 139 5 2" xfId="10194"/>
    <cellStyle name="Normal 139 5 2 2" xfId="17981"/>
    <cellStyle name="Normal 139 5 2 2 2" xfId="35604"/>
    <cellStyle name="Normal 139 5 2 3" xfId="28547"/>
    <cellStyle name="Normal 139 5 3" xfId="14991"/>
    <cellStyle name="Normal 139 5 3 2" xfId="32612"/>
    <cellStyle name="Normal 139 5 4" xfId="25687"/>
    <cellStyle name="Normal 139 6" xfId="7807"/>
    <cellStyle name="Normal 139 6 2" xfId="15598"/>
    <cellStyle name="Normal 139 6 2 2" xfId="33219"/>
    <cellStyle name="Normal 139 6 3" xfId="26209"/>
    <cellStyle name="Normal 139 7" xfId="11706"/>
    <cellStyle name="Normal 139 7 2" xfId="29383"/>
    <cellStyle name="Normal 139 8" xfId="21966"/>
    <cellStyle name="Normal 139 8 2" xfId="38703"/>
    <cellStyle name="Normal 139 9" xfId="23348"/>
    <cellStyle name="Normal 14" xfId="2172"/>
    <cellStyle name="Normal 14 2" xfId="2173"/>
    <cellStyle name="Normal 14 2 2" xfId="2174"/>
    <cellStyle name="Normal 14 2_Sheet1" xfId="2175"/>
    <cellStyle name="Normal 14 3" xfId="2176"/>
    <cellStyle name="Normal 14 4" xfId="22933"/>
    <cellStyle name="Normal 14 5" xfId="22524"/>
    <cellStyle name="Normal 14 6" xfId="22404"/>
    <cellStyle name="Normal 14 7" xfId="53201"/>
    <cellStyle name="Normal 14 8" xfId="53202"/>
    <cellStyle name="Normal 14 9" xfId="53200"/>
    <cellStyle name="Normal 14_Sheet1" xfId="2177"/>
    <cellStyle name="Normal 140" xfId="2178"/>
    <cellStyle name="Normal 140 10" xfId="51944"/>
    <cellStyle name="Normal 140 2" xfId="4333"/>
    <cellStyle name="Normal 140 2 2" xfId="8486"/>
    <cellStyle name="Normal 140 2 2 2" xfId="16276"/>
    <cellStyle name="Normal 140 2 2 2 2" xfId="33897"/>
    <cellStyle name="Normal 140 2 2 3" xfId="26873"/>
    <cellStyle name="Normal 140 2 3" xfId="12717"/>
    <cellStyle name="Normal 140 2 3 2" xfId="30361"/>
    <cellStyle name="Normal 140 2 4" xfId="22934"/>
    <cellStyle name="Normal 140 2 5" xfId="24012"/>
    <cellStyle name="Normal 140 3" xfId="5805"/>
    <cellStyle name="Normal 140 3 2" xfId="9102"/>
    <cellStyle name="Normal 140 3 2 2" xfId="16891"/>
    <cellStyle name="Normal 140 3 2 2 2" xfId="34513"/>
    <cellStyle name="Normal 140 3 2 3" xfId="27476"/>
    <cellStyle name="Normal 140 3 3" xfId="13655"/>
    <cellStyle name="Normal 140 3 3 2" xfId="31281"/>
    <cellStyle name="Normal 140 3 4" xfId="22525"/>
    <cellStyle name="Normal 140 3 5" xfId="24615"/>
    <cellStyle name="Normal 140 4" xfId="6435"/>
    <cellStyle name="Normal 140 4 2" xfId="9642"/>
    <cellStyle name="Normal 140 4 2 2" xfId="17430"/>
    <cellStyle name="Normal 140 4 2 2 2" xfId="35053"/>
    <cellStyle name="Normal 140 4 2 3" xfId="28012"/>
    <cellStyle name="Normal 140 4 3" xfId="14218"/>
    <cellStyle name="Normal 140 4 3 2" xfId="31839"/>
    <cellStyle name="Normal 140 4 4" xfId="25151"/>
    <cellStyle name="Normal 140 5" xfId="7210"/>
    <cellStyle name="Normal 140 5 2" xfId="10195"/>
    <cellStyle name="Normal 140 5 2 2" xfId="17982"/>
    <cellStyle name="Normal 140 5 2 2 2" xfId="35605"/>
    <cellStyle name="Normal 140 5 2 3" xfId="28548"/>
    <cellStyle name="Normal 140 5 3" xfId="14992"/>
    <cellStyle name="Normal 140 5 3 2" xfId="32613"/>
    <cellStyle name="Normal 140 5 4" xfId="25688"/>
    <cellStyle name="Normal 140 6" xfId="7808"/>
    <cellStyle name="Normal 140 6 2" xfId="15599"/>
    <cellStyle name="Normal 140 6 2 2" xfId="33220"/>
    <cellStyle name="Normal 140 6 3" xfId="26210"/>
    <cellStyle name="Normal 140 7" xfId="11709"/>
    <cellStyle name="Normal 140 7 2" xfId="29384"/>
    <cellStyle name="Normal 140 8" xfId="21967"/>
    <cellStyle name="Normal 140 9" xfId="23349"/>
    <cellStyle name="Normal 141" xfId="2179"/>
    <cellStyle name="Normal 141 10" xfId="51945"/>
    <cellStyle name="Normal 141 2" xfId="4334"/>
    <cellStyle name="Normal 141 2 2" xfId="8487"/>
    <cellStyle name="Normal 141 2 2 2" xfId="16277"/>
    <cellStyle name="Normal 141 2 2 2 2" xfId="33898"/>
    <cellStyle name="Normal 141 2 2 3" xfId="23014"/>
    <cellStyle name="Normal 141 2 2 4" xfId="26874"/>
    <cellStyle name="Normal 141 2 3" xfId="12718"/>
    <cellStyle name="Normal 141 2 3 2" xfId="22016"/>
    <cellStyle name="Normal 141 2 3 3" xfId="30362"/>
    <cellStyle name="Normal 141 2 4" xfId="21996"/>
    <cellStyle name="Normal 141 2 5" xfId="24013"/>
    <cellStyle name="Normal 141 3" xfId="5806"/>
    <cellStyle name="Normal 141 3 2" xfId="9103"/>
    <cellStyle name="Normal 141 3 2 2" xfId="16892"/>
    <cellStyle name="Normal 141 3 2 2 2" xfId="34514"/>
    <cellStyle name="Normal 141 3 2 3" xfId="27477"/>
    <cellStyle name="Normal 141 3 3" xfId="13656"/>
    <cellStyle name="Normal 141 3 3 2" xfId="31282"/>
    <cellStyle name="Normal 141 3 4" xfId="22935"/>
    <cellStyle name="Normal 141 3 5" xfId="24616"/>
    <cellStyle name="Normal 141 4" xfId="6436"/>
    <cellStyle name="Normal 141 4 2" xfId="9643"/>
    <cellStyle name="Normal 141 4 2 2" xfId="17431"/>
    <cellStyle name="Normal 141 4 2 2 2" xfId="35054"/>
    <cellStyle name="Normal 141 4 2 3" xfId="28013"/>
    <cellStyle name="Normal 141 4 3" xfId="14219"/>
    <cellStyle name="Normal 141 4 3 2" xfId="31840"/>
    <cellStyle name="Normal 141 4 4" xfId="22526"/>
    <cellStyle name="Normal 141 4 4 2" xfId="38828"/>
    <cellStyle name="Normal 141 4 5" xfId="25152"/>
    <cellStyle name="Normal 141 5" xfId="7211"/>
    <cellStyle name="Normal 141 5 2" xfId="10196"/>
    <cellStyle name="Normal 141 5 2 2" xfId="17983"/>
    <cellStyle name="Normal 141 5 2 2 2" xfId="35606"/>
    <cellStyle name="Normal 141 5 2 3" xfId="28549"/>
    <cellStyle name="Normal 141 5 3" xfId="14993"/>
    <cellStyle name="Normal 141 5 3 2" xfId="32614"/>
    <cellStyle name="Normal 141 5 4" xfId="25689"/>
    <cellStyle name="Normal 141 6" xfId="7809"/>
    <cellStyle name="Normal 141 6 2" xfId="15600"/>
    <cellStyle name="Normal 141 6 2 2" xfId="33221"/>
    <cellStyle name="Normal 141 6 3" xfId="26211"/>
    <cellStyle name="Normal 141 7" xfId="11710"/>
    <cellStyle name="Normal 141 7 2" xfId="29385"/>
    <cellStyle name="Normal 141 8" xfId="21968"/>
    <cellStyle name="Normal 141 9" xfId="23350"/>
    <cellStyle name="Normal 142" xfId="2180"/>
    <cellStyle name="Normal 142 10" xfId="51946"/>
    <cellStyle name="Normal 142 2" xfId="4335"/>
    <cellStyle name="Normal 142 2 2" xfId="8488"/>
    <cellStyle name="Normal 142 2 2 2" xfId="16278"/>
    <cellStyle name="Normal 142 2 2 2 2" xfId="33899"/>
    <cellStyle name="Normal 142 2 2 3" xfId="26875"/>
    <cellStyle name="Normal 142 2 3" xfId="12719"/>
    <cellStyle name="Normal 142 2 3 2" xfId="30363"/>
    <cellStyle name="Normal 142 2 4" xfId="22936"/>
    <cellStyle name="Normal 142 2 5" xfId="24014"/>
    <cellStyle name="Normal 142 3" xfId="5807"/>
    <cellStyle name="Normal 142 3 2" xfId="9104"/>
    <cellStyle name="Normal 142 3 2 2" xfId="16893"/>
    <cellStyle name="Normal 142 3 2 2 2" xfId="34515"/>
    <cellStyle name="Normal 142 3 2 3" xfId="27478"/>
    <cellStyle name="Normal 142 3 3" xfId="13657"/>
    <cellStyle name="Normal 142 3 3 2" xfId="31283"/>
    <cellStyle name="Normal 142 3 4" xfId="22527"/>
    <cellStyle name="Normal 142 3 4 2" xfId="38829"/>
    <cellStyle name="Normal 142 3 5" xfId="24617"/>
    <cellStyle name="Normal 142 4" xfId="6437"/>
    <cellStyle name="Normal 142 4 2" xfId="9644"/>
    <cellStyle name="Normal 142 4 2 2" xfId="17432"/>
    <cellStyle name="Normal 142 4 2 2 2" xfId="35055"/>
    <cellStyle name="Normal 142 4 2 3" xfId="28014"/>
    <cellStyle name="Normal 142 4 3" xfId="14220"/>
    <cellStyle name="Normal 142 4 3 2" xfId="31841"/>
    <cellStyle name="Normal 142 4 4" xfId="22012"/>
    <cellStyle name="Normal 142 4 5" xfId="25153"/>
    <cellStyle name="Normal 142 5" xfId="7212"/>
    <cellStyle name="Normal 142 5 2" xfId="10197"/>
    <cellStyle name="Normal 142 5 2 2" xfId="17984"/>
    <cellStyle name="Normal 142 5 2 2 2" xfId="35607"/>
    <cellStyle name="Normal 142 5 2 3" xfId="28550"/>
    <cellStyle name="Normal 142 5 3" xfId="14994"/>
    <cellStyle name="Normal 142 5 3 2" xfId="32615"/>
    <cellStyle name="Normal 142 5 4" xfId="25690"/>
    <cellStyle name="Normal 142 6" xfId="7810"/>
    <cellStyle name="Normal 142 6 2" xfId="15601"/>
    <cellStyle name="Normal 142 6 2 2" xfId="33222"/>
    <cellStyle name="Normal 142 6 3" xfId="26212"/>
    <cellStyle name="Normal 142 7" xfId="11711"/>
    <cellStyle name="Normal 142 7 2" xfId="29386"/>
    <cellStyle name="Normal 142 8" xfId="21969"/>
    <cellStyle name="Normal 142 9" xfId="23351"/>
    <cellStyle name="Normal 143" xfId="2181"/>
    <cellStyle name="Normal 143 10" xfId="23352"/>
    <cellStyle name="Normal 143 11" xfId="51947"/>
    <cellStyle name="Normal 143 2" xfId="2182"/>
    <cellStyle name="Normal 143 2 2" xfId="4337"/>
    <cellStyle name="Normal 143 2 3" xfId="22937"/>
    <cellStyle name="Normal 143 2 4" xfId="51948"/>
    <cellStyle name="Normal 143 3" xfId="4336"/>
    <cellStyle name="Normal 143 3 2" xfId="8489"/>
    <cellStyle name="Normal 143 3 2 2" xfId="16279"/>
    <cellStyle name="Normal 143 3 2 2 2" xfId="33900"/>
    <cellStyle name="Normal 143 3 2 3" xfId="26876"/>
    <cellStyle name="Normal 143 3 3" xfId="12720"/>
    <cellStyle name="Normal 143 3 3 2" xfId="30364"/>
    <cellStyle name="Normal 143 3 4" xfId="22653"/>
    <cellStyle name="Normal 143 3 4 2" xfId="38872"/>
    <cellStyle name="Normal 143 3 5" xfId="24015"/>
    <cellStyle name="Normal 143 4" xfId="5808"/>
    <cellStyle name="Normal 143 4 2" xfId="9105"/>
    <cellStyle name="Normal 143 4 2 2" xfId="16894"/>
    <cellStyle name="Normal 143 4 2 2 2" xfId="34516"/>
    <cellStyle name="Normal 143 4 2 3" xfId="27479"/>
    <cellStyle name="Normal 143 4 3" xfId="13658"/>
    <cellStyle name="Normal 143 4 3 2" xfId="31284"/>
    <cellStyle name="Normal 143 4 4" xfId="22013"/>
    <cellStyle name="Normal 143 4 5" xfId="24618"/>
    <cellStyle name="Normal 143 5" xfId="6438"/>
    <cellStyle name="Normal 143 5 2" xfId="9645"/>
    <cellStyle name="Normal 143 5 2 2" xfId="17433"/>
    <cellStyle name="Normal 143 5 2 2 2" xfId="35056"/>
    <cellStyle name="Normal 143 5 2 3" xfId="28015"/>
    <cellStyle name="Normal 143 5 3" xfId="14221"/>
    <cellStyle name="Normal 143 5 3 2" xfId="31842"/>
    <cellStyle name="Normal 143 5 4" xfId="25154"/>
    <cellStyle name="Normal 143 6" xfId="7213"/>
    <cellStyle name="Normal 143 6 2" xfId="10198"/>
    <cellStyle name="Normal 143 6 2 2" xfId="17985"/>
    <cellStyle name="Normal 143 6 2 2 2" xfId="35608"/>
    <cellStyle name="Normal 143 6 2 3" xfId="28551"/>
    <cellStyle name="Normal 143 6 3" xfId="14995"/>
    <cellStyle name="Normal 143 6 3 2" xfId="32616"/>
    <cellStyle name="Normal 143 6 4" xfId="25691"/>
    <cellStyle name="Normal 143 7" xfId="7811"/>
    <cellStyle name="Normal 143 7 2" xfId="15602"/>
    <cellStyle name="Normal 143 7 2 2" xfId="33223"/>
    <cellStyle name="Normal 143 7 3" xfId="26213"/>
    <cellStyle name="Normal 143 8" xfId="11712"/>
    <cellStyle name="Normal 143 8 2" xfId="29387"/>
    <cellStyle name="Normal 143 9" xfId="21970"/>
    <cellStyle name="Normal 144" xfId="2183"/>
    <cellStyle name="Normal 144 10" xfId="51949"/>
    <cellStyle name="Normal 144 2" xfId="4338"/>
    <cellStyle name="Normal 144 2 2" xfId="8490"/>
    <cellStyle name="Normal 144 2 2 2" xfId="16280"/>
    <cellStyle name="Normal 144 2 2 2 2" xfId="33901"/>
    <cellStyle name="Normal 144 2 2 3" xfId="26877"/>
    <cellStyle name="Normal 144 2 3" xfId="12721"/>
    <cellStyle name="Normal 144 2 3 2" xfId="30365"/>
    <cellStyle name="Normal 144 2 4" xfId="22938"/>
    <cellStyle name="Normal 144 2 5" xfId="24016"/>
    <cellStyle name="Normal 144 3" xfId="5809"/>
    <cellStyle name="Normal 144 3 2" xfId="9106"/>
    <cellStyle name="Normal 144 3 2 2" xfId="16895"/>
    <cellStyle name="Normal 144 3 2 2 2" xfId="34517"/>
    <cellStyle name="Normal 144 3 2 3" xfId="27480"/>
    <cellStyle name="Normal 144 3 3" xfId="13659"/>
    <cellStyle name="Normal 144 3 3 2" xfId="31285"/>
    <cellStyle name="Normal 144 3 4" xfId="22682"/>
    <cellStyle name="Normal 144 3 4 2" xfId="38886"/>
    <cellStyle name="Normal 144 3 5" xfId="24619"/>
    <cellStyle name="Normal 144 4" xfId="6439"/>
    <cellStyle name="Normal 144 4 2" xfId="9646"/>
    <cellStyle name="Normal 144 4 2 2" xfId="17434"/>
    <cellStyle name="Normal 144 4 2 2 2" xfId="35057"/>
    <cellStyle name="Normal 144 4 2 3" xfId="28016"/>
    <cellStyle name="Normal 144 4 3" xfId="14222"/>
    <cellStyle name="Normal 144 4 3 2" xfId="31843"/>
    <cellStyle name="Normal 144 4 4" xfId="22014"/>
    <cellStyle name="Normal 144 4 5" xfId="25155"/>
    <cellStyle name="Normal 144 5" xfId="7214"/>
    <cellStyle name="Normal 144 5 2" xfId="10199"/>
    <cellStyle name="Normal 144 5 2 2" xfId="17986"/>
    <cellStyle name="Normal 144 5 2 2 2" xfId="35609"/>
    <cellStyle name="Normal 144 5 2 3" xfId="28552"/>
    <cellStyle name="Normal 144 5 3" xfId="14996"/>
    <cellStyle name="Normal 144 5 3 2" xfId="32617"/>
    <cellStyle name="Normal 144 5 4" xfId="25692"/>
    <cellStyle name="Normal 144 6" xfId="7812"/>
    <cellStyle name="Normal 144 6 2" xfId="15603"/>
    <cellStyle name="Normal 144 6 2 2" xfId="33224"/>
    <cellStyle name="Normal 144 6 3" xfId="26214"/>
    <cellStyle name="Normal 144 7" xfId="11713"/>
    <cellStyle name="Normal 144 7 2" xfId="29388"/>
    <cellStyle name="Normal 144 8" xfId="21971"/>
    <cellStyle name="Normal 144 9" xfId="23353"/>
    <cellStyle name="Normal 145" xfId="2184"/>
    <cellStyle name="Normal 145 2" xfId="4339"/>
    <cellStyle name="Normal 145 2 2" xfId="22939"/>
    <cellStyle name="Normal 145 3" xfId="22684"/>
    <cellStyle name="Normal 145 3 2" xfId="38887"/>
    <cellStyle name="Normal 145 4" xfId="22015"/>
    <cellStyle name="Normal 145 5" xfId="21972"/>
    <cellStyle name="Normal 145 6" xfId="51950"/>
    <cellStyle name="Normal 146" xfId="2185"/>
    <cellStyle name="Normal 146 2" xfId="4340"/>
    <cellStyle name="Normal 146 3" xfId="22686"/>
    <cellStyle name="Normal 146 3 2" xfId="38888"/>
    <cellStyle name="Normal 146 4" xfId="51951"/>
    <cellStyle name="Normal 147" xfId="2186"/>
    <cellStyle name="Normal 147 2" xfId="4341"/>
    <cellStyle name="Normal 147 3" xfId="22689"/>
    <cellStyle name="Normal 147 3 2" xfId="38889"/>
    <cellStyle name="Normal 147 4" xfId="51952"/>
    <cellStyle name="Normal 148" xfId="2187"/>
    <cellStyle name="Normal 148 2" xfId="4342"/>
    <cellStyle name="Normal 148 3" xfId="22695"/>
    <cellStyle name="Normal 148 3 2" xfId="38891"/>
    <cellStyle name="Normal 148 4" xfId="51953"/>
    <cellStyle name="Normal 149" xfId="2188"/>
    <cellStyle name="Normal 149 2" xfId="4343"/>
    <cellStyle name="Normal 149 2 2" xfId="22005"/>
    <cellStyle name="Normal 149 3" xfId="22779"/>
    <cellStyle name="Normal 149 4" xfId="21997"/>
    <cellStyle name="Normal 149 5" xfId="51954"/>
    <cellStyle name="Normal 15" xfId="2189"/>
    <cellStyle name="Normal 15 2" xfId="2190"/>
    <cellStyle name="Normal 15 2 2" xfId="2191"/>
    <cellStyle name="Normal 15 2 3" xfId="22941"/>
    <cellStyle name="Normal 15 2 4" xfId="22741"/>
    <cellStyle name="Normal 15 2 4 2" xfId="38934"/>
    <cellStyle name="Normal 15 2_Sheet1" xfId="2192"/>
    <cellStyle name="Normal 15 3" xfId="2193"/>
    <cellStyle name="Normal 15 4" xfId="22940"/>
    <cellStyle name="Normal 15 5" xfId="22528"/>
    <cellStyle name="Normal 15 5 2" xfId="38830"/>
    <cellStyle name="Normal 15 6" xfId="53203"/>
    <cellStyle name="Normal 15_Sheet1" xfId="2194"/>
    <cellStyle name="Normal 150" xfId="2195"/>
    <cellStyle name="Normal 150 10" xfId="51955"/>
    <cellStyle name="Normal 150 2" xfId="4344"/>
    <cellStyle name="Normal 150 2 2" xfId="8491"/>
    <cellStyle name="Normal 150 2 2 2" xfId="16281"/>
    <cellStyle name="Normal 150 2 2 2 2" xfId="33902"/>
    <cellStyle name="Normal 150 2 2 3" xfId="26878"/>
    <cellStyle name="Normal 150 2 3" xfId="12722"/>
    <cellStyle name="Normal 150 2 3 2" xfId="30366"/>
    <cellStyle name="Normal 150 2 4" xfId="22006"/>
    <cellStyle name="Normal 150 2 5" xfId="24017"/>
    <cellStyle name="Normal 150 3" xfId="5810"/>
    <cellStyle name="Normal 150 3 2" xfId="9107"/>
    <cellStyle name="Normal 150 3 2 2" xfId="16896"/>
    <cellStyle name="Normal 150 3 2 2 2" xfId="34518"/>
    <cellStyle name="Normal 150 3 2 3" xfId="27481"/>
    <cellStyle name="Normal 150 3 3" xfId="13660"/>
    <cellStyle name="Normal 150 3 3 2" xfId="31286"/>
    <cellStyle name="Normal 150 3 4" xfId="22782"/>
    <cellStyle name="Normal 150 3 5" xfId="24620"/>
    <cellStyle name="Normal 150 4" xfId="6440"/>
    <cellStyle name="Normal 150 4 2" xfId="9647"/>
    <cellStyle name="Normal 150 4 2 2" xfId="17435"/>
    <cellStyle name="Normal 150 4 2 2 2" xfId="35058"/>
    <cellStyle name="Normal 150 4 2 3" xfId="28017"/>
    <cellStyle name="Normal 150 4 3" xfId="14223"/>
    <cellStyle name="Normal 150 4 3 2" xfId="31844"/>
    <cellStyle name="Normal 150 4 4" xfId="25156"/>
    <cellStyle name="Normal 150 5" xfId="7215"/>
    <cellStyle name="Normal 150 5 2" xfId="10200"/>
    <cellStyle name="Normal 150 5 2 2" xfId="17987"/>
    <cellStyle name="Normal 150 5 2 2 2" xfId="35610"/>
    <cellStyle name="Normal 150 5 2 3" xfId="28553"/>
    <cellStyle name="Normal 150 5 3" xfId="14997"/>
    <cellStyle name="Normal 150 5 3 2" xfId="32618"/>
    <cellStyle name="Normal 150 5 4" xfId="25693"/>
    <cellStyle name="Normal 150 6" xfId="7813"/>
    <cellStyle name="Normal 150 6 2" xfId="15604"/>
    <cellStyle name="Normal 150 6 2 2" xfId="33225"/>
    <cellStyle name="Normal 150 6 3" xfId="26215"/>
    <cellStyle name="Normal 150 7" xfId="11718"/>
    <cellStyle name="Normal 150 7 2" xfId="29391"/>
    <cellStyle name="Normal 150 8" xfId="21998"/>
    <cellStyle name="Normal 150 9" xfId="23354"/>
    <cellStyle name="Normal 151" xfId="2196"/>
    <cellStyle name="Normal 151 2" xfId="2197"/>
    <cellStyle name="Normal 151 2 2" xfId="4346"/>
    <cellStyle name="Normal 151 2 3" xfId="22007"/>
    <cellStyle name="Normal 151 2 4" xfId="51957"/>
    <cellStyle name="Normal 151 3" xfId="2198"/>
    <cellStyle name="Normal 151 3 2" xfId="8492"/>
    <cellStyle name="Normal 151 3 2 2" xfId="16282"/>
    <cellStyle name="Normal 151 3 2 2 2" xfId="33903"/>
    <cellStyle name="Normal 151 3 2 3" xfId="26879"/>
    <cellStyle name="Normal 151 3 3" xfId="12724"/>
    <cellStyle name="Normal 151 3 3 2" xfId="30368"/>
    <cellStyle name="Normal 151 3 4" xfId="22783"/>
    <cellStyle name="Normal 151 3 5" xfId="24018"/>
    <cellStyle name="Normal 151 3 6" xfId="51958"/>
    <cellStyle name="Normal 151 4" xfId="4345"/>
    <cellStyle name="Normal 151 5" xfId="7814"/>
    <cellStyle name="Normal 151 5 2" xfId="15605"/>
    <cellStyle name="Normal 151 5 2 2" xfId="33226"/>
    <cellStyle name="Normal 151 5 3" xfId="26216"/>
    <cellStyle name="Normal 151 6" xfId="11719"/>
    <cellStyle name="Normal 151 6 2" xfId="29392"/>
    <cellStyle name="Normal 151 7" xfId="21999"/>
    <cellStyle name="Normal 151 8" xfId="23355"/>
    <cellStyle name="Normal 151 9" xfId="51956"/>
    <cellStyle name="Normal 152" xfId="2199"/>
    <cellStyle name="Normal 152 2" xfId="2200"/>
    <cellStyle name="Normal 152 2 2" xfId="4348"/>
    <cellStyle name="Normal 152 2 3" xfId="22010"/>
    <cellStyle name="Normal 152 2 4" xfId="22008"/>
    <cellStyle name="Normal 152 2 5" xfId="51960"/>
    <cellStyle name="Normal 152 3" xfId="2201"/>
    <cellStyle name="Normal 152 3 2" xfId="8493"/>
    <cellStyle name="Normal 152 3 2 2" xfId="16283"/>
    <cellStyle name="Normal 152 3 2 2 2" xfId="33904"/>
    <cellStyle name="Normal 152 3 2 3" xfId="26880"/>
    <cellStyle name="Normal 152 3 3" xfId="12727"/>
    <cellStyle name="Normal 152 3 3 2" xfId="30371"/>
    <cellStyle name="Normal 152 3 4" xfId="22784"/>
    <cellStyle name="Normal 152 3 5" xfId="24019"/>
    <cellStyle name="Normal 152 3 6" xfId="51961"/>
    <cellStyle name="Normal 152 4" xfId="4347"/>
    <cellStyle name="Normal 152 5" xfId="7815"/>
    <cellStyle name="Normal 152 5 2" xfId="15606"/>
    <cellStyle name="Normal 152 5 2 2" xfId="33227"/>
    <cellStyle name="Normal 152 5 3" xfId="26217"/>
    <cellStyle name="Normal 152 6" xfId="11721"/>
    <cellStyle name="Normal 152 6 2" xfId="29394"/>
    <cellStyle name="Normal 152 7" xfId="22000"/>
    <cellStyle name="Normal 152 8" xfId="23356"/>
    <cellStyle name="Normal 152 9" xfId="51959"/>
    <cellStyle name="Normal 153" xfId="2202"/>
    <cellStyle name="Normal 153 2" xfId="4349"/>
    <cellStyle name="Normal 153 3" xfId="22002"/>
    <cellStyle name="Normal 153 3 2" xfId="38722"/>
    <cellStyle name="Normal 153 4" xfId="51962"/>
    <cellStyle name="Normal 154" xfId="2203"/>
    <cellStyle name="Normal 154 2" xfId="4350"/>
    <cellStyle name="Normal 154 3" xfId="22001"/>
    <cellStyle name="Normal 154 4" xfId="51963"/>
    <cellStyle name="Normal 155" xfId="2204"/>
    <cellStyle name="Normal 155 2" xfId="4351"/>
    <cellStyle name="Normal 155 3" xfId="22003"/>
    <cellStyle name="Normal 155 4" xfId="51964"/>
    <cellStyle name="Normal 156" xfId="2205"/>
    <cellStyle name="Normal 156 2" xfId="4352"/>
    <cellStyle name="Normal 156 3" xfId="22009"/>
    <cellStyle name="Normal 156 4" xfId="51965"/>
    <cellStyle name="Normal 157" xfId="2206"/>
    <cellStyle name="Normal 157 2" xfId="4353"/>
    <cellStyle name="Normal 157 3" xfId="22004"/>
    <cellStyle name="Normal 157 4" xfId="51966"/>
    <cellStyle name="Normal 158" xfId="2207"/>
    <cellStyle name="Normal 158 2" xfId="4354"/>
    <cellStyle name="Normal 158 3" xfId="51967"/>
    <cellStyle name="Normal 159" xfId="2208"/>
    <cellStyle name="Normal 159 2" xfId="4355"/>
    <cellStyle name="Normal 159 3" xfId="51968"/>
    <cellStyle name="Normal 16" xfId="2209"/>
    <cellStyle name="Normal 16 2" xfId="2210"/>
    <cellStyle name="Normal 16 2 2" xfId="2211"/>
    <cellStyle name="Normal 16 2 3" xfId="22943"/>
    <cellStyle name="Normal 16 2 4" xfId="22742"/>
    <cellStyle name="Normal 16 2 4 2" xfId="38935"/>
    <cellStyle name="Normal 16 2_Sheet1" xfId="2212"/>
    <cellStyle name="Normal 16 3" xfId="2213"/>
    <cellStyle name="Normal 16 4" xfId="22942"/>
    <cellStyle name="Normal 16 5" xfId="22529"/>
    <cellStyle name="Normal 16 5 2" xfId="38831"/>
    <cellStyle name="Normal 16 6" xfId="53204"/>
    <cellStyle name="Normal 16_Sheet1" xfId="2214"/>
    <cellStyle name="Normal 160" xfId="2215"/>
    <cellStyle name="Normal 160 2" xfId="4356"/>
    <cellStyle name="Normal 160 3" xfId="51969"/>
    <cellStyle name="Normal 161" xfId="2216"/>
    <cellStyle name="Normal 161 2" xfId="4357"/>
    <cellStyle name="Normal 161 3" xfId="51970"/>
    <cellStyle name="Normal 162" xfId="2217"/>
    <cellStyle name="Normal 162 2" xfId="4358"/>
    <cellStyle name="Normal 162 3" xfId="51971"/>
    <cellStyle name="Normal 163" xfId="2218"/>
    <cellStyle name="Normal 163 2" xfId="4359"/>
    <cellStyle name="Normal 163 3" xfId="51972"/>
    <cellStyle name="Normal 164" xfId="2219"/>
    <cellStyle name="Normal 164 2" xfId="4360"/>
    <cellStyle name="Normal 164 3" xfId="51973"/>
    <cellStyle name="Normal 165" xfId="2220"/>
    <cellStyle name="Normal 165 10" xfId="51974"/>
    <cellStyle name="Normal 165 2" xfId="4361"/>
    <cellStyle name="Normal 165 2 2" xfId="8494"/>
    <cellStyle name="Normal 165 2 2 2" xfId="16284"/>
    <cellStyle name="Normal 165 2 2 2 2" xfId="33905"/>
    <cellStyle name="Normal 165 2 2 3" xfId="26881"/>
    <cellStyle name="Normal 165 2 3" xfId="12731"/>
    <cellStyle name="Normal 165 2 3 2" xfId="30375"/>
    <cellStyle name="Normal 165 2 4" xfId="24020"/>
    <cellStyle name="Normal 165 3" xfId="5811"/>
    <cellStyle name="Normal 165 3 2" xfId="9108"/>
    <cellStyle name="Normal 165 3 2 2" xfId="16897"/>
    <cellStyle name="Normal 165 3 2 2 2" xfId="34519"/>
    <cellStyle name="Normal 165 3 2 3" xfId="27482"/>
    <cellStyle name="Normal 165 3 3" xfId="13661"/>
    <cellStyle name="Normal 165 3 3 2" xfId="31287"/>
    <cellStyle name="Normal 165 3 4" xfId="24621"/>
    <cellStyle name="Normal 165 4" xfId="6441"/>
    <cellStyle name="Normal 165 4 2" xfId="9648"/>
    <cellStyle name="Normal 165 4 2 2" xfId="17436"/>
    <cellStyle name="Normal 165 4 2 2 2" xfId="35059"/>
    <cellStyle name="Normal 165 4 2 3" xfId="28018"/>
    <cellStyle name="Normal 165 4 3" xfId="14224"/>
    <cellStyle name="Normal 165 4 3 2" xfId="31845"/>
    <cellStyle name="Normal 165 4 4" xfId="25157"/>
    <cellStyle name="Normal 165 5" xfId="7216"/>
    <cellStyle name="Normal 165 5 2" xfId="10201"/>
    <cellStyle name="Normal 165 5 2 2" xfId="17988"/>
    <cellStyle name="Normal 165 5 2 2 2" xfId="35611"/>
    <cellStyle name="Normal 165 5 2 3" xfId="28554"/>
    <cellStyle name="Normal 165 5 3" xfId="14998"/>
    <cellStyle name="Normal 165 5 3 2" xfId="32619"/>
    <cellStyle name="Normal 165 5 4" xfId="25694"/>
    <cellStyle name="Normal 165 6" xfId="7816"/>
    <cellStyle name="Normal 165 6 2" xfId="15607"/>
    <cellStyle name="Normal 165 6 2 2" xfId="33228"/>
    <cellStyle name="Normal 165 6 3" xfId="26218"/>
    <cellStyle name="Normal 165 7" xfId="11726"/>
    <cellStyle name="Normal 165 7 2" xfId="29399"/>
    <cellStyle name="Normal 165 8" xfId="22789"/>
    <cellStyle name="Normal 165 9" xfId="23357"/>
    <cellStyle name="Normal 166" xfId="2221"/>
    <cellStyle name="Normal 166 10" xfId="51975"/>
    <cellStyle name="Normal 166 2" xfId="4362"/>
    <cellStyle name="Normal 166 2 2" xfId="8495"/>
    <cellStyle name="Normal 166 2 2 2" xfId="16285"/>
    <cellStyle name="Normal 166 2 2 2 2" xfId="33906"/>
    <cellStyle name="Normal 166 2 2 3" xfId="26882"/>
    <cellStyle name="Normal 166 2 3" xfId="12732"/>
    <cellStyle name="Normal 166 2 3 2" xfId="30376"/>
    <cellStyle name="Normal 166 2 4" xfId="24021"/>
    <cellStyle name="Normal 166 3" xfId="5812"/>
    <cellStyle name="Normal 166 3 2" xfId="9109"/>
    <cellStyle name="Normal 166 3 2 2" xfId="16898"/>
    <cellStyle name="Normal 166 3 2 2 2" xfId="34520"/>
    <cellStyle name="Normal 166 3 2 3" xfId="27483"/>
    <cellStyle name="Normal 166 3 3" xfId="13662"/>
    <cellStyle name="Normal 166 3 3 2" xfId="31288"/>
    <cellStyle name="Normal 166 3 4" xfId="24622"/>
    <cellStyle name="Normal 166 4" xfId="6442"/>
    <cellStyle name="Normal 166 4 2" xfId="9649"/>
    <cellStyle name="Normal 166 4 2 2" xfId="17437"/>
    <cellStyle name="Normal 166 4 2 2 2" xfId="35060"/>
    <cellStyle name="Normal 166 4 2 3" xfId="28019"/>
    <cellStyle name="Normal 166 4 3" xfId="14225"/>
    <cellStyle name="Normal 166 4 3 2" xfId="31846"/>
    <cellStyle name="Normal 166 4 4" xfId="25158"/>
    <cellStyle name="Normal 166 5" xfId="7217"/>
    <cellStyle name="Normal 166 5 2" xfId="10202"/>
    <cellStyle name="Normal 166 5 2 2" xfId="17989"/>
    <cellStyle name="Normal 166 5 2 2 2" xfId="35612"/>
    <cellStyle name="Normal 166 5 2 3" xfId="28555"/>
    <cellStyle name="Normal 166 5 3" xfId="14999"/>
    <cellStyle name="Normal 166 5 3 2" xfId="32620"/>
    <cellStyle name="Normal 166 5 4" xfId="25695"/>
    <cellStyle name="Normal 166 6" xfId="7817"/>
    <cellStyle name="Normal 166 6 2" xfId="15608"/>
    <cellStyle name="Normal 166 6 2 2" xfId="33229"/>
    <cellStyle name="Normal 166 6 3" xfId="26219"/>
    <cellStyle name="Normal 166 7" xfId="11727"/>
    <cellStyle name="Normal 166 7 2" xfId="29400"/>
    <cellStyle name="Normal 166 8" xfId="22788"/>
    <cellStyle name="Normal 166 9" xfId="23358"/>
    <cellStyle name="Normal 167" xfId="2222"/>
    <cellStyle name="Normal 167 10" xfId="51976"/>
    <cellStyle name="Normal 167 2" xfId="4363"/>
    <cellStyle name="Normal 167 2 2" xfId="8496"/>
    <cellStyle name="Normal 167 2 2 2" xfId="16286"/>
    <cellStyle name="Normal 167 2 2 2 2" xfId="33907"/>
    <cellStyle name="Normal 167 2 2 3" xfId="26883"/>
    <cellStyle name="Normal 167 2 3" xfId="12733"/>
    <cellStyle name="Normal 167 2 3 2" xfId="30377"/>
    <cellStyle name="Normal 167 2 4" xfId="24022"/>
    <cellStyle name="Normal 167 3" xfId="5813"/>
    <cellStyle name="Normal 167 3 2" xfId="9110"/>
    <cellStyle name="Normal 167 3 2 2" xfId="16899"/>
    <cellStyle name="Normal 167 3 2 2 2" xfId="34521"/>
    <cellStyle name="Normal 167 3 2 3" xfId="27484"/>
    <cellStyle name="Normal 167 3 3" xfId="13663"/>
    <cellStyle name="Normal 167 3 3 2" xfId="31289"/>
    <cellStyle name="Normal 167 3 4" xfId="24623"/>
    <cellStyle name="Normal 167 4" xfId="6443"/>
    <cellStyle name="Normal 167 4 2" xfId="9650"/>
    <cellStyle name="Normal 167 4 2 2" xfId="17438"/>
    <cellStyle name="Normal 167 4 2 2 2" xfId="35061"/>
    <cellStyle name="Normal 167 4 2 3" xfId="28020"/>
    <cellStyle name="Normal 167 4 3" xfId="14226"/>
    <cellStyle name="Normal 167 4 3 2" xfId="31847"/>
    <cellStyle name="Normal 167 4 4" xfId="25159"/>
    <cellStyle name="Normal 167 5" xfId="7218"/>
    <cellStyle name="Normal 167 5 2" xfId="10203"/>
    <cellStyle name="Normal 167 5 2 2" xfId="17990"/>
    <cellStyle name="Normal 167 5 2 2 2" xfId="35613"/>
    <cellStyle name="Normal 167 5 2 3" xfId="28556"/>
    <cellStyle name="Normal 167 5 3" xfId="15000"/>
    <cellStyle name="Normal 167 5 3 2" xfId="32621"/>
    <cellStyle name="Normal 167 5 4" xfId="25696"/>
    <cellStyle name="Normal 167 6" xfId="7818"/>
    <cellStyle name="Normal 167 6 2" xfId="15609"/>
    <cellStyle name="Normal 167 6 2 2" xfId="33230"/>
    <cellStyle name="Normal 167 6 3" xfId="26220"/>
    <cellStyle name="Normal 167 7" xfId="11728"/>
    <cellStyle name="Normal 167 7 2" xfId="29401"/>
    <cellStyle name="Normal 167 8" xfId="22792"/>
    <cellStyle name="Normal 167 9" xfId="23359"/>
    <cellStyle name="Normal 168" xfId="2223"/>
    <cellStyle name="Normal 168 2" xfId="4364"/>
    <cellStyle name="Normal 168 3" xfId="51977"/>
    <cellStyle name="Normal 169" xfId="2224"/>
    <cellStyle name="Normal 169 10" xfId="51978"/>
    <cellStyle name="Normal 169 2" xfId="4365"/>
    <cellStyle name="Normal 169 2 2" xfId="8497"/>
    <cellStyle name="Normal 169 2 2 2" xfId="16287"/>
    <cellStyle name="Normal 169 2 2 2 2" xfId="33908"/>
    <cellStyle name="Normal 169 2 2 3" xfId="26884"/>
    <cellStyle name="Normal 169 2 3" xfId="12734"/>
    <cellStyle name="Normal 169 2 3 2" xfId="30378"/>
    <cellStyle name="Normal 169 2 4" xfId="24023"/>
    <cellStyle name="Normal 169 3" xfId="5814"/>
    <cellStyle name="Normal 169 3 2" xfId="9111"/>
    <cellStyle name="Normal 169 3 2 2" xfId="16900"/>
    <cellStyle name="Normal 169 3 2 2 2" xfId="34522"/>
    <cellStyle name="Normal 169 3 2 3" xfId="27485"/>
    <cellStyle name="Normal 169 3 3" xfId="13664"/>
    <cellStyle name="Normal 169 3 3 2" xfId="31290"/>
    <cellStyle name="Normal 169 3 4" xfId="24624"/>
    <cellStyle name="Normal 169 4" xfId="6444"/>
    <cellStyle name="Normal 169 4 2" xfId="9651"/>
    <cellStyle name="Normal 169 4 2 2" xfId="17439"/>
    <cellStyle name="Normal 169 4 2 2 2" xfId="35062"/>
    <cellStyle name="Normal 169 4 2 3" xfId="28021"/>
    <cellStyle name="Normal 169 4 3" xfId="14227"/>
    <cellStyle name="Normal 169 4 3 2" xfId="31848"/>
    <cellStyle name="Normal 169 4 4" xfId="25160"/>
    <cellStyle name="Normal 169 5" xfId="7219"/>
    <cellStyle name="Normal 169 5 2" xfId="10204"/>
    <cellStyle name="Normal 169 5 2 2" xfId="17991"/>
    <cellStyle name="Normal 169 5 2 2 2" xfId="35614"/>
    <cellStyle name="Normal 169 5 2 3" xfId="28557"/>
    <cellStyle name="Normal 169 5 3" xfId="15001"/>
    <cellStyle name="Normal 169 5 3 2" xfId="32622"/>
    <cellStyle name="Normal 169 5 4" xfId="25697"/>
    <cellStyle name="Normal 169 6" xfId="7819"/>
    <cellStyle name="Normal 169 6 2" xfId="15610"/>
    <cellStyle name="Normal 169 6 2 2" xfId="33231"/>
    <cellStyle name="Normal 169 6 3" xfId="26221"/>
    <cellStyle name="Normal 169 7" xfId="11730"/>
    <cellStyle name="Normal 169 7 2" xfId="29403"/>
    <cellStyle name="Normal 169 8" xfId="22793"/>
    <cellStyle name="Normal 169 9" xfId="23360"/>
    <cellStyle name="Normal 17" xfId="2225"/>
    <cellStyle name="Normal 17 2" xfId="2226"/>
    <cellStyle name="Normal 17 2 2" xfId="2227"/>
    <cellStyle name="Normal 17 2_Sheet1" xfId="2228"/>
    <cellStyle name="Normal 17 3" xfId="2229"/>
    <cellStyle name="Normal 17 4" xfId="22944"/>
    <cellStyle name="Normal 17 5" xfId="22530"/>
    <cellStyle name="Normal 17 6" xfId="22402"/>
    <cellStyle name="Normal 17 7" xfId="53206"/>
    <cellStyle name="Normal 17 8" xfId="53207"/>
    <cellStyle name="Normal 17 9" xfId="53205"/>
    <cellStyle name="Normal 17_Sheet1" xfId="2230"/>
    <cellStyle name="Normal 170" xfId="2231"/>
    <cellStyle name="Normal 170 10" xfId="51979"/>
    <cellStyle name="Normal 170 2" xfId="4366"/>
    <cellStyle name="Normal 170 2 2" xfId="8498"/>
    <cellStyle name="Normal 170 2 2 2" xfId="16288"/>
    <cellStyle name="Normal 170 2 2 2 2" xfId="33909"/>
    <cellStyle name="Normal 170 2 2 3" xfId="26885"/>
    <cellStyle name="Normal 170 2 3" xfId="12735"/>
    <cellStyle name="Normal 170 2 3 2" xfId="30379"/>
    <cellStyle name="Normal 170 2 4" xfId="24024"/>
    <cellStyle name="Normal 170 3" xfId="5815"/>
    <cellStyle name="Normal 170 3 2" xfId="9112"/>
    <cellStyle name="Normal 170 3 2 2" xfId="16901"/>
    <cellStyle name="Normal 170 3 2 2 2" xfId="34523"/>
    <cellStyle name="Normal 170 3 2 3" xfId="27486"/>
    <cellStyle name="Normal 170 3 3" xfId="13665"/>
    <cellStyle name="Normal 170 3 3 2" xfId="31291"/>
    <cellStyle name="Normal 170 3 4" xfId="24625"/>
    <cellStyle name="Normal 170 4" xfId="6445"/>
    <cellStyle name="Normal 170 4 2" xfId="9652"/>
    <cellStyle name="Normal 170 4 2 2" xfId="17440"/>
    <cellStyle name="Normal 170 4 2 2 2" xfId="35063"/>
    <cellStyle name="Normal 170 4 2 3" xfId="28022"/>
    <cellStyle name="Normal 170 4 3" xfId="14228"/>
    <cellStyle name="Normal 170 4 3 2" xfId="31849"/>
    <cellStyle name="Normal 170 4 4" xfId="25161"/>
    <cellStyle name="Normal 170 5" xfId="7220"/>
    <cellStyle name="Normal 170 5 2" xfId="10205"/>
    <cellStyle name="Normal 170 5 2 2" xfId="17992"/>
    <cellStyle name="Normal 170 5 2 2 2" xfId="35615"/>
    <cellStyle name="Normal 170 5 2 3" xfId="28558"/>
    <cellStyle name="Normal 170 5 3" xfId="15002"/>
    <cellStyle name="Normal 170 5 3 2" xfId="32623"/>
    <cellStyle name="Normal 170 5 4" xfId="25698"/>
    <cellStyle name="Normal 170 6" xfId="7820"/>
    <cellStyle name="Normal 170 6 2" xfId="15611"/>
    <cellStyle name="Normal 170 6 2 2" xfId="33232"/>
    <cellStyle name="Normal 170 6 3" xfId="26222"/>
    <cellStyle name="Normal 170 7" xfId="11732"/>
    <cellStyle name="Normal 170 7 2" xfId="29405"/>
    <cellStyle name="Normal 170 8" xfId="22794"/>
    <cellStyle name="Normal 170 9" xfId="23361"/>
    <cellStyle name="Normal 171" xfId="2232"/>
    <cellStyle name="Normal 171 10" xfId="51980"/>
    <cellStyle name="Normal 171 2" xfId="4367"/>
    <cellStyle name="Normal 171 2 2" xfId="8499"/>
    <cellStyle name="Normal 171 2 2 2" xfId="16289"/>
    <cellStyle name="Normal 171 2 2 2 2" xfId="33910"/>
    <cellStyle name="Normal 171 2 2 3" xfId="26886"/>
    <cellStyle name="Normal 171 2 3" xfId="12736"/>
    <cellStyle name="Normal 171 2 3 2" xfId="30380"/>
    <cellStyle name="Normal 171 2 4" xfId="24025"/>
    <cellStyle name="Normal 171 3" xfId="5816"/>
    <cellStyle name="Normal 171 3 2" xfId="9113"/>
    <cellStyle name="Normal 171 3 2 2" xfId="16902"/>
    <cellStyle name="Normal 171 3 2 2 2" xfId="34524"/>
    <cellStyle name="Normal 171 3 2 3" xfId="27487"/>
    <cellStyle name="Normal 171 3 3" xfId="13666"/>
    <cellStyle name="Normal 171 3 3 2" xfId="31292"/>
    <cellStyle name="Normal 171 3 4" xfId="24626"/>
    <cellStyle name="Normal 171 4" xfId="6446"/>
    <cellStyle name="Normal 171 4 2" xfId="9653"/>
    <cellStyle name="Normal 171 4 2 2" xfId="17441"/>
    <cellStyle name="Normal 171 4 2 2 2" xfId="35064"/>
    <cellStyle name="Normal 171 4 2 3" xfId="28023"/>
    <cellStyle name="Normal 171 4 3" xfId="14229"/>
    <cellStyle name="Normal 171 4 3 2" xfId="31850"/>
    <cellStyle name="Normal 171 4 4" xfId="25162"/>
    <cellStyle name="Normal 171 5" xfId="7221"/>
    <cellStyle name="Normal 171 5 2" xfId="10206"/>
    <cellStyle name="Normal 171 5 2 2" xfId="17993"/>
    <cellStyle name="Normal 171 5 2 2 2" xfId="35616"/>
    <cellStyle name="Normal 171 5 2 3" xfId="28559"/>
    <cellStyle name="Normal 171 5 3" xfId="15003"/>
    <cellStyle name="Normal 171 5 3 2" xfId="32624"/>
    <cellStyle name="Normal 171 5 4" xfId="25699"/>
    <cellStyle name="Normal 171 6" xfId="7821"/>
    <cellStyle name="Normal 171 6 2" xfId="15612"/>
    <cellStyle name="Normal 171 6 2 2" xfId="33233"/>
    <cellStyle name="Normal 171 6 3" xfId="26223"/>
    <cellStyle name="Normal 171 7" xfId="11733"/>
    <cellStyle name="Normal 171 7 2" xfId="29406"/>
    <cellStyle name="Normal 171 8" xfId="22795"/>
    <cellStyle name="Normal 171 9" xfId="23362"/>
    <cellStyle name="Normal 172" xfId="2233"/>
    <cellStyle name="Normal 172 10" xfId="51981"/>
    <cellStyle name="Normal 172 2" xfId="4368"/>
    <cellStyle name="Normal 172 2 2" xfId="8500"/>
    <cellStyle name="Normal 172 2 2 2" xfId="16290"/>
    <cellStyle name="Normal 172 2 2 2 2" xfId="33911"/>
    <cellStyle name="Normal 172 2 2 3" xfId="26887"/>
    <cellStyle name="Normal 172 2 3" xfId="12737"/>
    <cellStyle name="Normal 172 2 3 2" xfId="30381"/>
    <cellStyle name="Normal 172 2 4" xfId="24026"/>
    <cellStyle name="Normal 172 3" xfId="5817"/>
    <cellStyle name="Normal 172 3 2" xfId="9114"/>
    <cellStyle name="Normal 172 3 2 2" xfId="16903"/>
    <cellStyle name="Normal 172 3 2 2 2" xfId="34525"/>
    <cellStyle name="Normal 172 3 2 3" xfId="27488"/>
    <cellStyle name="Normal 172 3 3" xfId="13667"/>
    <cellStyle name="Normal 172 3 3 2" xfId="31293"/>
    <cellStyle name="Normal 172 3 4" xfId="24627"/>
    <cellStyle name="Normal 172 4" xfId="6447"/>
    <cellStyle name="Normal 172 4 2" xfId="9654"/>
    <cellStyle name="Normal 172 4 2 2" xfId="17442"/>
    <cellStyle name="Normal 172 4 2 2 2" xfId="35065"/>
    <cellStyle name="Normal 172 4 2 3" xfId="28024"/>
    <cellStyle name="Normal 172 4 3" xfId="14230"/>
    <cellStyle name="Normal 172 4 3 2" xfId="31851"/>
    <cellStyle name="Normal 172 4 4" xfId="25163"/>
    <cellStyle name="Normal 172 5" xfId="7222"/>
    <cellStyle name="Normal 172 5 2" xfId="10207"/>
    <cellStyle name="Normal 172 5 2 2" xfId="17994"/>
    <cellStyle name="Normal 172 5 2 2 2" xfId="35617"/>
    <cellStyle name="Normal 172 5 2 3" xfId="28560"/>
    <cellStyle name="Normal 172 5 3" xfId="15004"/>
    <cellStyle name="Normal 172 5 3 2" xfId="32625"/>
    <cellStyle name="Normal 172 5 4" xfId="25700"/>
    <cellStyle name="Normal 172 6" xfId="7822"/>
    <cellStyle name="Normal 172 6 2" xfId="15613"/>
    <cellStyle name="Normal 172 6 2 2" xfId="33234"/>
    <cellStyle name="Normal 172 6 3" xfId="26224"/>
    <cellStyle name="Normal 172 7" xfId="11734"/>
    <cellStyle name="Normal 172 7 2" xfId="29407"/>
    <cellStyle name="Normal 172 8" xfId="22796"/>
    <cellStyle name="Normal 172 9" xfId="23363"/>
    <cellStyle name="Normal 173" xfId="2234"/>
    <cellStyle name="Normal 173 10" xfId="51982"/>
    <cellStyle name="Normal 173 2" xfId="4369"/>
    <cellStyle name="Normal 173 2 2" xfId="8501"/>
    <cellStyle name="Normal 173 2 2 2" xfId="16291"/>
    <cellStyle name="Normal 173 2 2 2 2" xfId="33912"/>
    <cellStyle name="Normal 173 2 2 3" xfId="26888"/>
    <cellStyle name="Normal 173 2 3" xfId="12738"/>
    <cellStyle name="Normal 173 2 3 2" xfId="30382"/>
    <cellStyle name="Normal 173 2 4" xfId="24027"/>
    <cellStyle name="Normal 173 3" xfId="5818"/>
    <cellStyle name="Normal 173 3 2" xfId="9115"/>
    <cellStyle name="Normal 173 3 2 2" xfId="16904"/>
    <cellStyle name="Normal 173 3 2 2 2" xfId="34526"/>
    <cellStyle name="Normal 173 3 2 3" xfId="27489"/>
    <cellStyle name="Normal 173 3 3" xfId="13668"/>
    <cellStyle name="Normal 173 3 3 2" xfId="31294"/>
    <cellStyle name="Normal 173 3 4" xfId="24628"/>
    <cellStyle name="Normal 173 4" xfId="6448"/>
    <cellStyle name="Normal 173 4 2" xfId="9655"/>
    <cellStyle name="Normal 173 4 2 2" xfId="17443"/>
    <cellStyle name="Normal 173 4 2 2 2" xfId="35066"/>
    <cellStyle name="Normal 173 4 2 3" xfId="28025"/>
    <cellStyle name="Normal 173 4 3" xfId="14231"/>
    <cellStyle name="Normal 173 4 3 2" xfId="31852"/>
    <cellStyle name="Normal 173 4 4" xfId="25164"/>
    <cellStyle name="Normal 173 5" xfId="7223"/>
    <cellStyle name="Normal 173 5 2" xfId="10208"/>
    <cellStyle name="Normal 173 5 2 2" xfId="17995"/>
    <cellStyle name="Normal 173 5 2 2 2" xfId="35618"/>
    <cellStyle name="Normal 173 5 2 3" xfId="28561"/>
    <cellStyle name="Normal 173 5 3" xfId="15005"/>
    <cellStyle name="Normal 173 5 3 2" xfId="32626"/>
    <cellStyle name="Normal 173 5 4" xfId="25701"/>
    <cellStyle name="Normal 173 6" xfId="7823"/>
    <cellStyle name="Normal 173 6 2" xfId="15614"/>
    <cellStyle name="Normal 173 6 2 2" xfId="33235"/>
    <cellStyle name="Normal 173 6 3" xfId="26225"/>
    <cellStyle name="Normal 173 7" xfId="11735"/>
    <cellStyle name="Normal 173 7 2" xfId="29408"/>
    <cellStyle name="Normal 173 8" xfId="22785"/>
    <cellStyle name="Normal 173 9" xfId="23364"/>
    <cellStyle name="Normal 174" xfId="2235"/>
    <cellStyle name="Normal 174 10" xfId="51983"/>
    <cellStyle name="Normal 174 2" xfId="4370"/>
    <cellStyle name="Normal 174 2 2" xfId="8502"/>
    <cellStyle name="Normal 174 2 2 2" xfId="16292"/>
    <cellStyle name="Normal 174 2 2 2 2" xfId="33913"/>
    <cellStyle name="Normal 174 2 2 3" xfId="26889"/>
    <cellStyle name="Normal 174 2 3" xfId="12739"/>
    <cellStyle name="Normal 174 2 3 2" xfId="30383"/>
    <cellStyle name="Normal 174 2 4" xfId="24028"/>
    <cellStyle name="Normal 174 3" xfId="5819"/>
    <cellStyle name="Normal 174 3 2" xfId="9116"/>
    <cellStyle name="Normal 174 3 2 2" xfId="16905"/>
    <cellStyle name="Normal 174 3 2 2 2" xfId="34527"/>
    <cellStyle name="Normal 174 3 2 3" xfId="27490"/>
    <cellStyle name="Normal 174 3 3" xfId="13669"/>
    <cellStyle name="Normal 174 3 3 2" xfId="31295"/>
    <cellStyle name="Normal 174 3 4" xfId="24629"/>
    <cellStyle name="Normal 174 4" xfId="6449"/>
    <cellStyle name="Normal 174 4 2" xfId="9656"/>
    <cellStyle name="Normal 174 4 2 2" xfId="17444"/>
    <cellStyle name="Normal 174 4 2 2 2" xfId="35067"/>
    <cellStyle name="Normal 174 4 2 3" xfId="28026"/>
    <cellStyle name="Normal 174 4 3" xfId="14232"/>
    <cellStyle name="Normal 174 4 3 2" xfId="31853"/>
    <cellStyle name="Normal 174 4 4" xfId="25165"/>
    <cellStyle name="Normal 174 5" xfId="7224"/>
    <cellStyle name="Normal 174 5 2" xfId="10209"/>
    <cellStyle name="Normal 174 5 2 2" xfId="17996"/>
    <cellStyle name="Normal 174 5 2 2 2" xfId="35619"/>
    <cellStyle name="Normal 174 5 2 3" xfId="28562"/>
    <cellStyle name="Normal 174 5 3" xfId="15006"/>
    <cellStyle name="Normal 174 5 3 2" xfId="32627"/>
    <cellStyle name="Normal 174 5 4" xfId="25702"/>
    <cellStyle name="Normal 174 6" xfId="7824"/>
    <cellStyle name="Normal 174 6 2" xfId="15615"/>
    <cellStyle name="Normal 174 6 2 2" xfId="33236"/>
    <cellStyle name="Normal 174 6 3" xfId="26226"/>
    <cellStyle name="Normal 174 7" xfId="11736"/>
    <cellStyle name="Normal 174 7 2" xfId="29409"/>
    <cellStyle name="Normal 174 8" xfId="22797"/>
    <cellStyle name="Normal 174 9" xfId="23365"/>
    <cellStyle name="Normal 175" xfId="2236"/>
    <cellStyle name="Normal 175 10" xfId="51984"/>
    <cellStyle name="Normal 175 2" xfId="4371"/>
    <cellStyle name="Normal 175 2 2" xfId="8503"/>
    <cellStyle name="Normal 175 2 2 2" xfId="16293"/>
    <cellStyle name="Normal 175 2 2 2 2" xfId="33914"/>
    <cellStyle name="Normal 175 2 2 3" xfId="26890"/>
    <cellStyle name="Normal 175 2 3" xfId="12740"/>
    <cellStyle name="Normal 175 2 3 2" xfId="30384"/>
    <cellStyle name="Normal 175 2 4" xfId="24029"/>
    <cellStyle name="Normal 175 3" xfId="5820"/>
    <cellStyle name="Normal 175 3 2" xfId="9117"/>
    <cellStyle name="Normal 175 3 2 2" xfId="16906"/>
    <cellStyle name="Normal 175 3 2 2 2" xfId="34528"/>
    <cellStyle name="Normal 175 3 2 3" xfId="27491"/>
    <cellStyle name="Normal 175 3 3" xfId="13670"/>
    <cellStyle name="Normal 175 3 3 2" xfId="31296"/>
    <cellStyle name="Normal 175 3 4" xfId="24630"/>
    <cellStyle name="Normal 175 4" xfId="6450"/>
    <cellStyle name="Normal 175 4 2" xfId="9657"/>
    <cellStyle name="Normal 175 4 2 2" xfId="17445"/>
    <cellStyle name="Normal 175 4 2 2 2" xfId="35068"/>
    <cellStyle name="Normal 175 4 2 3" xfId="28027"/>
    <cellStyle name="Normal 175 4 3" xfId="14233"/>
    <cellStyle name="Normal 175 4 3 2" xfId="31854"/>
    <cellStyle name="Normal 175 4 4" xfId="25166"/>
    <cellStyle name="Normal 175 5" xfId="7225"/>
    <cellStyle name="Normal 175 5 2" xfId="10210"/>
    <cellStyle name="Normal 175 5 2 2" xfId="17997"/>
    <cellStyle name="Normal 175 5 2 2 2" xfId="35620"/>
    <cellStyle name="Normal 175 5 2 3" xfId="28563"/>
    <cellStyle name="Normal 175 5 3" xfId="15007"/>
    <cellStyle name="Normal 175 5 3 2" xfId="32628"/>
    <cellStyle name="Normal 175 5 4" xfId="25703"/>
    <cellStyle name="Normal 175 6" xfId="7825"/>
    <cellStyle name="Normal 175 6 2" xfId="15616"/>
    <cellStyle name="Normal 175 6 2 2" xfId="33237"/>
    <cellStyle name="Normal 175 6 3" xfId="26227"/>
    <cellStyle name="Normal 175 7" xfId="11737"/>
    <cellStyle name="Normal 175 7 2" xfId="29410"/>
    <cellStyle name="Normal 175 8" xfId="22786"/>
    <cellStyle name="Normal 175 9" xfId="23366"/>
    <cellStyle name="Normal 176" xfId="2237"/>
    <cellStyle name="Normal 176 2" xfId="4372"/>
    <cellStyle name="Normal 176 3" xfId="51985"/>
    <cellStyle name="Normal 177" xfId="2238"/>
    <cellStyle name="Normal 177 2" xfId="4373"/>
    <cellStyle name="Normal 177 3" xfId="51986"/>
    <cellStyle name="Normal 178" xfId="2239"/>
    <cellStyle name="Normal 178 10" xfId="51987"/>
    <cellStyle name="Normal 178 2" xfId="4374"/>
    <cellStyle name="Normal 178 2 2" xfId="8504"/>
    <cellStyle name="Normal 178 2 2 2" xfId="16294"/>
    <cellStyle name="Normal 178 2 2 2 2" xfId="33915"/>
    <cellStyle name="Normal 178 2 2 3" xfId="26891"/>
    <cellStyle name="Normal 178 2 3" xfId="12741"/>
    <cellStyle name="Normal 178 2 3 2" xfId="30385"/>
    <cellStyle name="Normal 178 2 4" xfId="24030"/>
    <cellStyle name="Normal 178 3" xfId="5821"/>
    <cellStyle name="Normal 178 3 2" xfId="9118"/>
    <cellStyle name="Normal 178 3 2 2" xfId="16907"/>
    <cellStyle name="Normal 178 3 2 2 2" xfId="34529"/>
    <cellStyle name="Normal 178 3 2 3" xfId="27492"/>
    <cellStyle name="Normal 178 3 3" xfId="13671"/>
    <cellStyle name="Normal 178 3 3 2" xfId="31297"/>
    <cellStyle name="Normal 178 3 4" xfId="24631"/>
    <cellStyle name="Normal 178 4" xfId="6451"/>
    <cellStyle name="Normal 178 4 2" xfId="9658"/>
    <cellStyle name="Normal 178 4 2 2" xfId="17446"/>
    <cellStyle name="Normal 178 4 2 2 2" xfId="35069"/>
    <cellStyle name="Normal 178 4 2 3" xfId="28028"/>
    <cellStyle name="Normal 178 4 3" xfId="14234"/>
    <cellStyle name="Normal 178 4 3 2" xfId="31855"/>
    <cellStyle name="Normal 178 4 4" xfId="25167"/>
    <cellStyle name="Normal 178 5" xfId="7226"/>
    <cellStyle name="Normal 178 5 2" xfId="10211"/>
    <cellStyle name="Normal 178 5 2 2" xfId="17998"/>
    <cellStyle name="Normal 178 5 2 2 2" xfId="35621"/>
    <cellStyle name="Normal 178 5 2 3" xfId="28564"/>
    <cellStyle name="Normal 178 5 3" xfId="15008"/>
    <cellStyle name="Normal 178 5 3 2" xfId="32629"/>
    <cellStyle name="Normal 178 5 4" xfId="25704"/>
    <cellStyle name="Normal 178 6" xfId="7826"/>
    <cellStyle name="Normal 178 6 2" xfId="15617"/>
    <cellStyle name="Normal 178 6 2 2" xfId="33238"/>
    <cellStyle name="Normal 178 6 3" xfId="26228"/>
    <cellStyle name="Normal 178 7" xfId="11738"/>
    <cellStyle name="Normal 178 7 2" xfId="29411"/>
    <cellStyle name="Normal 178 8" xfId="22799"/>
    <cellStyle name="Normal 178 9" xfId="23367"/>
    <cellStyle name="Normal 179" xfId="2240"/>
    <cellStyle name="Normal 179 10" xfId="51988"/>
    <cellStyle name="Normal 179 2" xfId="4375"/>
    <cellStyle name="Normal 179 2 2" xfId="8505"/>
    <cellStyle name="Normal 179 2 2 2" xfId="16295"/>
    <cellStyle name="Normal 179 2 2 2 2" xfId="33916"/>
    <cellStyle name="Normal 179 2 2 3" xfId="26892"/>
    <cellStyle name="Normal 179 2 3" xfId="12742"/>
    <cellStyle name="Normal 179 2 3 2" xfId="30386"/>
    <cellStyle name="Normal 179 2 4" xfId="24031"/>
    <cellStyle name="Normal 179 3" xfId="5822"/>
    <cellStyle name="Normal 179 3 2" xfId="9119"/>
    <cellStyle name="Normal 179 3 2 2" xfId="16908"/>
    <cellStyle name="Normal 179 3 2 2 2" xfId="34530"/>
    <cellStyle name="Normal 179 3 2 3" xfId="27493"/>
    <cellStyle name="Normal 179 3 3" xfId="13672"/>
    <cellStyle name="Normal 179 3 3 2" xfId="31298"/>
    <cellStyle name="Normal 179 3 4" xfId="24632"/>
    <cellStyle name="Normal 179 4" xfId="6452"/>
    <cellStyle name="Normal 179 4 2" xfId="9659"/>
    <cellStyle name="Normal 179 4 2 2" xfId="17447"/>
    <cellStyle name="Normal 179 4 2 2 2" xfId="35070"/>
    <cellStyle name="Normal 179 4 2 3" xfId="28029"/>
    <cellStyle name="Normal 179 4 3" xfId="14235"/>
    <cellStyle name="Normal 179 4 3 2" xfId="31856"/>
    <cellStyle name="Normal 179 4 4" xfId="25168"/>
    <cellStyle name="Normal 179 5" xfId="7227"/>
    <cellStyle name="Normal 179 5 2" xfId="10212"/>
    <cellStyle name="Normal 179 5 2 2" xfId="17999"/>
    <cellStyle name="Normal 179 5 2 2 2" xfId="35622"/>
    <cellStyle name="Normal 179 5 2 3" xfId="28565"/>
    <cellStyle name="Normal 179 5 3" xfId="15009"/>
    <cellStyle name="Normal 179 5 3 2" xfId="32630"/>
    <cellStyle name="Normal 179 5 4" xfId="25705"/>
    <cellStyle name="Normal 179 6" xfId="7827"/>
    <cellStyle name="Normal 179 6 2" xfId="15618"/>
    <cellStyle name="Normal 179 6 2 2" xfId="33239"/>
    <cellStyle name="Normal 179 6 3" xfId="26229"/>
    <cellStyle name="Normal 179 7" xfId="11739"/>
    <cellStyle name="Normal 179 7 2" xfId="29412"/>
    <cellStyle name="Normal 179 8" xfId="22787"/>
    <cellStyle name="Normal 179 9" xfId="23368"/>
    <cellStyle name="Normal 18" xfId="2241"/>
    <cellStyle name="Normal 18 2" xfId="2242"/>
    <cellStyle name="Normal 18 2 2" xfId="2243"/>
    <cellStyle name="Normal 18 2_Sheet1" xfId="2244"/>
    <cellStyle name="Normal 18 3" xfId="2245"/>
    <cellStyle name="Normal 18 4" xfId="22945"/>
    <cellStyle name="Normal 18 5" xfId="22531"/>
    <cellStyle name="Normal 18 6" xfId="22381"/>
    <cellStyle name="Normal 18 7" xfId="53209"/>
    <cellStyle name="Normal 18 8" xfId="53210"/>
    <cellStyle name="Normal 18 9" xfId="53208"/>
    <cellStyle name="Normal 18_Sheet1" xfId="2246"/>
    <cellStyle name="Normal 180" xfId="2247"/>
    <cellStyle name="Normal 180 10" xfId="51989"/>
    <cellStyle name="Normal 180 2" xfId="4376"/>
    <cellStyle name="Normal 180 2 2" xfId="8506"/>
    <cellStyle name="Normal 180 2 2 2" xfId="16296"/>
    <cellStyle name="Normal 180 2 2 2 2" xfId="33917"/>
    <cellStyle name="Normal 180 2 2 3" xfId="26893"/>
    <cellStyle name="Normal 180 2 3" xfId="12743"/>
    <cellStyle name="Normal 180 2 3 2" xfId="30387"/>
    <cellStyle name="Normal 180 2 4" xfId="24032"/>
    <cellStyle name="Normal 180 3" xfId="5823"/>
    <cellStyle name="Normal 180 3 2" xfId="9120"/>
    <cellStyle name="Normal 180 3 2 2" xfId="16909"/>
    <cellStyle name="Normal 180 3 2 2 2" xfId="34531"/>
    <cellStyle name="Normal 180 3 2 3" xfId="27494"/>
    <cellStyle name="Normal 180 3 3" xfId="13673"/>
    <cellStyle name="Normal 180 3 3 2" xfId="31299"/>
    <cellStyle name="Normal 180 3 4" xfId="24633"/>
    <cellStyle name="Normal 180 4" xfId="6453"/>
    <cellStyle name="Normal 180 4 2" xfId="9660"/>
    <cellStyle name="Normal 180 4 2 2" xfId="17448"/>
    <cellStyle name="Normal 180 4 2 2 2" xfId="35071"/>
    <cellStyle name="Normal 180 4 2 3" xfId="28030"/>
    <cellStyle name="Normal 180 4 3" xfId="14236"/>
    <cellStyle name="Normal 180 4 3 2" xfId="31857"/>
    <cellStyle name="Normal 180 4 4" xfId="25169"/>
    <cellStyle name="Normal 180 5" xfId="7228"/>
    <cellStyle name="Normal 180 5 2" xfId="10213"/>
    <cellStyle name="Normal 180 5 2 2" xfId="18000"/>
    <cellStyle name="Normal 180 5 2 2 2" xfId="35623"/>
    <cellStyle name="Normal 180 5 2 3" xfId="28566"/>
    <cellStyle name="Normal 180 5 3" xfId="15010"/>
    <cellStyle name="Normal 180 5 3 2" xfId="32631"/>
    <cellStyle name="Normal 180 5 4" xfId="25706"/>
    <cellStyle name="Normal 180 6" xfId="7828"/>
    <cellStyle name="Normal 180 6 2" xfId="15619"/>
    <cellStyle name="Normal 180 6 2 2" xfId="33240"/>
    <cellStyle name="Normal 180 6 3" xfId="26230"/>
    <cellStyle name="Normal 180 7" xfId="11740"/>
    <cellStyle name="Normal 180 7 2" xfId="29413"/>
    <cellStyle name="Normal 180 8" xfId="22800"/>
    <cellStyle name="Normal 180 9" xfId="23369"/>
    <cellStyle name="Normal 181" xfId="2248"/>
    <cellStyle name="Normal 181 10" xfId="51990"/>
    <cellStyle name="Normal 181 2" xfId="4377"/>
    <cellStyle name="Normal 181 2 2" xfId="8507"/>
    <cellStyle name="Normal 181 2 2 2" xfId="16297"/>
    <cellStyle name="Normal 181 2 2 2 2" xfId="33918"/>
    <cellStyle name="Normal 181 2 2 3" xfId="26894"/>
    <cellStyle name="Normal 181 2 3" xfId="12744"/>
    <cellStyle name="Normal 181 2 3 2" xfId="30388"/>
    <cellStyle name="Normal 181 2 4" xfId="24033"/>
    <cellStyle name="Normal 181 3" xfId="5824"/>
    <cellStyle name="Normal 181 3 2" xfId="9121"/>
    <cellStyle name="Normal 181 3 2 2" xfId="16910"/>
    <cellStyle name="Normal 181 3 2 2 2" xfId="34532"/>
    <cellStyle name="Normal 181 3 2 3" xfId="27495"/>
    <cellStyle name="Normal 181 3 3" xfId="13674"/>
    <cellStyle name="Normal 181 3 3 2" xfId="31300"/>
    <cellStyle name="Normal 181 3 4" xfId="24634"/>
    <cellStyle name="Normal 181 4" xfId="6454"/>
    <cellStyle name="Normal 181 4 2" xfId="9661"/>
    <cellStyle name="Normal 181 4 2 2" xfId="17449"/>
    <cellStyle name="Normal 181 4 2 2 2" xfId="35072"/>
    <cellStyle name="Normal 181 4 2 3" xfId="28031"/>
    <cellStyle name="Normal 181 4 3" xfId="14237"/>
    <cellStyle name="Normal 181 4 3 2" xfId="31858"/>
    <cellStyle name="Normal 181 4 4" xfId="25170"/>
    <cellStyle name="Normal 181 5" xfId="7229"/>
    <cellStyle name="Normal 181 5 2" xfId="10214"/>
    <cellStyle name="Normal 181 5 2 2" xfId="18001"/>
    <cellStyle name="Normal 181 5 2 2 2" xfId="35624"/>
    <cellStyle name="Normal 181 5 2 3" xfId="28567"/>
    <cellStyle name="Normal 181 5 3" xfId="15011"/>
    <cellStyle name="Normal 181 5 3 2" xfId="32632"/>
    <cellStyle name="Normal 181 5 4" xfId="25707"/>
    <cellStyle name="Normal 181 6" xfId="7829"/>
    <cellStyle name="Normal 181 6 2" xfId="15620"/>
    <cellStyle name="Normal 181 6 2 2" xfId="33241"/>
    <cellStyle name="Normal 181 6 3" xfId="26231"/>
    <cellStyle name="Normal 181 7" xfId="11741"/>
    <cellStyle name="Normal 181 7 2" xfId="29414"/>
    <cellStyle name="Normal 181 8" xfId="22801"/>
    <cellStyle name="Normal 181 9" xfId="23370"/>
    <cellStyle name="Normal 182" xfId="2249"/>
    <cellStyle name="Normal 182 10" xfId="51991"/>
    <cellStyle name="Normal 182 2" xfId="4378"/>
    <cellStyle name="Normal 182 2 2" xfId="8508"/>
    <cellStyle name="Normal 182 2 2 2" xfId="16298"/>
    <cellStyle name="Normal 182 2 2 2 2" xfId="33919"/>
    <cellStyle name="Normal 182 2 2 3" xfId="26895"/>
    <cellStyle name="Normal 182 2 3" xfId="12745"/>
    <cellStyle name="Normal 182 2 3 2" xfId="30389"/>
    <cellStyle name="Normal 182 2 4" xfId="24034"/>
    <cellStyle name="Normal 182 3" xfId="5825"/>
    <cellStyle name="Normal 182 3 2" xfId="9122"/>
    <cellStyle name="Normal 182 3 2 2" xfId="16911"/>
    <cellStyle name="Normal 182 3 2 2 2" xfId="34533"/>
    <cellStyle name="Normal 182 3 2 3" xfId="27496"/>
    <cellStyle name="Normal 182 3 3" xfId="13675"/>
    <cellStyle name="Normal 182 3 3 2" xfId="31301"/>
    <cellStyle name="Normal 182 3 4" xfId="24635"/>
    <cellStyle name="Normal 182 4" xfId="6455"/>
    <cellStyle name="Normal 182 4 2" xfId="9662"/>
    <cellStyle name="Normal 182 4 2 2" xfId="17450"/>
    <cellStyle name="Normal 182 4 2 2 2" xfId="35073"/>
    <cellStyle name="Normal 182 4 2 3" xfId="28032"/>
    <cellStyle name="Normal 182 4 3" xfId="14238"/>
    <cellStyle name="Normal 182 4 3 2" xfId="31859"/>
    <cellStyle name="Normal 182 4 4" xfId="25171"/>
    <cellStyle name="Normal 182 5" xfId="7230"/>
    <cellStyle name="Normal 182 5 2" xfId="10215"/>
    <cellStyle name="Normal 182 5 2 2" xfId="18002"/>
    <cellStyle name="Normal 182 5 2 2 2" xfId="35625"/>
    <cellStyle name="Normal 182 5 2 3" xfId="28568"/>
    <cellStyle name="Normal 182 5 3" xfId="15012"/>
    <cellStyle name="Normal 182 5 3 2" xfId="32633"/>
    <cellStyle name="Normal 182 5 4" xfId="25708"/>
    <cellStyle name="Normal 182 6" xfId="7830"/>
    <cellStyle name="Normal 182 6 2" xfId="15621"/>
    <cellStyle name="Normal 182 6 2 2" xfId="33242"/>
    <cellStyle name="Normal 182 6 3" xfId="26232"/>
    <cellStyle name="Normal 182 7" xfId="11742"/>
    <cellStyle name="Normal 182 7 2" xfId="29415"/>
    <cellStyle name="Normal 182 8" xfId="22798"/>
    <cellStyle name="Normal 182 9" xfId="23371"/>
    <cellStyle name="Normal 183" xfId="2250"/>
    <cellStyle name="Normal 183 10" xfId="51992"/>
    <cellStyle name="Normal 183 2" xfId="4379"/>
    <cellStyle name="Normal 183 2 2" xfId="8509"/>
    <cellStyle name="Normal 183 2 2 2" xfId="16299"/>
    <cellStyle name="Normal 183 2 2 2 2" xfId="33920"/>
    <cellStyle name="Normal 183 2 2 3" xfId="26896"/>
    <cellStyle name="Normal 183 2 3" xfId="12746"/>
    <cellStyle name="Normal 183 2 3 2" xfId="30390"/>
    <cellStyle name="Normal 183 2 4" xfId="24035"/>
    <cellStyle name="Normal 183 3" xfId="5826"/>
    <cellStyle name="Normal 183 3 2" xfId="9123"/>
    <cellStyle name="Normal 183 3 2 2" xfId="16912"/>
    <cellStyle name="Normal 183 3 2 2 2" xfId="34534"/>
    <cellStyle name="Normal 183 3 2 3" xfId="27497"/>
    <cellStyle name="Normal 183 3 3" xfId="13676"/>
    <cellStyle name="Normal 183 3 3 2" xfId="31302"/>
    <cellStyle name="Normal 183 3 4" xfId="24636"/>
    <cellStyle name="Normal 183 4" xfId="6456"/>
    <cellStyle name="Normal 183 4 2" xfId="9663"/>
    <cellStyle name="Normal 183 4 2 2" xfId="17451"/>
    <cellStyle name="Normal 183 4 2 2 2" xfId="35074"/>
    <cellStyle name="Normal 183 4 2 3" xfId="28033"/>
    <cellStyle name="Normal 183 4 3" xfId="14239"/>
    <cellStyle name="Normal 183 4 3 2" xfId="31860"/>
    <cellStyle name="Normal 183 4 4" xfId="25172"/>
    <cellStyle name="Normal 183 5" xfId="7231"/>
    <cellStyle name="Normal 183 5 2" xfId="10216"/>
    <cellStyle name="Normal 183 5 2 2" xfId="18003"/>
    <cellStyle name="Normal 183 5 2 2 2" xfId="35626"/>
    <cellStyle name="Normal 183 5 2 3" xfId="28569"/>
    <cellStyle name="Normal 183 5 3" xfId="15013"/>
    <cellStyle name="Normal 183 5 3 2" xfId="32634"/>
    <cellStyle name="Normal 183 5 4" xfId="25709"/>
    <cellStyle name="Normal 183 6" xfId="7831"/>
    <cellStyle name="Normal 183 6 2" xfId="15622"/>
    <cellStyle name="Normal 183 6 2 2" xfId="33243"/>
    <cellStyle name="Normal 183 6 3" xfId="26233"/>
    <cellStyle name="Normal 183 7" xfId="11743"/>
    <cellStyle name="Normal 183 7 2" xfId="29416"/>
    <cellStyle name="Normal 183 8" xfId="22802"/>
    <cellStyle name="Normal 183 9" xfId="23372"/>
    <cellStyle name="Normal 184" xfId="2251"/>
    <cellStyle name="Normal 184 10" xfId="51993"/>
    <cellStyle name="Normal 184 2" xfId="4380"/>
    <cellStyle name="Normal 184 2 2" xfId="8510"/>
    <cellStyle name="Normal 184 2 2 2" xfId="16300"/>
    <cellStyle name="Normal 184 2 2 2 2" xfId="33921"/>
    <cellStyle name="Normal 184 2 2 3" xfId="26897"/>
    <cellStyle name="Normal 184 2 3" xfId="12747"/>
    <cellStyle name="Normal 184 2 3 2" xfId="30391"/>
    <cellStyle name="Normal 184 2 4" xfId="24036"/>
    <cellStyle name="Normal 184 3" xfId="5827"/>
    <cellStyle name="Normal 184 3 2" xfId="9124"/>
    <cellStyle name="Normal 184 3 2 2" xfId="16913"/>
    <cellStyle name="Normal 184 3 2 2 2" xfId="34535"/>
    <cellStyle name="Normal 184 3 2 3" xfId="27498"/>
    <cellStyle name="Normal 184 3 3" xfId="13677"/>
    <cellStyle name="Normal 184 3 3 2" xfId="31303"/>
    <cellStyle name="Normal 184 3 4" xfId="24637"/>
    <cellStyle name="Normal 184 4" xfId="6457"/>
    <cellStyle name="Normal 184 4 2" xfId="9664"/>
    <cellStyle name="Normal 184 4 2 2" xfId="17452"/>
    <cellStyle name="Normal 184 4 2 2 2" xfId="35075"/>
    <cellStyle name="Normal 184 4 2 3" xfId="28034"/>
    <cellStyle name="Normal 184 4 3" xfId="14240"/>
    <cellStyle name="Normal 184 4 3 2" xfId="31861"/>
    <cellStyle name="Normal 184 4 4" xfId="25173"/>
    <cellStyle name="Normal 184 5" xfId="7232"/>
    <cellStyle name="Normal 184 5 2" xfId="10217"/>
    <cellStyle name="Normal 184 5 2 2" xfId="18004"/>
    <cellStyle name="Normal 184 5 2 2 2" xfId="35627"/>
    <cellStyle name="Normal 184 5 2 3" xfId="28570"/>
    <cellStyle name="Normal 184 5 3" xfId="15014"/>
    <cellStyle name="Normal 184 5 3 2" xfId="32635"/>
    <cellStyle name="Normal 184 5 4" xfId="25710"/>
    <cellStyle name="Normal 184 6" xfId="7832"/>
    <cellStyle name="Normal 184 6 2" xfId="15623"/>
    <cellStyle name="Normal 184 6 2 2" xfId="33244"/>
    <cellStyle name="Normal 184 6 3" xfId="26234"/>
    <cellStyle name="Normal 184 7" xfId="11744"/>
    <cellStyle name="Normal 184 7 2" xfId="29417"/>
    <cellStyle name="Normal 184 8" xfId="22803"/>
    <cellStyle name="Normal 184 9" xfId="23373"/>
    <cellStyle name="Normal 185" xfId="2252"/>
    <cellStyle name="Normal 185 10" xfId="51994"/>
    <cellStyle name="Normal 185 2" xfId="4381"/>
    <cellStyle name="Normal 185 2 2" xfId="8511"/>
    <cellStyle name="Normal 185 2 2 2" xfId="16301"/>
    <cellStyle name="Normal 185 2 2 2 2" xfId="33922"/>
    <cellStyle name="Normal 185 2 2 3" xfId="26898"/>
    <cellStyle name="Normal 185 2 3" xfId="12748"/>
    <cellStyle name="Normal 185 2 3 2" xfId="30392"/>
    <cellStyle name="Normal 185 2 4" xfId="24037"/>
    <cellStyle name="Normal 185 3" xfId="5828"/>
    <cellStyle name="Normal 185 3 2" xfId="9125"/>
    <cellStyle name="Normal 185 3 2 2" xfId="16914"/>
    <cellStyle name="Normal 185 3 2 2 2" xfId="34536"/>
    <cellStyle name="Normal 185 3 2 3" xfId="27499"/>
    <cellStyle name="Normal 185 3 3" xfId="13678"/>
    <cellStyle name="Normal 185 3 3 2" xfId="31304"/>
    <cellStyle name="Normal 185 3 4" xfId="24638"/>
    <cellStyle name="Normal 185 4" xfId="6458"/>
    <cellStyle name="Normal 185 4 2" xfId="9665"/>
    <cellStyle name="Normal 185 4 2 2" xfId="17453"/>
    <cellStyle name="Normal 185 4 2 2 2" xfId="35076"/>
    <cellStyle name="Normal 185 4 2 3" xfId="28035"/>
    <cellStyle name="Normal 185 4 3" xfId="14241"/>
    <cellStyle name="Normal 185 4 3 2" xfId="31862"/>
    <cellStyle name="Normal 185 4 4" xfId="25174"/>
    <cellStyle name="Normal 185 5" xfId="7233"/>
    <cellStyle name="Normal 185 5 2" xfId="10218"/>
    <cellStyle name="Normal 185 5 2 2" xfId="18005"/>
    <cellStyle name="Normal 185 5 2 2 2" xfId="35628"/>
    <cellStyle name="Normal 185 5 2 3" xfId="28571"/>
    <cellStyle name="Normal 185 5 3" xfId="15015"/>
    <cellStyle name="Normal 185 5 3 2" xfId="32636"/>
    <cellStyle name="Normal 185 5 4" xfId="25711"/>
    <cellStyle name="Normal 185 6" xfId="7833"/>
    <cellStyle name="Normal 185 6 2" xfId="15624"/>
    <cellStyle name="Normal 185 6 2 2" xfId="33245"/>
    <cellStyle name="Normal 185 6 3" xfId="26235"/>
    <cellStyle name="Normal 185 7" xfId="11745"/>
    <cellStyle name="Normal 185 7 2" xfId="29418"/>
    <cellStyle name="Normal 185 8" xfId="22804"/>
    <cellStyle name="Normal 185 9" xfId="23374"/>
    <cellStyle name="Normal 186" xfId="2253"/>
    <cellStyle name="Normal 186 2" xfId="4382"/>
    <cellStyle name="Normal 186 3" xfId="51995"/>
    <cellStyle name="Normal 187" xfId="2254"/>
    <cellStyle name="Normal 187 2" xfId="4383"/>
    <cellStyle name="Normal 187 3" xfId="51996"/>
    <cellStyle name="Normal 188" xfId="2255"/>
    <cellStyle name="Normal 188 2" xfId="4384"/>
    <cellStyle name="Normal 188 3" xfId="51997"/>
    <cellStyle name="Normal 189" xfId="2256"/>
    <cellStyle name="Normal 189 2" xfId="4385"/>
    <cellStyle name="Normal 189 3" xfId="51998"/>
    <cellStyle name="Normal 19" xfId="2257"/>
    <cellStyle name="Normal 19 2" xfId="2258"/>
    <cellStyle name="Normal 19 2 2" xfId="2259"/>
    <cellStyle name="Normal 19 2 3" xfId="22947"/>
    <cellStyle name="Normal 19 2 4" xfId="22743"/>
    <cellStyle name="Normal 19 2 4 2" xfId="38936"/>
    <cellStyle name="Normal 19 2_Sheet1" xfId="2260"/>
    <cellStyle name="Normal 19 3" xfId="2261"/>
    <cellStyle name="Normal 19 4" xfId="22946"/>
    <cellStyle name="Normal 19 5" xfId="22532"/>
    <cellStyle name="Normal 19 5 2" xfId="38832"/>
    <cellStyle name="Normal 19 6" xfId="53211"/>
    <cellStyle name="Normal 19_Sheet1" xfId="2262"/>
    <cellStyle name="Normal 190" xfId="2263"/>
    <cellStyle name="Normal 190 2" xfId="4386"/>
    <cellStyle name="Normal 190 3" xfId="51999"/>
    <cellStyle name="Normal 191" xfId="2264"/>
    <cellStyle name="Normal 191 2" xfId="4387"/>
    <cellStyle name="Normal 191 3" xfId="52000"/>
    <cellStyle name="Normal 192" xfId="2265"/>
    <cellStyle name="Normal 192 2" xfId="4388"/>
    <cellStyle name="Normal 192 3" xfId="52001"/>
    <cellStyle name="Normal 193" xfId="2266"/>
    <cellStyle name="Normal 193 10" xfId="52002"/>
    <cellStyle name="Normal 193 2" xfId="4389"/>
    <cellStyle name="Normal 193 2 2" xfId="8512"/>
    <cellStyle name="Normal 193 2 2 2" xfId="16302"/>
    <cellStyle name="Normal 193 2 2 2 2" xfId="33923"/>
    <cellStyle name="Normal 193 2 2 3" xfId="26899"/>
    <cellStyle name="Normal 193 2 3" xfId="12749"/>
    <cellStyle name="Normal 193 2 3 2" xfId="30393"/>
    <cellStyle name="Normal 193 2 4" xfId="24038"/>
    <cellStyle name="Normal 193 3" xfId="5829"/>
    <cellStyle name="Normal 193 3 2" xfId="9126"/>
    <cellStyle name="Normal 193 3 2 2" xfId="16915"/>
    <cellStyle name="Normal 193 3 2 2 2" xfId="34537"/>
    <cellStyle name="Normal 193 3 2 3" xfId="27500"/>
    <cellStyle name="Normal 193 3 3" xfId="13679"/>
    <cellStyle name="Normal 193 3 3 2" xfId="31305"/>
    <cellStyle name="Normal 193 3 4" xfId="24639"/>
    <cellStyle name="Normal 193 4" xfId="6459"/>
    <cellStyle name="Normal 193 4 2" xfId="9666"/>
    <cellStyle name="Normal 193 4 2 2" xfId="17454"/>
    <cellStyle name="Normal 193 4 2 2 2" xfId="35077"/>
    <cellStyle name="Normal 193 4 2 3" xfId="28036"/>
    <cellStyle name="Normal 193 4 3" xfId="14242"/>
    <cellStyle name="Normal 193 4 3 2" xfId="31863"/>
    <cellStyle name="Normal 193 4 4" xfId="25175"/>
    <cellStyle name="Normal 193 5" xfId="7234"/>
    <cellStyle name="Normal 193 5 2" xfId="10219"/>
    <cellStyle name="Normal 193 5 2 2" xfId="18006"/>
    <cellStyle name="Normal 193 5 2 2 2" xfId="35629"/>
    <cellStyle name="Normal 193 5 2 3" xfId="28572"/>
    <cellStyle name="Normal 193 5 3" xfId="15016"/>
    <cellStyle name="Normal 193 5 3 2" xfId="32637"/>
    <cellStyle name="Normal 193 5 4" xfId="25712"/>
    <cellStyle name="Normal 193 6" xfId="7834"/>
    <cellStyle name="Normal 193 6 2" xfId="15625"/>
    <cellStyle name="Normal 193 6 2 2" xfId="33246"/>
    <cellStyle name="Normal 193 6 3" xfId="26236"/>
    <cellStyle name="Normal 193 7" xfId="11746"/>
    <cellStyle name="Normal 193 7 2" xfId="29419"/>
    <cellStyle name="Normal 193 8" xfId="22809"/>
    <cellStyle name="Normal 193 9" xfId="23375"/>
    <cellStyle name="Normal 194" xfId="2267"/>
    <cellStyle name="Normal 194 2" xfId="4390"/>
    <cellStyle name="Normal 194 3" xfId="52003"/>
    <cellStyle name="Normal 195" xfId="2268"/>
    <cellStyle name="Normal 195 2" xfId="4391"/>
    <cellStyle name="Normal 195 3" xfId="52004"/>
    <cellStyle name="Normal 196" xfId="2269"/>
    <cellStyle name="Normal 196 2" xfId="4392"/>
    <cellStyle name="Normal 196 3" xfId="52005"/>
    <cellStyle name="Normal 197" xfId="2270"/>
    <cellStyle name="Normal 197 2" xfId="4393"/>
    <cellStyle name="Normal 197 3" xfId="52006"/>
    <cellStyle name="Normal 198" xfId="2271"/>
    <cellStyle name="Normal 198 2" xfId="4394"/>
    <cellStyle name="Normal 198 3" xfId="52007"/>
    <cellStyle name="Normal 199" xfId="2272"/>
    <cellStyle name="Normal 199 2" xfId="4395"/>
    <cellStyle name="Normal 199 3" xfId="52008"/>
    <cellStyle name="Normal 2" xfId="117"/>
    <cellStyle name="Normal 2 10" xfId="2273"/>
    <cellStyle name="Normal 2 10 10" xfId="52010"/>
    <cellStyle name="Normal 2 10 2" xfId="4397"/>
    <cellStyle name="Normal 2 10 2 2" xfId="8513"/>
    <cellStyle name="Normal 2 10 2 2 2" xfId="16303"/>
    <cellStyle name="Normal 2 10 2 2 2 2" xfId="33924"/>
    <cellStyle name="Normal 2 10 2 2 3" xfId="26900"/>
    <cellStyle name="Normal 2 10 2 3" xfId="12756"/>
    <cellStyle name="Normal 2 10 2 3 2" xfId="30400"/>
    <cellStyle name="Normal 2 10 2 4" xfId="24039"/>
    <cellStyle name="Normal 2 10 3" xfId="5830"/>
    <cellStyle name="Normal 2 10 3 2" xfId="9127"/>
    <cellStyle name="Normal 2 10 3 2 2" xfId="16916"/>
    <cellStyle name="Normal 2 10 3 2 2 2" xfId="34538"/>
    <cellStyle name="Normal 2 10 3 2 3" xfId="27501"/>
    <cellStyle name="Normal 2 10 3 3" xfId="13680"/>
    <cellStyle name="Normal 2 10 3 3 2" xfId="31306"/>
    <cellStyle name="Normal 2 10 3 4" xfId="24640"/>
    <cellStyle name="Normal 2 10 4" xfId="6460"/>
    <cellStyle name="Normal 2 10 4 2" xfId="9667"/>
    <cellStyle name="Normal 2 10 4 2 2" xfId="17455"/>
    <cellStyle name="Normal 2 10 4 2 2 2" xfId="35078"/>
    <cellStyle name="Normal 2 10 4 2 3" xfId="28037"/>
    <cellStyle name="Normal 2 10 4 3" xfId="14243"/>
    <cellStyle name="Normal 2 10 4 3 2" xfId="31864"/>
    <cellStyle name="Normal 2 10 4 4" xfId="25176"/>
    <cellStyle name="Normal 2 10 5" xfId="7235"/>
    <cellStyle name="Normal 2 10 5 2" xfId="10220"/>
    <cellStyle name="Normal 2 10 5 2 2" xfId="18007"/>
    <cellStyle name="Normal 2 10 5 2 2 2" xfId="35630"/>
    <cellStyle name="Normal 2 10 5 2 3" xfId="28573"/>
    <cellStyle name="Normal 2 10 5 3" xfId="15017"/>
    <cellStyle name="Normal 2 10 5 3 2" xfId="32638"/>
    <cellStyle name="Normal 2 10 5 4" xfId="25713"/>
    <cellStyle name="Normal 2 10 6" xfId="7835"/>
    <cellStyle name="Normal 2 10 6 2" xfId="15626"/>
    <cellStyle name="Normal 2 10 6 2 2" xfId="33247"/>
    <cellStyle name="Normal 2 10 6 3" xfId="26237"/>
    <cellStyle name="Normal 2 10 7" xfId="11749"/>
    <cellStyle name="Normal 2 10 7 2" xfId="29422"/>
    <cellStyle name="Normal 2 10 8" xfId="21973"/>
    <cellStyle name="Normal 2 10 8 2" xfId="38704"/>
    <cellStyle name="Normal 2 10 9" xfId="23376"/>
    <cellStyle name="Normal 2 11" xfId="2274"/>
    <cellStyle name="Normal 2 11 2" xfId="4398"/>
    <cellStyle name="Normal 2 11 3" xfId="21974"/>
    <cellStyle name="Normal 2 11 4" xfId="52011"/>
    <cellStyle name="Normal 2 12" xfId="4396"/>
    <cellStyle name="Normal 2 13" xfId="52009"/>
    <cellStyle name="Normal 2 2" xfId="118"/>
    <cellStyle name="Normal 2 2 2" xfId="4399"/>
    <cellStyle name="Normal 2 2 3" xfId="52012"/>
    <cellStyle name="Normal 2 3" xfId="119"/>
    <cellStyle name="Normal 2 3 10" xfId="2276"/>
    <cellStyle name="Normal 2 3 10 10" xfId="52013"/>
    <cellStyle name="Normal 2 3 10 2" xfId="4401"/>
    <cellStyle name="Normal 2 3 10 3" xfId="4400"/>
    <cellStyle name="Normal 2 3 10 3 2" xfId="8514"/>
    <cellStyle name="Normal 2 3 10 3 2 2" xfId="16304"/>
    <cellStyle name="Normal 2 3 10 3 2 2 2" xfId="33925"/>
    <cellStyle name="Normal 2 3 10 3 2 3" xfId="26901"/>
    <cellStyle name="Normal 2 3 10 3 3" xfId="12758"/>
    <cellStyle name="Normal 2 3 10 3 3 2" xfId="30402"/>
    <cellStyle name="Normal 2 3 10 3 4" xfId="24040"/>
    <cellStyle name="Normal 2 3 10 4" xfId="5831"/>
    <cellStyle name="Normal 2 3 10 4 2" xfId="9128"/>
    <cellStyle name="Normal 2 3 10 4 2 2" xfId="16917"/>
    <cellStyle name="Normal 2 3 10 4 2 2 2" xfId="34539"/>
    <cellStyle name="Normal 2 3 10 4 2 3" xfId="27502"/>
    <cellStyle name="Normal 2 3 10 4 3" xfId="13681"/>
    <cellStyle name="Normal 2 3 10 4 3 2" xfId="31307"/>
    <cellStyle name="Normal 2 3 10 4 4" xfId="24641"/>
    <cellStyle name="Normal 2 3 10 5" xfId="6461"/>
    <cellStyle name="Normal 2 3 10 5 2" xfId="9668"/>
    <cellStyle name="Normal 2 3 10 5 2 2" xfId="17456"/>
    <cellStyle name="Normal 2 3 10 5 2 2 2" xfId="35079"/>
    <cellStyle name="Normal 2 3 10 5 2 3" xfId="28038"/>
    <cellStyle name="Normal 2 3 10 5 3" xfId="14244"/>
    <cellStyle name="Normal 2 3 10 5 3 2" xfId="31865"/>
    <cellStyle name="Normal 2 3 10 5 4" xfId="25177"/>
    <cellStyle name="Normal 2 3 10 6" xfId="7236"/>
    <cellStyle name="Normal 2 3 10 6 2" xfId="10221"/>
    <cellStyle name="Normal 2 3 10 6 2 2" xfId="18008"/>
    <cellStyle name="Normal 2 3 10 6 2 2 2" xfId="35631"/>
    <cellStyle name="Normal 2 3 10 6 2 3" xfId="28574"/>
    <cellStyle name="Normal 2 3 10 6 3" xfId="15018"/>
    <cellStyle name="Normal 2 3 10 6 3 2" xfId="32639"/>
    <cellStyle name="Normal 2 3 10 6 4" xfId="25714"/>
    <cellStyle name="Normal 2 3 10 7" xfId="7836"/>
    <cellStyle name="Normal 2 3 10 7 2" xfId="15627"/>
    <cellStyle name="Normal 2 3 10 7 2 2" xfId="33248"/>
    <cellStyle name="Normal 2 3 10 7 3" xfId="26238"/>
    <cellStyle name="Normal 2 3 10 8" xfId="11752"/>
    <cellStyle name="Normal 2 3 10 8 2" xfId="29425"/>
    <cellStyle name="Normal 2 3 10 9" xfId="23377"/>
    <cellStyle name="Normal 2 3 11" xfId="2277"/>
    <cellStyle name="Normal 2 3 11 2" xfId="22533"/>
    <cellStyle name="Normal 2 3 12" xfId="4402"/>
    <cellStyle name="Normal 2 3 13" xfId="4403"/>
    <cellStyle name="Normal 2 3 14" xfId="2275"/>
    <cellStyle name="Normal 2 3 2" xfId="2278"/>
    <cellStyle name="Normal 2 3 2 2" xfId="2279"/>
    <cellStyle name="Normal 2 3 2 3" xfId="22948"/>
    <cellStyle name="Normal 2 3 2 4" xfId="22691"/>
    <cellStyle name="Normal 2 3 2 4 2" xfId="38890"/>
    <cellStyle name="Normal 2 3 2_Sheet1" xfId="2280"/>
    <cellStyle name="Normal 2 3 3" xfId="2281"/>
    <cellStyle name="Normal 2 3 3 2" xfId="22949"/>
    <cellStyle name="Normal 2 3 3 3" xfId="22780"/>
    <cellStyle name="Normal 2 3 3 3 2" xfId="38971"/>
    <cellStyle name="Normal 2 3 4" xfId="2282"/>
    <cellStyle name="Normal 2 3 4 10" xfId="52014"/>
    <cellStyle name="Normal 2 3 4 2" xfId="4404"/>
    <cellStyle name="Normal 2 3 4 2 2" xfId="8515"/>
    <cellStyle name="Normal 2 3 4 2 2 2" xfId="16305"/>
    <cellStyle name="Normal 2 3 4 2 2 2 2" xfId="33926"/>
    <cellStyle name="Normal 2 3 4 2 2 3" xfId="26902"/>
    <cellStyle name="Normal 2 3 4 2 3" xfId="12760"/>
    <cellStyle name="Normal 2 3 4 2 3 2" xfId="30404"/>
    <cellStyle name="Normal 2 3 4 2 4" xfId="24041"/>
    <cellStyle name="Normal 2 3 4 3" xfId="5832"/>
    <cellStyle name="Normal 2 3 4 3 2" xfId="9129"/>
    <cellStyle name="Normal 2 3 4 3 2 2" xfId="16918"/>
    <cellStyle name="Normal 2 3 4 3 2 2 2" xfId="34540"/>
    <cellStyle name="Normal 2 3 4 3 2 3" xfId="27503"/>
    <cellStyle name="Normal 2 3 4 3 3" xfId="13682"/>
    <cellStyle name="Normal 2 3 4 3 3 2" xfId="31308"/>
    <cellStyle name="Normal 2 3 4 3 4" xfId="24642"/>
    <cellStyle name="Normal 2 3 4 4" xfId="6462"/>
    <cellStyle name="Normal 2 3 4 4 2" xfId="9669"/>
    <cellStyle name="Normal 2 3 4 4 2 2" xfId="17457"/>
    <cellStyle name="Normal 2 3 4 4 2 2 2" xfId="35080"/>
    <cellStyle name="Normal 2 3 4 4 2 3" xfId="28039"/>
    <cellStyle name="Normal 2 3 4 4 3" xfId="14245"/>
    <cellStyle name="Normal 2 3 4 4 3 2" xfId="31866"/>
    <cellStyle name="Normal 2 3 4 4 4" xfId="25178"/>
    <cellStyle name="Normal 2 3 4 5" xfId="7237"/>
    <cellStyle name="Normal 2 3 4 5 2" xfId="10222"/>
    <cellStyle name="Normal 2 3 4 5 2 2" xfId="18009"/>
    <cellStyle name="Normal 2 3 4 5 2 2 2" xfId="35632"/>
    <cellStyle name="Normal 2 3 4 5 2 3" xfId="28575"/>
    <cellStyle name="Normal 2 3 4 5 3" xfId="15019"/>
    <cellStyle name="Normal 2 3 4 5 3 2" xfId="32640"/>
    <cellStyle name="Normal 2 3 4 5 4" xfId="25715"/>
    <cellStyle name="Normal 2 3 4 6" xfId="7837"/>
    <cellStyle name="Normal 2 3 4 6 2" xfId="15628"/>
    <cellStyle name="Normal 2 3 4 6 2 2" xfId="33249"/>
    <cellStyle name="Normal 2 3 4 6 3" xfId="26239"/>
    <cellStyle name="Normal 2 3 4 7" xfId="11753"/>
    <cellStyle name="Normal 2 3 4 7 2" xfId="29426"/>
    <cellStyle name="Normal 2 3 4 8" xfId="22790"/>
    <cellStyle name="Normal 2 3 4 8 2" xfId="38973"/>
    <cellStyle name="Normal 2 3 4 9" xfId="23378"/>
    <cellStyle name="Normal 2 3 5" xfId="2283"/>
    <cellStyle name="Normal 2 3 5 10" xfId="23379"/>
    <cellStyle name="Normal 2 3 5 11" xfId="52015"/>
    <cellStyle name="Normal 2 3 5 2" xfId="2284"/>
    <cellStyle name="Normal 2 3 5 3" xfId="4405"/>
    <cellStyle name="Normal 2 3 5 3 2" xfId="8516"/>
    <cellStyle name="Normal 2 3 5 3 2 2" xfId="16306"/>
    <cellStyle name="Normal 2 3 5 3 2 2 2" xfId="33927"/>
    <cellStyle name="Normal 2 3 5 3 2 3" xfId="26903"/>
    <cellStyle name="Normal 2 3 5 3 3" xfId="12761"/>
    <cellStyle name="Normal 2 3 5 3 3 2" xfId="30405"/>
    <cellStyle name="Normal 2 3 5 3 4" xfId="24042"/>
    <cellStyle name="Normal 2 3 5 4" xfId="5833"/>
    <cellStyle name="Normal 2 3 5 4 2" xfId="9130"/>
    <cellStyle name="Normal 2 3 5 4 2 2" xfId="16919"/>
    <cellStyle name="Normal 2 3 5 4 2 2 2" xfId="34541"/>
    <cellStyle name="Normal 2 3 5 4 2 3" xfId="27504"/>
    <cellStyle name="Normal 2 3 5 4 3" xfId="13683"/>
    <cellStyle name="Normal 2 3 5 4 3 2" xfId="31309"/>
    <cellStyle name="Normal 2 3 5 4 4" xfId="24643"/>
    <cellStyle name="Normal 2 3 5 5" xfId="6463"/>
    <cellStyle name="Normal 2 3 5 5 2" xfId="9670"/>
    <cellStyle name="Normal 2 3 5 5 2 2" xfId="17458"/>
    <cellStyle name="Normal 2 3 5 5 2 2 2" xfId="35081"/>
    <cellStyle name="Normal 2 3 5 5 2 3" xfId="28040"/>
    <cellStyle name="Normal 2 3 5 5 3" xfId="14246"/>
    <cellStyle name="Normal 2 3 5 5 3 2" xfId="31867"/>
    <cellStyle name="Normal 2 3 5 5 4" xfId="25179"/>
    <cellStyle name="Normal 2 3 5 6" xfId="7238"/>
    <cellStyle name="Normal 2 3 5 6 2" xfId="10223"/>
    <cellStyle name="Normal 2 3 5 6 2 2" xfId="18010"/>
    <cellStyle name="Normal 2 3 5 6 2 2 2" xfId="35633"/>
    <cellStyle name="Normal 2 3 5 6 2 3" xfId="28576"/>
    <cellStyle name="Normal 2 3 5 6 3" xfId="15020"/>
    <cellStyle name="Normal 2 3 5 6 3 2" xfId="32641"/>
    <cellStyle name="Normal 2 3 5 6 4" xfId="25716"/>
    <cellStyle name="Normal 2 3 5 7" xfId="7838"/>
    <cellStyle name="Normal 2 3 5 7 2" xfId="15629"/>
    <cellStyle name="Normal 2 3 5 7 2 2" xfId="33250"/>
    <cellStyle name="Normal 2 3 5 7 3" xfId="26240"/>
    <cellStyle name="Normal 2 3 5 8" xfId="11754"/>
    <cellStyle name="Normal 2 3 5 8 2" xfId="29427"/>
    <cellStyle name="Normal 2 3 5 9" xfId="22805"/>
    <cellStyle name="Normal 2 3 5 9 2" xfId="38975"/>
    <cellStyle name="Normal 2 3 6" xfId="2285"/>
    <cellStyle name="Normal 2 3 6 10" xfId="52016"/>
    <cellStyle name="Normal 2 3 6 2" xfId="4406"/>
    <cellStyle name="Normal 2 3 6 2 2" xfId="8517"/>
    <cellStyle name="Normal 2 3 6 2 2 2" xfId="16307"/>
    <cellStyle name="Normal 2 3 6 2 2 2 2" xfId="33928"/>
    <cellStyle name="Normal 2 3 6 2 2 3" xfId="26904"/>
    <cellStyle name="Normal 2 3 6 2 3" xfId="12762"/>
    <cellStyle name="Normal 2 3 6 2 3 2" xfId="30406"/>
    <cellStyle name="Normal 2 3 6 2 4" xfId="24043"/>
    <cellStyle name="Normal 2 3 6 3" xfId="5834"/>
    <cellStyle name="Normal 2 3 6 3 2" xfId="9131"/>
    <cellStyle name="Normal 2 3 6 3 2 2" xfId="16920"/>
    <cellStyle name="Normal 2 3 6 3 2 2 2" xfId="34542"/>
    <cellStyle name="Normal 2 3 6 3 2 3" xfId="27505"/>
    <cellStyle name="Normal 2 3 6 3 3" xfId="13684"/>
    <cellStyle name="Normal 2 3 6 3 3 2" xfId="31310"/>
    <cellStyle name="Normal 2 3 6 3 4" xfId="24644"/>
    <cellStyle name="Normal 2 3 6 4" xfId="6464"/>
    <cellStyle name="Normal 2 3 6 4 2" xfId="9671"/>
    <cellStyle name="Normal 2 3 6 4 2 2" xfId="17459"/>
    <cellStyle name="Normal 2 3 6 4 2 2 2" xfId="35082"/>
    <cellStyle name="Normal 2 3 6 4 2 3" xfId="28041"/>
    <cellStyle name="Normal 2 3 6 4 3" xfId="14247"/>
    <cellStyle name="Normal 2 3 6 4 3 2" xfId="31868"/>
    <cellStyle name="Normal 2 3 6 4 4" xfId="25180"/>
    <cellStyle name="Normal 2 3 6 5" xfId="7239"/>
    <cellStyle name="Normal 2 3 6 5 2" xfId="10224"/>
    <cellStyle name="Normal 2 3 6 5 2 2" xfId="18011"/>
    <cellStyle name="Normal 2 3 6 5 2 2 2" xfId="35634"/>
    <cellStyle name="Normal 2 3 6 5 2 3" xfId="28577"/>
    <cellStyle name="Normal 2 3 6 5 3" xfId="15021"/>
    <cellStyle name="Normal 2 3 6 5 3 2" xfId="32642"/>
    <cellStyle name="Normal 2 3 6 5 4" xfId="25717"/>
    <cellStyle name="Normal 2 3 6 6" xfId="7839"/>
    <cellStyle name="Normal 2 3 6 6 2" xfId="15630"/>
    <cellStyle name="Normal 2 3 6 6 2 2" xfId="33251"/>
    <cellStyle name="Normal 2 3 6 6 3" xfId="26241"/>
    <cellStyle name="Normal 2 3 6 7" xfId="11755"/>
    <cellStyle name="Normal 2 3 6 7 2" xfId="29428"/>
    <cellStyle name="Normal 2 3 6 8" xfId="22807"/>
    <cellStyle name="Normal 2 3 6 8 2" xfId="38977"/>
    <cellStyle name="Normal 2 3 6 9" xfId="23380"/>
    <cellStyle name="Normal 2 3 7" xfId="2286"/>
    <cellStyle name="Normal 2 3 7 10" xfId="52017"/>
    <cellStyle name="Normal 2 3 7 2" xfId="4407"/>
    <cellStyle name="Normal 2 3 7 2 2" xfId="8518"/>
    <cellStyle name="Normal 2 3 7 2 2 2" xfId="16308"/>
    <cellStyle name="Normal 2 3 7 2 2 2 2" xfId="33929"/>
    <cellStyle name="Normal 2 3 7 2 2 3" xfId="26905"/>
    <cellStyle name="Normal 2 3 7 2 3" xfId="12763"/>
    <cellStyle name="Normal 2 3 7 2 3 2" xfId="30407"/>
    <cellStyle name="Normal 2 3 7 2 4" xfId="24044"/>
    <cellStyle name="Normal 2 3 7 3" xfId="5835"/>
    <cellStyle name="Normal 2 3 7 3 2" xfId="9132"/>
    <cellStyle name="Normal 2 3 7 3 2 2" xfId="16921"/>
    <cellStyle name="Normal 2 3 7 3 2 2 2" xfId="34543"/>
    <cellStyle name="Normal 2 3 7 3 2 3" xfId="27506"/>
    <cellStyle name="Normal 2 3 7 3 3" xfId="13685"/>
    <cellStyle name="Normal 2 3 7 3 3 2" xfId="31311"/>
    <cellStyle name="Normal 2 3 7 3 4" xfId="24645"/>
    <cellStyle name="Normal 2 3 7 4" xfId="6465"/>
    <cellStyle name="Normal 2 3 7 4 2" xfId="9672"/>
    <cellStyle name="Normal 2 3 7 4 2 2" xfId="17460"/>
    <cellStyle name="Normal 2 3 7 4 2 2 2" xfId="35083"/>
    <cellStyle name="Normal 2 3 7 4 2 3" xfId="28042"/>
    <cellStyle name="Normal 2 3 7 4 3" xfId="14248"/>
    <cellStyle name="Normal 2 3 7 4 3 2" xfId="31869"/>
    <cellStyle name="Normal 2 3 7 4 4" xfId="25181"/>
    <cellStyle name="Normal 2 3 7 5" xfId="7240"/>
    <cellStyle name="Normal 2 3 7 5 2" xfId="10225"/>
    <cellStyle name="Normal 2 3 7 5 2 2" xfId="18012"/>
    <cellStyle name="Normal 2 3 7 5 2 2 2" xfId="35635"/>
    <cellStyle name="Normal 2 3 7 5 2 3" xfId="28578"/>
    <cellStyle name="Normal 2 3 7 5 3" xfId="15022"/>
    <cellStyle name="Normal 2 3 7 5 3 2" xfId="32643"/>
    <cellStyle name="Normal 2 3 7 5 4" xfId="25718"/>
    <cellStyle name="Normal 2 3 7 6" xfId="7840"/>
    <cellStyle name="Normal 2 3 7 6 2" xfId="15631"/>
    <cellStyle name="Normal 2 3 7 6 2 2" xfId="33252"/>
    <cellStyle name="Normal 2 3 7 6 3" xfId="26242"/>
    <cellStyle name="Normal 2 3 7 7" xfId="11756"/>
    <cellStyle name="Normal 2 3 7 7 2" xfId="29429"/>
    <cellStyle name="Normal 2 3 7 8" xfId="22811"/>
    <cellStyle name="Normal 2 3 7 8 2" xfId="38979"/>
    <cellStyle name="Normal 2 3 7 9" xfId="23381"/>
    <cellStyle name="Normal 2 3 8" xfId="2287"/>
    <cellStyle name="Normal 2 3 8 10" xfId="52018"/>
    <cellStyle name="Normal 2 3 8 2" xfId="4408"/>
    <cellStyle name="Normal 2 3 8 2 2" xfId="8519"/>
    <cellStyle name="Normal 2 3 8 2 2 2" xfId="16309"/>
    <cellStyle name="Normal 2 3 8 2 2 2 2" xfId="33930"/>
    <cellStyle name="Normal 2 3 8 2 2 3" xfId="26906"/>
    <cellStyle name="Normal 2 3 8 2 3" xfId="12764"/>
    <cellStyle name="Normal 2 3 8 2 3 2" xfId="30408"/>
    <cellStyle name="Normal 2 3 8 2 4" xfId="24045"/>
    <cellStyle name="Normal 2 3 8 3" xfId="5836"/>
    <cellStyle name="Normal 2 3 8 3 2" xfId="9133"/>
    <cellStyle name="Normal 2 3 8 3 2 2" xfId="16922"/>
    <cellStyle name="Normal 2 3 8 3 2 2 2" xfId="34544"/>
    <cellStyle name="Normal 2 3 8 3 2 3" xfId="27507"/>
    <cellStyle name="Normal 2 3 8 3 3" xfId="13686"/>
    <cellStyle name="Normal 2 3 8 3 3 2" xfId="31312"/>
    <cellStyle name="Normal 2 3 8 3 4" xfId="24646"/>
    <cellStyle name="Normal 2 3 8 4" xfId="6466"/>
    <cellStyle name="Normal 2 3 8 4 2" xfId="9673"/>
    <cellStyle name="Normal 2 3 8 4 2 2" xfId="17461"/>
    <cellStyle name="Normal 2 3 8 4 2 2 2" xfId="35084"/>
    <cellStyle name="Normal 2 3 8 4 2 3" xfId="28043"/>
    <cellStyle name="Normal 2 3 8 4 3" xfId="14249"/>
    <cellStyle name="Normal 2 3 8 4 3 2" xfId="31870"/>
    <cellStyle name="Normal 2 3 8 4 4" xfId="25182"/>
    <cellStyle name="Normal 2 3 8 5" xfId="7241"/>
    <cellStyle name="Normal 2 3 8 5 2" xfId="10226"/>
    <cellStyle name="Normal 2 3 8 5 2 2" xfId="18013"/>
    <cellStyle name="Normal 2 3 8 5 2 2 2" xfId="35636"/>
    <cellStyle name="Normal 2 3 8 5 2 3" xfId="28579"/>
    <cellStyle name="Normal 2 3 8 5 3" xfId="15023"/>
    <cellStyle name="Normal 2 3 8 5 3 2" xfId="32644"/>
    <cellStyle name="Normal 2 3 8 5 4" xfId="25719"/>
    <cellStyle name="Normal 2 3 8 6" xfId="7841"/>
    <cellStyle name="Normal 2 3 8 6 2" xfId="15632"/>
    <cellStyle name="Normal 2 3 8 6 2 2" xfId="33253"/>
    <cellStyle name="Normal 2 3 8 6 3" xfId="26243"/>
    <cellStyle name="Normal 2 3 8 7" xfId="11757"/>
    <cellStyle name="Normal 2 3 8 7 2" xfId="29430"/>
    <cellStyle name="Normal 2 3 8 8" xfId="22813"/>
    <cellStyle name="Normal 2 3 8 8 2" xfId="38981"/>
    <cellStyle name="Normal 2 3 8 9" xfId="23382"/>
    <cellStyle name="Normal 2 3 9" xfId="2288"/>
    <cellStyle name="Normal 2 3 9 10" xfId="52019"/>
    <cellStyle name="Normal 2 3 9 2" xfId="4409"/>
    <cellStyle name="Normal 2 3 9 2 2" xfId="8520"/>
    <cellStyle name="Normal 2 3 9 2 2 2" xfId="16310"/>
    <cellStyle name="Normal 2 3 9 2 2 2 2" xfId="33931"/>
    <cellStyle name="Normal 2 3 9 2 2 3" xfId="26907"/>
    <cellStyle name="Normal 2 3 9 2 3" xfId="12765"/>
    <cellStyle name="Normal 2 3 9 2 3 2" xfId="30409"/>
    <cellStyle name="Normal 2 3 9 2 4" xfId="24046"/>
    <cellStyle name="Normal 2 3 9 3" xfId="5837"/>
    <cellStyle name="Normal 2 3 9 3 2" xfId="9134"/>
    <cellStyle name="Normal 2 3 9 3 2 2" xfId="16923"/>
    <cellStyle name="Normal 2 3 9 3 2 2 2" xfId="34545"/>
    <cellStyle name="Normal 2 3 9 3 2 3" xfId="27508"/>
    <cellStyle name="Normal 2 3 9 3 3" xfId="13687"/>
    <cellStyle name="Normal 2 3 9 3 3 2" xfId="31313"/>
    <cellStyle name="Normal 2 3 9 3 4" xfId="24647"/>
    <cellStyle name="Normal 2 3 9 4" xfId="6467"/>
    <cellStyle name="Normal 2 3 9 4 2" xfId="9674"/>
    <cellStyle name="Normal 2 3 9 4 2 2" xfId="17462"/>
    <cellStyle name="Normal 2 3 9 4 2 2 2" xfId="35085"/>
    <cellStyle name="Normal 2 3 9 4 2 3" xfId="28044"/>
    <cellStyle name="Normal 2 3 9 4 3" xfId="14250"/>
    <cellStyle name="Normal 2 3 9 4 3 2" xfId="31871"/>
    <cellStyle name="Normal 2 3 9 4 4" xfId="25183"/>
    <cellStyle name="Normal 2 3 9 5" xfId="7242"/>
    <cellStyle name="Normal 2 3 9 5 2" xfId="10227"/>
    <cellStyle name="Normal 2 3 9 5 2 2" xfId="18014"/>
    <cellStyle name="Normal 2 3 9 5 2 2 2" xfId="35637"/>
    <cellStyle name="Normal 2 3 9 5 2 3" xfId="28580"/>
    <cellStyle name="Normal 2 3 9 5 3" xfId="15024"/>
    <cellStyle name="Normal 2 3 9 5 3 2" xfId="32645"/>
    <cellStyle name="Normal 2 3 9 5 4" xfId="25720"/>
    <cellStyle name="Normal 2 3 9 6" xfId="7842"/>
    <cellStyle name="Normal 2 3 9 6 2" xfId="15633"/>
    <cellStyle name="Normal 2 3 9 6 2 2" xfId="33254"/>
    <cellStyle name="Normal 2 3 9 6 3" xfId="26244"/>
    <cellStyle name="Normal 2 3 9 7" xfId="11758"/>
    <cellStyle name="Normal 2 3 9 7 2" xfId="29431"/>
    <cellStyle name="Normal 2 3 9 8" xfId="22816"/>
    <cellStyle name="Normal 2 3 9 8 2" xfId="38983"/>
    <cellStyle name="Normal 2 3 9 9" xfId="23383"/>
    <cellStyle name="Normal 2 3_Sheet1" xfId="2289"/>
    <cellStyle name="Normal 2 4" xfId="191"/>
    <cellStyle name="Normal 2 4 10" xfId="2290"/>
    <cellStyle name="Normal 2 4 2" xfId="2291"/>
    <cellStyle name="Normal 2 4 2 10" xfId="23384"/>
    <cellStyle name="Normal 2 4 2 11" xfId="52021"/>
    <cellStyle name="Normal 2 4 2 2" xfId="4412"/>
    <cellStyle name="Normal 2 4 2 3" xfId="4411"/>
    <cellStyle name="Normal 2 4 2 3 2" xfId="8521"/>
    <cellStyle name="Normal 2 4 2 3 2 2" xfId="16311"/>
    <cellStyle name="Normal 2 4 2 3 2 2 2" xfId="33932"/>
    <cellStyle name="Normal 2 4 2 3 2 3" xfId="26908"/>
    <cellStyle name="Normal 2 4 2 3 3" xfId="12766"/>
    <cellStyle name="Normal 2 4 2 3 3 2" xfId="30410"/>
    <cellStyle name="Normal 2 4 2 3 4" xfId="24047"/>
    <cellStyle name="Normal 2 4 2 4" xfId="5838"/>
    <cellStyle name="Normal 2 4 2 4 2" xfId="9135"/>
    <cellStyle name="Normal 2 4 2 4 2 2" xfId="16924"/>
    <cellStyle name="Normal 2 4 2 4 2 2 2" xfId="34546"/>
    <cellStyle name="Normal 2 4 2 4 2 3" xfId="27509"/>
    <cellStyle name="Normal 2 4 2 4 3" xfId="13688"/>
    <cellStyle name="Normal 2 4 2 4 3 2" xfId="31314"/>
    <cellStyle name="Normal 2 4 2 4 4" xfId="24648"/>
    <cellStyle name="Normal 2 4 2 5" xfId="6468"/>
    <cellStyle name="Normal 2 4 2 5 2" xfId="9675"/>
    <cellStyle name="Normal 2 4 2 5 2 2" xfId="17463"/>
    <cellStyle name="Normal 2 4 2 5 2 2 2" xfId="35086"/>
    <cellStyle name="Normal 2 4 2 5 2 3" xfId="28045"/>
    <cellStyle name="Normal 2 4 2 5 3" xfId="14251"/>
    <cellStyle name="Normal 2 4 2 5 3 2" xfId="31872"/>
    <cellStyle name="Normal 2 4 2 5 4" xfId="25184"/>
    <cellStyle name="Normal 2 4 2 6" xfId="7243"/>
    <cellStyle name="Normal 2 4 2 6 2" xfId="10228"/>
    <cellStyle name="Normal 2 4 2 6 2 2" xfId="18015"/>
    <cellStyle name="Normal 2 4 2 6 2 2 2" xfId="35638"/>
    <cellStyle name="Normal 2 4 2 6 2 3" xfId="28581"/>
    <cellStyle name="Normal 2 4 2 6 3" xfId="15025"/>
    <cellStyle name="Normal 2 4 2 6 3 2" xfId="32646"/>
    <cellStyle name="Normal 2 4 2 6 4" xfId="25721"/>
    <cellStyle name="Normal 2 4 2 7" xfId="7843"/>
    <cellStyle name="Normal 2 4 2 7 2" xfId="15634"/>
    <cellStyle name="Normal 2 4 2 7 2 2" xfId="33255"/>
    <cellStyle name="Normal 2 4 2 7 3" xfId="26245"/>
    <cellStyle name="Normal 2 4 2 8" xfId="11759"/>
    <cellStyle name="Normal 2 4 2 8 2" xfId="29432"/>
    <cellStyle name="Normal 2 4 2 9" xfId="22781"/>
    <cellStyle name="Normal 2 4 2 9 2" xfId="38972"/>
    <cellStyle name="Normal 2 4 3" xfId="2292"/>
    <cellStyle name="Normal 2 4 3 2" xfId="4413"/>
    <cellStyle name="Normal 2 4 3 3" xfId="22791"/>
    <cellStyle name="Normal 2 4 3 3 2" xfId="38974"/>
    <cellStyle name="Normal 2 4 3 4" xfId="52022"/>
    <cellStyle name="Normal 2 4 4" xfId="4414"/>
    <cellStyle name="Normal 2 4 4 2" xfId="22806"/>
    <cellStyle name="Normal 2 4 4 2 2" xfId="38976"/>
    <cellStyle name="Normal 2 4 5" xfId="4415"/>
    <cellStyle name="Normal 2 4 5 2" xfId="22808"/>
    <cellStyle name="Normal 2 4 5 2 2" xfId="38978"/>
    <cellStyle name="Normal 2 4 6" xfId="4410"/>
    <cellStyle name="Normal 2 4 6 2" xfId="22812"/>
    <cellStyle name="Normal 2 4 6 2 2" xfId="38980"/>
    <cellStyle name="Normal 2 4 7" xfId="22814"/>
    <cellStyle name="Normal 2 4 7 2" xfId="38982"/>
    <cellStyle name="Normal 2 4 8" xfId="22817"/>
    <cellStyle name="Normal 2 4 8 2" xfId="38984"/>
    <cellStyle name="Normal 2 4 9" xfId="52020"/>
    <cellStyle name="Normal 2 5" xfId="2293"/>
    <cellStyle name="Normal 2 5 2" xfId="2294"/>
    <cellStyle name="Normal 2 5 2 2" xfId="4417"/>
    <cellStyle name="Normal 2 5 2 3" xfId="52024"/>
    <cellStyle name="Normal 2 5 3" xfId="4416"/>
    <cellStyle name="Normal 2 5 4" xfId="52023"/>
    <cellStyle name="Normal 2 5_BallGrid" xfId="2295"/>
    <cellStyle name="Normal 2 6" xfId="2296"/>
    <cellStyle name="Normal 2 6 10" xfId="52025"/>
    <cellStyle name="Normal 2 6 2" xfId="4418"/>
    <cellStyle name="Normal 2 6 2 2" xfId="8522"/>
    <cellStyle name="Normal 2 6 2 2 2" xfId="16312"/>
    <cellStyle name="Normal 2 6 2 2 2 2" xfId="33933"/>
    <cellStyle name="Normal 2 6 2 2 3" xfId="26909"/>
    <cellStyle name="Normal 2 6 2 3" xfId="12767"/>
    <cellStyle name="Normal 2 6 2 3 2" xfId="30411"/>
    <cellStyle name="Normal 2 6 2 4" xfId="22744"/>
    <cellStyle name="Normal 2 6 2 4 2" xfId="38937"/>
    <cellStyle name="Normal 2 6 2 5" xfId="24048"/>
    <cellStyle name="Normal 2 6 3" xfId="5839"/>
    <cellStyle name="Normal 2 6 3 2" xfId="9136"/>
    <cellStyle name="Normal 2 6 3 2 2" xfId="16925"/>
    <cellStyle name="Normal 2 6 3 2 2 2" xfId="34547"/>
    <cellStyle name="Normal 2 6 3 2 3" xfId="27510"/>
    <cellStyle name="Normal 2 6 3 3" xfId="13689"/>
    <cellStyle name="Normal 2 6 3 3 2" xfId="31315"/>
    <cellStyle name="Normal 2 6 3 4" xfId="24649"/>
    <cellStyle name="Normal 2 6 4" xfId="6469"/>
    <cellStyle name="Normal 2 6 4 2" xfId="9676"/>
    <cellStyle name="Normal 2 6 4 2 2" xfId="17464"/>
    <cellStyle name="Normal 2 6 4 2 2 2" xfId="35087"/>
    <cellStyle name="Normal 2 6 4 2 3" xfId="28046"/>
    <cellStyle name="Normal 2 6 4 3" xfId="14252"/>
    <cellStyle name="Normal 2 6 4 3 2" xfId="31873"/>
    <cellStyle name="Normal 2 6 4 4" xfId="25185"/>
    <cellStyle name="Normal 2 6 5" xfId="7244"/>
    <cellStyle name="Normal 2 6 5 2" xfId="10229"/>
    <cellStyle name="Normal 2 6 5 2 2" xfId="18016"/>
    <cellStyle name="Normal 2 6 5 2 2 2" xfId="35639"/>
    <cellStyle name="Normal 2 6 5 2 3" xfId="28582"/>
    <cellStyle name="Normal 2 6 5 3" xfId="15026"/>
    <cellStyle name="Normal 2 6 5 3 2" xfId="32647"/>
    <cellStyle name="Normal 2 6 5 4" xfId="25722"/>
    <cellStyle name="Normal 2 6 6" xfId="7844"/>
    <cellStyle name="Normal 2 6 6 2" xfId="15635"/>
    <cellStyle name="Normal 2 6 6 2 2" xfId="33256"/>
    <cellStyle name="Normal 2 6 6 3" xfId="26246"/>
    <cellStyle name="Normal 2 6 7" xfId="11761"/>
    <cellStyle name="Normal 2 6 7 2" xfId="29434"/>
    <cellStyle name="Normal 2 6 8" xfId="21975"/>
    <cellStyle name="Normal 2 6 8 2" xfId="38705"/>
    <cellStyle name="Normal 2 6 9" xfId="23385"/>
    <cellStyle name="Normal 2 7" xfId="2297"/>
    <cellStyle name="Normal 2 7 10" xfId="52026"/>
    <cellStyle name="Normal 2 7 2" xfId="4419"/>
    <cellStyle name="Normal 2 7 2 2" xfId="8523"/>
    <cellStyle name="Normal 2 7 2 2 2" xfId="16313"/>
    <cellStyle name="Normal 2 7 2 2 2 2" xfId="33934"/>
    <cellStyle name="Normal 2 7 2 2 3" xfId="26910"/>
    <cellStyle name="Normal 2 7 2 3" xfId="12768"/>
    <cellStyle name="Normal 2 7 2 3 2" xfId="30412"/>
    <cellStyle name="Normal 2 7 2 4" xfId="24049"/>
    <cellStyle name="Normal 2 7 3" xfId="5840"/>
    <cellStyle name="Normal 2 7 3 2" xfId="9137"/>
    <cellStyle name="Normal 2 7 3 2 2" xfId="16926"/>
    <cellStyle name="Normal 2 7 3 2 2 2" xfId="34548"/>
    <cellStyle name="Normal 2 7 3 2 3" xfId="27511"/>
    <cellStyle name="Normal 2 7 3 3" xfId="13690"/>
    <cellStyle name="Normal 2 7 3 3 2" xfId="31316"/>
    <cellStyle name="Normal 2 7 3 4" xfId="24650"/>
    <cellStyle name="Normal 2 7 4" xfId="6470"/>
    <cellStyle name="Normal 2 7 4 2" xfId="9677"/>
    <cellStyle name="Normal 2 7 4 2 2" xfId="17465"/>
    <cellStyle name="Normal 2 7 4 2 2 2" xfId="35088"/>
    <cellStyle name="Normal 2 7 4 2 3" xfId="28047"/>
    <cellStyle name="Normal 2 7 4 3" xfId="14253"/>
    <cellStyle name="Normal 2 7 4 3 2" xfId="31874"/>
    <cellStyle name="Normal 2 7 4 4" xfId="25186"/>
    <cellStyle name="Normal 2 7 5" xfId="7245"/>
    <cellStyle name="Normal 2 7 5 2" xfId="10230"/>
    <cellStyle name="Normal 2 7 5 2 2" xfId="18017"/>
    <cellStyle name="Normal 2 7 5 2 2 2" xfId="35640"/>
    <cellStyle name="Normal 2 7 5 2 3" xfId="28583"/>
    <cellStyle name="Normal 2 7 5 3" xfId="15027"/>
    <cellStyle name="Normal 2 7 5 3 2" xfId="32648"/>
    <cellStyle name="Normal 2 7 5 4" xfId="25723"/>
    <cellStyle name="Normal 2 7 6" xfId="7845"/>
    <cellStyle name="Normal 2 7 6 2" xfId="15636"/>
    <cellStyle name="Normal 2 7 6 2 2" xfId="33257"/>
    <cellStyle name="Normal 2 7 6 3" xfId="26247"/>
    <cellStyle name="Normal 2 7 7" xfId="11762"/>
    <cellStyle name="Normal 2 7 7 2" xfId="29435"/>
    <cellStyle name="Normal 2 7 8" xfId="21976"/>
    <cellStyle name="Normal 2 7 8 2" xfId="38706"/>
    <cellStyle name="Normal 2 7 9" xfId="23386"/>
    <cellStyle name="Normal 2 8" xfId="2298"/>
    <cellStyle name="Normal 2 8 10" xfId="52027"/>
    <cellStyle name="Normal 2 8 2" xfId="4420"/>
    <cellStyle name="Normal 2 8 2 2" xfId="8524"/>
    <cellStyle name="Normal 2 8 2 2 2" xfId="16314"/>
    <cellStyle name="Normal 2 8 2 2 2 2" xfId="33935"/>
    <cellStyle name="Normal 2 8 2 2 3" xfId="26911"/>
    <cellStyle name="Normal 2 8 2 3" xfId="12769"/>
    <cellStyle name="Normal 2 8 2 3 2" xfId="30413"/>
    <cellStyle name="Normal 2 8 2 4" xfId="24050"/>
    <cellStyle name="Normal 2 8 3" xfId="5841"/>
    <cellStyle name="Normal 2 8 3 2" xfId="9138"/>
    <cellStyle name="Normal 2 8 3 2 2" xfId="16927"/>
    <cellStyle name="Normal 2 8 3 2 2 2" xfId="34549"/>
    <cellStyle name="Normal 2 8 3 2 3" xfId="27512"/>
    <cellStyle name="Normal 2 8 3 3" xfId="13691"/>
    <cellStyle name="Normal 2 8 3 3 2" xfId="31317"/>
    <cellStyle name="Normal 2 8 3 4" xfId="24651"/>
    <cellStyle name="Normal 2 8 4" xfId="6471"/>
    <cellStyle name="Normal 2 8 4 2" xfId="9678"/>
    <cellStyle name="Normal 2 8 4 2 2" xfId="17466"/>
    <cellStyle name="Normal 2 8 4 2 2 2" xfId="35089"/>
    <cellStyle name="Normal 2 8 4 2 3" xfId="28048"/>
    <cellStyle name="Normal 2 8 4 3" xfId="14254"/>
    <cellStyle name="Normal 2 8 4 3 2" xfId="31875"/>
    <cellStyle name="Normal 2 8 4 4" xfId="25187"/>
    <cellStyle name="Normal 2 8 5" xfId="7246"/>
    <cellStyle name="Normal 2 8 5 2" xfId="10231"/>
    <cellStyle name="Normal 2 8 5 2 2" xfId="18018"/>
    <cellStyle name="Normal 2 8 5 2 2 2" xfId="35641"/>
    <cellStyle name="Normal 2 8 5 2 3" xfId="28584"/>
    <cellStyle name="Normal 2 8 5 3" xfId="15028"/>
    <cellStyle name="Normal 2 8 5 3 2" xfId="32649"/>
    <cellStyle name="Normal 2 8 5 4" xfId="25724"/>
    <cellStyle name="Normal 2 8 6" xfId="7846"/>
    <cellStyle name="Normal 2 8 6 2" xfId="15637"/>
    <cellStyle name="Normal 2 8 6 2 2" xfId="33258"/>
    <cellStyle name="Normal 2 8 6 3" xfId="26248"/>
    <cellStyle name="Normal 2 8 7" xfId="11763"/>
    <cellStyle name="Normal 2 8 7 2" xfId="29436"/>
    <cellStyle name="Normal 2 8 8" xfId="21977"/>
    <cellStyle name="Normal 2 8 8 2" xfId="38707"/>
    <cellStyle name="Normal 2 8 9" xfId="23387"/>
    <cellStyle name="Normal 2 9" xfId="2299"/>
    <cellStyle name="Normal 2 9 10" xfId="52028"/>
    <cellStyle name="Normal 2 9 2" xfId="4421"/>
    <cellStyle name="Normal 2 9 2 2" xfId="8525"/>
    <cellStyle name="Normal 2 9 2 2 2" xfId="16315"/>
    <cellStyle name="Normal 2 9 2 2 2 2" xfId="33936"/>
    <cellStyle name="Normal 2 9 2 2 3" xfId="26912"/>
    <cellStyle name="Normal 2 9 2 3" xfId="12770"/>
    <cellStyle name="Normal 2 9 2 3 2" xfId="30414"/>
    <cellStyle name="Normal 2 9 2 4" xfId="24051"/>
    <cellStyle name="Normal 2 9 3" xfId="5842"/>
    <cellStyle name="Normal 2 9 3 2" xfId="9139"/>
    <cellStyle name="Normal 2 9 3 2 2" xfId="16928"/>
    <cellStyle name="Normal 2 9 3 2 2 2" xfId="34550"/>
    <cellStyle name="Normal 2 9 3 2 3" xfId="27513"/>
    <cellStyle name="Normal 2 9 3 3" xfId="13692"/>
    <cellStyle name="Normal 2 9 3 3 2" xfId="31318"/>
    <cellStyle name="Normal 2 9 3 4" xfId="24652"/>
    <cellStyle name="Normal 2 9 4" xfId="6472"/>
    <cellStyle name="Normal 2 9 4 2" xfId="9679"/>
    <cellStyle name="Normal 2 9 4 2 2" xfId="17467"/>
    <cellStyle name="Normal 2 9 4 2 2 2" xfId="35090"/>
    <cellStyle name="Normal 2 9 4 2 3" xfId="28049"/>
    <cellStyle name="Normal 2 9 4 3" xfId="14255"/>
    <cellStyle name="Normal 2 9 4 3 2" xfId="31876"/>
    <cellStyle name="Normal 2 9 4 4" xfId="25188"/>
    <cellStyle name="Normal 2 9 5" xfId="7247"/>
    <cellStyle name="Normal 2 9 5 2" xfId="10232"/>
    <cellStyle name="Normal 2 9 5 2 2" xfId="18019"/>
    <cellStyle name="Normal 2 9 5 2 2 2" xfId="35642"/>
    <cellStyle name="Normal 2 9 5 2 3" xfId="28585"/>
    <cellStyle name="Normal 2 9 5 3" xfId="15029"/>
    <cellStyle name="Normal 2 9 5 3 2" xfId="32650"/>
    <cellStyle name="Normal 2 9 5 4" xfId="25725"/>
    <cellStyle name="Normal 2 9 6" xfId="7847"/>
    <cellStyle name="Normal 2 9 6 2" xfId="15638"/>
    <cellStyle name="Normal 2 9 6 2 2" xfId="33259"/>
    <cellStyle name="Normal 2 9 6 3" xfId="26249"/>
    <cellStyle name="Normal 2 9 7" xfId="11764"/>
    <cellStyle name="Normal 2 9 7 2" xfId="29437"/>
    <cellStyle name="Normal 2 9 8" xfId="21978"/>
    <cellStyle name="Normal 2 9 8 2" xfId="38708"/>
    <cellStyle name="Normal 2 9 9" xfId="23388"/>
    <cellStyle name="Normal 2_BallGrid" xfId="2300"/>
    <cellStyle name="Normal 20" xfId="2301"/>
    <cellStyle name="Normal 20 2" xfId="2302"/>
    <cellStyle name="Normal 20 2 2" xfId="2303"/>
    <cellStyle name="Normal 20 2 3" xfId="22951"/>
    <cellStyle name="Normal 20 2 4" xfId="22745"/>
    <cellStyle name="Normal 20 2 4 2" xfId="38938"/>
    <cellStyle name="Normal 20 2_Sheet1" xfId="2304"/>
    <cellStyle name="Normal 20 3" xfId="2305"/>
    <cellStyle name="Normal 20 4" xfId="22950"/>
    <cellStyle name="Normal 20 5" xfId="22534"/>
    <cellStyle name="Normal 20 5 2" xfId="38833"/>
    <cellStyle name="Normal 20 6" xfId="53212"/>
    <cellStyle name="Normal 20_Sheet1" xfId="2306"/>
    <cellStyle name="Normal 200" xfId="2307"/>
    <cellStyle name="Normal 200 2" xfId="4422"/>
    <cellStyle name="Normal 200 3" xfId="52029"/>
    <cellStyle name="Normal 201" xfId="2308"/>
    <cellStyle name="Normal 201 2" xfId="4423"/>
    <cellStyle name="Normal 201 3" xfId="52030"/>
    <cellStyle name="Normal 202" xfId="2309"/>
    <cellStyle name="Normal 202 2" xfId="4424"/>
    <cellStyle name="Normal 202 3" xfId="52031"/>
    <cellStyle name="Normal 203" xfId="2310"/>
    <cellStyle name="Normal 203 2" xfId="4425"/>
    <cellStyle name="Normal 203 3" xfId="52032"/>
    <cellStyle name="Normal 204" xfId="2311"/>
    <cellStyle name="Normal 204 2" xfId="4426"/>
    <cellStyle name="Normal 204 3" xfId="52033"/>
    <cellStyle name="Normal 205" xfId="2312"/>
    <cellStyle name="Normal 205 2" xfId="4427"/>
    <cellStyle name="Normal 205 3" xfId="52034"/>
    <cellStyle name="Normal 206" xfId="2313"/>
    <cellStyle name="Normal 206 2" xfId="4428"/>
    <cellStyle name="Normal 206 3" xfId="52035"/>
    <cellStyle name="Normal 207" xfId="2314"/>
    <cellStyle name="Normal 207 2" xfId="4429"/>
    <cellStyle name="Normal 207 3" xfId="52036"/>
    <cellStyle name="Normal 208" xfId="2315"/>
    <cellStyle name="Normal 208 2" xfId="4430"/>
    <cellStyle name="Normal 208 3" xfId="52037"/>
    <cellStyle name="Normal 209" xfId="2316"/>
    <cellStyle name="Normal 209 2" xfId="4431"/>
    <cellStyle name="Normal 209 3" xfId="52038"/>
    <cellStyle name="Normal 21" xfId="2317"/>
    <cellStyle name="Normal 21 2" xfId="2318"/>
    <cellStyle name="Normal 21 2 2" xfId="2319"/>
    <cellStyle name="Normal 21 2 3" xfId="22953"/>
    <cellStyle name="Normal 21 2 4" xfId="22746"/>
    <cellStyle name="Normal 21 2 4 2" xfId="38939"/>
    <cellStyle name="Normal 21 2_Sheet1" xfId="2320"/>
    <cellStyle name="Normal 21 3" xfId="2321"/>
    <cellStyle name="Normal 21 4" xfId="22952"/>
    <cellStyle name="Normal 21 5" xfId="22535"/>
    <cellStyle name="Normal 21 5 2" xfId="38834"/>
    <cellStyle name="Normal 21 6" xfId="53213"/>
    <cellStyle name="Normal 21_Sheet1" xfId="2322"/>
    <cellStyle name="Normal 210" xfId="2323"/>
    <cellStyle name="Normal 210 2" xfId="4432"/>
    <cellStyle name="Normal 210 3" xfId="52039"/>
    <cellStyle name="Normal 211" xfId="2324"/>
    <cellStyle name="Normal 211 2" xfId="4433"/>
    <cellStyle name="Normal 211 3" xfId="52040"/>
    <cellStyle name="Normal 212" xfId="2325"/>
    <cellStyle name="Normal 212 2" xfId="4434"/>
    <cellStyle name="Normal 212 3" xfId="52041"/>
    <cellStyle name="Normal 213" xfId="2326"/>
    <cellStyle name="Normal 213 2" xfId="4435"/>
    <cellStyle name="Normal 213 3" xfId="52042"/>
    <cellStyle name="Normal 214" xfId="2327"/>
    <cellStyle name="Normal 214 2" xfId="4436"/>
    <cellStyle name="Normal 214 3" xfId="52043"/>
    <cellStyle name="Normal 215" xfId="2328"/>
    <cellStyle name="Normal 215 2" xfId="4437"/>
    <cellStyle name="Normal 215 3" xfId="52044"/>
    <cellStyle name="Normal 216" xfId="2329"/>
    <cellStyle name="Normal 216 2" xfId="4438"/>
    <cellStyle name="Normal 216 3" xfId="52045"/>
    <cellStyle name="Normal 217" xfId="2330"/>
    <cellStyle name="Normal 217 10" xfId="52046"/>
    <cellStyle name="Normal 217 2" xfId="4439"/>
    <cellStyle name="Normal 217 2 2" xfId="8526"/>
    <cellStyle name="Normal 217 2 2 2" xfId="16316"/>
    <cellStyle name="Normal 217 2 2 2 2" xfId="33937"/>
    <cellStyle name="Normal 217 2 2 3" xfId="26913"/>
    <cellStyle name="Normal 217 2 3" xfId="12771"/>
    <cellStyle name="Normal 217 2 3 2" xfId="30415"/>
    <cellStyle name="Normal 217 2 4" xfId="24052"/>
    <cellStyle name="Normal 217 3" xfId="5843"/>
    <cellStyle name="Normal 217 3 2" xfId="9140"/>
    <cellStyle name="Normal 217 3 2 2" xfId="16929"/>
    <cellStyle name="Normal 217 3 2 2 2" xfId="34551"/>
    <cellStyle name="Normal 217 3 2 3" xfId="27514"/>
    <cellStyle name="Normal 217 3 3" xfId="13693"/>
    <cellStyle name="Normal 217 3 3 2" xfId="31319"/>
    <cellStyle name="Normal 217 3 4" xfId="24653"/>
    <cellStyle name="Normal 217 4" xfId="6473"/>
    <cellStyle name="Normal 217 4 2" xfId="9680"/>
    <cellStyle name="Normal 217 4 2 2" xfId="17468"/>
    <cellStyle name="Normal 217 4 2 2 2" xfId="35091"/>
    <cellStyle name="Normal 217 4 2 3" xfId="28050"/>
    <cellStyle name="Normal 217 4 3" xfId="14256"/>
    <cellStyle name="Normal 217 4 3 2" xfId="31877"/>
    <cellStyle name="Normal 217 4 4" xfId="25189"/>
    <cellStyle name="Normal 217 5" xfId="7248"/>
    <cellStyle name="Normal 217 5 2" xfId="10233"/>
    <cellStyle name="Normal 217 5 2 2" xfId="18020"/>
    <cellStyle name="Normal 217 5 2 2 2" xfId="35643"/>
    <cellStyle name="Normal 217 5 2 3" xfId="28586"/>
    <cellStyle name="Normal 217 5 3" xfId="15030"/>
    <cellStyle name="Normal 217 5 3 2" xfId="32651"/>
    <cellStyle name="Normal 217 5 4" xfId="25726"/>
    <cellStyle name="Normal 217 6" xfId="7848"/>
    <cellStyle name="Normal 217 6 2" xfId="15639"/>
    <cellStyle name="Normal 217 6 2 2" xfId="33260"/>
    <cellStyle name="Normal 217 6 3" xfId="26250"/>
    <cellStyle name="Normal 217 7" xfId="11765"/>
    <cellStyle name="Normal 217 7 2" xfId="29438"/>
    <cellStyle name="Normal 217 8" xfId="22810"/>
    <cellStyle name="Normal 217 9" xfId="23389"/>
    <cellStyle name="Normal 218" xfId="2331"/>
    <cellStyle name="Normal 218 2" xfId="4440"/>
    <cellStyle name="Normal 218 3" xfId="52047"/>
    <cellStyle name="Normal 219" xfId="2332"/>
    <cellStyle name="Normal 219 2" xfId="2333"/>
    <cellStyle name="Normal 219 2 2" xfId="4442"/>
    <cellStyle name="Normal 219 2 2 2" xfId="8527"/>
    <cellStyle name="Normal 219 2 2 2 2" xfId="16317"/>
    <cellStyle name="Normal 219 2 2 2 2 2" xfId="33938"/>
    <cellStyle name="Normal 219 2 2 2 3" xfId="26914"/>
    <cellStyle name="Normal 219 2 2 3" xfId="12773"/>
    <cellStyle name="Normal 219 2 2 3 2" xfId="30417"/>
    <cellStyle name="Normal 219 2 2 4" xfId="24053"/>
    <cellStyle name="Normal 219 2 3" xfId="5844"/>
    <cellStyle name="Normal 219 2 3 2" xfId="9141"/>
    <cellStyle name="Normal 219 2 3 2 2" xfId="16930"/>
    <cellStyle name="Normal 219 2 3 2 2 2" xfId="34552"/>
    <cellStyle name="Normal 219 2 3 2 3" xfId="27515"/>
    <cellStyle name="Normal 219 2 3 3" xfId="13694"/>
    <cellStyle name="Normal 219 2 3 3 2" xfId="31320"/>
    <cellStyle name="Normal 219 2 3 4" xfId="24654"/>
    <cellStyle name="Normal 219 2 4" xfId="6474"/>
    <cellStyle name="Normal 219 2 4 2" xfId="9681"/>
    <cellStyle name="Normal 219 2 4 2 2" xfId="17469"/>
    <cellStyle name="Normal 219 2 4 2 2 2" xfId="35092"/>
    <cellStyle name="Normal 219 2 4 2 3" xfId="28051"/>
    <cellStyle name="Normal 219 2 4 3" xfId="14257"/>
    <cellStyle name="Normal 219 2 4 3 2" xfId="31878"/>
    <cellStyle name="Normal 219 2 4 4" xfId="25190"/>
    <cellStyle name="Normal 219 2 5" xfId="7249"/>
    <cellStyle name="Normal 219 2 5 2" xfId="10234"/>
    <cellStyle name="Normal 219 2 5 2 2" xfId="18021"/>
    <cellStyle name="Normal 219 2 5 2 2 2" xfId="35644"/>
    <cellStyle name="Normal 219 2 5 2 3" xfId="28587"/>
    <cellStyle name="Normal 219 2 5 3" xfId="15031"/>
    <cellStyle name="Normal 219 2 5 3 2" xfId="32652"/>
    <cellStyle name="Normal 219 2 5 4" xfId="25727"/>
    <cellStyle name="Normal 219 2 6" xfId="7849"/>
    <cellStyle name="Normal 219 2 6 2" xfId="15640"/>
    <cellStyle name="Normal 219 2 6 2 2" xfId="33261"/>
    <cellStyle name="Normal 219 2 6 3" xfId="26251"/>
    <cellStyle name="Normal 219 2 7" xfId="11766"/>
    <cellStyle name="Normal 219 2 7 2" xfId="29439"/>
    <cellStyle name="Normal 219 2 8" xfId="23390"/>
    <cellStyle name="Normal 219 2 9" xfId="52049"/>
    <cellStyle name="Normal 219 3" xfId="4441"/>
    <cellStyle name="Normal 219 4" xfId="52048"/>
    <cellStyle name="Normal 22" xfId="2334"/>
    <cellStyle name="Normal 22 2" xfId="2335"/>
    <cellStyle name="Normal 22 2 2" xfId="2336"/>
    <cellStyle name="Normal 22 2 3" xfId="22955"/>
    <cellStyle name="Normal 22 2 4" xfId="22747"/>
    <cellStyle name="Normal 22 2 4 2" xfId="38940"/>
    <cellStyle name="Normal 22 2_Sheet1" xfId="2337"/>
    <cellStyle name="Normal 22 3" xfId="2338"/>
    <cellStyle name="Normal 22 4" xfId="22954"/>
    <cellStyle name="Normal 22 5" xfId="22536"/>
    <cellStyle name="Normal 22 5 2" xfId="38835"/>
    <cellStyle name="Normal 22 6" xfId="53214"/>
    <cellStyle name="Normal 22_Sheet1" xfId="2339"/>
    <cellStyle name="Normal 220" xfId="2340"/>
    <cellStyle name="Normal 220 2" xfId="2341"/>
    <cellStyle name="Normal 220 2 2" xfId="4444"/>
    <cellStyle name="Normal 220 2 2 2" xfId="8528"/>
    <cellStyle name="Normal 220 2 2 2 2" xfId="16318"/>
    <cellStyle name="Normal 220 2 2 2 2 2" xfId="33939"/>
    <cellStyle name="Normal 220 2 2 2 3" xfId="26915"/>
    <cellStyle name="Normal 220 2 2 3" xfId="12774"/>
    <cellStyle name="Normal 220 2 2 3 2" xfId="30418"/>
    <cellStyle name="Normal 220 2 2 4" xfId="24054"/>
    <cellStyle name="Normal 220 2 3" xfId="5845"/>
    <cellStyle name="Normal 220 2 3 2" xfId="9142"/>
    <cellStyle name="Normal 220 2 3 2 2" xfId="16931"/>
    <cellStyle name="Normal 220 2 3 2 2 2" xfId="34553"/>
    <cellStyle name="Normal 220 2 3 2 3" xfId="27516"/>
    <cellStyle name="Normal 220 2 3 3" xfId="13695"/>
    <cellStyle name="Normal 220 2 3 3 2" xfId="31321"/>
    <cellStyle name="Normal 220 2 3 4" xfId="24655"/>
    <cellStyle name="Normal 220 2 4" xfId="6475"/>
    <cellStyle name="Normal 220 2 4 2" xfId="9682"/>
    <cellStyle name="Normal 220 2 4 2 2" xfId="17470"/>
    <cellStyle name="Normal 220 2 4 2 2 2" xfId="35093"/>
    <cellStyle name="Normal 220 2 4 2 3" xfId="28052"/>
    <cellStyle name="Normal 220 2 4 3" xfId="14258"/>
    <cellStyle name="Normal 220 2 4 3 2" xfId="31879"/>
    <cellStyle name="Normal 220 2 4 4" xfId="25191"/>
    <cellStyle name="Normal 220 2 5" xfId="7250"/>
    <cellStyle name="Normal 220 2 5 2" xfId="10235"/>
    <cellStyle name="Normal 220 2 5 2 2" xfId="18022"/>
    <cellStyle name="Normal 220 2 5 2 2 2" xfId="35645"/>
    <cellStyle name="Normal 220 2 5 2 3" xfId="28588"/>
    <cellStyle name="Normal 220 2 5 3" xfId="15032"/>
    <cellStyle name="Normal 220 2 5 3 2" xfId="32653"/>
    <cellStyle name="Normal 220 2 5 4" xfId="25728"/>
    <cellStyle name="Normal 220 2 6" xfId="7850"/>
    <cellStyle name="Normal 220 2 6 2" xfId="15641"/>
    <cellStyle name="Normal 220 2 6 2 2" xfId="33262"/>
    <cellStyle name="Normal 220 2 6 3" xfId="26252"/>
    <cellStyle name="Normal 220 2 7" xfId="11767"/>
    <cellStyle name="Normal 220 2 7 2" xfId="29440"/>
    <cellStyle name="Normal 220 2 8" xfId="23391"/>
    <cellStyle name="Normal 220 2 9" xfId="52051"/>
    <cellStyle name="Normal 220 3" xfId="4443"/>
    <cellStyle name="Normal 220 4" xfId="52050"/>
    <cellStyle name="Normal 221" xfId="2342"/>
    <cellStyle name="Normal 221 2" xfId="4445"/>
    <cellStyle name="Normal 221 3" xfId="52052"/>
    <cellStyle name="Normal 222" xfId="2343"/>
    <cellStyle name="Normal 222 10" xfId="52053"/>
    <cellStyle name="Normal 222 2" xfId="4446"/>
    <cellStyle name="Normal 222 2 2" xfId="8529"/>
    <cellStyle name="Normal 222 2 2 2" xfId="16319"/>
    <cellStyle name="Normal 222 2 2 2 2" xfId="33940"/>
    <cellStyle name="Normal 222 2 2 3" xfId="26916"/>
    <cellStyle name="Normal 222 2 3" xfId="12775"/>
    <cellStyle name="Normal 222 2 3 2" xfId="30419"/>
    <cellStyle name="Normal 222 2 4" xfId="24055"/>
    <cellStyle name="Normal 222 3" xfId="5846"/>
    <cellStyle name="Normal 222 3 2" xfId="9143"/>
    <cellStyle name="Normal 222 3 2 2" xfId="16932"/>
    <cellStyle name="Normal 222 3 2 2 2" xfId="34554"/>
    <cellStyle name="Normal 222 3 2 3" xfId="27517"/>
    <cellStyle name="Normal 222 3 3" xfId="13696"/>
    <cellStyle name="Normal 222 3 3 2" xfId="31322"/>
    <cellStyle name="Normal 222 3 4" xfId="24656"/>
    <cellStyle name="Normal 222 4" xfId="6476"/>
    <cellStyle name="Normal 222 4 2" xfId="9683"/>
    <cellStyle name="Normal 222 4 2 2" xfId="17471"/>
    <cellStyle name="Normal 222 4 2 2 2" xfId="35094"/>
    <cellStyle name="Normal 222 4 2 3" xfId="28053"/>
    <cellStyle name="Normal 222 4 3" xfId="14259"/>
    <cellStyle name="Normal 222 4 3 2" xfId="31880"/>
    <cellStyle name="Normal 222 4 4" xfId="25192"/>
    <cellStyle name="Normal 222 5" xfId="7251"/>
    <cellStyle name="Normal 222 5 2" xfId="10236"/>
    <cellStyle name="Normal 222 5 2 2" xfId="18023"/>
    <cellStyle name="Normal 222 5 2 2 2" xfId="35646"/>
    <cellStyle name="Normal 222 5 2 3" xfId="28589"/>
    <cellStyle name="Normal 222 5 3" xfId="15033"/>
    <cellStyle name="Normal 222 5 3 2" xfId="32654"/>
    <cellStyle name="Normal 222 5 4" xfId="25729"/>
    <cellStyle name="Normal 222 6" xfId="7851"/>
    <cellStyle name="Normal 222 6 2" xfId="15642"/>
    <cellStyle name="Normal 222 6 2 2" xfId="33263"/>
    <cellStyle name="Normal 222 6 3" xfId="26253"/>
    <cellStyle name="Normal 222 7" xfId="11768"/>
    <cellStyle name="Normal 222 7 2" xfId="29441"/>
    <cellStyle name="Normal 222 8" xfId="22815"/>
    <cellStyle name="Normal 222 9" xfId="23392"/>
    <cellStyle name="Normal 223" xfId="2344"/>
    <cellStyle name="Normal 223 10" xfId="52054"/>
    <cellStyle name="Normal 223 2" xfId="4447"/>
    <cellStyle name="Normal 223 2 2" xfId="8530"/>
    <cellStyle name="Normal 223 2 2 2" xfId="16320"/>
    <cellStyle name="Normal 223 2 2 2 2" xfId="33941"/>
    <cellStyle name="Normal 223 2 2 3" xfId="26917"/>
    <cellStyle name="Normal 223 2 3" xfId="12776"/>
    <cellStyle name="Normal 223 2 3 2" xfId="30420"/>
    <cellStyle name="Normal 223 2 4" xfId="24056"/>
    <cellStyle name="Normal 223 3" xfId="5847"/>
    <cellStyle name="Normal 223 3 2" xfId="9144"/>
    <cellStyle name="Normal 223 3 2 2" xfId="16933"/>
    <cellStyle name="Normal 223 3 2 2 2" xfId="34555"/>
    <cellStyle name="Normal 223 3 2 3" xfId="27518"/>
    <cellStyle name="Normal 223 3 3" xfId="13697"/>
    <cellStyle name="Normal 223 3 3 2" xfId="31323"/>
    <cellStyle name="Normal 223 3 4" xfId="24657"/>
    <cellStyle name="Normal 223 4" xfId="6477"/>
    <cellStyle name="Normal 223 4 2" xfId="9684"/>
    <cellStyle name="Normal 223 4 2 2" xfId="17472"/>
    <cellStyle name="Normal 223 4 2 2 2" xfId="35095"/>
    <cellStyle name="Normal 223 4 2 3" xfId="28054"/>
    <cellStyle name="Normal 223 4 3" xfId="14260"/>
    <cellStyle name="Normal 223 4 3 2" xfId="31881"/>
    <cellStyle name="Normal 223 4 4" xfId="25193"/>
    <cellStyle name="Normal 223 5" xfId="7252"/>
    <cellStyle name="Normal 223 5 2" xfId="10237"/>
    <cellStyle name="Normal 223 5 2 2" xfId="18024"/>
    <cellStyle name="Normal 223 5 2 2 2" xfId="35647"/>
    <cellStyle name="Normal 223 5 2 3" xfId="28590"/>
    <cellStyle name="Normal 223 5 3" xfId="15034"/>
    <cellStyle name="Normal 223 5 3 2" xfId="32655"/>
    <cellStyle name="Normal 223 5 4" xfId="25730"/>
    <cellStyle name="Normal 223 6" xfId="7852"/>
    <cellStyle name="Normal 223 6 2" xfId="15643"/>
    <cellStyle name="Normal 223 6 2 2" xfId="33264"/>
    <cellStyle name="Normal 223 6 3" xfId="26254"/>
    <cellStyle name="Normal 223 7" xfId="11769"/>
    <cellStyle name="Normal 223 7 2" xfId="29442"/>
    <cellStyle name="Normal 223 8" xfId="22818"/>
    <cellStyle name="Normal 223 9" xfId="23393"/>
    <cellStyle name="Normal 224" xfId="2345"/>
    <cellStyle name="Normal 224 10" xfId="52055"/>
    <cellStyle name="Normal 224 2" xfId="4448"/>
    <cellStyle name="Normal 224 2 2" xfId="8531"/>
    <cellStyle name="Normal 224 2 2 2" xfId="16321"/>
    <cellStyle name="Normal 224 2 2 2 2" xfId="33942"/>
    <cellStyle name="Normal 224 2 2 3" xfId="26918"/>
    <cellStyle name="Normal 224 2 3" xfId="12777"/>
    <cellStyle name="Normal 224 2 3 2" xfId="30421"/>
    <cellStyle name="Normal 224 2 4" xfId="24057"/>
    <cellStyle name="Normal 224 3" xfId="5848"/>
    <cellStyle name="Normal 224 3 2" xfId="9145"/>
    <cellStyle name="Normal 224 3 2 2" xfId="16934"/>
    <cellStyle name="Normal 224 3 2 2 2" xfId="34556"/>
    <cellStyle name="Normal 224 3 2 3" xfId="27519"/>
    <cellStyle name="Normal 224 3 3" xfId="13698"/>
    <cellStyle name="Normal 224 3 3 2" xfId="31324"/>
    <cellStyle name="Normal 224 3 4" xfId="24658"/>
    <cellStyle name="Normal 224 4" xfId="6478"/>
    <cellStyle name="Normal 224 4 2" xfId="9685"/>
    <cellStyle name="Normal 224 4 2 2" xfId="17473"/>
    <cellStyle name="Normal 224 4 2 2 2" xfId="35096"/>
    <cellStyle name="Normal 224 4 2 3" xfId="28055"/>
    <cellStyle name="Normal 224 4 3" xfId="14261"/>
    <cellStyle name="Normal 224 4 3 2" xfId="31882"/>
    <cellStyle name="Normal 224 4 4" xfId="25194"/>
    <cellStyle name="Normal 224 5" xfId="7253"/>
    <cellStyle name="Normal 224 5 2" xfId="10238"/>
    <cellStyle name="Normal 224 5 2 2" xfId="18025"/>
    <cellStyle name="Normal 224 5 2 2 2" xfId="35648"/>
    <cellStyle name="Normal 224 5 2 3" xfId="28591"/>
    <cellStyle name="Normal 224 5 3" xfId="15035"/>
    <cellStyle name="Normal 224 5 3 2" xfId="32656"/>
    <cellStyle name="Normal 224 5 4" xfId="25731"/>
    <cellStyle name="Normal 224 6" xfId="7853"/>
    <cellStyle name="Normal 224 6 2" xfId="15644"/>
    <cellStyle name="Normal 224 6 2 2" xfId="33265"/>
    <cellStyle name="Normal 224 6 3" xfId="26255"/>
    <cellStyle name="Normal 224 7" xfId="11770"/>
    <cellStyle name="Normal 224 7 2" xfId="29443"/>
    <cellStyle name="Normal 224 8" xfId="22017"/>
    <cellStyle name="Normal 224 9" xfId="23394"/>
    <cellStyle name="Normal 225" xfId="2346"/>
    <cellStyle name="Normal 225 2" xfId="4449"/>
    <cellStyle name="Normal 225 2 2" xfId="8532"/>
    <cellStyle name="Normal 225 2 2 2" xfId="16322"/>
    <cellStyle name="Normal 225 2 2 2 2" xfId="33943"/>
    <cellStyle name="Normal 225 2 2 3" xfId="26919"/>
    <cellStyle name="Normal 225 2 3" xfId="12778"/>
    <cellStyle name="Normal 225 2 3 2" xfId="30422"/>
    <cellStyle name="Normal 225 2 4" xfId="24058"/>
    <cellStyle name="Normal 225 3" xfId="5849"/>
    <cellStyle name="Normal 225 3 2" xfId="9146"/>
    <cellStyle name="Normal 225 3 2 2" xfId="16935"/>
    <cellStyle name="Normal 225 3 2 2 2" xfId="34557"/>
    <cellStyle name="Normal 225 3 2 3" xfId="27520"/>
    <cellStyle name="Normal 225 3 3" xfId="13699"/>
    <cellStyle name="Normal 225 3 3 2" xfId="31325"/>
    <cellStyle name="Normal 225 3 4" xfId="24659"/>
    <cellStyle name="Normal 225 4" xfId="6479"/>
    <cellStyle name="Normal 225 4 2" xfId="9686"/>
    <cellStyle name="Normal 225 4 2 2" xfId="17474"/>
    <cellStyle name="Normal 225 4 2 2 2" xfId="35097"/>
    <cellStyle name="Normal 225 4 2 3" xfId="28056"/>
    <cellStyle name="Normal 225 4 3" xfId="14262"/>
    <cellStyle name="Normal 225 4 3 2" xfId="31883"/>
    <cellStyle name="Normal 225 4 4" xfId="25195"/>
    <cellStyle name="Normal 225 5" xfId="7254"/>
    <cellStyle name="Normal 225 5 2" xfId="10239"/>
    <cellStyle name="Normal 225 5 2 2" xfId="18026"/>
    <cellStyle name="Normal 225 5 2 2 2" xfId="35649"/>
    <cellStyle name="Normal 225 5 2 3" xfId="28592"/>
    <cellStyle name="Normal 225 5 3" xfId="15036"/>
    <cellStyle name="Normal 225 5 3 2" xfId="32657"/>
    <cellStyle name="Normal 225 5 4" xfId="25732"/>
    <cellStyle name="Normal 225 6" xfId="7854"/>
    <cellStyle name="Normal 225 6 2" xfId="15645"/>
    <cellStyle name="Normal 225 6 2 2" xfId="33266"/>
    <cellStyle name="Normal 225 6 3" xfId="26256"/>
    <cellStyle name="Normal 225 7" xfId="11771"/>
    <cellStyle name="Normal 225 7 2" xfId="29444"/>
    <cellStyle name="Normal 225 8" xfId="23395"/>
    <cellStyle name="Normal 225 9" xfId="52056"/>
    <cellStyle name="Normal 226" xfId="2347"/>
    <cellStyle name="Normal 226 10" xfId="52057"/>
    <cellStyle name="Normal 226 2" xfId="2348"/>
    <cellStyle name="Normal 226 2 2" xfId="4451"/>
    <cellStyle name="Normal 226 2 3" xfId="52058"/>
    <cellStyle name="Normal 226 3" xfId="4450"/>
    <cellStyle name="Normal 226 3 2" xfId="8533"/>
    <cellStyle name="Normal 226 3 2 2" xfId="16323"/>
    <cellStyle name="Normal 226 3 2 2 2" xfId="33944"/>
    <cellStyle name="Normal 226 3 2 3" xfId="26920"/>
    <cellStyle name="Normal 226 3 3" xfId="12779"/>
    <cellStyle name="Normal 226 3 3 2" xfId="30423"/>
    <cellStyle name="Normal 226 3 4" xfId="24059"/>
    <cellStyle name="Normal 226 4" xfId="5850"/>
    <cellStyle name="Normal 226 4 2" xfId="9147"/>
    <cellStyle name="Normal 226 4 2 2" xfId="16936"/>
    <cellStyle name="Normal 226 4 2 2 2" xfId="34558"/>
    <cellStyle name="Normal 226 4 2 3" xfId="27521"/>
    <cellStyle name="Normal 226 4 3" xfId="13700"/>
    <cellStyle name="Normal 226 4 3 2" xfId="31326"/>
    <cellStyle name="Normal 226 4 4" xfId="24660"/>
    <cellStyle name="Normal 226 5" xfId="6480"/>
    <cellStyle name="Normal 226 5 2" xfId="9687"/>
    <cellStyle name="Normal 226 5 2 2" xfId="17475"/>
    <cellStyle name="Normal 226 5 2 2 2" xfId="35098"/>
    <cellStyle name="Normal 226 5 2 3" xfId="28057"/>
    <cellStyle name="Normal 226 5 3" xfId="14263"/>
    <cellStyle name="Normal 226 5 3 2" xfId="31884"/>
    <cellStyle name="Normal 226 5 4" xfId="25196"/>
    <cellStyle name="Normal 226 6" xfId="7255"/>
    <cellStyle name="Normal 226 6 2" xfId="10240"/>
    <cellStyle name="Normal 226 6 2 2" xfId="18027"/>
    <cellStyle name="Normal 226 6 2 2 2" xfId="35650"/>
    <cellStyle name="Normal 226 6 2 3" xfId="28593"/>
    <cellStyle name="Normal 226 6 3" xfId="15037"/>
    <cellStyle name="Normal 226 6 3 2" xfId="32658"/>
    <cellStyle name="Normal 226 6 4" xfId="25733"/>
    <cellStyle name="Normal 226 7" xfId="7855"/>
    <cellStyle name="Normal 226 7 2" xfId="15646"/>
    <cellStyle name="Normal 226 7 2 2" xfId="33267"/>
    <cellStyle name="Normal 226 7 3" xfId="26257"/>
    <cellStyle name="Normal 226 8" xfId="11772"/>
    <cellStyle name="Normal 226 8 2" xfId="29445"/>
    <cellStyle name="Normal 226 9" xfId="23396"/>
    <cellStyle name="Normal 227" xfId="2349"/>
    <cellStyle name="Normal 227 10" xfId="52059"/>
    <cellStyle name="Normal 227 2" xfId="2350"/>
    <cellStyle name="Normal 227 2 2" xfId="4453"/>
    <cellStyle name="Normal 227 2 3" xfId="52060"/>
    <cellStyle name="Normal 227 3" xfId="4452"/>
    <cellStyle name="Normal 227 3 2" xfId="8534"/>
    <cellStyle name="Normal 227 3 2 2" xfId="16324"/>
    <cellStyle name="Normal 227 3 2 2 2" xfId="33945"/>
    <cellStyle name="Normal 227 3 2 3" xfId="26921"/>
    <cellStyle name="Normal 227 3 3" xfId="12780"/>
    <cellStyle name="Normal 227 3 3 2" xfId="30424"/>
    <cellStyle name="Normal 227 3 4" xfId="24060"/>
    <cellStyle name="Normal 227 4" xfId="5851"/>
    <cellStyle name="Normal 227 4 2" xfId="9148"/>
    <cellStyle name="Normal 227 4 2 2" xfId="16937"/>
    <cellStyle name="Normal 227 4 2 2 2" xfId="34559"/>
    <cellStyle name="Normal 227 4 2 3" xfId="27522"/>
    <cellStyle name="Normal 227 4 3" xfId="13701"/>
    <cellStyle name="Normal 227 4 3 2" xfId="31327"/>
    <cellStyle name="Normal 227 4 4" xfId="24661"/>
    <cellStyle name="Normal 227 5" xfId="6481"/>
    <cellStyle name="Normal 227 5 2" xfId="9688"/>
    <cellStyle name="Normal 227 5 2 2" xfId="17476"/>
    <cellStyle name="Normal 227 5 2 2 2" xfId="35099"/>
    <cellStyle name="Normal 227 5 2 3" xfId="28058"/>
    <cellStyle name="Normal 227 5 3" xfId="14264"/>
    <cellStyle name="Normal 227 5 3 2" xfId="31885"/>
    <cellStyle name="Normal 227 5 4" xfId="25197"/>
    <cellStyle name="Normal 227 6" xfId="7256"/>
    <cellStyle name="Normal 227 6 2" xfId="10241"/>
    <cellStyle name="Normal 227 6 2 2" xfId="18028"/>
    <cellStyle name="Normal 227 6 2 2 2" xfId="35651"/>
    <cellStyle name="Normal 227 6 2 3" xfId="28594"/>
    <cellStyle name="Normal 227 6 3" xfId="15038"/>
    <cellStyle name="Normal 227 6 3 2" xfId="32659"/>
    <cellStyle name="Normal 227 6 4" xfId="25734"/>
    <cellStyle name="Normal 227 7" xfId="7856"/>
    <cellStyle name="Normal 227 7 2" xfId="15647"/>
    <cellStyle name="Normal 227 7 2 2" xfId="33268"/>
    <cellStyle name="Normal 227 7 3" xfId="26258"/>
    <cellStyle name="Normal 227 8" xfId="11773"/>
    <cellStyle name="Normal 227 8 2" xfId="29446"/>
    <cellStyle name="Normal 227 9" xfId="23397"/>
    <cellStyle name="Normal 228" xfId="2351"/>
    <cellStyle name="Normal 228 2" xfId="4454"/>
    <cellStyle name="Normal 228 3" xfId="52061"/>
    <cellStyle name="Normal 229" xfId="2352"/>
    <cellStyle name="Normal 229 2" xfId="4455"/>
    <cellStyle name="Normal 229 3" xfId="52062"/>
    <cellStyle name="Normal 23" xfId="2353"/>
    <cellStyle name="Normal 23 2" xfId="2354"/>
    <cellStyle name="Normal 23 2 2" xfId="2355"/>
    <cellStyle name="Normal 23 2 3" xfId="22957"/>
    <cellStyle name="Normal 23 2 4" xfId="22748"/>
    <cellStyle name="Normal 23 2 4 2" xfId="38941"/>
    <cellStyle name="Normal 23 2_Sheet1" xfId="2356"/>
    <cellStyle name="Normal 23 3" xfId="2357"/>
    <cellStyle name="Normal 23 4" xfId="22956"/>
    <cellStyle name="Normal 23 5" xfId="22537"/>
    <cellStyle name="Normal 23 5 2" xfId="38836"/>
    <cellStyle name="Normal 23 6" xfId="53215"/>
    <cellStyle name="Normal 23_Sheet1" xfId="2358"/>
    <cellStyle name="Normal 230" xfId="2359"/>
    <cellStyle name="Normal 230 2" xfId="4456"/>
    <cellStyle name="Normal 230 3" xfId="52063"/>
    <cellStyle name="Normal 231" xfId="2360"/>
    <cellStyle name="Normal 231 2" xfId="4457"/>
    <cellStyle name="Normal 231 3" xfId="52064"/>
    <cellStyle name="Normal 232" xfId="2361"/>
    <cellStyle name="Normal 232 2" xfId="4458"/>
    <cellStyle name="Normal 232 3" xfId="52065"/>
    <cellStyle name="Normal 233" xfId="2362"/>
    <cellStyle name="Normal 233 2" xfId="4459"/>
    <cellStyle name="Normal 233 2 2" xfId="8535"/>
    <cellStyle name="Normal 233 2 2 2" xfId="16325"/>
    <cellStyle name="Normal 233 2 2 2 2" xfId="33946"/>
    <cellStyle name="Normal 233 2 2 3" xfId="26922"/>
    <cellStyle name="Normal 233 2 3" xfId="12781"/>
    <cellStyle name="Normal 233 2 3 2" xfId="30425"/>
    <cellStyle name="Normal 233 2 4" xfId="24061"/>
    <cellStyle name="Normal 233 3" xfId="5852"/>
    <cellStyle name="Normal 233 3 2" xfId="9149"/>
    <cellStyle name="Normal 233 3 2 2" xfId="16938"/>
    <cellStyle name="Normal 233 3 2 2 2" xfId="34560"/>
    <cellStyle name="Normal 233 3 2 3" xfId="27523"/>
    <cellStyle name="Normal 233 3 3" xfId="13702"/>
    <cellStyle name="Normal 233 3 3 2" xfId="31328"/>
    <cellStyle name="Normal 233 3 4" xfId="24662"/>
    <cellStyle name="Normal 233 4" xfId="6482"/>
    <cellStyle name="Normal 233 4 2" xfId="9689"/>
    <cellStyle name="Normal 233 4 2 2" xfId="17477"/>
    <cellStyle name="Normal 233 4 2 2 2" xfId="35100"/>
    <cellStyle name="Normal 233 4 2 3" xfId="28059"/>
    <cellStyle name="Normal 233 4 3" xfId="14265"/>
    <cellStyle name="Normal 233 4 3 2" xfId="31886"/>
    <cellStyle name="Normal 233 4 4" xfId="25198"/>
    <cellStyle name="Normal 233 5" xfId="7257"/>
    <cellStyle name="Normal 233 5 2" xfId="10242"/>
    <cellStyle name="Normal 233 5 2 2" xfId="18029"/>
    <cellStyle name="Normal 233 5 2 2 2" xfId="35652"/>
    <cellStyle name="Normal 233 5 2 3" xfId="28595"/>
    <cellStyle name="Normal 233 5 3" xfId="15039"/>
    <cellStyle name="Normal 233 5 3 2" xfId="32660"/>
    <cellStyle name="Normal 233 5 4" xfId="25735"/>
    <cellStyle name="Normal 233 6" xfId="7857"/>
    <cellStyle name="Normal 233 6 2" xfId="15648"/>
    <cellStyle name="Normal 233 6 2 2" xfId="33269"/>
    <cellStyle name="Normal 233 6 3" xfId="26259"/>
    <cellStyle name="Normal 233 7" xfId="11774"/>
    <cellStyle name="Normal 233 7 2" xfId="29447"/>
    <cellStyle name="Normal 233 8" xfId="23398"/>
    <cellStyle name="Normal 233 9" xfId="52066"/>
    <cellStyle name="Normal 234" xfId="2363"/>
    <cellStyle name="Normal 234 2" xfId="4460"/>
    <cellStyle name="Normal 234 3" xfId="52067"/>
    <cellStyle name="Normal 235" xfId="2364"/>
    <cellStyle name="Normal 235 2" xfId="4461"/>
    <cellStyle name="Normal 235 3" xfId="52068"/>
    <cellStyle name="Normal 236" xfId="2365"/>
    <cellStyle name="Normal 236 2" xfId="4462"/>
    <cellStyle name="Normal 236 3" xfId="52069"/>
    <cellStyle name="Normal 237" xfId="2366"/>
    <cellStyle name="Normal 237 2" xfId="4463"/>
    <cellStyle name="Normal 237 3" xfId="52070"/>
    <cellStyle name="Normal 238" xfId="2367"/>
    <cellStyle name="Normal 238 2" xfId="4464"/>
    <cellStyle name="Normal 238 3" xfId="52071"/>
    <cellStyle name="Normal 239" xfId="2368"/>
    <cellStyle name="Normal 239 2" xfId="4465"/>
    <cellStyle name="Normal 239 3" xfId="52072"/>
    <cellStyle name="Normal 24" xfId="2369"/>
    <cellStyle name="Normal 24 2" xfId="2370"/>
    <cellStyle name="Normal 24 2 2" xfId="2371"/>
    <cellStyle name="Normal 24 2 3" xfId="22959"/>
    <cellStyle name="Normal 24 2 4" xfId="22749"/>
    <cellStyle name="Normal 24 2 4 2" xfId="38942"/>
    <cellStyle name="Normal 24 2_Sheet1" xfId="2372"/>
    <cellStyle name="Normal 24 3" xfId="2373"/>
    <cellStyle name="Normal 24 4" xfId="22958"/>
    <cellStyle name="Normal 24 5" xfId="22538"/>
    <cellStyle name="Normal 24 5 2" xfId="38837"/>
    <cellStyle name="Normal 24 6" xfId="53216"/>
    <cellStyle name="Normal 24_Sheet1" xfId="2374"/>
    <cellStyle name="Normal 240" xfId="2375"/>
    <cellStyle name="Normal 240 2" xfId="4466"/>
    <cellStyle name="Normal 240 3" xfId="52073"/>
    <cellStyle name="Normal 241" xfId="2376"/>
    <cellStyle name="Normal 241 2" xfId="4467"/>
    <cellStyle name="Normal 241 3" xfId="52074"/>
    <cellStyle name="Normal 242" xfId="2377"/>
    <cellStyle name="Normal 242 2" xfId="4468"/>
    <cellStyle name="Normal 242 3" xfId="52075"/>
    <cellStyle name="Normal 243" xfId="2378"/>
    <cellStyle name="Normal 243 2" xfId="4469"/>
    <cellStyle name="Normal 243 3" xfId="52076"/>
    <cellStyle name="Normal 244" xfId="2379"/>
    <cellStyle name="Normal 244 2" xfId="4470"/>
    <cellStyle name="Normal 244 3" xfId="52077"/>
    <cellStyle name="Normal 245" xfId="2380"/>
    <cellStyle name="Normal 245 2" xfId="4471"/>
    <cellStyle name="Normal 245 3" xfId="52078"/>
    <cellStyle name="Normal 246" xfId="2381"/>
    <cellStyle name="Normal 246 2" xfId="4472"/>
    <cellStyle name="Normal 246 3" xfId="52079"/>
    <cellStyle name="Normal 247" xfId="2382"/>
    <cellStyle name="Normal 247 2" xfId="4473"/>
    <cellStyle name="Normal 247 3" xfId="52080"/>
    <cellStyle name="Normal 248" xfId="2383"/>
    <cellStyle name="Normal 248 2" xfId="4474"/>
    <cellStyle name="Normal 248 3" xfId="52081"/>
    <cellStyle name="Normal 249" xfId="2384"/>
    <cellStyle name="Normal 249 2" xfId="4475"/>
    <cellStyle name="Normal 249 3" xfId="52082"/>
    <cellStyle name="Normal 25" xfId="2385"/>
    <cellStyle name="Normal 25 2" xfId="2386"/>
    <cellStyle name="Normal 25 2 2" xfId="2387"/>
    <cellStyle name="Normal 25 2 3" xfId="22961"/>
    <cellStyle name="Normal 25 2 4" xfId="22750"/>
    <cellStyle name="Normal 25 2 4 2" xfId="38943"/>
    <cellStyle name="Normal 25 2_Sheet1" xfId="2388"/>
    <cellStyle name="Normal 25 3" xfId="2389"/>
    <cellStyle name="Normal 25 4" xfId="22960"/>
    <cellStyle name="Normal 25 5" xfId="22539"/>
    <cellStyle name="Normal 25 5 2" xfId="38838"/>
    <cellStyle name="Normal 25 6" xfId="53217"/>
    <cellStyle name="Normal 25_Sheet1" xfId="2390"/>
    <cellStyle name="Normal 250" xfId="2391"/>
    <cellStyle name="Normal 250 2" xfId="4476"/>
    <cellStyle name="Normal 250 3" xfId="52083"/>
    <cellStyle name="Normal 251" xfId="2392"/>
    <cellStyle name="Normal 251 2" xfId="4477"/>
    <cellStyle name="Normal 251 3" xfId="52084"/>
    <cellStyle name="Normal 252" xfId="2393"/>
    <cellStyle name="Normal 252 2" xfId="4478"/>
    <cellStyle name="Normal 252 3" xfId="52085"/>
    <cellStyle name="Normal 253" xfId="2394"/>
    <cellStyle name="Normal 253 2" xfId="4479"/>
    <cellStyle name="Normal 253 2 2" xfId="8536"/>
    <cellStyle name="Normal 253 2 2 2" xfId="16326"/>
    <cellStyle name="Normal 253 2 2 2 2" xfId="33947"/>
    <cellStyle name="Normal 253 2 2 3" xfId="26923"/>
    <cellStyle name="Normal 253 2 3" xfId="12783"/>
    <cellStyle name="Normal 253 2 3 2" xfId="30427"/>
    <cellStyle name="Normal 253 2 4" xfId="24062"/>
    <cellStyle name="Normal 253 3" xfId="5853"/>
    <cellStyle name="Normal 253 3 2" xfId="9150"/>
    <cellStyle name="Normal 253 3 2 2" xfId="16939"/>
    <cellStyle name="Normal 253 3 2 2 2" xfId="34561"/>
    <cellStyle name="Normal 253 3 2 3" xfId="27524"/>
    <cellStyle name="Normal 253 3 3" xfId="13703"/>
    <cellStyle name="Normal 253 3 3 2" xfId="31329"/>
    <cellStyle name="Normal 253 3 4" xfId="24663"/>
    <cellStyle name="Normal 253 4" xfId="6483"/>
    <cellStyle name="Normal 253 4 2" xfId="9690"/>
    <cellStyle name="Normal 253 4 2 2" xfId="17478"/>
    <cellStyle name="Normal 253 4 2 2 2" xfId="35101"/>
    <cellStyle name="Normal 253 4 2 3" xfId="28060"/>
    <cellStyle name="Normal 253 4 3" xfId="14266"/>
    <cellStyle name="Normal 253 4 3 2" xfId="31887"/>
    <cellStyle name="Normal 253 4 4" xfId="25199"/>
    <cellStyle name="Normal 253 5" xfId="7258"/>
    <cellStyle name="Normal 253 5 2" xfId="10243"/>
    <cellStyle name="Normal 253 5 2 2" xfId="18030"/>
    <cellStyle name="Normal 253 5 2 2 2" xfId="35653"/>
    <cellStyle name="Normal 253 5 2 3" xfId="28596"/>
    <cellStyle name="Normal 253 5 3" xfId="15040"/>
    <cellStyle name="Normal 253 5 3 2" xfId="32661"/>
    <cellStyle name="Normal 253 5 4" xfId="25736"/>
    <cellStyle name="Normal 253 6" xfId="7858"/>
    <cellStyle name="Normal 253 6 2" xfId="15649"/>
    <cellStyle name="Normal 253 6 2 2" xfId="33270"/>
    <cellStyle name="Normal 253 6 3" xfId="26260"/>
    <cellStyle name="Normal 253 7" xfId="11778"/>
    <cellStyle name="Normal 253 7 2" xfId="29450"/>
    <cellStyle name="Normal 253 8" xfId="23399"/>
    <cellStyle name="Normal 253 9" xfId="52086"/>
    <cellStyle name="Normal 254" xfId="2395"/>
    <cellStyle name="Normal 254 2" xfId="4480"/>
    <cellStyle name="Normal 254 3" xfId="52087"/>
    <cellStyle name="Normal 255" xfId="2396"/>
    <cellStyle name="Normal 255 2" xfId="4481"/>
    <cellStyle name="Normal 255 3" xfId="52088"/>
    <cellStyle name="Normal 256" xfId="2397"/>
    <cellStyle name="Normal 256 2" xfId="4482"/>
    <cellStyle name="Normal 256 3" xfId="52089"/>
    <cellStyle name="Normal 257" xfId="2398"/>
    <cellStyle name="Normal 257 2" xfId="4483"/>
    <cellStyle name="Normal 257 3" xfId="52090"/>
    <cellStyle name="Normal 258" xfId="2399"/>
    <cellStyle name="Normal 258 2" xfId="4484"/>
    <cellStyle name="Normal 258 3" xfId="52091"/>
    <cellStyle name="Normal 259" xfId="2400"/>
    <cellStyle name="Normal 259 2" xfId="4485"/>
    <cellStyle name="Normal 259 3" xfId="52092"/>
    <cellStyle name="Normal 26" xfId="2401"/>
    <cellStyle name="Normal 26 2" xfId="2402"/>
    <cellStyle name="Normal 26 2 2" xfId="2403"/>
    <cellStyle name="Normal 26 2 3" xfId="22963"/>
    <cellStyle name="Normal 26 2 4" xfId="22751"/>
    <cellStyle name="Normal 26 2 4 2" xfId="38944"/>
    <cellStyle name="Normal 26 2_Sheet1" xfId="2404"/>
    <cellStyle name="Normal 26 3" xfId="2405"/>
    <cellStyle name="Normal 26 4" xfId="22962"/>
    <cellStyle name="Normal 26 5" xfId="22540"/>
    <cellStyle name="Normal 26 5 2" xfId="38839"/>
    <cellStyle name="Normal 26 6" xfId="53218"/>
    <cellStyle name="Normal 26_Sheet1" xfId="2406"/>
    <cellStyle name="Normal 260" xfId="2407"/>
    <cellStyle name="Normal 260 2" xfId="4486"/>
    <cellStyle name="Normal 260 3" xfId="52093"/>
    <cellStyle name="Normal 261" xfId="2408"/>
    <cellStyle name="Normal 261 2" xfId="4487"/>
    <cellStyle name="Normal 261 3" xfId="52094"/>
    <cellStyle name="Normal 262" xfId="2409"/>
    <cellStyle name="Normal 262 2" xfId="4488"/>
    <cellStyle name="Normal 262 3" xfId="52095"/>
    <cellStyle name="Normal 263" xfId="2410"/>
    <cellStyle name="Normal 263 2" xfId="4489"/>
    <cellStyle name="Normal 263 3" xfId="52096"/>
    <cellStyle name="Normal 264" xfId="2411"/>
    <cellStyle name="Normal 264 2" xfId="4490"/>
    <cellStyle name="Normal 264 3" xfId="52097"/>
    <cellStyle name="Normal 265" xfId="2412"/>
    <cellStyle name="Normal 265 2" xfId="4491"/>
    <cellStyle name="Normal 265 3" xfId="52098"/>
    <cellStyle name="Normal 266" xfId="2413"/>
    <cellStyle name="Normal 266 2" xfId="4492"/>
    <cellStyle name="Normal 266 2 2" xfId="8537"/>
    <cellStyle name="Normal 266 2 2 2" xfId="16327"/>
    <cellStyle name="Normal 266 2 2 2 2" xfId="33948"/>
    <cellStyle name="Normal 266 2 2 3" xfId="26924"/>
    <cellStyle name="Normal 266 2 3" xfId="12787"/>
    <cellStyle name="Normal 266 2 3 2" xfId="30430"/>
    <cellStyle name="Normal 266 2 4" xfId="24063"/>
    <cellStyle name="Normal 266 3" xfId="5854"/>
    <cellStyle name="Normal 266 3 2" xfId="9151"/>
    <cellStyle name="Normal 266 3 2 2" xfId="16940"/>
    <cellStyle name="Normal 266 3 2 2 2" xfId="34562"/>
    <cellStyle name="Normal 266 3 2 3" xfId="27525"/>
    <cellStyle name="Normal 266 3 3" xfId="13704"/>
    <cellStyle name="Normal 266 3 3 2" xfId="31330"/>
    <cellStyle name="Normal 266 3 4" xfId="24664"/>
    <cellStyle name="Normal 266 4" xfId="6484"/>
    <cellStyle name="Normal 266 4 2" xfId="9691"/>
    <cellStyle name="Normal 266 4 2 2" xfId="17479"/>
    <cellStyle name="Normal 266 4 2 2 2" xfId="35102"/>
    <cellStyle name="Normal 266 4 2 3" xfId="28061"/>
    <cellStyle name="Normal 266 4 3" xfId="14267"/>
    <cellStyle name="Normal 266 4 3 2" xfId="31888"/>
    <cellStyle name="Normal 266 4 4" xfId="25200"/>
    <cellStyle name="Normal 266 5" xfId="7259"/>
    <cellStyle name="Normal 266 5 2" xfId="10244"/>
    <cellStyle name="Normal 266 5 2 2" xfId="18031"/>
    <cellStyle name="Normal 266 5 2 2 2" xfId="35654"/>
    <cellStyle name="Normal 266 5 2 3" xfId="28597"/>
    <cellStyle name="Normal 266 5 3" xfId="15041"/>
    <cellStyle name="Normal 266 5 3 2" xfId="32662"/>
    <cellStyle name="Normal 266 5 4" xfId="25737"/>
    <cellStyle name="Normal 266 6" xfId="7859"/>
    <cellStyle name="Normal 266 6 2" xfId="15650"/>
    <cellStyle name="Normal 266 6 2 2" xfId="33271"/>
    <cellStyle name="Normal 266 6 3" xfId="26261"/>
    <cellStyle name="Normal 266 7" xfId="11783"/>
    <cellStyle name="Normal 266 7 2" xfId="29455"/>
    <cellStyle name="Normal 266 8" xfId="23400"/>
    <cellStyle name="Normal 266 9" xfId="52099"/>
    <cellStyle name="Normal 267" xfId="2414"/>
    <cellStyle name="Normal 267 2" xfId="4493"/>
    <cellStyle name="Normal 267 3" xfId="52100"/>
    <cellStyle name="Normal 268" xfId="2415"/>
    <cellStyle name="Normal 268 2" xfId="4494"/>
    <cellStyle name="Normal 268 3" xfId="52101"/>
    <cellStyle name="Normal 269" xfId="2416"/>
    <cellStyle name="Normal 269 2" xfId="4495"/>
    <cellStyle name="Normal 269 3" xfId="52102"/>
    <cellStyle name="Normal 27" xfId="2417"/>
    <cellStyle name="Normal 27 2" xfId="2418"/>
    <cellStyle name="Normal 27 2 2" xfId="2419"/>
    <cellStyle name="Normal 27 2 3" xfId="22965"/>
    <cellStyle name="Normal 27 2 4" xfId="22752"/>
    <cellStyle name="Normal 27 2 4 2" xfId="38945"/>
    <cellStyle name="Normal 27 2_Sheet1" xfId="2420"/>
    <cellStyle name="Normal 27 3" xfId="2421"/>
    <cellStyle name="Normal 27 4" xfId="22964"/>
    <cellStyle name="Normal 27 5" xfId="22541"/>
    <cellStyle name="Normal 27 5 2" xfId="38840"/>
    <cellStyle name="Normal 27 6" xfId="53219"/>
    <cellStyle name="Normal 27_Sheet1" xfId="2422"/>
    <cellStyle name="Normal 270" xfId="2423"/>
    <cellStyle name="Normal 270 2" xfId="4496"/>
    <cellStyle name="Normal 270 3" xfId="52103"/>
    <cellStyle name="Normal 271" xfId="2424"/>
    <cellStyle name="Normal 271 2" xfId="4497"/>
    <cellStyle name="Normal 271 3" xfId="52104"/>
    <cellStyle name="Normal 272" xfId="2425"/>
    <cellStyle name="Normal 272 2" xfId="4498"/>
    <cellStyle name="Normal 272 3" xfId="52105"/>
    <cellStyle name="Normal 273" xfId="2426"/>
    <cellStyle name="Normal 273 2" xfId="4499"/>
    <cellStyle name="Normal 273 3" xfId="52106"/>
    <cellStyle name="Normal 274" xfId="2427"/>
    <cellStyle name="Normal 274 2" xfId="4500"/>
    <cellStyle name="Normal 274 3" xfId="52107"/>
    <cellStyle name="Normal 275" xfId="2428"/>
    <cellStyle name="Normal 275 2" xfId="4501"/>
    <cellStyle name="Normal 275 3" xfId="52108"/>
    <cellStyle name="Normal 276" xfId="2429"/>
    <cellStyle name="Normal 276 2" xfId="4502"/>
    <cellStyle name="Normal 276 3" xfId="52109"/>
    <cellStyle name="Normal 277" xfId="2430"/>
    <cellStyle name="Normal 277 2" xfId="4503"/>
    <cellStyle name="Normal 277 3" xfId="52110"/>
    <cellStyle name="Normal 278" xfId="194"/>
    <cellStyle name="Normal 278 10" xfId="11785"/>
    <cellStyle name="Normal 278 10 2" xfId="29457"/>
    <cellStyle name="Normal 278 11" xfId="23401"/>
    <cellStyle name="Normal 278 12" xfId="52111"/>
    <cellStyle name="Normal 278 13" xfId="2431"/>
    <cellStyle name="Normal 278 2" xfId="4505"/>
    <cellStyle name="Normal 278 2 2" xfId="4506"/>
    <cellStyle name="Normal 278 2 2 2" xfId="5856"/>
    <cellStyle name="Normal 278 2 2 2 2" xfId="9153"/>
    <cellStyle name="Normal 278 2 2 2 2 2" xfId="16942"/>
    <cellStyle name="Normal 278 2 2 2 2 2 2" xfId="34564"/>
    <cellStyle name="Normal 278 2 2 2 2 3" xfId="27527"/>
    <cellStyle name="Normal 278 2 2 2 3" xfId="13706"/>
    <cellStyle name="Normal 278 2 2 2 3 2" xfId="31332"/>
    <cellStyle name="Normal 278 2 2 2 4" xfId="24666"/>
    <cellStyle name="Normal 278 2 2 3" xfId="6486"/>
    <cellStyle name="Normal 278 2 2 3 2" xfId="9693"/>
    <cellStyle name="Normal 278 2 2 3 2 2" xfId="17481"/>
    <cellStyle name="Normal 278 2 2 3 2 2 2" xfId="35104"/>
    <cellStyle name="Normal 278 2 2 3 2 3" xfId="28063"/>
    <cellStyle name="Normal 278 2 2 3 3" xfId="14269"/>
    <cellStyle name="Normal 278 2 2 3 3 2" xfId="31890"/>
    <cellStyle name="Normal 278 2 2 3 4" xfId="25202"/>
    <cellStyle name="Normal 278 2 2 4" xfId="7261"/>
    <cellStyle name="Normal 278 2 2 4 2" xfId="10246"/>
    <cellStyle name="Normal 278 2 2 4 2 2" xfId="18033"/>
    <cellStyle name="Normal 278 2 2 4 2 2 2" xfId="35656"/>
    <cellStyle name="Normal 278 2 2 4 2 3" xfId="28599"/>
    <cellStyle name="Normal 278 2 2 4 3" xfId="15043"/>
    <cellStyle name="Normal 278 2 2 4 3 2" xfId="32664"/>
    <cellStyle name="Normal 278 2 2 4 4" xfId="25739"/>
    <cellStyle name="Normal 278 2 2 5" xfId="8539"/>
    <cellStyle name="Normal 278 2 2 5 2" xfId="16329"/>
    <cellStyle name="Normal 278 2 2 5 2 2" xfId="33950"/>
    <cellStyle name="Normal 278 2 2 5 3" xfId="26926"/>
    <cellStyle name="Normal 278 2 2 6" xfId="12790"/>
    <cellStyle name="Normal 278 2 2 6 2" xfId="30433"/>
    <cellStyle name="Normal 278 2 2 7" xfId="24065"/>
    <cellStyle name="Normal 278 3" xfId="4507"/>
    <cellStyle name="Normal 278 3 2" xfId="5857"/>
    <cellStyle name="Normal 278 3 2 2" xfId="9154"/>
    <cellStyle name="Normal 278 3 2 2 2" xfId="16943"/>
    <cellStyle name="Normal 278 3 2 2 2 2" xfId="34565"/>
    <cellStyle name="Normal 278 3 2 2 3" xfId="27528"/>
    <cellStyle name="Normal 278 3 2 3" xfId="13707"/>
    <cellStyle name="Normal 278 3 2 3 2" xfId="31333"/>
    <cellStyle name="Normal 278 3 2 4" xfId="24667"/>
    <cellStyle name="Normal 278 3 3" xfId="6487"/>
    <cellStyle name="Normal 278 3 3 2" xfId="9694"/>
    <cellStyle name="Normal 278 3 3 2 2" xfId="17482"/>
    <cellStyle name="Normal 278 3 3 2 2 2" xfId="35105"/>
    <cellStyle name="Normal 278 3 3 2 3" xfId="28064"/>
    <cellStyle name="Normal 278 3 3 3" xfId="14270"/>
    <cellStyle name="Normal 278 3 3 3 2" xfId="31891"/>
    <cellStyle name="Normal 278 3 3 4" xfId="25203"/>
    <cellStyle name="Normal 278 3 4" xfId="7262"/>
    <cellStyle name="Normal 278 3 4 2" xfId="10247"/>
    <cellStyle name="Normal 278 3 4 2 2" xfId="18034"/>
    <cellStyle name="Normal 278 3 4 2 2 2" xfId="35657"/>
    <cellStyle name="Normal 278 3 4 2 3" xfId="28600"/>
    <cellStyle name="Normal 278 3 4 3" xfId="15044"/>
    <cellStyle name="Normal 278 3 4 3 2" xfId="32665"/>
    <cellStyle name="Normal 278 3 4 4" xfId="25740"/>
    <cellStyle name="Normal 278 3 5" xfId="8540"/>
    <cellStyle name="Normal 278 3 5 2" xfId="16330"/>
    <cellStyle name="Normal 278 3 5 2 2" xfId="33951"/>
    <cellStyle name="Normal 278 3 5 3" xfId="26927"/>
    <cellStyle name="Normal 278 3 6" xfId="12791"/>
    <cellStyle name="Normal 278 3 6 2" xfId="30434"/>
    <cellStyle name="Normal 278 3 7" xfId="24066"/>
    <cellStyle name="Normal 278 4" xfId="4508"/>
    <cellStyle name="Normal 278 4 2" xfId="8541"/>
    <cellStyle name="Normal 278 4 2 2" xfId="16331"/>
    <cellStyle name="Normal 278 4 2 2 2" xfId="33952"/>
    <cellStyle name="Normal 278 4 2 3" xfId="26928"/>
    <cellStyle name="Normal 278 4 3" xfId="12792"/>
    <cellStyle name="Normal 278 4 3 2" xfId="30435"/>
    <cellStyle name="Normal 278 4 4" xfId="24067"/>
    <cellStyle name="Normal 278 5" xfId="4504"/>
    <cellStyle name="Normal 278 5 2" xfId="8538"/>
    <cellStyle name="Normal 278 5 2 2" xfId="16328"/>
    <cellStyle name="Normal 278 5 2 2 2" xfId="33949"/>
    <cellStyle name="Normal 278 5 2 3" xfId="26925"/>
    <cellStyle name="Normal 278 5 3" xfId="12789"/>
    <cellStyle name="Normal 278 5 3 2" xfId="30432"/>
    <cellStyle name="Normal 278 5 4" xfId="24064"/>
    <cellStyle name="Normal 278 6" xfId="5855"/>
    <cellStyle name="Normal 278 6 2" xfId="9152"/>
    <cellStyle name="Normal 278 6 2 2" xfId="16941"/>
    <cellStyle name="Normal 278 6 2 2 2" xfId="34563"/>
    <cellStyle name="Normal 278 6 2 3" xfId="27526"/>
    <cellStyle name="Normal 278 6 3" xfId="13705"/>
    <cellStyle name="Normal 278 6 3 2" xfId="31331"/>
    <cellStyle name="Normal 278 6 4" xfId="24665"/>
    <cellStyle name="Normal 278 7" xfId="6485"/>
    <cellStyle name="Normal 278 7 2" xfId="9692"/>
    <cellStyle name="Normal 278 7 2 2" xfId="17480"/>
    <cellStyle name="Normal 278 7 2 2 2" xfId="35103"/>
    <cellStyle name="Normal 278 7 2 3" xfId="28062"/>
    <cellStyle name="Normal 278 7 3" xfId="14268"/>
    <cellStyle name="Normal 278 7 3 2" xfId="31889"/>
    <cellStyle name="Normal 278 7 4" xfId="25201"/>
    <cellStyle name="Normal 278 8" xfId="7260"/>
    <cellStyle name="Normal 278 8 2" xfId="10245"/>
    <cellStyle name="Normal 278 8 2 2" xfId="18032"/>
    <cellStyle name="Normal 278 8 2 2 2" xfId="35655"/>
    <cellStyle name="Normal 278 8 2 3" xfId="28598"/>
    <cellStyle name="Normal 278 8 3" xfId="15042"/>
    <cellStyle name="Normal 278 8 3 2" xfId="32663"/>
    <cellStyle name="Normal 278 8 4" xfId="25738"/>
    <cellStyle name="Normal 278 9" xfId="7860"/>
    <cellStyle name="Normal 278 9 2" xfId="15651"/>
    <cellStyle name="Normal 278 9 2 2" xfId="33272"/>
    <cellStyle name="Normal 278 9 3" xfId="26262"/>
    <cellStyle name="Normal 279" xfId="2432"/>
    <cellStyle name="Normal 279 2" xfId="4509"/>
    <cellStyle name="Normal 279 2 2" xfId="8542"/>
    <cellStyle name="Normal 279 2 2 2" xfId="16332"/>
    <cellStyle name="Normal 279 2 2 2 2" xfId="33953"/>
    <cellStyle name="Normal 279 2 2 3" xfId="26929"/>
    <cellStyle name="Normal 279 2 3" xfId="12793"/>
    <cellStyle name="Normal 279 2 3 2" xfId="30436"/>
    <cellStyle name="Normal 279 2 4" xfId="24068"/>
    <cellStyle name="Normal 279 3" xfId="5858"/>
    <cellStyle name="Normal 279 3 2" xfId="9155"/>
    <cellStyle name="Normal 279 3 2 2" xfId="16944"/>
    <cellStyle name="Normal 279 3 2 2 2" xfId="34566"/>
    <cellStyle name="Normal 279 3 2 3" xfId="27529"/>
    <cellStyle name="Normal 279 3 3" xfId="13708"/>
    <cellStyle name="Normal 279 3 3 2" xfId="31334"/>
    <cellStyle name="Normal 279 3 4" xfId="24668"/>
    <cellStyle name="Normal 279 4" xfId="6488"/>
    <cellStyle name="Normal 279 4 2" xfId="9695"/>
    <cellStyle name="Normal 279 4 2 2" xfId="17483"/>
    <cellStyle name="Normal 279 4 2 2 2" xfId="35106"/>
    <cellStyle name="Normal 279 4 2 3" xfId="28065"/>
    <cellStyle name="Normal 279 4 3" xfId="14271"/>
    <cellStyle name="Normal 279 4 3 2" xfId="31892"/>
    <cellStyle name="Normal 279 4 4" xfId="25204"/>
    <cellStyle name="Normal 279 5" xfId="7263"/>
    <cellStyle name="Normal 279 5 2" xfId="10248"/>
    <cellStyle name="Normal 279 5 2 2" xfId="18035"/>
    <cellStyle name="Normal 279 5 2 2 2" xfId="35658"/>
    <cellStyle name="Normal 279 5 2 3" xfId="28601"/>
    <cellStyle name="Normal 279 5 3" xfId="15045"/>
    <cellStyle name="Normal 279 5 3 2" xfId="32666"/>
    <cellStyle name="Normal 279 5 4" xfId="25741"/>
    <cellStyle name="Normal 279 6" xfId="7861"/>
    <cellStyle name="Normal 279 6 2" xfId="15652"/>
    <cellStyle name="Normal 279 6 2 2" xfId="33273"/>
    <cellStyle name="Normal 279 6 3" xfId="26263"/>
    <cellStyle name="Normal 279 7" xfId="11786"/>
    <cellStyle name="Normal 279 7 2" xfId="29458"/>
    <cellStyle name="Normal 279 8" xfId="23402"/>
    <cellStyle name="Normal 279 9" xfId="52112"/>
    <cellStyle name="Normal 28" xfId="2433"/>
    <cellStyle name="Normal 28 2" xfId="2434"/>
    <cellStyle name="Normal 28 2 2" xfId="2435"/>
    <cellStyle name="Normal 28 2 3" xfId="22967"/>
    <cellStyle name="Normal 28 2 4" xfId="22753"/>
    <cellStyle name="Normal 28 2 4 2" xfId="38946"/>
    <cellStyle name="Normal 28 2_Sheet1" xfId="2436"/>
    <cellStyle name="Normal 28 3" xfId="2437"/>
    <cellStyle name="Normal 28 4" xfId="22966"/>
    <cellStyle name="Normal 28 5" xfId="22542"/>
    <cellStyle name="Normal 28 5 2" xfId="38841"/>
    <cellStyle name="Normal 28 6" xfId="53220"/>
    <cellStyle name="Normal 28_Sheet1" xfId="2438"/>
    <cellStyle name="Normal 280" xfId="2439"/>
    <cellStyle name="Normal 280 2" xfId="4510"/>
    <cellStyle name="Normal 280 3" xfId="52113"/>
    <cellStyle name="Normal 281" xfId="2440"/>
    <cellStyle name="Normal 281 2" xfId="4511"/>
    <cellStyle name="Normal 281 3" xfId="52114"/>
    <cellStyle name="Normal 282" xfId="2441"/>
    <cellStyle name="Normal 282 2" xfId="4512"/>
    <cellStyle name="Normal 282 3" xfId="52115"/>
    <cellStyle name="Normal 283" xfId="2442"/>
    <cellStyle name="Normal 283 2" xfId="4513"/>
    <cellStyle name="Normal 283 3" xfId="52116"/>
    <cellStyle name="Normal 284" xfId="2443"/>
    <cellStyle name="Normal 284 2" xfId="4514"/>
    <cellStyle name="Normal 284 3" xfId="52117"/>
    <cellStyle name="Normal 285" xfId="2444"/>
    <cellStyle name="Normal 285 2" xfId="4515"/>
    <cellStyle name="Normal 285 3" xfId="52118"/>
    <cellStyle name="Normal 286" xfId="2445"/>
    <cellStyle name="Normal 286 2" xfId="4516"/>
    <cellStyle name="Normal 286 3" xfId="52119"/>
    <cellStyle name="Normal 287" xfId="2446"/>
    <cellStyle name="Normal 287 2" xfId="4517"/>
    <cellStyle name="Normal 287 3" xfId="52120"/>
    <cellStyle name="Normal 288" xfId="2447"/>
    <cellStyle name="Normal 288 2" xfId="4518"/>
    <cellStyle name="Normal 288 3" xfId="52121"/>
    <cellStyle name="Normal 289" xfId="2448"/>
    <cellStyle name="Normal 289 2" xfId="4519"/>
    <cellStyle name="Normal 289 3" xfId="52122"/>
    <cellStyle name="Normal 29" xfId="2449"/>
    <cellStyle name="Normal 29 2" xfId="2450"/>
    <cellStyle name="Normal 29 2 2" xfId="2451"/>
    <cellStyle name="Normal 29 2 3" xfId="22969"/>
    <cellStyle name="Normal 29 2 4" xfId="22754"/>
    <cellStyle name="Normal 29 2 4 2" xfId="38947"/>
    <cellStyle name="Normal 29 2_Sheet1" xfId="2452"/>
    <cellStyle name="Normal 29 3" xfId="2453"/>
    <cellStyle name="Normal 29 4" xfId="22968"/>
    <cellStyle name="Normal 29 5" xfId="22543"/>
    <cellStyle name="Normal 29 5 2" xfId="38842"/>
    <cellStyle name="Normal 29 6" xfId="53221"/>
    <cellStyle name="Normal 29_Sheet1" xfId="2454"/>
    <cellStyle name="Normal 290" xfId="2455"/>
    <cellStyle name="Normal 290 2" xfId="4520"/>
    <cellStyle name="Normal 290 3" xfId="52123"/>
    <cellStyle name="Normal 291" xfId="2456"/>
    <cellStyle name="Normal 291 2" xfId="4521"/>
    <cellStyle name="Normal 291 3" xfId="52124"/>
    <cellStyle name="Normal 292" xfId="2457"/>
    <cellStyle name="Normal 292 2" xfId="4522"/>
    <cellStyle name="Normal 292 3" xfId="52125"/>
    <cellStyle name="Normal 293" xfId="2458"/>
    <cellStyle name="Normal 293 2" xfId="4523"/>
    <cellStyle name="Normal 293 3" xfId="52126"/>
    <cellStyle name="Normal 294" xfId="2459"/>
    <cellStyle name="Normal 294 2" xfId="4524"/>
    <cellStyle name="Normal 294 3" xfId="52127"/>
    <cellStyle name="Normal 295" xfId="2460"/>
    <cellStyle name="Normal 295 2" xfId="4525"/>
    <cellStyle name="Normal 295 3" xfId="52128"/>
    <cellStyle name="Normal 296" xfId="2461"/>
    <cellStyle name="Normal 296 2" xfId="4526"/>
    <cellStyle name="Normal 296 3" xfId="52129"/>
    <cellStyle name="Normal 297" xfId="2462"/>
    <cellStyle name="Normal 297 2" xfId="4527"/>
    <cellStyle name="Normal 297 3" xfId="52130"/>
    <cellStyle name="Normal 298" xfId="2463"/>
    <cellStyle name="Normal 298 2" xfId="4528"/>
    <cellStyle name="Normal 298 3" xfId="52131"/>
    <cellStyle name="Normal 299" xfId="2464"/>
    <cellStyle name="Normal 299 2" xfId="4529"/>
    <cellStyle name="Normal 299 3" xfId="52132"/>
    <cellStyle name="Normal 3" xfId="2"/>
    <cellStyle name="Normal 3 10" xfId="2465"/>
    <cellStyle name="Normal 3 10 2" xfId="4530"/>
    <cellStyle name="Normal 3 10 3" xfId="52133"/>
    <cellStyle name="Normal 3 11" xfId="2466"/>
    <cellStyle name="Normal 3 12" xfId="2467"/>
    <cellStyle name="Normal 3 12 2" xfId="4531"/>
    <cellStyle name="Normal 3 12 3" xfId="22970"/>
    <cellStyle name="Normal 3 12 4" xfId="52134"/>
    <cellStyle name="Normal 3 13" xfId="2468"/>
    <cellStyle name="Normal 3 13 2" xfId="22544"/>
    <cellStyle name="Normal 3 13 2 2" xfId="38843"/>
    <cellStyle name="Normal 3 14" xfId="2469"/>
    <cellStyle name="Normal 3 15" xfId="4532"/>
    <cellStyle name="Normal 3 15 2" xfId="53222"/>
    <cellStyle name="Normal 3 16" xfId="4533"/>
    <cellStyle name="Normal 3 17" xfId="187"/>
    <cellStyle name="Normal 3 2" xfId="120"/>
    <cellStyle name="Normal 3 2 2" xfId="2471"/>
    <cellStyle name="Normal 3 2 3" xfId="22971"/>
    <cellStyle name="Normal 3 2 4" xfId="22545"/>
    <cellStyle name="Normal 3 2 5" xfId="2470"/>
    <cellStyle name="Normal 3 2_Sheet1" xfId="2472"/>
    <cellStyle name="Normal 3 3" xfId="2473"/>
    <cellStyle name="Normal 3 3 2" xfId="22972"/>
    <cellStyle name="Normal 3 3 3" xfId="22546"/>
    <cellStyle name="Normal 3 3 4" xfId="53223"/>
    <cellStyle name="Normal 3 4" xfId="2474"/>
    <cellStyle name="Normal 3 4 2" xfId="2475"/>
    <cellStyle name="Normal 3 4 2 2" xfId="4535"/>
    <cellStyle name="Normal 3 4 2 3" xfId="22756"/>
    <cellStyle name="Normal 3 4 2 3 2" xfId="38949"/>
    <cellStyle name="Normal 3 4 2 4" xfId="52136"/>
    <cellStyle name="Normal 3 4 3" xfId="4534"/>
    <cellStyle name="Normal 3 4 4" xfId="22547"/>
    <cellStyle name="Normal 3 4 4 2" xfId="38844"/>
    <cellStyle name="Normal 3 4 5" xfId="52135"/>
    <cellStyle name="Normal 3 4_BallGrid" xfId="2476"/>
    <cellStyle name="Normal 3 5" xfId="2477"/>
    <cellStyle name="Normal 3 5 2" xfId="4536"/>
    <cellStyle name="Normal 3 5 3" xfId="52137"/>
    <cellStyle name="Normal 3 6" xfId="2478"/>
    <cellStyle name="Normal 3 6 2" xfId="4537"/>
    <cellStyle name="Normal 3 6 3" xfId="22681"/>
    <cellStyle name="Normal 3 6 3 2" xfId="38885"/>
    <cellStyle name="Normal 3 6 4" xfId="52138"/>
    <cellStyle name="Normal 3 7" xfId="2479"/>
    <cellStyle name="Normal 3 7 2" xfId="4538"/>
    <cellStyle name="Normal 3 7 3" xfId="22755"/>
    <cellStyle name="Normal 3 7 3 2" xfId="38948"/>
    <cellStyle name="Normal 3 7 4" xfId="52139"/>
    <cellStyle name="Normal 3 8" xfId="2480"/>
    <cellStyle name="Normal 3 8 2" xfId="4539"/>
    <cellStyle name="Normal 3 8 3" xfId="52140"/>
    <cellStyle name="Normal 3 9" xfId="2481"/>
    <cellStyle name="Normal 3 9 2" xfId="4540"/>
    <cellStyle name="Normal 3 9 3" xfId="52141"/>
    <cellStyle name="Normal 3_BallGrid" xfId="2482"/>
    <cellStyle name="Normal 30" xfId="2483"/>
    <cellStyle name="Normal 30 2" xfId="2484"/>
    <cellStyle name="Normal 30 2 10" xfId="52142"/>
    <cellStyle name="Normal 30 2 2" xfId="4541"/>
    <cellStyle name="Normal 30 2 2 2" xfId="8543"/>
    <cellStyle name="Normal 30 2 2 2 2" xfId="16333"/>
    <cellStyle name="Normal 30 2 2 2 2 2" xfId="33954"/>
    <cellStyle name="Normal 30 2 2 2 3" xfId="26930"/>
    <cellStyle name="Normal 30 2 2 3" xfId="12801"/>
    <cellStyle name="Normal 30 2 2 3 2" xfId="30443"/>
    <cellStyle name="Normal 30 2 2 4" xfId="24069"/>
    <cellStyle name="Normal 30 2 3" xfId="5859"/>
    <cellStyle name="Normal 30 2 3 2" xfId="9156"/>
    <cellStyle name="Normal 30 2 3 2 2" xfId="16945"/>
    <cellStyle name="Normal 30 2 3 2 2 2" xfId="34567"/>
    <cellStyle name="Normal 30 2 3 2 3" xfId="27530"/>
    <cellStyle name="Normal 30 2 3 3" xfId="13709"/>
    <cellStyle name="Normal 30 2 3 3 2" xfId="31335"/>
    <cellStyle name="Normal 30 2 3 4" xfId="24669"/>
    <cellStyle name="Normal 30 2 4" xfId="6489"/>
    <cellStyle name="Normal 30 2 4 2" xfId="9696"/>
    <cellStyle name="Normal 30 2 4 2 2" xfId="17484"/>
    <cellStyle name="Normal 30 2 4 2 2 2" xfId="35107"/>
    <cellStyle name="Normal 30 2 4 2 3" xfId="28066"/>
    <cellStyle name="Normal 30 2 4 3" xfId="14272"/>
    <cellStyle name="Normal 30 2 4 3 2" xfId="31893"/>
    <cellStyle name="Normal 30 2 4 4" xfId="25205"/>
    <cellStyle name="Normal 30 2 5" xfId="7264"/>
    <cellStyle name="Normal 30 2 5 2" xfId="10249"/>
    <cellStyle name="Normal 30 2 5 2 2" xfId="18036"/>
    <cellStyle name="Normal 30 2 5 2 2 2" xfId="35659"/>
    <cellStyle name="Normal 30 2 5 2 3" xfId="28602"/>
    <cellStyle name="Normal 30 2 5 3" xfId="15046"/>
    <cellStyle name="Normal 30 2 5 3 2" xfId="32667"/>
    <cellStyle name="Normal 30 2 5 4" xfId="25742"/>
    <cellStyle name="Normal 30 2 6" xfId="7862"/>
    <cellStyle name="Normal 30 2 6 2" xfId="15653"/>
    <cellStyle name="Normal 30 2 6 2 2" xfId="33274"/>
    <cellStyle name="Normal 30 2 6 3" xfId="26264"/>
    <cellStyle name="Normal 30 2 7" xfId="11795"/>
    <cellStyle name="Normal 30 2 7 2" xfId="29467"/>
    <cellStyle name="Normal 30 2 8" xfId="21979"/>
    <cellStyle name="Normal 30 2 8 2" xfId="38709"/>
    <cellStyle name="Normal 30 2 9" xfId="23403"/>
    <cellStyle name="Normal 30 3" xfId="2485"/>
    <cellStyle name="Normal 30 3 2" xfId="2486"/>
    <cellStyle name="Normal 30 3_Sheet1" xfId="2487"/>
    <cellStyle name="Normal 30 4" xfId="2488"/>
    <cellStyle name="Normal 30 5" xfId="22973"/>
    <cellStyle name="Normal 30 6" xfId="53224"/>
    <cellStyle name="Normal 30_Sheet1" xfId="2489"/>
    <cellStyle name="Normal 300" xfId="2490"/>
    <cellStyle name="Normal 300 2" xfId="4542"/>
    <cellStyle name="Normal 300 3" xfId="52143"/>
    <cellStyle name="Normal 301" xfId="2491"/>
    <cellStyle name="Normal 301 2" xfId="4543"/>
    <cellStyle name="Normal 301 3" xfId="52144"/>
    <cellStyle name="Normal 302" xfId="2492"/>
    <cellStyle name="Normal 302 2" xfId="4544"/>
    <cellStyle name="Normal 302 3" xfId="52145"/>
    <cellStyle name="Normal 303" xfId="2493"/>
    <cellStyle name="Normal 303 2" xfId="4545"/>
    <cellStyle name="Normal 303 3" xfId="52146"/>
    <cellStyle name="Normal 304" xfId="2494"/>
    <cellStyle name="Normal 304 2" xfId="4546"/>
    <cellStyle name="Normal 304 3" xfId="52147"/>
    <cellStyle name="Normal 305" xfId="2495"/>
    <cellStyle name="Normal 305 2" xfId="4547"/>
    <cellStyle name="Normal 305 3" xfId="52148"/>
    <cellStyle name="Normal 306" xfId="2496"/>
    <cellStyle name="Normal 306 2" xfId="4548"/>
    <cellStyle name="Normal 306 3" xfId="52149"/>
    <cellStyle name="Normal 307" xfId="2497"/>
    <cellStyle name="Normal 307 2" xfId="4549"/>
    <cellStyle name="Normal 307 3" xfId="52150"/>
    <cellStyle name="Normal 308" xfId="2498"/>
    <cellStyle name="Normal 308 2" xfId="4550"/>
    <cellStyle name="Normal 308 3" xfId="52151"/>
    <cellStyle name="Normal 309" xfId="2499"/>
    <cellStyle name="Normal 309 2" xfId="4551"/>
    <cellStyle name="Normal 309 3" xfId="52152"/>
    <cellStyle name="Normal 31" xfId="2500"/>
    <cellStyle name="Normal 31 2" xfId="2501"/>
    <cellStyle name="Normal 31 2 2" xfId="2502"/>
    <cellStyle name="Normal 31 2 3" xfId="22975"/>
    <cellStyle name="Normal 31 2 4" xfId="22757"/>
    <cellStyle name="Normal 31 2 4 2" xfId="38950"/>
    <cellStyle name="Normal 31 2_Sheet1" xfId="2503"/>
    <cellStyle name="Normal 31 3" xfId="2504"/>
    <cellStyle name="Normal 31 4" xfId="22974"/>
    <cellStyle name="Normal 31 5" xfId="22548"/>
    <cellStyle name="Normal 31 5 2" xfId="38845"/>
    <cellStyle name="Normal 31 6" xfId="53225"/>
    <cellStyle name="Normal 31_Sheet1" xfId="2505"/>
    <cellStyle name="Normal 310" xfId="2506"/>
    <cellStyle name="Normal 310 2" xfId="4552"/>
    <cellStyle name="Normal 310 3" xfId="52153"/>
    <cellStyle name="Normal 311" xfId="2507"/>
    <cellStyle name="Normal 311 2" xfId="4553"/>
    <cellStyle name="Normal 311 3" xfId="52154"/>
    <cellStyle name="Normal 312" xfId="2508"/>
    <cellStyle name="Normal 312 2" xfId="4554"/>
    <cellStyle name="Normal 312 3" xfId="52155"/>
    <cellStyle name="Normal 313" xfId="2509"/>
    <cellStyle name="Normal 313 2" xfId="4555"/>
    <cellStyle name="Normal 313 3" xfId="52156"/>
    <cellStyle name="Normal 314" xfId="2510"/>
    <cellStyle name="Normal 314 2" xfId="4556"/>
    <cellStyle name="Normal 314 3" xfId="52157"/>
    <cellStyle name="Normal 315" xfId="2511"/>
    <cellStyle name="Normal 315 2" xfId="4557"/>
    <cellStyle name="Normal 315 3" xfId="52158"/>
    <cellStyle name="Normal 316" xfId="2512"/>
    <cellStyle name="Normal 316 2" xfId="4558"/>
    <cellStyle name="Normal 316 3" xfId="52159"/>
    <cellStyle name="Normal 317" xfId="2513"/>
    <cellStyle name="Normal 317 2" xfId="4559"/>
    <cellStyle name="Normal 317 3" xfId="52160"/>
    <cellStyle name="Normal 318" xfId="2514"/>
    <cellStyle name="Normal 318 2" xfId="4560"/>
    <cellStyle name="Normal 318 3" xfId="52161"/>
    <cellStyle name="Normal 319" xfId="2515"/>
    <cellStyle name="Normal 319 2" xfId="4561"/>
    <cellStyle name="Normal 319 2 2" xfId="8544"/>
    <cellStyle name="Normal 319 2 2 2" xfId="16334"/>
    <cellStyle name="Normal 319 2 2 2 2" xfId="33955"/>
    <cellStyle name="Normal 319 2 2 3" xfId="26931"/>
    <cellStyle name="Normal 319 2 3" xfId="12805"/>
    <cellStyle name="Normal 319 2 3 2" xfId="30446"/>
    <cellStyle name="Normal 319 2 4" xfId="24070"/>
    <cellStyle name="Normal 319 3" xfId="5860"/>
    <cellStyle name="Normal 319 3 2" xfId="9157"/>
    <cellStyle name="Normal 319 3 2 2" xfId="16946"/>
    <cellStyle name="Normal 319 3 2 2 2" xfId="34568"/>
    <cellStyle name="Normal 319 3 2 3" xfId="27531"/>
    <cellStyle name="Normal 319 3 3" xfId="13710"/>
    <cellStyle name="Normal 319 3 3 2" xfId="31336"/>
    <cellStyle name="Normal 319 3 4" xfId="24670"/>
    <cellStyle name="Normal 319 4" xfId="6490"/>
    <cellStyle name="Normal 319 4 2" xfId="9697"/>
    <cellStyle name="Normal 319 4 2 2" xfId="17485"/>
    <cellStyle name="Normal 319 4 2 2 2" xfId="35108"/>
    <cellStyle name="Normal 319 4 2 3" xfId="28067"/>
    <cellStyle name="Normal 319 4 3" xfId="14273"/>
    <cellStyle name="Normal 319 4 3 2" xfId="31894"/>
    <cellStyle name="Normal 319 4 4" xfId="25206"/>
    <cellStyle name="Normal 319 5" xfId="7265"/>
    <cellStyle name="Normal 319 5 2" xfId="10250"/>
    <cellStyle name="Normal 319 5 2 2" xfId="18037"/>
    <cellStyle name="Normal 319 5 2 2 2" xfId="35660"/>
    <cellStyle name="Normal 319 5 2 3" xfId="28603"/>
    <cellStyle name="Normal 319 5 3" xfId="15047"/>
    <cellStyle name="Normal 319 5 3 2" xfId="32668"/>
    <cellStyle name="Normal 319 5 4" xfId="25743"/>
    <cellStyle name="Normal 319 6" xfId="7863"/>
    <cellStyle name="Normal 319 6 2" xfId="15654"/>
    <cellStyle name="Normal 319 6 2 2" xfId="33275"/>
    <cellStyle name="Normal 319 6 3" xfId="26265"/>
    <cellStyle name="Normal 319 7" xfId="11800"/>
    <cellStyle name="Normal 319 7 2" xfId="29472"/>
    <cellStyle name="Normal 319 8" xfId="23404"/>
    <cellStyle name="Normal 319 9" xfId="52162"/>
    <cellStyle name="Normal 32" xfId="2516"/>
    <cellStyle name="Normal 32 2" xfId="2517"/>
    <cellStyle name="Normal 32 2 2" xfId="2518"/>
    <cellStyle name="Normal 32 2 3" xfId="22977"/>
    <cellStyle name="Normal 32 2 4" xfId="22758"/>
    <cellStyle name="Normal 32 2 4 2" xfId="38951"/>
    <cellStyle name="Normal 32 2_Sheet1" xfId="2519"/>
    <cellStyle name="Normal 32 3" xfId="2520"/>
    <cellStyle name="Normal 32 4" xfId="22976"/>
    <cellStyle name="Normal 32 5" xfId="22549"/>
    <cellStyle name="Normal 32 5 2" xfId="38846"/>
    <cellStyle name="Normal 32 6" xfId="53226"/>
    <cellStyle name="Normal 32_Sheet1" xfId="2521"/>
    <cellStyle name="Normal 320" xfId="2522"/>
    <cellStyle name="Normal 320 2" xfId="4562"/>
    <cellStyle name="Normal 320 2 2" xfId="8545"/>
    <cellStyle name="Normal 320 2 2 2" xfId="16335"/>
    <cellStyle name="Normal 320 2 2 2 2" xfId="33956"/>
    <cellStyle name="Normal 320 2 2 3" xfId="26932"/>
    <cellStyle name="Normal 320 2 3" xfId="12806"/>
    <cellStyle name="Normal 320 2 3 2" xfId="30447"/>
    <cellStyle name="Normal 320 2 4" xfId="24071"/>
    <cellStyle name="Normal 320 3" xfId="5861"/>
    <cellStyle name="Normal 320 3 2" xfId="9158"/>
    <cellStyle name="Normal 320 3 2 2" xfId="16947"/>
    <cellStyle name="Normal 320 3 2 2 2" xfId="34569"/>
    <cellStyle name="Normal 320 3 2 3" xfId="27532"/>
    <cellStyle name="Normal 320 3 3" xfId="13711"/>
    <cellStyle name="Normal 320 3 3 2" xfId="31337"/>
    <cellStyle name="Normal 320 3 4" xfId="24671"/>
    <cellStyle name="Normal 320 4" xfId="6491"/>
    <cellStyle name="Normal 320 4 2" xfId="9698"/>
    <cellStyle name="Normal 320 4 2 2" xfId="17486"/>
    <cellStyle name="Normal 320 4 2 2 2" xfId="35109"/>
    <cellStyle name="Normal 320 4 2 3" xfId="28068"/>
    <cellStyle name="Normal 320 4 3" xfId="14274"/>
    <cellStyle name="Normal 320 4 3 2" xfId="31895"/>
    <cellStyle name="Normal 320 4 4" xfId="25207"/>
    <cellStyle name="Normal 320 5" xfId="7266"/>
    <cellStyle name="Normal 320 5 2" xfId="10251"/>
    <cellStyle name="Normal 320 5 2 2" xfId="18038"/>
    <cellStyle name="Normal 320 5 2 2 2" xfId="35661"/>
    <cellStyle name="Normal 320 5 2 3" xfId="28604"/>
    <cellStyle name="Normal 320 5 3" xfId="15048"/>
    <cellStyle name="Normal 320 5 3 2" xfId="32669"/>
    <cellStyle name="Normal 320 5 4" xfId="25744"/>
    <cellStyle name="Normal 320 6" xfId="7864"/>
    <cellStyle name="Normal 320 6 2" xfId="15655"/>
    <cellStyle name="Normal 320 6 2 2" xfId="33276"/>
    <cellStyle name="Normal 320 6 3" xfId="26266"/>
    <cellStyle name="Normal 320 7" xfId="11802"/>
    <cellStyle name="Normal 320 7 2" xfId="29474"/>
    <cellStyle name="Normal 320 8" xfId="23405"/>
    <cellStyle name="Normal 320 9" xfId="52163"/>
    <cellStyle name="Normal 321" xfId="2523"/>
    <cellStyle name="Normal 321 2" xfId="4563"/>
    <cellStyle name="Normal 321 2 2" xfId="8546"/>
    <cellStyle name="Normal 321 2 2 2" xfId="16336"/>
    <cellStyle name="Normal 321 2 2 2 2" xfId="33957"/>
    <cellStyle name="Normal 321 2 2 3" xfId="26933"/>
    <cellStyle name="Normal 321 2 3" xfId="12807"/>
    <cellStyle name="Normal 321 2 3 2" xfId="30448"/>
    <cellStyle name="Normal 321 2 4" xfId="24072"/>
    <cellStyle name="Normal 321 3" xfId="5862"/>
    <cellStyle name="Normal 321 3 2" xfId="9159"/>
    <cellStyle name="Normal 321 3 2 2" xfId="16948"/>
    <cellStyle name="Normal 321 3 2 2 2" xfId="34570"/>
    <cellStyle name="Normal 321 3 2 3" xfId="27533"/>
    <cellStyle name="Normal 321 3 3" xfId="13712"/>
    <cellStyle name="Normal 321 3 3 2" xfId="31338"/>
    <cellStyle name="Normal 321 3 4" xfId="24672"/>
    <cellStyle name="Normal 321 4" xfId="6492"/>
    <cellStyle name="Normal 321 4 2" xfId="9699"/>
    <cellStyle name="Normal 321 4 2 2" xfId="17487"/>
    <cellStyle name="Normal 321 4 2 2 2" xfId="35110"/>
    <cellStyle name="Normal 321 4 2 3" xfId="28069"/>
    <cellStyle name="Normal 321 4 3" xfId="14275"/>
    <cellStyle name="Normal 321 4 3 2" xfId="31896"/>
    <cellStyle name="Normal 321 4 4" xfId="25208"/>
    <cellStyle name="Normal 321 5" xfId="7267"/>
    <cellStyle name="Normal 321 5 2" xfId="10252"/>
    <cellStyle name="Normal 321 5 2 2" xfId="18039"/>
    <cellStyle name="Normal 321 5 2 2 2" xfId="35662"/>
    <cellStyle name="Normal 321 5 2 3" xfId="28605"/>
    <cellStyle name="Normal 321 5 3" xfId="15049"/>
    <cellStyle name="Normal 321 5 3 2" xfId="32670"/>
    <cellStyle name="Normal 321 5 4" xfId="25745"/>
    <cellStyle name="Normal 321 6" xfId="7865"/>
    <cellStyle name="Normal 321 6 2" xfId="15656"/>
    <cellStyle name="Normal 321 6 2 2" xfId="33277"/>
    <cellStyle name="Normal 321 6 3" xfId="26267"/>
    <cellStyle name="Normal 321 7" xfId="11803"/>
    <cellStyle name="Normal 321 7 2" xfId="29475"/>
    <cellStyle name="Normal 321 8" xfId="23406"/>
    <cellStyle name="Normal 321 9" xfId="52164"/>
    <cellStyle name="Normal 322" xfId="2524"/>
    <cellStyle name="Normal 322 2" xfId="4564"/>
    <cellStyle name="Normal 322 2 2" xfId="8547"/>
    <cellStyle name="Normal 322 2 2 2" xfId="16337"/>
    <cellStyle name="Normal 322 2 2 2 2" xfId="33958"/>
    <cellStyle name="Normal 322 2 2 3" xfId="26934"/>
    <cellStyle name="Normal 322 2 3" xfId="12808"/>
    <cellStyle name="Normal 322 2 3 2" xfId="30449"/>
    <cellStyle name="Normal 322 2 4" xfId="24073"/>
    <cellStyle name="Normal 322 3" xfId="5863"/>
    <cellStyle name="Normal 322 3 2" xfId="9160"/>
    <cellStyle name="Normal 322 3 2 2" xfId="16949"/>
    <cellStyle name="Normal 322 3 2 2 2" xfId="34571"/>
    <cellStyle name="Normal 322 3 2 3" xfId="27534"/>
    <cellStyle name="Normal 322 3 3" xfId="13713"/>
    <cellStyle name="Normal 322 3 3 2" xfId="31339"/>
    <cellStyle name="Normal 322 3 4" xfId="24673"/>
    <cellStyle name="Normal 322 4" xfId="6493"/>
    <cellStyle name="Normal 322 4 2" xfId="9700"/>
    <cellStyle name="Normal 322 4 2 2" xfId="17488"/>
    <cellStyle name="Normal 322 4 2 2 2" xfId="35111"/>
    <cellStyle name="Normal 322 4 2 3" xfId="28070"/>
    <cellStyle name="Normal 322 4 3" xfId="14276"/>
    <cellStyle name="Normal 322 4 3 2" xfId="31897"/>
    <cellStyle name="Normal 322 4 4" xfId="25209"/>
    <cellStyle name="Normal 322 5" xfId="7268"/>
    <cellStyle name="Normal 322 5 2" xfId="10253"/>
    <cellStyle name="Normal 322 5 2 2" xfId="18040"/>
    <cellStyle name="Normal 322 5 2 2 2" xfId="35663"/>
    <cellStyle name="Normal 322 5 2 3" xfId="28606"/>
    <cellStyle name="Normal 322 5 3" xfId="15050"/>
    <cellStyle name="Normal 322 5 3 2" xfId="32671"/>
    <cellStyle name="Normal 322 5 4" xfId="25746"/>
    <cellStyle name="Normal 322 6" xfId="7866"/>
    <cellStyle name="Normal 322 6 2" xfId="15657"/>
    <cellStyle name="Normal 322 6 2 2" xfId="33278"/>
    <cellStyle name="Normal 322 6 3" xfId="26268"/>
    <cellStyle name="Normal 322 7" xfId="11804"/>
    <cellStyle name="Normal 322 7 2" xfId="29476"/>
    <cellStyle name="Normal 322 8" xfId="23407"/>
    <cellStyle name="Normal 322 9" xfId="52165"/>
    <cellStyle name="Normal 323" xfId="2525"/>
    <cellStyle name="Normal 323 2" xfId="4565"/>
    <cellStyle name="Normal 323 2 2" xfId="8548"/>
    <cellStyle name="Normal 323 2 2 2" xfId="16338"/>
    <cellStyle name="Normal 323 2 2 2 2" xfId="33959"/>
    <cellStyle name="Normal 323 2 2 3" xfId="26935"/>
    <cellStyle name="Normal 323 2 3" xfId="12809"/>
    <cellStyle name="Normal 323 2 3 2" xfId="30450"/>
    <cellStyle name="Normal 323 2 4" xfId="24074"/>
    <cellStyle name="Normal 323 3" xfId="5864"/>
    <cellStyle name="Normal 323 3 2" xfId="9161"/>
    <cellStyle name="Normal 323 3 2 2" xfId="16950"/>
    <cellStyle name="Normal 323 3 2 2 2" xfId="34572"/>
    <cellStyle name="Normal 323 3 2 3" xfId="27535"/>
    <cellStyle name="Normal 323 3 3" xfId="13714"/>
    <cellStyle name="Normal 323 3 3 2" xfId="31340"/>
    <cellStyle name="Normal 323 3 4" xfId="24674"/>
    <cellStyle name="Normal 323 4" xfId="6494"/>
    <cellStyle name="Normal 323 4 2" xfId="9701"/>
    <cellStyle name="Normal 323 4 2 2" xfId="17489"/>
    <cellStyle name="Normal 323 4 2 2 2" xfId="35112"/>
    <cellStyle name="Normal 323 4 2 3" xfId="28071"/>
    <cellStyle name="Normal 323 4 3" xfId="14277"/>
    <cellStyle name="Normal 323 4 3 2" xfId="31898"/>
    <cellStyle name="Normal 323 4 4" xfId="25210"/>
    <cellStyle name="Normal 323 5" xfId="7269"/>
    <cellStyle name="Normal 323 5 2" xfId="10254"/>
    <cellStyle name="Normal 323 5 2 2" xfId="18041"/>
    <cellStyle name="Normal 323 5 2 2 2" xfId="35664"/>
    <cellStyle name="Normal 323 5 2 3" xfId="28607"/>
    <cellStyle name="Normal 323 5 3" xfId="15051"/>
    <cellStyle name="Normal 323 5 3 2" xfId="32672"/>
    <cellStyle name="Normal 323 5 4" xfId="25747"/>
    <cellStyle name="Normal 323 6" xfId="7867"/>
    <cellStyle name="Normal 323 6 2" xfId="15658"/>
    <cellStyle name="Normal 323 6 2 2" xfId="33279"/>
    <cellStyle name="Normal 323 6 3" xfId="26269"/>
    <cellStyle name="Normal 323 7" xfId="11805"/>
    <cellStyle name="Normal 323 7 2" xfId="29477"/>
    <cellStyle name="Normal 323 8" xfId="23408"/>
    <cellStyle name="Normal 323 9" xfId="52166"/>
    <cellStyle name="Normal 324" xfId="2526"/>
    <cellStyle name="Normal 324 2" xfId="4566"/>
    <cellStyle name="Normal 324 2 2" xfId="8549"/>
    <cellStyle name="Normal 324 2 2 2" xfId="16339"/>
    <cellStyle name="Normal 324 2 2 2 2" xfId="33960"/>
    <cellStyle name="Normal 324 2 2 3" xfId="26936"/>
    <cellStyle name="Normal 324 2 3" xfId="12810"/>
    <cellStyle name="Normal 324 2 3 2" xfId="30451"/>
    <cellStyle name="Normal 324 2 4" xfId="24075"/>
    <cellStyle name="Normal 324 3" xfId="5865"/>
    <cellStyle name="Normal 324 3 2" xfId="9162"/>
    <cellStyle name="Normal 324 3 2 2" xfId="16951"/>
    <cellStyle name="Normal 324 3 2 2 2" xfId="34573"/>
    <cellStyle name="Normal 324 3 2 3" xfId="27536"/>
    <cellStyle name="Normal 324 3 3" xfId="13715"/>
    <cellStyle name="Normal 324 3 3 2" xfId="31341"/>
    <cellStyle name="Normal 324 3 4" xfId="24675"/>
    <cellStyle name="Normal 324 4" xfId="6495"/>
    <cellStyle name="Normal 324 4 2" xfId="9702"/>
    <cellStyle name="Normal 324 4 2 2" xfId="17490"/>
    <cellStyle name="Normal 324 4 2 2 2" xfId="35113"/>
    <cellStyle name="Normal 324 4 2 3" xfId="28072"/>
    <cellStyle name="Normal 324 4 3" xfId="14278"/>
    <cellStyle name="Normal 324 4 3 2" xfId="31899"/>
    <cellStyle name="Normal 324 4 4" xfId="25211"/>
    <cellStyle name="Normal 324 5" xfId="7270"/>
    <cellStyle name="Normal 324 5 2" xfId="10255"/>
    <cellStyle name="Normal 324 5 2 2" xfId="18042"/>
    <cellStyle name="Normal 324 5 2 2 2" xfId="35665"/>
    <cellStyle name="Normal 324 5 2 3" xfId="28608"/>
    <cellStyle name="Normal 324 5 3" xfId="15052"/>
    <cellStyle name="Normal 324 5 3 2" xfId="32673"/>
    <cellStyle name="Normal 324 5 4" xfId="25748"/>
    <cellStyle name="Normal 324 6" xfId="7868"/>
    <cellStyle name="Normal 324 6 2" xfId="15659"/>
    <cellStyle name="Normal 324 6 2 2" xfId="33280"/>
    <cellStyle name="Normal 324 6 3" xfId="26270"/>
    <cellStyle name="Normal 324 7" xfId="11806"/>
    <cellStyle name="Normal 324 7 2" xfId="29478"/>
    <cellStyle name="Normal 324 8" xfId="23409"/>
    <cellStyle name="Normal 324 9" xfId="52167"/>
    <cellStyle name="Normal 325" xfId="2527"/>
    <cellStyle name="Normal 325 2" xfId="4567"/>
    <cellStyle name="Normal 325 2 2" xfId="8550"/>
    <cellStyle name="Normal 325 2 2 2" xfId="16340"/>
    <cellStyle name="Normal 325 2 2 2 2" xfId="33961"/>
    <cellStyle name="Normal 325 2 2 3" xfId="26937"/>
    <cellStyle name="Normal 325 2 3" xfId="12811"/>
    <cellStyle name="Normal 325 2 3 2" xfId="30452"/>
    <cellStyle name="Normal 325 2 4" xfId="24076"/>
    <cellStyle name="Normal 325 3" xfId="5866"/>
    <cellStyle name="Normal 325 3 2" xfId="9163"/>
    <cellStyle name="Normal 325 3 2 2" xfId="16952"/>
    <cellStyle name="Normal 325 3 2 2 2" xfId="34574"/>
    <cellStyle name="Normal 325 3 2 3" xfId="27537"/>
    <cellStyle name="Normal 325 3 3" xfId="13716"/>
    <cellStyle name="Normal 325 3 3 2" xfId="31342"/>
    <cellStyle name="Normal 325 3 4" xfId="24676"/>
    <cellStyle name="Normal 325 4" xfId="6496"/>
    <cellStyle name="Normal 325 4 2" xfId="9703"/>
    <cellStyle name="Normal 325 4 2 2" xfId="17491"/>
    <cellStyle name="Normal 325 4 2 2 2" xfId="35114"/>
    <cellStyle name="Normal 325 4 2 3" xfId="28073"/>
    <cellStyle name="Normal 325 4 3" xfId="14279"/>
    <cellStyle name="Normal 325 4 3 2" xfId="31900"/>
    <cellStyle name="Normal 325 4 4" xfId="25212"/>
    <cellStyle name="Normal 325 5" xfId="7271"/>
    <cellStyle name="Normal 325 5 2" xfId="10256"/>
    <cellStyle name="Normal 325 5 2 2" xfId="18043"/>
    <cellStyle name="Normal 325 5 2 2 2" xfId="35666"/>
    <cellStyle name="Normal 325 5 2 3" xfId="28609"/>
    <cellStyle name="Normal 325 5 3" xfId="15053"/>
    <cellStyle name="Normal 325 5 3 2" xfId="32674"/>
    <cellStyle name="Normal 325 5 4" xfId="25749"/>
    <cellStyle name="Normal 325 6" xfId="7869"/>
    <cellStyle name="Normal 325 6 2" xfId="15660"/>
    <cellStyle name="Normal 325 6 2 2" xfId="33281"/>
    <cellStyle name="Normal 325 6 3" xfId="26271"/>
    <cellStyle name="Normal 325 7" xfId="11807"/>
    <cellStyle name="Normal 325 7 2" xfId="29479"/>
    <cellStyle name="Normal 325 8" xfId="23410"/>
    <cellStyle name="Normal 325 9" xfId="52168"/>
    <cellStyle name="Normal 326" xfId="2528"/>
    <cellStyle name="Normal 326 2" xfId="4568"/>
    <cellStyle name="Normal 326 2 2" xfId="8551"/>
    <cellStyle name="Normal 326 2 2 2" xfId="16341"/>
    <cellStyle name="Normal 326 2 2 2 2" xfId="33962"/>
    <cellStyle name="Normal 326 2 2 3" xfId="26938"/>
    <cellStyle name="Normal 326 2 3" xfId="12812"/>
    <cellStyle name="Normal 326 2 3 2" xfId="30453"/>
    <cellStyle name="Normal 326 2 4" xfId="24077"/>
    <cellStyle name="Normal 326 3" xfId="5867"/>
    <cellStyle name="Normal 326 3 2" xfId="9164"/>
    <cellStyle name="Normal 326 3 2 2" xfId="16953"/>
    <cellStyle name="Normal 326 3 2 2 2" xfId="34575"/>
    <cellStyle name="Normal 326 3 2 3" xfId="27538"/>
    <cellStyle name="Normal 326 3 3" xfId="13717"/>
    <cellStyle name="Normal 326 3 3 2" xfId="31343"/>
    <cellStyle name="Normal 326 3 4" xfId="24677"/>
    <cellStyle name="Normal 326 4" xfId="6497"/>
    <cellStyle name="Normal 326 4 2" xfId="9704"/>
    <cellStyle name="Normal 326 4 2 2" xfId="17492"/>
    <cellStyle name="Normal 326 4 2 2 2" xfId="35115"/>
    <cellStyle name="Normal 326 4 2 3" xfId="28074"/>
    <cellStyle name="Normal 326 4 3" xfId="14280"/>
    <cellStyle name="Normal 326 4 3 2" xfId="31901"/>
    <cellStyle name="Normal 326 4 4" xfId="25213"/>
    <cellStyle name="Normal 326 5" xfId="7272"/>
    <cellStyle name="Normal 326 5 2" xfId="10257"/>
    <cellStyle name="Normal 326 5 2 2" xfId="18044"/>
    <cellStyle name="Normal 326 5 2 2 2" xfId="35667"/>
    <cellStyle name="Normal 326 5 2 3" xfId="28610"/>
    <cellStyle name="Normal 326 5 3" xfId="15054"/>
    <cellStyle name="Normal 326 5 3 2" xfId="32675"/>
    <cellStyle name="Normal 326 5 4" xfId="25750"/>
    <cellStyle name="Normal 326 6" xfId="7870"/>
    <cellStyle name="Normal 326 6 2" xfId="15661"/>
    <cellStyle name="Normal 326 6 2 2" xfId="33282"/>
    <cellStyle name="Normal 326 6 3" xfId="26272"/>
    <cellStyle name="Normal 326 7" xfId="11808"/>
    <cellStyle name="Normal 326 7 2" xfId="29480"/>
    <cellStyle name="Normal 326 8" xfId="23411"/>
    <cellStyle name="Normal 326 9" xfId="52169"/>
    <cellStyle name="Normal 327" xfId="2529"/>
    <cellStyle name="Normal 327 2" xfId="4569"/>
    <cellStyle name="Normal 327 2 2" xfId="8552"/>
    <cellStyle name="Normal 327 2 2 2" xfId="16342"/>
    <cellStyle name="Normal 327 2 2 2 2" xfId="33963"/>
    <cellStyle name="Normal 327 2 2 3" xfId="26939"/>
    <cellStyle name="Normal 327 2 3" xfId="12813"/>
    <cellStyle name="Normal 327 2 3 2" xfId="30454"/>
    <cellStyle name="Normal 327 2 4" xfId="24078"/>
    <cellStyle name="Normal 327 3" xfId="5868"/>
    <cellStyle name="Normal 327 3 2" xfId="9165"/>
    <cellStyle name="Normal 327 3 2 2" xfId="16954"/>
    <cellStyle name="Normal 327 3 2 2 2" xfId="34576"/>
    <cellStyle name="Normal 327 3 2 3" xfId="27539"/>
    <cellStyle name="Normal 327 3 3" xfId="13718"/>
    <cellStyle name="Normal 327 3 3 2" xfId="31344"/>
    <cellStyle name="Normal 327 3 4" xfId="24678"/>
    <cellStyle name="Normal 327 4" xfId="6498"/>
    <cellStyle name="Normal 327 4 2" xfId="9705"/>
    <cellStyle name="Normal 327 4 2 2" xfId="17493"/>
    <cellStyle name="Normal 327 4 2 2 2" xfId="35116"/>
    <cellStyle name="Normal 327 4 2 3" xfId="28075"/>
    <cellStyle name="Normal 327 4 3" xfId="14281"/>
    <cellStyle name="Normal 327 4 3 2" xfId="31902"/>
    <cellStyle name="Normal 327 4 4" xfId="25214"/>
    <cellStyle name="Normal 327 5" xfId="7273"/>
    <cellStyle name="Normal 327 5 2" xfId="10258"/>
    <cellStyle name="Normal 327 5 2 2" xfId="18045"/>
    <cellStyle name="Normal 327 5 2 2 2" xfId="35668"/>
    <cellStyle name="Normal 327 5 2 3" xfId="28611"/>
    <cellStyle name="Normal 327 5 3" xfId="15055"/>
    <cellStyle name="Normal 327 5 3 2" xfId="32676"/>
    <cellStyle name="Normal 327 5 4" xfId="25751"/>
    <cellStyle name="Normal 327 6" xfId="7871"/>
    <cellStyle name="Normal 327 6 2" xfId="15662"/>
    <cellStyle name="Normal 327 6 2 2" xfId="33283"/>
    <cellStyle name="Normal 327 6 3" xfId="26273"/>
    <cellStyle name="Normal 327 7" xfId="11809"/>
    <cellStyle name="Normal 327 7 2" xfId="29481"/>
    <cellStyle name="Normal 327 8" xfId="23412"/>
    <cellStyle name="Normal 327 9" xfId="52170"/>
    <cellStyle name="Normal 328" xfId="2530"/>
    <cellStyle name="Normal 328 2" xfId="4570"/>
    <cellStyle name="Normal 328 2 2" xfId="8553"/>
    <cellStyle name="Normal 328 2 2 2" xfId="16343"/>
    <cellStyle name="Normal 328 2 2 2 2" xfId="33964"/>
    <cellStyle name="Normal 328 2 2 3" xfId="26940"/>
    <cellStyle name="Normal 328 2 3" xfId="12814"/>
    <cellStyle name="Normal 328 2 3 2" xfId="30455"/>
    <cellStyle name="Normal 328 2 4" xfId="24079"/>
    <cellStyle name="Normal 328 3" xfId="5869"/>
    <cellStyle name="Normal 328 3 2" xfId="9166"/>
    <cellStyle name="Normal 328 3 2 2" xfId="16955"/>
    <cellStyle name="Normal 328 3 2 2 2" xfId="34577"/>
    <cellStyle name="Normal 328 3 2 3" xfId="27540"/>
    <cellStyle name="Normal 328 3 3" xfId="13719"/>
    <cellStyle name="Normal 328 3 3 2" xfId="31345"/>
    <cellStyle name="Normal 328 3 4" xfId="24679"/>
    <cellStyle name="Normal 328 4" xfId="6499"/>
    <cellStyle name="Normal 328 4 2" xfId="9706"/>
    <cellStyle name="Normal 328 4 2 2" xfId="17494"/>
    <cellStyle name="Normal 328 4 2 2 2" xfId="35117"/>
    <cellStyle name="Normal 328 4 2 3" xfId="28076"/>
    <cellStyle name="Normal 328 4 3" xfId="14282"/>
    <cellStyle name="Normal 328 4 3 2" xfId="31903"/>
    <cellStyle name="Normal 328 4 4" xfId="25215"/>
    <cellStyle name="Normal 328 5" xfId="7274"/>
    <cellStyle name="Normal 328 5 2" xfId="10259"/>
    <cellStyle name="Normal 328 5 2 2" xfId="18046"/>
    <cellStyle name="Normal 328 5 2 2 2" xfId="35669"/>
    <cellStyle name="Normal 328 5 2 3" xfId="28612"/>
    <cellStyle name="Normal 328 5 3" xfId="15056"/>
    <cellStyle name="Normal 328 5 3 2" xfId="32677"/>
    <cellStyle name="Normal 328 5 4" xfId="25752"/>
    <cellStyle name="Normal 328 6" xfId="7872"/>
    <cellStyle name="Normal 328 6 2" xfId="15663"/>
    <cellStyle name="Normal 328 6 2 2" xfId="33284"/>
    <cellStyle name="Normal 328 6 3" xfId="26274"/>
    <cellStyle name="Normal 328 7" xfId="11810"/>
    <cellStyle name="Normal 328 7 2" xfId="29482"/>
    <cellStyle name="Normal 328 8" xfId="23413"/>
    <cellStyle name="Normal 328 9" xfId="52171"/>
    <cellStyle name="Normal 329" xfId="2531"/>
    <cellStyle name="Normal 329 2" xfId="4571"/>
    <cellStyle name="Normal 329 2 2" xfId="8554"/>
    <cellStyle name="Normal 329 2 2 2" xfId="16344"/>
    <cellStyle name="Normal 329 2 2 2 2" xfId="33965"/>
    <cellStyle name="Normal 329 2 2 3" xfId="26941"/>
    <cellStyle name="Normal 329 2 3" xfId="12815"/>
    <cellStyle name="Normal 329 2 3 2" xfId="30456"/>
    <cellStyle name="Normal 329 2 4" xfId="24080"/>
    <cellStyle name="Normal 329 3" xfId="5870"/>
    <cellStyle name="Normal 329 3 2" xfId="9167"/>
    <cellStyle name="Normal 329 3 2 2" xfId="16956"/>
    <cellStyle name="Normal 329 3 2 2 2" xfId="34578"/>
    <cellStyle name="Normal 329 3 2 3" xfId="27541"/>
    <cellStyle name="Normal 329 3 3" xfId="13720"/>
    <cellStyle name="Normal 329 3 3 2" xfId="31346"/>
    <cellStyle name="Normal 329 3 4" xfId="24680"/>
    <cellStyle name="Normal 329 4" xfId="6500"/>
    <cellStyle name="Normal 329 4 2" xfId="9707"/>
    <cellStyle name="Normal 329 4 2 2" xfId="17495"/>
    <cellStyle name="Normal 329 4 2 2 2" xfId="35118"/>
    <cellStyle name="Normal 329 4 2 3" xfId="28077"/>
    <cellStyle name="Normal 329 4 3" xfId="14283"/>
    <cellStyle name="Normal 329 4 3 2" xfId="31904"/>
    <cellStyle name="Normal 329 4 4" xfId="25216"/>
    <cellStyle name="Normal 329 5" xfId="7275"/>
    <cellStyle name="Normal 329 5 2" xfId="10260"/>
    <cellStyle name="Normal 329 5 2 2" xfId="18047"/>
    <cellStyle name="Normal 329 5 2 2 2" xfId="35670"/>
    <cellStyle name="Normal 329 5 2 3" xfId="28613"/>
    <cellStyle name="Normal 329 5 3" xfId="15057"/>
    <cellStyle name="Normal 329 5 3 2" xfId="32678"/>
    <cellStyle name="Normal 329 5 4" xfId="25753"/>
    <cellStyle name="Normal 329 6" xfId="7873"/>
    <cellStyle name="Normal 329 6 2" xfId="15664"/>
    <cellStyle name="Normal 329 6 2 2" xfId="33285"/>
    <cellStyle name="Normal 329 6 3" xfId="26275"/>
    <cellStyle name="Normal 329 7" xfId="11811"/>
    <cellStyle name="Normal 329 7 2" xfId="29483"/>
    <cellStyle name="Normal 329 8" xfId="23414"/>
    <cellStyle name="Normal 329 9" xfId="52172"/>
    <cellStyle name="Normal 33" xfId="2532"/>
    <cellStyle name="Normal 33 10" xfId="2533"/>
    <cellStyle name="Normal 33 10 2" xfId="2534"/>
    <cellStyle name="Normal 33 10 2 2" xfId="4573"/>
    <cellStyle name="Normal 33 10 2 3" xfId="52174"/>
    <cellStyle name="Normal 33 10 3" xfId="4572"/>
    <cellStyle name="Normal 33 10 4" xfId="52173"/>
    <cellStyle name="Normal 33 11" xfId="2535"/>
    <cellStyle name="Normal 33 11 2" xfId="2536"/>
    <cellStyle name="Normal 33 11 2 2" xfId="4575"/>
    <cellStyle name="Normal 33 11 2 3" xfId="52176"/>
    <cellStyle name="Normal 33 11 3" xfId="4574"/>
    <cellStyle name="Normal 33 11 4" xfId="52175"/>
    <cellStyle name="Normal 33 12" xfId="2537"/>
    <cellStyle name="Normal 33 12 2" xfId="2538"/>
    <cellStyle name="Normal 33 12 2 2" xfId="4577"/>
    <cellStyle name="Normal 33 12 2 3" xfId="52178"/>
    <cellStyle name="Normal 33 12 3" xfId="2539"/>
    <cellStyle name="Normal 33 12 3 2" xfId="2540"/>
    <cellStyle name="Normal 33 12 3 2 2" xfId="4579"/>
    <cellStyle name="Normal 33 12 3 2 3" xfId="52180"/>
    <cellStyle name="Normal 33 12 3 3" xfId="2541"/>
    <cellStyle name="Normal 33 12 3 3 2" xfId="2542"/>
    <cellStyle name="Normal 33 12 3 3 2 2" xfId="4581"/>
    <cellStyle name="Normal 33 12 3 3 2 3" xfId="52182"/>
    <cellStyle name="Normal 33 12 3 3 3" xfId="4580"/>
    <cellStyle name="Normal 33 12 3 3 4" xfId="52181"/>
    <cellStyle name="Normal 33 12 3 4" xfId="4582"/>
    <cellStyle name="Normal 33 12 3 5" xfId="4578"/>
    <cellStyle name="Normal 33 12 3 6" xfId="52179"/>
    <cellStyle name="Normal 33 12 4" xfId="4576"/>
    <cellStyle name="Normal 33 12 5" xfId="52177"/>
    <cellStyle name="Normal 33 13" xfId="2543"/>
    <cellStyle name="Normal 33 13 2" xfId="2544"/>
    <cellStyle name="Normal 33 13 2 2" xfId="4584"/>
    <cellStyle name="Normal 33 13 2 3" xfId="52184"/>
    <cellStyle name="Normal 33 13 3" xfId="2545"/>
    <cellStyle name="Normal 33 13 3 2" xfId="4585"/>
    <cellStyle name="Normal 33 13 3 3" xfId="52185"/>
    <cellStyle name="Normal 33 13 4" xfId="2546"/>
    <cellStyle name="Normal 33 13 5" xfId="4586"/>
    <cellStyle name="Normal 33 13 6" xfId="4587"/>
    <cellStyle name="Normal 33 13 7" xfId="4583"/>
    <cellStyle name="Normal 33 13 8" xfId="52183"/>
    <cellStyle name="Normal 33 14" xfId="2547"/>
    <cellStyle name="Normal 33 14 2" xfId="2548"/>
    <cellStyle name="Normal 33 14 2 2" xfId="4588"/>
    <cellStyle name="Normal 33 14 2 3" xfId="52187"/>
    <cellStyle name="Normal 33 14 3" xfId="2549"/>
    <cellStyle name="Normal 33 14 3 2" xfId="4590"/>
    <cellStyle name="Normal 33 14 3 3" xfId="4589"/>
    <cellStyle name="Normal 33 14 3 4" xfId="52188"/>
    <cellStyle name="Normal 33 14 4" xfId="2550"/>
    <cellStyle name="Normal 33 14 5" xfId="52186"/>
    <cellStyle name="Normal 33 15" xfId="2551"/>
    <cellStyle name="Normal 33 15 2" xfId="2552"/>
    <cellStyle name="Normal 33 15 3" xfId="52189"/>
    <cellStyle name="Normal 33 16" xfId="2553"/>
    <cellStyle name="Normal 33 16 2" xfId="2554"/>
    <cellStyle name="Normal 33 16 2 2" xfId="52191"/>
    <cellStyle name="Normal 33 16 3" xfId="2555"/>
    <cellStyle name="Normal 33 16 3 2" xfId="2556"/>
    <cellStyle name="Normal 33 16 3 3" xfId="2557"/>
    <cellStyle name="Normal 33 16 3 4" xfId="2558"/>
    <cellStyle name="Normal 33 16 4" xfId="52190"/>
    <cellStyle name="Normal 33 17" xfId="2559"/>
    <cellStyle name="Normal 33 17 2" xfId="2560"/>
    <cellStyle name="Normal 33 17 3" xfId="2561"/>
    <cellStyle name="Normal 33 18" xfId="2562"/>
    <cellStyle name="Normal 33 19" xfId="2563"/>
    <cellStyle name="Normal 33 2" xfId="2564"/>
    <cellStyle name="Normal 33 2 2" xfId="4591"/>
    <cellStyle name="Normal 33 2 3" xfId="22759"/>
    <cellStyle name="Normal 33 2 3 2" xfId="38952"/>
    <cellStyle name="Normal 33 2 4" xfId="52192"/>
    <cellStyle name="Normal 33 20" xfId="2565"/>
    <cellStyle name="Normal 33 3" xfId="2566"/>
    <cellStyle name="Normal 33 3 2" xfId="4592"/>
    <cellStyle name="Normal 33 3 3" xfId="52193"/>
    <cellStyle name="Normal 33 4" xfId="2567"/>
    <cellStyle name="Normal 33 4 2" xfId="4593"/>
    <cellStyle name="Normal 33 4 3" xfId="52194"/>
    <cellStyle name="Normal 33 5" xfId="2568"/>
    <cellStyle name="Normal 33 5 2" xfId="2569"/>
    <cellStyle name="Normal 33 5 2 2" xfId="4595"/>
    <cellStyle name="Normal 33 5 2 3" xfId="52196"/>
    <cellStyle name="Normal 33 5 3" xfId="4594"/>
    <cellStyle name="Normal 33 5 4" xfId="52195"/>
    <cellStyle name="Normal 33 5_BallGrid" xfId="2570"/>
    <cellStyle name="Normal 33 6" xfId="2571"/>
    <cellStyle name="Normal 33 6 2" xfId="2572"/>
    <cellStyle name="Normal 33 6 2 2" xfId="4597"/>
    <cellStyle name="Normal 33 6 2 3" xfId="52198"/>
    <cellStyle name="Normal 33 6 3" xfId="4596"/>
    <cellStyle name="Normal 33 6 4" xfId="52197"/>
    <cellStyle name="Normal 33 7" xfId="2573"/>
    <cellStyle name="Normal 33 7 2" xfId="2574"/>
    <cellStyle name="Normal 33 7 2 2" xfId="4599"/>
    <cellStyle name="Normal 33 7 2 3" xfId="52200"/>
    <cellStyle name="Normal 33 7 3" xfId="2575"/>
    <cellStyle name="Normal 33 7 3 2" xfId="4600"/>
    <cellStyle name="Normal 33 7 3 3" xfId="52201"/>
    <cellStyle name="Normal 33 7 4" xfId="2576"/>
    <cellStyle name="Normal 33 7 4 2" xfId="2577"/>
    <cellStyle name="Normal 33 7 4 2 2" xfId="4602"/>
    <cellStyle name="Normal 33 7 4 2 3" xfId="52203"/>
    <cellStyle name="Normal 33 7 4 3" xfId="4601"/>
    <cellStyle name="Normal 33 7 4 4" xfId="52202"/>
    <cellStyle name="Normal 33 7 5" xfId="2578"/>
    <cellStyle name="Normal 33 7 5 2" xfId="2579"/>
    <cellStyle name="Normal 33 7 5 2 2" xfId="4604"/>
    <cellStyle name="Normal 33 7 5 2 3" xfId="52205"/>
    <cellStyle name="Normal 33 7 5 3" xfId="2580"/>
    <cellStyle name="Normal 33 7 5 3 2" xfId="2581"/>
    <cellStyle name="Normal 33 7 5 3 2 2" xfId="4606"/>
    <cellStyle name="Normal 33 7 5 3 2 3" xfId="52207"/>
    <cellStyle name="Normal 33 7 5 3 3" xfId="2582"/>
    <cellStyle name="Normal 33 7 5 3 3 2" xfId="2583"/>
    <cellStyle name="Normal 33 7 5 3 3 2 2" xfId="4608"/>
    <cellStyle name="Normal 33 7 5 3 3 2 3" xfId="52209"/>
    <cellStyle name="Normal 33 7 5 3 3 3" xfId="4607"/>
    <cellStyle name="Normal 33 7 5 3 3 4" xfId="52208"/>
    <cellStyle name="Normal 33 7 5 3 4" xfId="4609"/>
    <cellStyle name="Normal 33 7 5 3 5" xfId="4605"/>
    <cellStyle name="Normal 33 7 5 3 6" xfId="52206"/>
    <cellStyle name="Normal 33 7 5 4" xfId="4603"/>
    <cellStyle name="Normal 33 7 5 5" xfId="52204"/>
    <cellStyle name="Normal 33 7 6" xfId="4598"/>
    <cellStyle name="Normal 33 7 7" xfId="22550"/>
    <cellStyle name="Normal 33 7 7 2" xfId="38847"/>
    <cellStyle name="Normal 33 7 8" xfId="52199"/>
    <cellStyle name="Normal 33 8" xfId="2584"/>
    <cellStyle name="Normal 33 8 2" xfId="2585"/>
    <cellStyle name="Normal 33 8 2 2" xfId="4611"/>
    <cellStyle name="Normal 33 8 2 3" xfId="52211"/>
    <cellStyle name="Normal 33 8 3" xfId="2586"/>
    <cellStyle name="Normal 33 8 3 2" xfId="2587"/>
    <cellStyle name="Normal 33 8 3 2 2" xfId="4613"/>
    <cellStyle name="Normal 33 8 3 2 3" xfId="52213"/>
    <cellStyle name="Normal 33 8 3 3" xfId="4612"/>
    <cellStyle name="Normal 33 8 3 4" xfId="52212"/>
    <cellStyle name="Normal 33 8 4" xfId="2588"/>
    <cellStyle name="Normal 33 8 4 2" xfId="2589"/>
    <cellStyle name="Normal 33 8 4 2 2" xfId="4615"/>
    <cellStyle name="Normal 33 8 4 2 3" xfId="52215"/>
    <cellStyle name="Normal 33 8 4 3" xfId="2590"/>
    <cellStyle name="Normal 33 8 4 3 2" xfId="2591"/>
    <cellStyle name="Normal 33 8 4 3 2 2" xfId="4617"/>
    <cellStyle name="Normal 33 8 4 3 2 3" xfId="52217"/>
    <cellStyle name="Normal 33 8 4 3 3" xfId="2592"/>
    <cellStyle name="Normal 33 8 4 3 3 2" xfId="2593"/>
    <cellStyle name="Normal 33 8 4 3 3 2 2" xfId="4619"/>
    <cellStyle name="Normal 33 8 4 3 3 2 3" xfId="52219"/>
    <cellStyle name="Normal 33 8 4 3 3 3" xfId="4618"/>
    <cellStyle name="Normal 33 8 4 3 3 4" xfId="52218"/>
    <cellStyle name="Normal 33 8 4 3 4" xfId="4620"/>
    <cellStyle name="Normal 33 8 4 3 5" xfId="4616"/>
    <cellStyle name="Normal 33 8 4 3 6" xfId="52216"/>
    <cellStyle name="Normal 33 8 4 4" xfId="4614"/>
    <cellStyle name="Normal 33 8 4 5" xfId="52214"/>
    <cellStyle name="Normal 33 8 5" xfId="4610"/>
    <cellStyle name="Normal 33 8 6" xfId="52210"/>
    <cellStyle name="Normal 33 9" xfId="2594"/>
    <cellStyle name="Normal 33 9 2" xfId="2595"/>
    <cellStyle name="Normal 33 9 2 2" xfId="4622"/>
    <cellStyle name="Normal 33 9 2 3" xfId="52221"/>
    <cellStyle name="Normal 33 9 3" xfId="2596"/>
    <cellStyle name="Normal 33 9 3 2" xfId="2597"/>
    <cellStyle name="Normal 33 9 3 2 2" xfId="4624"/>
    <cellStyle name="Normal 33 9 3 2 3" xfId="52223"/>
    <cellStyle name="Normal 33 9 3 3" xfId="4623"/>
    <cellStyle name="Normal 33 9 3 4" xfId="52222"/>
    <cellStyle name="Normal 33 9 4" xfId="2598"/>
    <cellStyle name="Normal 33 9 4 2" xfId="4625"/>
    <cellStyle name="Normal 33 9 4 3" xfId="52224"/>
    <cellStyle name="Normal 33 9 5" xfId="4621"/>
    <cellStyle name="Normal 33 9 6" xfId="52220"/>
    <cellStyle name="Normal 33_BallGrid" xfId="2599"/>
    <cellStyle name="Normal 330" xfId="2600"/>
    <cellStyle name="Normal 330 2" xfId="4626"/>
    <cellStyle name="Normal 330 2 2" xfId="8555"/>
    <cellStyle name="Normal 330 2 2 2" xfId="16345"/>
    <cellStyle name="Normal 330 2 2 2 2" xfId="33966"/>
    <cellStyle name="Normal 330 2 2 3" xfId="26942"/>
    <cellStyle name="Normal 330 2 3" xfId="12821"/>
    <cellStyle name="Normal 330 2 3 2" xfId="30462"/>
    <cellStyle name="Normal 330 2 4" xfId="24081"/>
    <cellStyle name="Normal 330 3" xfId="5871"/>
    <cellStyle name="Normal 330 3 2" xfId="9168"/>
    <cellStyle name="Normal 330 3 2 2" xfId="16957"/>
    <cellStyle name="Normal 330 3 2 2 2" xfId="34579"/>
    <cellStyle name="Normal 330 3 2 3" xfId="27542"/>
    <cellStyle name="Normal 330 3 3" xfId="13721"/>
    <cellStyle name="Normal 330 3 3 2" xfId="31347"/>
    <cellStyle name="Normal 330 3 4" xfId="24681"/>
    <cellStyle name="Normal 330 4" xfId="6501"/>
    <cellStyle name="Normal 330 4 2" xfId="9708"/>
    <cellStyle name="Normal 330 4 2 2" xfId="17496"/>
    <cellStyle name="Normal 330 4 2 2 2" xfId="35119"/>
    <cellStyle name="Normal 330 4 2 3" xfId="28078"/>
    <cellStyle name="Normal 330 4 3" xfId="14284"/>
    <cellStyle name="Normal 330 4 3 2" xfId="31905"/>
    <cellStyle name="Normal 330 4 4" xfId="25217"/>
    <cellStyle name="Normal 330 5" xfId="7276"/>
    <cellStyle name="Normal 330 5 2" xfId="10261"/>
    <cellStyle name="Normal 330 5 2 2" xfId="18048"/>
    <cellStyle name="Normal 330 5 2 2 2" xfId="35671"/>
    <cellStyle name="Normal 330 5 2 3" xfId="28614"/>
    <cellStyle name="Normal 330 5 3" xfId="15058"/>
    <cellStyle name="Normal 330 5 3 2" xfId="32679"/>
    <cellStyle name="Normal 330 5 4" xfId="25754"/>
    <cellStyle name="Normal 330 6" xfId="7874"/>
    <cellStyle name="Normal 330 6 2" xfId="15665"/>
    <cellStyle name="Normal 330 6 2 2" xfId="33286"/>
    <cellStyle name="Normal 330 6 3" xfId="26276"/>
    <cellStyle name="Normal 330 7" xfId="11818"/>
    <cellStyle name="Normal 330 7 2" xfId="29489"/>
    <cellStyle name="Normal 330 8" xfId="23415"/>
    <cellStyle name="Normal 330 9" xfId="52225"/>
    <cellStyle name="Normal 331" xfId="2601"/>
    <cellStyle name="Normal 331 2" xfId="4627"/>
    <cellStyle name="Normal 331 2 2" xfId="8556"/>
    <cellStyle name="Normal 331 2 2 2" xfId="16346"/>
    <cellStyle name="Normal 331 2 2 2 2" xfId="33967"/>
    <cellStyle name="Normal 331 2 2 3" xfId="26943"/>
    <cellStyle name="Normal 331 2 3" xfId="12822"/>
    <cellStyle name="Normal 331 2 3 2" xfId="30463"/>
    <cellStyle name="Normal 331 2 4" xfId="24082"/>
    <cellStyle name="Normal 331 3" xfId="5872"/>
    <cellStyle name="Normal 331 3 2" xfId="9169"/>
    <cellStyle name="Normal 331 3 2 2" xfId="16958"/>
    <cellStyle name="Normal 331 3 2 2 2" xfId="34580"/>
    <cellStyle name="Normal 331 3 2 3" xfId="27543"/>
    <cellStyle name="Normal 331 3 3" xfId="13722"/>
    <cellStyle name="Normal 331 3 3 2" xfId="31348"/>
    <cellStyle name="Normal 331 3 4" xfId="24682"/>
    <cellStyle name="Normal 331 4" xfId="6502"/>
    <cellStyle name="Normal 331 4 2" xfId="9709"/>
    <cellStyle name="Normal 331 4 2 2" xfId="17497"/>
    <cellStyle name="Normal 331 4 2 2 2" xfId="35120"/>
    <cellStyle name="Normal 331 4 2 3" xfId="28079"/>
    <cellStyle name="Normal 331 4 3" xfId="14285"/>
    <cellStyle name="Normal 331 4 3 2" xfId="31906"/>
    <cellStyle name="Normal 331 4 4" xfId="25218"/>
    <cellStyle name="Normal 331 5" xfId="7277"/>
    <cellStyle name="Normal 331 5 2" xfId="10262"/>
    <cellStyle name="Normal 331 5 2 2" xfId="18049"/>
    <cellStyle name="Normal 331 5 2 2 2" xfId="35672"/>
    <cellStyle name="Normal 331 5 2 3" xfId="28615"/>
    <cellStyle name="Normal 331 5 3" xfId="15059"/>
    <cellStyle name="Normal 331 5 3 2" xfId="32680"/>
    <cellStyle name="Normal 331 5 4" xfId="25755"/>
    <cellStyle name="Normal 331 6" xfId="7875"/>
    <cellStyle name="Normal 331 6 2" xfId="15666"/>
    <cellStyle name="Normal 331 6 2 2" xfId="33287"/>
    <cellStyle name="Normal 331 6 3" xfId="26277"/>
    <cellStyle name="Normal 331 7" xfId="11819"/>
    <cellStyle name="Normal 331 7 2" xfId="29490"/>
    <cellStyle name="Normal 331 8" xfId="23416"/>
    <cellStyle name="Normal 331 9" xfId="52226"/>
    <cellStyle name="Normal 332" xfId="2602"/>
    <cellStyle name="Normal 332 2" xfId="4628"/>
    <cellStyle name="Normal 332 2 2" xfId="8557"/>
    <cellStyle name="Normal 332 2 2 2" xfId="16347"/>
    <cellStyle name="Normal 332 2 2 2 2" xfId="33968"/>
    <cellStyle name="Normal 332 2 2 3" xfId="26944"/>
    <cellStyle name="Normal 332 2 3" xfId="12823"/>
    <cellStyle name="Normal 332 2 3 2" xfId="30464"/>
    <cellStyle name="Normal 332 2 4" xfId="24083"/>
    <cellStyle name="Normal 332 3" xfId="5873"/>
    <cellStyle name="Normal 332 3 2" xfId="9170"/>
    <cellStyle name="Normal 332 3 2 2" xfId="16959"/>
    <cellStyle name="Normal 332 3 2 2 2" xfId="34581"/>
    <cellStyle name="Normal 332 3 2 3" xfId="27544"/>
    <cellStyle name="Normal 332 3 3" xfId="13723"/>
    <cellStyle name="Normal 332 3 3 2" xfId="31349"/>
    <cellStyle name="Normal 332 3 4" xfId="24683"/>
    <cellStyle name="Normal 332 4" xfId="6503"/>
    <cellStyle name="Normal 332 4 2" xfId="9710"/>
    <cellStyle name="Normal 332 4 2 2" xfId="17498"/>
    <cellStyle name="Normal 332 4 2 2 2" xfId="35121"/>
    <cellStyle name="Normal 332 4 2 3" xfId="28080"/>
    <cellStyle name="Normal 332 4 3" xfId="14286"/>
    <cellStyle name="Normal 332 4 3 2" xfId="31907"/>
    <cellStyle name="Normal 332 4 4" xfId="25219"/>
    <cellStyle name="Normal 332 5" xfId="7278"/>
    <cellStyle name="Normal 332 5 2" xfId="10263"/>
    <cellStyle name="Normal 332 5 2 2" xfId="18050"/>
    <cellStyle name="Normal 332 5 2 2 2" xfId="35673"/>
    <cellStyle name="Normal 332 5 2 3" xfId="28616"/>
    <cellStyle name="Normal 332 5 3" xfId="15060"/>
    <cellStyle name="Normal 332 5 3 2" xfId="32681"/>
    <cellStyle name="Normal 332 5 4" xfId="25756"/>
    <cellStyle name="Normal 332 6" xfId="7876"/>
    <cellStyle name="Normal 332 6 2" xfId="15667"/>
    <cellStyle name="Normal 332 6 2 2" xfId="33288"/>
    <cellStyle name="Normal 332 6 3" xfId="26278"/>
    <cellStyle name="Normal 332 7" xfId="11820"/>
    <cellStyle name="Normal 332 7 2" xfId="29491"/>
    <cellStyle name="Normal 332 8" xfId="23417"/>
    <cellStyle name="Normal 332 9" xfId="52227"/>
    <cellStyle name="Normal 333" xfId="2603"/>
    <cellStyle name="Normal 333 2" xfId="4629"/>
    <cellStyle name="Normal 333 2 2" xfId="8558"/>
    <cellStyle name="Normal 333 2 2 2" xfId="16348"/>
    <cellStyle name="Normal 333 2 2 2 2" xfId="33969"/>
    <cellStyle name="Normal 333 2 2 3" xfId="26945"/>
    <cellStyle name="Normal 333 2 3" xfId="12824"/>
    <cellStyle name="Normal 333 2 3 2" xfId="30465"/>
    <cellStyle name="Normal 333 2 4" xfId="24084"/>
    <cellStyle name="Normal 333 3" xfId="5874"/>
    <cellStyle name="Normal 333 3 2" xfId="9171"/>
    <cellStyle name="Normal 333 3 2 2" xfId="16960"/>
    <cellStyle name="Normal 333 3 2 2 2" xfId="34582"/>
    <cellStyle name="Normal 333 3 2 3" xfId="27545"/>
    <cellStyle name="Normal 333 3 3" xfId="13724"/>
    <cellStyle name="Normal 333 3 3 2" xfId="31350"/>
    <cellStyle name="Normal 333 3 4" xfId="24684"/>
    <cellStyle name="Normal 333 4" xfId="6504"/>
    <cellStyle name="Normal 333 4 2" xfId="9711"/>
    <cellStyle name="Normal 333 4 2 2" xfId="17499"/>
    <cellStyle name="Normal 333 4 2 2 2" xfId="35122"/>
    <cellStyle name="Normal 333 4 2 3" xfId="28081"/>
    <cellStyle name="Normal 333 4 3" xfId="14287"/>
    <cellStyle name="Normal 333 4 3 2" xfId="31908"/>
    <cellStyle name="Normal 333 4 4" xfId="25220"/>
    <cellStyle name="Normal 333 5" xfId="7279"/>
    <cellStyle name="Normal 333 5 2" xfId="10264"/>
    <cellStyle name="Normal 333 5 2 2" xfId="18051"/>
    <cellStyle name="Normal 333 5 2 2 2" xfId="35674"/>
    <cellStyle name="Normal 333 5 2 3" xfId="28617"/>
    <cellStyle name="Normal 333 5 3" xfId="15061"/>
    <cellStyle name="Normal 333 5 3 2" xfId="32682"/>
    <cellStyle name="Normal 333 5 4" xfId="25757"/>
    <cellStyle name="Normal 333 6" xfId="7877"/>
    <cellStyle name="Normal 333 6 2" xfId="15668"/>
    <cellStyle name="Normal 333 6 2 2" xfId="33289"/>
    <cellStyle name="Normal 333 6 3" xfId="26279"/>
    <cellStyle name="Normal 333 7" xfId="11821"/>
    <cellStyle name="Normal 333 7 2" xfId="29492"/>
    <cellStyle name="Normal 333 8" xfId="23418"/>
    <cellStyle name="Normal 333 9" xfId="52228"/>
    <cellStyle name="Normal 334" xfId="2604"/>
    <cellStyle name="Normal 334 2" xfId="4630"/>
    <cellStyle name="Normal 334 2 2" xfId="8559"/>
    <cellStyle name="Normal 334 2 2 2" xfId="16349"/>
    <cellStyle name="Normal 334 2 2 2 2" xfId="33970"/>
    <cellStyle name="Normal 334 2 2 3" xfId="26946"/>
    <cellStyle name="Normal 334 2 3" xfId="12825"/>
    <cellStyle name="Normal 334 2 3 2" xfId="30466"/>
    <cellStyle name="Normal 334 2 4" xfId="24085"/>
    <cellStyle name="Normal 334 3" xfId="5875"/>
    <cellStyle name="Normal 334 3 2" xfId="9172"/>
    <cellStyle name="Normal 334 3 2 2" xfId="16961"/>
    <cellStyle name="Normal 334 3 2 2 2" xfId="34583"/>
    <cellStyle name="Normal 334 3 2 3" xfId="27546"/>
    <cellStyle name="Normal 334 3 3" xfId="13725"/>
    <cellStyle name="Normal 334 3 3 2" xfId="31351"/>
    <cellStyle name="Normal 334 3 4" xfId="24685"/>
    <cellStyle name="Normal 334 4" xfId="6505"/>
    <cellStyle name="Normal 334 4 2" xfId="9712"/>
    <cellStyle name="Normal 334 4 2 2" xfId="17500"/>
    <cellStyle name="Normal 334 4 2 2 2" xfId="35123"/>
    <cellStyle name="Normal 334 4 2 3" xfId="28082"/>
    <cellStyle name="Normal 334 4 3" xfId="14288"/>
    <cellStyle name="Normal 334 4 3 2" xfId="31909"/>
    <cellStyle name="Normal 334 4 4" xfId="25221"/>
    <cellStyle name="Normal 334 5" xfId="7280"/>
    <cellStyle name="Normal 334 5 2" xfId="10265"/>
    <cellStyle name="Normal 334 5 2 2" xfId="18052"/>
    <cellStyle name="Normal 334 5 2 2 2" xfId="35675"/>
    <cellStyle name="Normal 334 5 2 3" xfId="28618"/>
    <cellStyle name="Normal 334 5 3" xfId="15062"/>
    <cellStyle name="Normal 334 5 3 2" xfId="32683"/>
    <cellStyle name="Normal 334 5 4" xfId="25758"/>
    <cellStyle name="Normal 334 6" xfId="7878"/>
    <cellStyle name="Normal 334 6 2" xfId="15669"/>
    <cellStyle name="Normal 334 6 2 2" xfId="33290"/>
    <cellStyle name="Normal 334 6 3" xfId="26280"/>
    <cellStyle name="Normal 334 7" xfId="11822"/>
    <cellStyle name="Normal 334 7 2" xfId="29493"/>
    <cellStyle name="Normal 334 8" xfId="23419"/>
    <cellStyle name="Normal 334 9" xfId="52229"/>
    <cellStyle name="Normal 335" xfId="2605"/>
    <cellStyle name="Normal 335 2" xfId="4631"/>
    <cellStyle name="Normal 335 2 2" xfId="8560"/>
    <cellStyle name="Normal 335 2 2 2" xfId="16350"/>
    <cellStyle name="Normal 335 2 2 2 2" xfId="33971"/>
    <cellStyle name="Normal 335 2 2 3" xfId="26947"/>
    <cellStyle name="Normal 335 2 3" xfId="12826"/>
    <cellStyle name="Normal 335 2 3 2" xfId="30467"/>
    <cellStyle name="Normal 335 2 4" xfId="24086"/>
    <cellStyle name="Normal 335 3" xfId="5876"/>
    <cellStyle name="Normal 335 3 2" xfId="9173"/>
    <cellStyle name="Normal 335 3 2 2" xfId="16962"/>
    <cellStyle name="Normal 335 3 2 2 2" xfId="34584"/>
    <cellStyle name="Normal 335 3 2 3" xfId="27547"/>
    <cellStyle name="Normal 335 3 3" xfId="13726"/>
    <cellStyle name="Normal 335 3 3 2" xfId="31352"/>
    <cellStyle name="Normal 335 3 4" xfId="24686"/>
    <cellStyle name="Normal 335 4" xfId="6506"/>
    <cellStyle name="Normal 335 4 2" xfId="9713"/>
    <cellStyle name="Normal 335 4 2 2" xfId="17501"/>
    <cellStyle name="Normal 335 4 2 2 2" xfId="35124"/>
    <cellStyle name="Normal 335 4 2 3" xfId="28083"/>
    <cellStyle name="Normal 335 4 3" xfId="14289"/>
    <cellStyle name="Normal 335 4 3 2" xfId="31910"/>
    <cellStyle name="Normal 335 4 4" xfId="25222"/>
    <cellStyle name="Normal 335 5" xfId="7281"/>
    <cellStyle name="Normal 335 5 2" xfId="10266"/>
    <cellStyle name="Normal 335 5 2 2" xfId="18053"/>
    <cellStyle name="Normal 335 5 2 2 2" xfId="35676"/>
    <cellStyle name="Normal 335 5 2 3" xfId="28619"/>
    <cellStyle name="Normal 335 5 3" xfId="15063"/>
    <cellStyle name="Normal 335 5 3 2" xfId="32684"/>
    <cellStyle name="Normal 335 5 4" xfId="25759"/>
    <cellStyle name="Normal 335 6" xfId="7879"/>
    <cellStyle name="Normal 335 6 2" xfId="15670"/>
    <cellStyle name="Normal 335 6 2 2" xfId="33291"/>
    <cellStyle name="Normal 335 6 3" xfId="26281"/>
    <cellStyle name="Normal 335 7" xfId="11823"/>
    <cellStyle name="Normal 335 7 2" xfId="29494"/>
    <cellStyle name="Normal 335 8" xfId="23420"/>
    <cellStyle name="Normal 335 9" xfId="52230"/>
    <cellStyle name="Normal 336" xfId="2606"/>
    <cellStyle name="Normal 336 2" xfId="4632"/>
    <cellStyle name="Normal 336 2 2" xfId="8561"/>
    <cellStyle name="Normal 336 2 2 2" xfId="16351"/>
    <cellStyle name="Normal 336 2 2 2 2" xfId="33972"/>
    <cellStyle name="Normal 336 2 2 3" xfId="26948"/>
    <cellStyle name="Normal 336 2 3" xfId="12827"/>
    <cellStyle name="Normal 336 2 3 2" xfId="30468"/>
    <cellStyle name="Normal 336 2 4" xfId="24087"/>
    <cellStyle name="Normal 336 3" xfId="5877"/>
    <cellStyle name="Normal 336 3 2" xfId="9174"/>
    <cellStyle name="Normal 336 3 2 2" xfId="16963"/>
    <cellStyle name="Normal 336 3 2 2 2" xfId="34585"/>
    <cellStyle name="Normal 336 3 2 3" xfId="27548"/>
    <cellStyle name="Normal 336 3 3" xfId="13727"/>
    <cellStyle name="Normal 336 3 3 2" xfId="31353"/>
    <cellStyle name="Normal 336 3 4" xfId="24687"/>
    <cellStyle name="Normal 336 4" xfId="6507"/>
    <cellStyle name="Normal 336 4 2" xfId="9714"/>
    <cellStyle name="Normal 336 4 2 2" xfId="17502"/>
    <cellStyle name="Normal 336 4 2 2 2" xfId="35125"/>
    <cellStyle name="Normal 336 4 2 3" xfId="28084"/>
    <cellStyle name="Normal 336 4 3" xfId="14290"/>
    <cellStyle name="Normal 336 4 3 2" xfId="31911"/>
    <cellStyle name="Normal 336 4 4" xfId="25223"/>
    <cellStyle name="Normal 336 5" xfId="7282"/>
    <cellStyle name="Normal 336 5 2" xfId="10267"/>
    <cellStyle name="Normal 336 5 2 2" xfId="18054"/>
    <cellStyle name="Normal 336 5 2 2 2" xfId="35677"/>
    <cellStyle name="Normal 336 5 2 3" xfId="28620"/>
    <cellStyle name="Normal 336 5 3" xfId="15064"/>
    <cellStyle name="Normal 336 5 3 2" xfId="32685"/>
    <cellStyle name="Normal 336 5 4" xfId="25760"/>
    <cellStyle name="Normal 336 6" xfId="7880"/>
    <cellStyle name="Normal 336 6 2" xfId="15671"/>
    <cellStyle name="Normal 336 6 2 2" xfId="33292"/>
    <cellStyle name="Normal 336 6 3" xfId="26282"/>
    <cellStyle name="Normal 336 7" xfId="11824"/>
    <cellStyle name="Normal 336 7 2" xfId="29495"/>
    <cellStyle name="Normal 336 8" xfId="23421"/>
    <cellStyle name="Normal 336 9" xfId="52231"/>
    <cellStyle name="Normal 337" xfId="2607"/>
    <cellStyle name="Normal 337 2" xfId="4633"/>
    <cellStyle name="Normal 337 2 2" xfId="8562"/>
    <cellStyle name="Normal 337 2 2 2" xfId="16352"/>
    <cellStyle name="Normal 337 2 2 2 2" xfId="33973"/>
    <cellStyle name="Normal 337 2 2 3" xfId="26949"/>
    <cellStyle name="Normal 337 2 3" xfId="12828"/>
    <cellStyle name="Normal 337 2 3 2" xfId="30469"/>
    <cellStyle name="Normal 337 2 4" xfId="24088"/>
    <cellStyle name="Normal 337 3" xfId="5878"/>
    <cellStyle name="Normal 337 3 2" xfId="9175"/>
    <cellStyle name="Normal 337 3 2 2" xfId="16964"/>
    <cellStyle name="Normal 337 3 2 2 2" xfId="34586"/>
    <cellStyle name="Normal 337 3 2 3" xfId="27549"/>
    <cellStyle name="Normal 337 3 3" xfId="13728"/>
    <cellStyle name="Normal 337 3 3 2" xfId="31354"/>
    <cellStyle name="Normal 337 3 4" xfId="24688"/>
    <cellStyle name="Normal 337 4" xfId="6508"/>
    <cellStyle name="Normal 337 4 2" xfId="9715"/>
    <cellStyle name="Normal 337 4 2 2" xfId="17503"/>
    <cellStyle name="Normal 337 4 2 2 2" xfId="35126"/>
    <cellStyle name="Normal 337 4 2 3" xfId="28085"/>
    <cellStyle name="Normal 337 4 3" xfId="14291"/>
    <cellStyle name="Normal 337 4 3 2" xfId="31912"/>
    <cellStyle name="Normal 337 4 4" xfId="25224"/>
    <cellStyle name="Normal 337 5" xfId="7283"/>
    <cellStyle name="Normal 337 5 2" xfId="10268"/>
    <cellStyle name="Normal 337 5 2 2" xfId="18055"/>
    <cellStyle name="Normal 337 5 2 2 2" xfId="35678"/>
    <cellStyle name="Normal 337 5 2 3" xfId="28621"/>
    <cellStyle name="Normal 337 5 3" xfId="15065"/>
    <cellStyle name="Normal 337 5 3 2" xfId="32686"/>
    <cellStyle name="Normal 337 5 4" xfId="25761"/>
    <cellStyle name="Normal 337 6" xfId="7881"/>
    <cellStyle name="Normal 337 6 2" xfId="15672"/>
    <cellStyle name="Normal 337 6 2 2" xfId="33293"/>
    <cellStyle name="Normal 337 6 3" xfId="26283"/>
    <cellStyle name="Normal 337 7" xfId="11825"/>
    <cellStyle name="Normal 337 7 2" xfId="29496"/>
    <cellStyle name="Normal 337 8" xfId="23422"/>
    <cellStyle name="Normal 337 9" xfId="52232"/>
    <cellStyle name="Normal 338" xfId="2608"/>
    <cellStyle name="Normal 338 2" xfId="4634"/>
    <cellStyle name="Normal 338 2 2" xfId="8563"/>
    <cellStyle name="Normal 338 2 2 2" xfId="16353"/>
    <cellStyle name="Normal 338 2 2 2 2" xfId="33974"/>
    <cellStyle name="Normal 338 2 2 3" xfId="26950"/>
    <cellStyle name="Normal 338 2 3" xfId="12829"/>
    <cellStyle name="Normal 338 2 3 2" xfId="30470"/>
    <cellStyle name="Normal 338 2 4" xfId="24089"/>
    <cellStyle name="Normal 338 3" xfId="5879"/>
    <cellStyle name="Normal 338 3 2" xfId="9176"/>
    <cellStyle name="Normal 338 3 2 2" xfId="16965"/>
    <cellStyle name="Normal 338 3 2 2 2" xfId="34587"/>
    <cellStyle name="Normal 338 3 2 3" xfId="27550"/>
    <cellStyle name="Normal 338 3 3" xfId="13729"/>
    <cellStyle name="Normal 338 3 3 2" xfId="31355"/>
    <cellStyle name="Normal 338 3 4" xfId="24689"/>
    <cellStyle name="Normal 338 4" xfId="6509"/>
    <cellStyle name="Normal 338 4 2" xfId="9716"/>
    <cellStyle name="Normal 338 4 2 2" xfId="17504"/>
    <cellStyle name="Normal 338 4 2 2 2" xfId="35127"/>
    <cellStyle name="Normal 338 4 2 3" xfId="28086"/>
    <cellStyle name="Normal 338 4 3" xfId="14292"/>
    <cellStyle name="Normal 338 4 3 2" xfId="31913"/>
    <cellStyle name="Normal 338 4 4" xfId="25225"/>
    <cellStyle name="Normal 338 5" xfId="7284"/>
    <cellStyle name="Normal 338 5 2" xfId="10269"/>
    <cellStyle name="Normal 338 5 2 2" xfId="18056"/>
    <cellStyle name="Normal 338 5 2 2 2" xfId="35679"/>
    <cellStyle name="Normal 338 5 2 3" xfId="28622"/>
    <cellStyle name="Normal 338 5 3" xfId="15066"/>
    <cellStyle name="Normal 338 5 3 2" xfId="32687"/>
    <cellStyle name="Normal 338 5 4" xfId="25762"/>
    <cellStyle name="Normal 338 6" xfId="7882"/>
    <cellStyle name="Normal 338 6 2" xfId="15673"/>
    <cellStyle name="Normal 338 6 2 2" xfId="33294"/>
    <cellStyle name="Normal 338 6 3" xfId="26284"/>
    <cellStyle name="Normal 338 7" xfId="11826"/>
    <cellStyle name="Normal 338 7 2" xfId="29497"/>
    <cellStyle name="Normal 338 8" xfId="23423"/>
    <cellStyle name="Normal 338 9" xfId="52233"/>
    <cellStyle name="Normal 339" xfId="2609"/>
    <cellStyle name="Normal 339 2" xfId="4635"/>
    <cellStyle name="Normal 339 2 2" xfId="8564"/>
    <cellStyle name="Normal 339 2 2 2" xfId="16354"/>
    <cellStyle name="Normal 339 2 2 2 2" xfId="33975"/>
    <cellStyle name="Normal 339 2 2 3" xfId="26951"/>
    <cellStyle name="Normal 339 2 3" xfId="12830"/>
    <cellStyle name="Normal 339 2 3 2" xfId="30471"/>
    <cellStyle name="Normal 339 2 4" xfId="24090"/>
    <cellStyle name="Normal 339 3" xfId="5880"/>
    <cellStyle name="Normal 339 3 2" xfId="9177"/>
    <cellStyle name="Normal 339 3 2 2" xfId="16966"/>
    <cellStyle name="Normal 339 3 2 2 2" xfId="34588"/>
    <cellStyle name="Normal 339 3 2 3" xfId="27551"/>
    <cellStyle name="Normal 339 3 3" xfId="13730"/>
    <cellStyle name="Normal 339 3 3 2" xfId="31356"/>
    <cellStyle name="Normal 339 3 4" xfId="24690"/>
    <cellStyle name="Normal 339 4" xfId="6510"/>
    <cellStyle name="Normal 339 4 2" xfId="9717"/>
    <cellStyle name="Normal 339 4 2 2" xfId="17505"/>
    <cellStyle name="Normal 339 4 2 2 2" xfId="35128"/>
    <cellStyle name="Normal 339 4 2 3" xfId="28087"/>
    <cellStyle name="Normal 339 4 3" xfId="14293"/>
    <cellStyle name="Normal 339 4 3 2" xfId="31914"/>
    <cellStyle name="Normal 339 4 4" xfId="25226"/>
    <cellStyle name="Normal 339 5" xfId="7285"/>
    <cellStyle name="Normal 339 5 2" xfId="10270"/>
    <cellStyle name="Normal 339 5 2 2" xfId="18057"/>
    <cellStyle name="Normal 339 5 2 2 2" xfId="35680"/>
    <cellStyle name="Normal 339 5 2 3" xfId="28623"/>
    <cellStyle name="Normal 339 5 3" xfId="15067"/>
    <cellStyle name="Normal 339 5 3 2" xfId="32688"/>
    <cellStyle name="Normal 339 5 4" xfId="25763"/>
    <cellStyle name="Normal 339 6" xfId="7883"/>
    <cellStyle name="Normal 339 6 2" xfId="15674"/>
    <cellStyle name="Normal 339 6 2 2" xfId="33295"/>
    <cellStyle name="Normal 339 6 3" xfId="26285"/>
    <cellStyle name="Normal 339 7" xfId="11827"/>
    <cellStyle name="Normal 339 7 2" xfId="29498"/>
    <cellStyle name="Normal 339 8" xfId="23424"/>
    <cellStyle name="Normal 339 9" xfId="52234"/>
    <cellStyle name="Normal 34" xfId="2610"/>
    <cellStyle name="Normal 34 2" xfId="2611"/>
    <cellStyle name="Normal 34 2 2" xfId="4637"/>
    <cellStyle name="Normal 34 2 3" xfId="22760"/>
    <cellStyle name="Normal 34 2 3 2" xfId="38953"/>
    <cellStyle name="Normal 34 2 4" xfId="52236"/>
    <cellStyle name="Normal 34 3" xfId="4636"/>
    <cellStyle name="Normal 34 4" xfId="22551"/>
    <cellStyle name="Normal 34 4 2" xfId="38848"/>
    <cellStyle name="Normal 34 5" xfId="52235"/>
    <cellStyle name="Normal 340" xfId="2612"/>
    <cellStyle name="Normal 340 2" xfId="4638"/>
    <cellStyle name="Normal 340 2 2" xfId="8565"/>
    <cellStyle name="Normal 340 2 2 2" xfId="16355"/>
    <cellStyle name="Normal 340 2 2 2 2" xfId="33976"/>
    <cellStyle name="Normal 340 2 2 3" xfId="26952"/>
    <cellStyle name="Normal 340 2 3" xfId="12831"/>
    <cellStyle name="Normal 340 2 3 2" xfId="30472"/>
    <cellStyle name="Normal 340 2 4" xfId="24091"/>
    <cellStyle name="Normal 340 3" xfId="5881"/>
    <cellStyle name="Normal 340 3 2" xfId="9178"/>
    <cellStyle name="Normal 340 3 2 2" xfId="16967"/>
    <cellStyle name="Normal 340 3 2 2 2" xfId="34589"/>
    <cellStyle name="Normal 340 3 2 3" xfId="27552"/>
    <cellStyle name="Normal 340 3 3" xfId="13731"/>
    <cellStyle name="Normal 340 3 3 2" xfId="31357"/>
    <cellStyle name="Normal 340 3 4" xfId="24691"/>
    <cellStyle name="Normal 340 4" xfId="6511"/>
    <cellStyle name="Normal 340 4 2" xfId="9718"/>
    <cellStyle name="Normal 340 4 2 2" xfId="17506"/>
    <cellStyle name="Normal 340 4 2 2 2" xfId="35129"/>
    <cellStyle name="Normal 340 4 2 3" xfId="28088"/>
    <cellStyle name="Normal 340 4 3" xfId="14294"/>
    <cellStyle name="Normal 340 4 3 2" xfId="31915"/>
    <cellStyle name="Normal 340 4 4" xfId="25227"/>
    <cellStyle name="Normal 340 5" xfId="7286"/>
    <cellStyle name="Normal 340 5 2" xfId="10271"/>
    <cellStyle name="Normal 340 5 2 2" xfId="18058"/>
    <cellStyle name="Normal 340 5 2 2 2" xfId="35681"/>
    <cellStyle name="Normal 340 5 2 3" xfId="28624"/>
    <cellStyle name="Normal 340 5 3" xfId="15068"/>
    <cellStyle name="Normal 340 5 3 2" xfId="32689"/>
    <cellStyle name="Normal 340 5 4" xfId="25764"/>
    <cellStyle name="Normal 340 6" xfId="7884"/>
    <cellStyle name="Normal 340 6 2" xfId="15675"/>
    <cellStyle name="Normal 340 6 2 2" xfId="33296"/>
    <cellStyle name="Normal 340 6 3" xfId="26286"/>
    <cellStyle name="Normal 340 7" xfId="11828"/>
    <cellStyle name="Normal 340 7 2" xfId="29499"/>
    <cellStyle name="Normal 340 8" xfId="23425"/>
    <cellStyle name="Normal 340 9" xfId="52237"/>
    <cellStyle name="Normal 341" xfId="2613"/>
    <cellStyle name="Normal 341 2" xfId="4639"/>
    <cellStyle name="Normal 341 2 2" xfId="8566"/>
    <cellStyle name="Normal 341 2 2 2" xfId="16356"/>
    <cellStyle name="Normal 341 2 2 2 2" xfId="33977"/>
    <cellStyle name="Normal 341 2 2 3" xfId="26953"/>
    <cellStyle name="Normal 341 2 3" xfId="12832"/>
    <cellStyle name="Normal 341 2 3 2" xfId="30473"/>
    <cellStyle name="Normal 341 2 4" xfId="24092"/>
    <cellStyle name="Normal 341 3" xfId="5882"/>
    <cellStyle name="Normal 341 3 2" xfId="9179"/>
    <cellStyle name="Normal 341 3 2 2" xfId="16968"/>
    <cellStyle name="Normal 341 3 2 2 2" xfId="34590"/>
    <cellStyle name="Normal 341 3 2 3" xfId="27553"/>
    <cellStyle name="Normal 341 3 3" xfId="13732"/>
    <cellStyle name="Normal 341 3 3 2" xfId="31358"/>
    <cellStyle name="Normal 341 3 4" xfId="24692"/>
    <cellStyle name="Normal 341 4" xfId="6512"/>
    <cellStyle name="Normal 341 4 2" xfId="9719"/>
    <cellStyle name="Normal 341 4 2 2" xfId="17507"/>
    <cellStyle name="Normal 341 4 2 2 2" xfId="35130"/>
    <cellStyle name="Normal 341 4 2 3" xfId="28089"/>
    <cellStyle name="Normal 341 4 3" xfId="14295"/>
    <cellStyle name="Normal 341 4 3 2" xfId="31916"/>
    <cellStyle name="Normal 341 4 4" xfId="25228"/>
    <cellStyle name="Normal 341 5" xfId="7287"/>
    <cellStyle name="Normal 341 5 2" xfId="10272"/>
    <cellStyle name="Normal 341 5 2 2" xfId="18059"/>
    <cellStyle name="Normal 341 5 2 2 2" xfId="35682"/>
    <cellStyle name="Normal 341 5 2 3" xfId="28625"/>
    <cellStyle name="Normal 341 5 3" xfId="15069"/>
    <cellStyle name="Normal 341 5 3 2" xfId="32690"/>
    <cellStyle name="Normal 341 5 4" xfId="25765"/>
    <cellStyle name="Normal 341 6" xfId="7885"/>
    <cellStyle name="Normal 341 6 2" xfId="15676"/>
    <cellStyle name="Normal 341 6 2 2" xfId="33297"/>
    <cellStyle name="Normal 341 6 3" xfId="26287"/>
    <cellStyle name="Normal 341 7" xfId="11829"/>
    <cellStyle name="Normal 341 7 2" xfId="29500"/>
    <cellStyle name="Normal 341 8" xfId="23426"/>
    <cellStyle name="Normal 341 9" xfId="52238"/>
    <cellStyle name="Normal 342" xfId="2614"/>
    <cellStyle name="Normal 342 2" xfId="4640"/>
    <cellStyle name="Normal 342 2 2" xfId="8567"/>
    <cellStyle name="Normal 342 2 2 2" xfId="16357"/>
    <cellStyle name="Normal 342 2 2 2 2" xfId="33978"/>
    <cellStyle name="Normal 342 2 2 3" xfId="26954"/>
    <cellStyle name="Normal 342 2 3" xfId="12833"/>
    <cellStyle name="Normal 342 2 3 2" xfId="30474"/>
    <cellStyle name="Normal 342 2 4" xfId="24093"/>
    <cellStyle name="Normal 342 3" xfId="5883"/>
    <cellStyle name="Normal 342 3 2" xfId="9180"/>
    <cellStyle name="Normal 342 3 2 2" xfId="16969"/>
    <cellStyle name="Normal 342 3 2 2 2" xfId="34591"/>
    <cellStyle name="Normal 342 3 2 3" xfId="27554"/>
    <cellStyle name="Normal 342 3 3" xfId="13733"/>
    <cellStyle name="Normal 342 3 3 2" xfId="31359"/>
    <cellStyle name="Normal 342 3 4" xfId="24693"/>
    <cellStyle name="Normal 342 4" xfId="6513"/>
    <cellStyle name="Normal 342 4 2" xfId="9720"/>
    <cellStyle name="Normal 342 4 2 2" xfId="17508"/>
    <cellStyle name="Normal 342 4 2 2 2" xfId="35131"/>
    <cellStyle name="Normal 342 4 2 3" xfId="28090"/>
    <cellStyle name="Normal 342 4 3" xfId="14296"/>
    <cellStyle name="Normal 342 4 3 2" xfId="31917"/>
    <cellStyle name="Normal 342 4 4" xfId="25229"/>
    <cellStyle name="Normal 342 5" xfId="7288"/>
    <cellStyle name="Normal 342 5 2" xfId="10273"/>
    <cellStyle name="Normal 342 5 2 2" xfId="18060"/>
    <cellStyle name="Normal 342 5 2 2 2" xfId="35683"/>
    <cellStyle name="Normal 342 5 2 3" xfId="28626"/>
    <cellStyle name="Normal 342 5 3" xfId="15070"/>
    <cellStyle name="Normal 342 5 3 2" xfId="32691"/>
    <cellStyle name="Normal 342 5 4" xfId="25766"/>
    <cellStyle name="Normal 342 6" xfId="7886"/>
    <cellStyle name="Normal 342 6 2" xfId="15677"/>
    <cellStyle name="Normal 342 6 2 2" xfId="33298"/>
    <cellStyle name="Normal 342 6 3" xfId="26288"/>
    <cellStyle name="Normal 342 7" xfId="11830"/>
    <cellStyle name="Normal 342 7 2" xfId="29501"/>
    <cellStyle name="Normal 342 8" xfId="23427"/>
    <cellStyle name="Normal 342 9" xfId="52239"/>
    <cellStyle name="Normal 343" xfId="2615"/>
    <cellStyle name="Normal 343 2" xfId="4641"/>
    <cellStyle name="Normal 343 2 2" xfId="8568"/>
    <cellStyle name="Normal 343 2 2 2" xfId="16358"/>
    <cellStyle name="Normal 343 2 2 2 2" xfId="33979"/>
    <cellStyle name="Normal 343 2 2 3" xfId="26955"/>
    <cellStyle name="Normal 343 2 3" xfId="12834"/>
    <cellStyle name="Normal 343 2 3 2" xfId="30475"/>
    <cellStyle name="Normal 343 2 4" xfId="24094"/>
    <cellStyle name="Normal 343 3" xfId="5884"/>
    <cellStyle name="Normal 343 3 2" xfId="9181"/>
    <cellStyle name="Normal 343 3 2 2" xfId="16970"/>
    <cellStyle name="Normal 343 3 2 2 2" xfId="34592"/>
    <cellStyle name="Normal 343 3 2 3" xfId="27555"/>
    <cellStyle name="Normal 343 3 3" xfId="13734"/>
    <cellStyle name="Normal 343 3 3 2" xfId="31360"/>
    <cellStyle name="Normal 343 3 4" xfId="24694"/>
    <cellStyle name="Normal 343 4" xfId="6514"/>
    <cellStyle name="Normal 343 4 2" xfId="9721"/>
    <cellStyle name="Normal 343 4 2 2" xfId="17509"/>
    <cellStyle name="Normal 343 4 2 2 2" xfId="35132"/>
    <cellStyle name="Normal 343 4 2 3" xfId="28091"/>
    <cellStyle name="Normal 343 4 3" xfId="14297"/>
    <cellStyle name="Normal 343 4 3 2" xfId="31918"/>
    <cellStyle name="Normal 343 4 4" xfId="25230"/>
    <cellStyle name="Normal 343 5" xfId="7289"/>
    <cellStyle name="Normal 343 5 2" xfId="10274"/>
    <cellStyle name="Normal 343 5 2 2" xfId="18061"/>
    <cellStyle name="Normal 343 5 2 2 2" xfId="35684"/>
    <cellStyle name="Normal 343 5 2 3" xfId="28627"/>
    <cellStyle name="Normal 343 5 3" xfId="15071"/>
    <cellStyle name="Normal 343 5 3 2" xfId="32692"/>
    <cellStyle name="Normal 343 5 4" xfId="25767"/>
    <cellStyle name="Normal 343 6" xfId="7887"/>
    <cellStyle name="Normal 343 6 2" xfId="15678"/>
    <cellStyle name="Normal 343 6 2 2" xfId="33299"/>
    <cellStyle name="Normal 343 6 3" xfId="26289"/>
    <cellStyle name="Normal 343 7" xfId="11831"/>
    <cellStyle name="Normal 343 7 2" xfId="29502"/>
    <cellStyle name="Normal 343 8" xfId="23428"/>
    <cellStyle name="Normal 343 9" xfId="52240"/>
    <cellStyle name="Normal 344" xfId="2616"/>
    <cellStyle name="Normal 344 2" xfId="4642"/>
    <cellStyle name="Normal 344 2 2" xfId="8569"/>
    <cellStyle name="Normal 344 2 2 2" xfId="16359"/>
    <cellStyle name="Normal 344 2 2 2 2" xfId="33980"/>
    <cellStyle name="Normal 344 2 2 3" xfId="26956"/>
    <cellStyle name="Normal 344 2 3" xfId="12835"/>
    <cellStyle name="Normal 344 2 3 2" xfId="30476"/>
    <cellStyle name="Normal 344 2 4" xfId="24095"/>
    <cellStyle name="Normal 344 3" xfId="5885"/>
    <cellStyle name="Normal 344 3 2" xfId="9182"/>
    <cellStyle name="Normal 344 3 2 2" xfId="16971"/>
    <cellStyle name="Normal 344 3 2 2 2" xfId="34593"/>
    <cellStyle name="Normal 344 3 2 3" xfId="27556"/>
    <cellStyle name="Normal 344 3 3" xfId="13735"/>
    <cellStyle name="Normal 344 3 3 2" xfId="31361"/>
    <cellStyle name="Normal 344 3 4" xfId="24695"/>
    <cellStyle name="Normal 344 4" xfId="6515"/>
    <cellStyle name="Normal 344 4 2" xfId="9722"/>
    <cellStyle name="Normal 344 4 2 2" xfId="17510"/>
    <cellStyle name="Normal 344 4 2 2 2" xfId="35133"/>
    <cellStyle name="Normal 344 4 2 3" xfId="28092"/>
    <cellStyle name="Normal 344 4 3" xfId="14298"/>
    <cellStyle name="Normal 344 4 3 2" xfId="31919"/>
    <cellStyle name="Normal 344 4 4" xfId="25231"/>
    <cellStyle name="Normal 344 5" xfId="7290"/>
    <cellStyle name="Normal 344 5 2" xfId="10275"/>
    <cellStyle name="Normal 344 5 2 2" xfId="18062"/>
    <cellStyle name="Normal 344 5 2 2 2" xfId="35685"/>
    <cellStyle name="Normal 344 5 2 3" xfId="28628"/>
    <cellStyle name="Normal 344 5 3" xfId="15072"/>
    <cellStyle name="Normal 344 5 3 2" xfId="32693"/>
    <cellStyle name="Normal 344 5 4" xfId="25768"/>
    <cellStyle name="Normal 344 6" xfId="7888"/>
    <cellStyle name="Normal 344 6 2" xfId="15679"/>
    <cellStyle name="Normal 344 6 2 2" xfId="33300"/>
    <cellStyle name="Normal 344 6 3" xfId="26290"/>
    <cellStyle name="Normal 344 7" xfId="11832"/>
    <cellStyle name="Normal 344 7 2" xfId="29503"/>
    <cellStyle name="Normal 344 8" xfId="23429"/>
    <cellStyle name="Normal 344 9" xfId="52241"/>
    <cellStyle name="Normal 345" xfId="2617"/>
    <cellStyle name="Normal 345 2" xfId="4643"/>
    <cellStyle name="Normal 345 2 2" xfId="8570"/>
    <cellStyle name="Normal 345 2 2 2" xfId="16360"/>
    <cellStyle name="Normal 345 2 2 2 2" xfId="33981"/>
    <cellStyle name="Normal 345 2 2 3" xfId="26957"/>
    <cellStyle name="Normal 345 2 3" xfId="12836"/>
    <cellStyle name="Normal 345 2 3 2" xfId="30477"/>
    <cellStyle name="Normal 345 2 4" xfId="24096"/>
    <cellStyle name="Normal 345 3" xfId="5886"/>
    <cellStyle name="Normal 345 3 2" xfId="9183"/>
    <cellStyle name="Normal 345 3 2 2" xfId="16972"/>
    <cellStyle name="Normal 345 3 2 2 2" xfId="34594"/>
    <cellStyle name="Normal 345 3 2 3" xfId="27557"/>
    <cellStyle name="Normal 345 3 3" xfId="13736"/>
    <cellStyle name="Normal 345 3 3 2" xfId="31362"/>
    <cellStyle name="Normal 345 3 4" xfId="24696"/>
    <cellStyle name="Normal 345 4" xfId="6516"/>
    <cellStyle name="Normal 345 4 2" xfId="9723"/>
    <cellStyle name="Normal 345 4 2 2" xfId="17511"/>
    <cellStyle name="Normal 345 4 2 2 2" xfId="35134"/>
    <cellStyle name="Normal 345 4 2 3" xfId="28093"/>
    <cellStyle name="Normal 345 4 3" xfId="14299"/>
    <cellStyle name="Normal 345 4 3 2" xfId="31920"/>
    <cellStyle name="Normal 345 4 4" xfId="25232"/>
    <cellStyle name="Normal 345 5" xfId="7291"/>
    <cellStyle name="Normal 345 5 2" xfId="10276"/>
    <cellStyle name="Normal 345 5 2 2" xfId="18063"/>
    <cellStyle name="Normal 345 5 2 2 2" xfId="35686"/>
    <cellStyle name="Normal 345 5 2 3" xfId="28629"/>
    <cellStyle name="Normal 345 5 3" xfId="15073"/>
    <cellStyle name="Normal 345 5 3 2" xfId="32694"/>
    <cellStyle name="Normal 345 5 4" xfId="25769"/>
    <cellStyle name="Normal 345 6" xfId="7889"/>
    <cellStyle name="Normal 345 6 2" xfId="15680"/>
    <cellStyle name="Normal 345 6 2 2" xfId="33301"/>
    <cellStyle name="Normal 345 6 3" xfId="26291"/>
    <cellStyle name="Normal 345 7" xfId="11833"/>
    <cellStyle name="Normal 345 7 2" xfId="29504"/>
    <cellStyle name="Normal 345 8" xfId="23430"/>
    <cellStyle name="Normal 345 9" xfId="52242"/>
    <cellStyle name="Normal 346" xfId="2618"/>
    <cellStyle name="Normal 346 2" xfId="4644"/>
    <cellStyle name="Normal 346 2 2" xfId="8571"/>
    <cellStyle name="Normal 346 2 2 2" xfId="16361"/>
    <cellStyle name="Normal 346 2 2 2 2" xfId="33982"/>
    <cellStyle name="Normal 346 2 2 3" xfId="26958"/>
    <cellStyle name="Normal 346 2 3" xfId="12837"/>
    <cellStyle name="Normal 346 2 3 2" xfId="30478"/>
    <cellStyle name="Normal 346 2 4" xfId="24097"/>
    <cellStyle name="Normal 346 3" xfId="5887"/>
    <cellStyle name="Normal 346 3 2" xfId="9184"/>
    <cellStyle name="Normal 346 3 2 2" xfId="16973"/>
    <cellStyle name="Normal 346 3 2 2 2" xfId="34595"/>
    <cellStyle name="Normal 346 3 2 3" xfId="27558"/>
    <cellStyle name="Normal 346 3 3" xfId="13737"/>
    <cellStyle name="Normal 346 3 3 2" xfId="31363"/>
    <cellStyle name="Normal 346 3 4" xfId="24697"/>
    <cellStyle name="Normal 346 4" xfId="6517"/>
    <cellStyle name="Normal 346 4 2" xfId="9724"/>
    <cellStyle name="Normal 346 4 2 2" xfId="17512"/>
    <cellStyle name="Normal 346 4 2 2 2" xfId="35135"/>
    <cellStyle name="Normal 346 4 2 3" xfId="28094"/>
    <cellStyle name="Normal 346 4 3" xfId="14300"/>
    <cellStyle name="Normal 346 4 3 2" xfId="31921"/>
    <cellStyle name="Normal 346 4 4" xfId="25233"/>
    <cellStyle name="Normal 346 5" xfId="7292"/>
    <cellStyle name="Normal 346 5 2" xfId="10277"/>
    <cellStyle name="Normal 346 5 2 2" xfId="18064"/>
    <cellStyle name="Normal 346 5 2 2 2" xfId="35687"/>
    <cellStyle name="Normal 346 5 2 3" xfId="28630"/>
    <cellStyle name="Normal 346 5 3" xfId="15074"/>
    <cellStyle name="Normal 346 5 3 2" xfId="32695"/>
    <cellStyle name="Normal 346 5 4" xfId="25770"/>
    <cellStyle name="Normal 346 6" xfId="7890"/>
    <cellStyle name="Normal 346 6 2" xfId="15681"/>
    <cellStyle name="Normal 346 6 2 2" xfId="33302"/>
    <cellStyle name="Normal 346 6 3" xfId="26292"/>
    <cellStyle name="Normal 346 7" xfId="11834"/>
    <cellStyle name="Normal 346 7 2" xfId="29505"/>
    <cellStyle name="Normal 346 8" xfId="23431"/>
    <cellStyle name="Normal 346 9" xfId="52243"/>
    <cellStyle name="Normal 347" xfId="2619"/>
    <cellStyle name="Normal 347 2" xfId="4645"/>
    <cellStyle name="Normal 347 2 2" xfId="8572"/>
    <cellStyle name="Normal 347 2 2 2" xfId="16362"/>
    <cellStyle name="Normal 347 2 2 2 2" xfId="33983"/>
    <cellStyle name="Normal 347 2 2 3" xfId="26959"/>
    <cellStyle name="Normal 347 2 3" xfId="12838"/>
    <cellStyle name="Normal 347 2 3 2" xfId="30479"/>
    <cellStyle name="Normal 347 2 4" xfId="24098"/>
    <cellStyle name="Normal 347 3" xfId="5888"/>
    <cellStyle name="Normal 347 3 2" xfId="9185"/>
    <cellStyle name="Normal 347 3 2 2" xfId="16974"/>
    <cellStyle name="Normal 347 3 2 2 2" xfId="34596"/>
    <cellStyle name="Normal 347 3 2 3" xfId="27559"/>
    <cellStyle name="Normal 347 3 3" xfId="13738"/>
    <cellStyle name="Normal 347 3 3 2" xfId="31364"/>
    <cellStyle name="Normal 347 3 4" xfId="24698"/>
    <cellStyle name="Normal 347 4" xfId="6518"/>
    <cellStyle name="Normal 347 4 2" xfId="9725"/>
    <cellStyle name="Normal 347 4 2 2" xfId="17513"/>
    <cellStyle name="Normal 347 4 2 2 2" xfId="35136"/>
    <cellStyle name="Normal 347 4 2 3" xfId="28095"/>
    <cellStyle name="Normal 347 4 3" xfId="14301"/>
    <cellStyle name="Normal 347 4 3 2" xfId="31922"/>
    <cellStyle name="Normal 347 4 4" xfId="25234"/>
    <cellStyle name="Normal 347 5" xfId="7293"/>
    <cellStyle name="Normal 347 5 2" xfId="10278"/>
    <cellStyle name="Normal 347 5 2 2" xfId="18065"/>
    <cellStyle name="Normal 347 5 2 2 2" xfId="35688"/>
    <cellStyle name="Normal 347 5 2 3" xfId="28631"/>
    <cellStyle name="Normal 347 5 3" xfId="15075"/>
    <cellStyle name="Normal 347 5 3 2" xfId="32696"/>
    <cellStyle name="Normal 347 5 4" xfId="25771"/>
    <cellStyle name="Normal 347 6" xfId="7891"/>
    <cellStyle name="Normal 347 6 2" xfId="15682"/>
    <cellStyle name="Normal 347 6 2 2" xfId="33303"/>
    <cellStyle name="Normal 347 6 3" xfId="26293"/>
    <cellStyle name="Normal 347 7" xfId="11835"/>
    <cellStyle name="Normal 347 7 2" xfId="29506"/>
    <cellStyle name="Normal 347 8" xfId="23432"/>
    <cellStyle name="Normal 347 9" xfId="52244"/>
    <cellStyle name="Normal 348" xfId="2620"/>
    <cellStyle name="Normal 348 2" xfId="4646"/>
    <cellStyle name="Normal 348 2 2" xfId="8573"/>
    <cellStyle name="Normal 348 2 2 2" xfId="16363"/>
    <cellStyle name="Normal 348 2 2 2 2" xfId="33984"/>
    <cellStyle name="Normal 348 2 2 3" xfId="26960"/>
    <cellStyle name="Normal 348 2 3" xfId="12839"/>
    <cellStyle name="Normal 348 2 3 2" xfId="30480"/>
    <cellStyle name="Normal 348 2 4" xfId="24099"/>
    <cellStyle name="Normal 348 3" xfId="5889"/>
    <cellStyle name="Normal 348 3 2" xfId="9186"/>
    <cellStyle name="Normal 348 3 2 2" xfId="16975"/>
    <cellStyle name="Normal 348 3 2 2 2" xfId="34597"/>
    <cellStyle name="Normal 348 3 2 3" xfId="27560"/>
    <cellStyle name="Normal 348 3 3" xfId="13739"/>
    <cellStyle name="Normal 348 3 3 2" xfId="31365"/>
    <cellStyle name="Normal 348 3 4" xfId="24699"/>
    <cellStyle name="Normal 348 4" xfId="6519"/>
    <cellStyle name="Normal 348 4 2" xfId="9726"/>
    <cellStyle name="Normal 348 4 2 2" xfId="17514"/>
    <cellStyle name="Normal 348 4 2 2 2" xfId="35137"/>
    <cellStyle name="Normal 348 4 2 3" xfId="28096"/>
    <cellStyle name="Normal 348 4 3" xfId="14302"/>
    <cellStyle name="Normal 348 4 3 2" xfId="31923"/>
    <cellStyle name="Normal 348 4 4" xfId="25235"/>
    <cellStyle name="Normal 348 5" xfId="7294"/>
    <cellStyle name="Normal 348 5 2" xfId="10279"/>
    <cellStyle name="Normal 348 5 2 2" xfId="18066"/>
    <cellStyle name="Normal 348 5 2 2 2" xfId="35689"/>
    <cellStyle name="Normal 348 5 2 3" xfId="28632"/>
    <cellStyle name="Normal 348 5 3" xfId="15076"/>
    <cellStyle name="Normal 348 5 3 2" xfId="32697"/>
    <cellStyle name="Normal 348 5 4" xfId="25772"/>
    <cellStyle name="Normal 348 6" xfId="7892"/>
    <cellStyle name="Normal 348 6 2" xfId="15683"/>
    <cellStyle name="Normal 348 6 2 2" xfId="33304"/>
    <cellStyle name="Normal 348 6 3" xfId="26294"/>
    <cellStyle name="Normal 348 7" xfId="11836"/>
    <cellStyle name="Normal 348 7 2" xfId="29507"/>
    <cellStyle name="Normal 348 8" xfId="23433"/>
    <cellStyle name="Normal 348 9" xfId="52245"/>
    <cellStyle name="Normal 349" xfId="2621"/>
    <cellStyle name="Normal 349 2" xfId="4647"/>
    <cellStyle name="Normal 349 2 2" xfId="8574"/>
    <cellStyle name="Normal 349 2 2 2" xfId="16364"/>
    <cellStyle name="Normal 349 2 2 2 2" xfId="33985"/>
    <cellStyle name="Normal 349 2 2 3" xfId="26961"/>
    <cellStyle name="Normal 349 2 3" xfId="12840"/>
    <cellStyle name="Normal 349 2 3 2" xfId="30481"/>
    <cellStyle name="Normal 349 2 4" xfId="24100"/>
    <cellStyle name="Normal 349 3" xfId="5890"/>
    <cellStyle name="Normal 349 3 2" xfId="9187"/>
    <cellStyle name="Normal 349 3 2 2" xfId="16976"/>
    <cellStyle name="Normal 349 3 2 2 2" xfId="34598"/>
    <cellStyle name="Normal 349 3 2 3" xfId="27561"/>
    <cellStyle name="Normal 349 3 3" xfId="13740"/>
    <cellStyle name="Normal 349 3 3 2" xfId="31366"/>
    <cellStyle name="Normal 349 3 4" xfId="24700"/>
    <cellStyle name="Normal 349 4" xfId="6520"/>
    <cellStyle name="Normal 349 4 2" xfId="9727"/>
    <cellStyle name="Normal 349 4 2 2" xfId="17515"/>
    <cellStyle name="Normal 349 4 2 2 2" xfId="35138"/>
    <cellStyle name="Normal 349 4 2 3" xfId="28097"/>
    <cellStyle name="Normal 349 4 3" xfId="14303"/>
    <cellStyle name="Normal 349 4 3 2" xfId="31924"/>
    <cellStyle name="Normal 349 4 4" xfId="25236"/>
    <cellStyle name="Normal 349 5" xfId="7295"/>
    <cellStyle name="Normal 349 5 2" xfId="10280"/>
    <cellStyle name="Normal 349 5 2 2" xfId="18067"/>
    <cellStyle name="Normal 349 5 2 2 2" xfId="35690"/>
    <cellStyle name="Normal 349 5 2 3" xfId="28633"/>
    <cellStyle name="Normal 349 5 3" xfId="15077"/>
    <cellStyle name="Normal 349 5 3 2" xfId="32698"/>
    <cellStyle name="Normal 349 5 4" xfId="25773"/>
    <cellStyle name="Normal 349 6" xfId="7893"/>
    <cellStyle name="Normal 349 6 2" xfId="15684"/>
    <cellStyle name="Normal 349 6 2 2" xfId="33305"/>
    <cellStyle name="Normal 349 6 3" xfId="26295"/>
    <cellStyle name="Normal 349 7" xfId="11837"/>
    <cellStyle name="Normal 349 7 2" xfId="29508"/>
    <cellStyle name="Normal 349 8" xfId="23434"/>
    <cellStyle name="Normal 349 9" xfId="52246"/>
    <cellStyle name="Normal 35" xfId="2622"/>
    <cellStyle name="Normal 35 10" xfId="2623"/>
    <cellStyle name="Normal 35 10 2" xfId="2624"/>
    <cellStyle name="Normal 35 10 2 2" xfId="4649"/>
    <cellStyle name="Normal 35 10 2 3" xfId="52248"/>
    <cellStyle name="Normal 35 10 3" xfId="4648"/>
    <cellStyle name="Normal 35 10 4" xfId="52247"/>
    <cellStyle name="Normal 35 10 5" xfId="53228"/>
    <cellStyle name="Normal 35 11" xfId="2625"/>
    <cellStyle name="Normal 35 11 2" xfId="2626"/>
    <cellStyle name="Normal 35 11 2 2" xfId="4651"/>
    <cellStyle name="Normal 35 11 2 3" xfId="52250"/>
    <cellStyle name="Normal 35 11 3" xfId="4650"/>
    <cellStyle name="Normal 35 11 4" xfId="52249"/>
    <cellStyle name="Normal 35 12" xfId="2627"/>
    <cellStyle name="Normal 35 12 2" xfId="2628"/>
    <cellStyle name="Normal 35 12 2 2" xfId="4653"/>
    <cellStyle name="Normal 35 12 2 3" xfId="52252"/>
    <cellStyle name="Normal 35 12 3" xfId="2629"/>
    <cellStyle name="Normal 35 12 3 2" xfId="2630"/>
    <cellStyle name="Normal 35 12 3 2 2" xfId="4655"/>
    <cellStyle name="Normal 35 12 3 2 3" xfId="52254"/>
    <cellStyle name="Normal 35 12 3 3" xfId="2631"/>
    <cellStyle name="Normal 35 12 3 3 2" xfId="2632"/>
    <cellStyle name="Normal 35 12 3 3 2 2" xfId="4657"/>
    <cellStyle name="Normal 35 12 3 3 2 3" xfId="52256"/>
    <cellStyle name="Normal 35 12 3 3 3" xfId="4656"/>
    <cellStyle name="Normal 35 12 3 3 4" xfId="52255"/>
    <cellStyle name="Normal 35 12 3 4" xfId="4658"/>
    <cellStyle name="Normal 35 12 3 5" xfId="4654"/>
    <cellStyle name="Normal 35 12 3 6" xfId="52253"/>
    <cellStyle name="Normal 35 12 4" xfId="4652"/>
    <cellStyle name="Normal 35 12 5" xfId="52251"/>
    <cellStyle name="Normal 35 13" xfId="2633"/>
    <cellStyle name="Normal 35 13 2" xfId="2634"/>
    <cellStyle name="Normal 35 13 2 2" xfId="4660"/>
    <cellStyle name="Normal 35 13 2 3" xfId="52258"/>
    <cellStyle name="Normal 35 13 3" xfId="2635"/>
    <cellStyle name="Normal 35 13 3 2" xfId="4661"/>
    <cellStyle name="Normal 35 13 3 3" xfId="52259"/>
    <cellStyle name="Normal 35 13 4" xfId="2636"/>
    <cellStyle name="Normal 35 13 5" xfId="4662"/>
    <cellStyle name="Normal 35 13 6" xfId="4663"/>
    <cellStyle name="Normal 35 13 7" xfId="4659"/>
    <cellStyle name="Normal 35 13 8" xfId="52257"/>
    <cellStyle name="Normal 35 14" xfId="2637"/>
    <cellStyle name="Normal 35 14 2" xfId="2638"/>
    <cellStyle name="Normal 35 14 2 2" xfId="4664"/>
    <cellStyle name="Normal 35 14 2 3" xfId="52261"/>
    <cellStyle name="Normal 35 14 3" xfId="2639"/>
    <cellStyle name="Normal 35 14 3 2" xfId="4666"/>
    <cellStyle name="Normal 35 14 3 3" xfId="4665"/>
    <cellStyle name="Normal 35 14 3 4" xfId="52262"/>
    <cellStyle name="Normal 35 14 4" xfId="2640"/>
    <cellStyle name="Normal 35 14 5" xfId="52260"/>
    <cellStyle name="Normal 35 15" xfId="2641"/>
    <cellStyle name="Normal 35 15 2" xfId="2642"/>
    <cellStyle name="Normal 35 15 3" xfId="52263"/>
    <cellStyle name="Normal 35 16" xfId="2643"/>
    <cellStyle name="Normal 35 16 2" xfId="2644"/>
    <cellStyle name="Normal 35 16 2 2" xfId="52265"/>
    <cellStyle name="Normal 35 16 3" xfId="2645"/>
    <cellStyle name="Normal 35 16 3 2" xfId="2646"/>
    <cellStyle name="Normal 35 16 3 3" xfId="2647"/>
    <cellStyle name="Normal 35 16 3 4" xfId="2648"/>
    <cellStyle name="Normal 35 16 4" xfId="52264"/>
    <cellStyle name="Normal 35 17" xfId="2649"/>
    <cellStyle name="Normal 35 17 2" xfId="2650"/>
    <cellStyle name="Normal 35 17 3" xfId="2651"/>
    <cellStyle name="Normal 35 18" xfId="2652"/>
    <cellStyle name="Normal 35 19" xfId="2653"/>
    <cellStyle name="Normal 35 2" xfId="2654"/>
    <cellStyle name="Normal 35 2 2" xfId="2655"/>
    <cellStyle name="Normal 35 2 2 2" xfId="2656"/>
    <cellStyle name="Normal 35 2 2 2 2" xfId="4669"/>
    <cellStyle name="Normal 35 2 2 2 3" xfId="52268"/>
    <cellStyle name="Normal 35 2 2 3" xfId="4668"/>
    <cellStyle name="Normal 35 2 2 4" xfId="52267"/>
    <cellStyle name="Normal 35 2 2_BallGrid" xfId="2657"/>
    <cellStyle name="Normal 35 2 3" xfId="2658"/>
    <cellStyle name="Normal 35 2 3 2" xfId="4670"/>
    <cellStyle name="Normal 35 2 3 3" xfId="52269"/>
    <cellStyle name="Normal 35 2 4" xfId="4667"/>
    <cellStyle name="Normal 35 2 5" xfId="22761"/>
    <cellStyle name="Normal 35 2 5 2" xfId="38954"/>
    <cellStyle name="Normal 35 2 6" xfId="22840"/>
    <cellStyle name="Normal 35 2 6 2" xfId="38999"/>
    <cellStyle name="Normal 35 2 7" xfId="52266"/>
    <cellStyle name="Normal 35 20" xfId="2659"/>
    <cellStyle name="Normal 35 21" xfId="53227"/>
    <cellStyle name="Normal 35 3" xfId="2660"/>
    <cellStyle name="Normal 35 3 2" xfId="4671"/>
    <cellStyle name="Normal 35 3 3" xfId="52270"/>
    <cellStyle name="Normal 35 4" xfId="2661"/>
    <cellStyle name="Normal 35 4 2" xfId="4672"/>
    <cellStyle name="Normal 35 4 3" xfId="52271"/>
    <cellStyle name="Normal 35 5" xfId="2662"/>
    <cellStyle name="Normal 35 5 2" xfId="2663"/>
    <cellStyle name="Normal 35 5 2 2" xfId="4674"/>
    <cellStyle name="Normal 35 5 2 3" xfId="52273"/>
    <cellStyle name="Normal 35 5 3" xfId="4673"/>
    <cellStyle name="Normal 35 5 4" xfId="52272"/>
    <cellStyle name="Normal 35 5_BallGrid" xfId="2664"/>
    <cellStyle name="Normal 35 6" xfId="2665"/>
    <cellStyle name="Normal 35 6 2" xfId="2666"/>
    <cellStyle name="Normal 35 6 2 2" xfId="4676"/>
    <cellStyle name="Normal 35 6 2 3" xfId="52275"/>
    <cellStyle name="Normal 35 6 3" xfId="4675"/>
    <cellStyle name="Normal 35 6 4" xfId="52274"/>
    <cellStyle name="Normal 35 7" xfId="2667"/>
    <cellStyle name="Normal 35 7 2" xfId="2668"/>
    <cellStyle name="Normal 35 7 2 2" xfId="4678"/>
    <cellStyle name="Normal 35 7 2 3" xfId="52277"/>
    <cellStyle name="Normal 35 7 3" xfId="2669"/>
    <cellStyle name="Normal 35 7 3 2" xfId="4679"/>
    <cellStyle name="Normal 35 7 3 3" xfId="52278"/>
    <cellStyle name="Normal 35 7 4" xfId="2670"/>
    <cellStyle name="Normal 35 7 4 2" xfId="2671"/>
    <cellStyle name="Normal 35 7 4 2 2" xfId="4681"/>
    <cellStyle name="Normal 35 7 4 2 3" xfId="52280"/>
    <cellStyle name="Normal 35 7 4 3" xfId="4680"/>
    <cellStyle name="Normal 35 7 4 4" xfId="52279"/>
    <cellStyle name="Normal 35 7 5" xfId="2672"/>
    <cellStyle name="Normal 35 7 5 2" xfId="2673"/>
    <cellStyle name="Normal 35 7 5 2 2" xfId="4683"/>
    <cellStyle name="Normal 35 7 5 2 3" xfId="52282"/>
    <cellStyle name="Normal 35 7 5 3" xfId="2674"/>
    <cellStyle name="Normal 35 7 5 3 2" xfId="2675"/>
    <cellStyle name="Normal 35 7 5 3 2 2" xfId="4685"/>
    <cellStyle name="Normal 35 7 5 3 2 3" xfId="52284"/>
    <cellStyle name="Normal 35 7 5 3 3" xfId="2676"/>
    <cellStyle name="Normal 35 7 5 3 3 2" xfId="2677"/>
    <cellStyle name="Normal 35 7 5 3 3 2 2" xfId="4687"/>
    <cellStyle name="Normal 35 7 5 3 3 2 3" xfId="52286"/>
    <cellStyle name="Normal 35 7 5 3 3 3" xfId="4686"/>
    <cellStyle name="Normal 35 7 5 3 3 4" xfId="52285"/>
    <cellStyle name="Normal 35 7 5 3 4" xfId="4688"/>
    <cellStyle name="Normal 35 7 5 3 5" xfId="4684"/>
    <cellStyle name="Normal 35 7 5 3 6" xfId="52283"/>
    <cellStyle name="Normal 35 7 5 4" xfId="4682"/>
    <cellStyle name="Normal 35 7 5 5" xfId="52281"/>
    <cellStyle name="Normal 35 7 6" xfId="4677"/>
    <cellStyle name="Normal 35 7 7" xfId="22552"/>
    <cellStyle name="Normal 35 7 7 2" xfId="38849"/>
    <cellStyle name="Normal 35 7 8" xfId="52276"/>
    <cellStyle name="Normal 35 8" xfId="2678"/>
    <cellStyle name="Normal 35 8 2" xfId="2679"/>
    <cellStyle name="Normal 35 8 2 2" xfId="4690"/>
    <cellStyle name="Normal 35 8 2 3" xfId="52288"/>
    <cellStyle name="Normal 35 8 3" xfId="2680"/>
    <cellStyle name="Normal 35 8 3 2" xfId="2681"/>
    <cellStyle name="Normal 35 8 3 2 2" xfId="4692"/>
    <cellStyle name="Normal 35 8 3 2 3" xfId="52290"/>
    <cellStyle name="Normal 35 8 3 3" xfId="4691"/>
    <cellStyle name="Normal 35 8 3 4" xfId="52289"/>
    <cellStyle name="Normal 35 8 4" xfId="2682"/>
    <cellStyle name="Normal 35 8 4 2" xfId="2683"/>
    <cellStyle name="Normal 35 8 4 2 2" xfId="4694"/>
    <cellStyle name="Normal 35 8 4 2 3" xfId="52292"/>
    <cellStyle name="Normal 35 8 4 3" xfId="2684"/>
    <cellStyle name="Normal 35 8 4 3 2" xfId="2685"/>
    <cellStyle name="Normal 35 8 4 3 2 2" xfId="4696"/>
    <cellStyle name="Normal 35 8 4 3 2 3" xfId="52294"/>
    <cellStyle name="Normal 35 8 4 3 3" xfId="2686"/>
    <cellStyle name="Normal 35 8 4 3 3 2" xfId="2687"/>
    <cellStyle name="Normal 35 8 4 3 3 2 2" xfId="4698"/>
    <cellStyle name="Normal 35 8 4 3 3 2 3" xfId="52296"/>
    <cellStyle name="Normal 35 8 4 3 3 3" xfId="4697"/>
    <cellStyle name="Normal 35 8 4 3 3 4" xfId="52295"/>
    <cellStyle name="Normal 35 8 4 3 4" xfId="4699"/>
    <cellStyle name="Normal 35 8 4 3 5" xfId="4695"/>
    <cellStyle name="Normal 35 8 4 3 6" xfId="52293"/>
    <cellStyle name="Normal 35 8 4 4" xfId="4693"/>
    <cellStyle name="Normal 35 8 4 5" xfId="52291"/>
    <cellStyle name="Normal 35 8 5" xfId="4689"/>
    <cellStyle name="Normal 35 8 6" xfId="22306"/>
    <cellStyle name="Normal 35 8 6 2" xfId="38805"/>
    <cellStyle name="Normal 35 8 7" xfId="52287"/>
    <cellStyle name="Normal 35 9" xfId="2688"/>
    <cellStyle name="Normal 35 9 2" xfId="2689"/>
    <cellStyle name="Normal 35 9 2 2" xfId="4701"/>
    <cellStyle name="Normal 35 9 2 3" xfId="52298"/>
    <cellStyle name="Normal 35 9 3" xfId="2690"/>
    <cellStyle name="Normal 35 9 3 2" xfId="2691"/>
    <cellStyle name="Normal 35 9 3 2 2" xfId="4703"/>
    <cellStyle name="Normal 35 9 3 2 3" xfId="52300"/>
    <cellStyle name="Normal 35 9 3 3" xfId="4702"/>
    <cellStyle name="Normal 35 9 3 4" xfId="52299"/>
    <cellStyle name="Normal 35 9 4" xfId="2692"/>
    <cellStyle name="Normal 35 9 4 2" xfId="4704"/>
    <cellStyle name="Normal 35 9 4 3" xfId="52301"/>
    <cellStyle name="Normal 35 9 5" xfId="4700"/>
    <cellStyle name="Normal 35 9 6" xfId="52297"/>
    <cellStyle name="Normal 35_BallGrid" xfId="2693"/>
    <cellStyle name="Normal 350" xfId="2694"/>
    <cellStyle name="Normal 350 2" xfId="4705"/>
    <cellStyle name="Normal 350 2 2" xfId="8575"/>
    <cellStyle name="Normal 350 2 2 2" xfId="16365"/>
    <cellStyle name="Normal 350 2 2 2 2" xfId="33986"/>
    <cellStyle name="Normal 350 2 2 3" xfId="26962"/>
    <cellStyle name="Normal 350 2 3" xfId="12860"/>
    <cellStyle name="Normal 350 2 3 2" xfId="30496"/>
    <cellStyle name="Normal 350 2 4" xfId="24101"/>
    <cellStyle name="Normal 350 3" xfId="5891"/>
    <cellStyle name="Normal 350 3 2" xfId="9188"/>
    <cellStyle name="Normal 350 3 2 2" xfId="16977"/>
    <cellStyle name="Normal 350 3 2 2 2" xfId="34599"/>
    <cellStyle name="Normal 350 3 2 3" xfId="27562"/>
    <cellStyle name="Normal 350 3 3" xfId="13741"/>
    <cellStyle name="Normal 350 3 3 2" xfId="31367"/>
    <cellStyle name="Normal 350 3 4" xfId="24701"/>
    <cellStyle name="Normal 350 4" xfId="6521"/>
    <cellStyle name="Normal 350 4 2" xfId="9728"/>
    <cellStyle name="Normal 350 4 2 2" xfId="17516"/>
    <cellStyle name="Normal 350 4 2 2 2" xfId="35139"/>
    <cellStyle name="Normal 350 4 2 3" xfId="28098"/>
    <cellStyle name="Normal 350 4 3" xfId="14304"/>
    <cellStyle name="Normal 350 4 3 2" xfId="31925"/>
    <cellStyle name="Normal 350 4 4" xfId="25237"/>
    <cellStyle name="Normal 350 5" xfId="7296"/>
    <cellStyle name="Normal 350 5 2" xfId="10281"/>
    <cellStyle name="Normal 350 5 2 2" xfId="18068"/>
    <cellStyle name="Normal 350 5 2 2 2" xfId="35691"/>
    <cellStyle name="Normal 350 5 2 3" xfId="28634"/>
    <cellStyle name="Normal 350 5 3" xfId="15078"/>
    <cellStyle name="Normal 350 5 3 2" xfId="32699"/>
    <cellStyle name="Normal 350 5 4" xfId="25774"/>
    <cellStyle name="Normal 350 6" xfId="7894"/>
    <cellStyle name="Normal 350 6 2" xfId="15685"/>
    <cellStyle name="Normal 350 6 2 2" xfId="33306"/>
    <cellStyle name="Normal 350 6 3" xfId="26296"/>
    <cellStyle name="Normal 350 7" xfId="11848"/>
    <cellStyle name="Normal 350 7 2" xfId="29517"/>
    <cellStyle name="Normal 350 8" xfId="23435"/>
    <cellStyle name="Normal 350 9" xfId="52302"/>
    <cellStyle name="Normal 351" xfId="2695"/>
    <cellStyle name="Normal 351 2" xfId="4706"/>
    <cellStyle name="Normal 351 2 2" xfId="8576"/>
    <cellStyle name="Normal 351 2 2 2" xfId="16366"/>
    <cellStyle name="Normal 351 2 2 2 2" xfId="33987"/>
    <cellStyle name="Normal 351 2 2 3" xfId="26963"/>
    <cellStyle name="Normal 351 2 3" xfId="12861"/>
    <cellStyle name="Normal 351 2 3 2" xfId="30497"/>
    <cellStyle name="Normal 351 2 4" xfId="24102"/>
    <cellStyle name="Normal 351 3" xfId="5892"/>
    <cellStyle name="Normal 351 3 2" xfId="9189"/>
    <cellStyle name="Normal 351 3 2 2" xfId="16978"/>
    <cellStyle name="Normal 351 3 2 2 2" xfId="34600"/>
    <cellStyle name="Normal 351 3 2 3" xfId="27563"/>
    <cellStyle name="Normal 351 3 3" xfId="13742"/>
    <cellStyle name="Normal 351 3 3 2" xfId="31368"/>
    <cellStyle name="Normal 351 3 4" xfId="24702"/>
    <cellStyle name="Normal 351 4" xfId="6522"/>
    <cellStyle name="Normal 351 4 2" xfId="9729"/>
    <cellStyle name="Normal 351 4 2 2" xfId="17517"/>
    <cellStyle name="Normal 351 4 2 2 2" xfId="35140"/>
    <cellStyle name="Normal 351 4 2 3" xfId="28099"/>
    <cellStyle name="Normal 351 4 3" xfId="14305"/>
    <cellStyle name="Normal 351 4 3 2" xfId="31926"/>
    <cellStyle name="Normal 351 4 4" xfId="25238"/>
    <cellStyle name="Normal 351 5" xfId="7297"/>
    <cellStyle name="Normal 351 5 2" xfId="10282"/>
    <cellStyle name="Normal 351 5 2 2" xfId="18069"/>
    <cellStyle name="Normal 351 5 2 2 2" xfId="35692"/>
    <cellStyle name="Normal 351 5 2 3" xfId="28635"/>
    <cellStyle name="Normal 351 5 3" xfId="15079"/>
    <cellStyle name="Normal 351 5 3 2" xfId="32700"/>
    <cellStyle name="Normal 351 5 4" xfId="25775"/>
    <cellStyle name="Normal 351 6" xfId="7895"/>
    <cellStyle name="Normal 351 6 2" xfId="15686"/>
    <cellStyle name="Normal 351 6 2 2" xfId="33307"/>
    <cellStyle name="Normal 351 6 3" xfId="26297"/>
    <cellStyle name="Normal 351 7" xfId="11849"/>
    <cellStyle name="Normal 351 7 2" xfId="29518"/>
    <cellStyle name="Normal 351 8" xfId="23436"/>
    <cellStyle name="Normal 351 9" xfId="52303"/>
    <cellStyle name="Normal 352" xfId="2696"/>
    <cellStyle name="Normal 352 2" xfId="4707"/>
    <cellStyle name="Normal 352 2 2" xfId="8577"/>
    <cellStyle name="Normal 352 2 2 2" xfId="16367"/>
    <cellStyle name="Normal 352 2 2 2 2" xfId="33988"/>
    <cellStyle name="Normal 352 2 2 3" xfId="26964"/>
    <cellStyle name="Normal 352 2 3" xfId="12862"/>
    <cellStyle name="Normal 352 2 3 2" xfId="30498"/>
    <cellStyle name="Normal 352 2 4" xfId="24103"/>
    <cellStyle name="Normal 352 3" xfId="5893"/>
    <cellStyle name="Normal 352 3 2" xfId="9190"/>
    <cellStyle name="Normal 352 3 2 2" xfId="16979"/>
    <cellStyle name="Normal 352 3 2 2 2" xfId="34601"/>
    <cellStyle name="Normal 352 3 2 3" xfId="27564"/>
    <cellStyle name="Normal 352 3 3" xfId="13743"/>
    <cellStyle name="Normal 352 3 3 2" xfId="31369"/>
    <cellStyle name="Normal 352 3 4" xfId="24703"/>
    <cellStyle name="Normal 352 4" xfId="6523"/>
    <cellStyle name="Normal 352 4 2" xfId="9730"/>
    <cellStyle name="Normal 352 4 2 2" xfId="17518"/>
    <cellStyle name="Normal 352 4 2 2 2" xfId="35141"/>
    <cellStyle name="Normal 352 4 2 3" xfId="28100"/>
    <cellStyle name="Normal 352 4 3" xfId="14306"/>
    <cellStyle name="Normal 352 4 3 2" xfId="31927"/>
    <cellStyle name="Normal 352 4 4" xfId="25239"/>
    <cellStyle name="Normal 352 5" xfId="7298"/>
    <cellStyle name="Normal 352 5 2" xfId="10283"/>
    <cellStyle name="Normal 352 5 2 2" xfId="18070"/>
    <cellStyle name="Normal 352 5 2 2 2" xfId="35693"/>
    <cellStyle name="Normal 352 5 2 3" xfId="28636"/>
    <cellStyle name="Normal 352 5 3" xfId="15080"/>
    <cellStyle name="Normal 352 5 3 2" xfId="32701"/>
    <cellStyle name="Normal 352 5 4" xfId="25776"/>
    <cellStyle name="Normal 352 6" xfId="7896"/>
    <cellStyle name="Normal 352 6 2" xfId="15687"/>
    <cellStyle name="Normal 352 6 2 2" xfId="33308"/>
    <cellStyle name="Normal 352 6 3" xfId="26298"/>
    <cellStyle name="Normal 352 7" xfId="11850"/>
    <cellStyle name="Normal 352 7 2" xfId="29519"/>
    <cellStyle name="Normal 352 8" xfId="23437"/>
    <cellStyle name="Normal 352 9" xfId="52304"/>
    <cellStyle name="Normal 353" xfId="2697"/>
    <cellStyle name="Normal 353 2" xfId="4708"/>
    <cellStyle name="Normal 353 2 2" xfId="8578"/>
    <cellStyle name="Normal 353 2 2 2" xfId="16368"/>
    <cellStyle name="Normal 353 2 2 2 2" xfId="33989"/>
    <cellStyle name="Normal 353 2 2 3" xfId="26965"/>
    <cellStyle name="Normal 353 2 3" xfId="12863"/>
    <cellStyle name="Normal 353 2 3 2" xfId="30499"/>
    <cellStyle name="Normal 353 2 4" xfId="24104"/>
    <cellStyle name="Normal 353 3" xfId="5894"/>
    <cellStyle name="Normal 353 3 2" xfId="9191"/>
    <cellStyle name="Normal 353 3 2 2" xfId="16980"/>
    <cellStyle name="Normal 353 3 2 2 2" xfId="34602"/>
    <cellStyle name="Normal 353 3 2 3" xfId="27565"/>
    <cellStyle name="Normal 353 3 3" xfId="13744"/>
    <cellStyle name="Normal 353 3 3 2" xfId="31370"/>
    <cellStyle name="Normal 353 3 4" xfId="24704"/>
    <cellStyle name="Normal 353 4" xfId="6524"/>
    <cellStyle name="Normal 353 4 2" xfId="9731"/>
    <cellStyle name="Normal 353 4 2 2" xfId="17519"/>
    <cellStyle name="Normal 353 4 2 2 2" xfId="35142"/>
    <cellStyle name="Normal 353 4 2 3" xfId="28101"/>
    <cellStyle name="Normal 353 4 3" xfId="14307"/>
    <cellStyle name="Normal 353 4 3 2" xfId="31928"/>
    <cellStyle name="Normal 353 4 4" xfId="25240"/>
    <cellStyle name="Normal 353 5" xfId="7299"/>
    <cellStyle name="Normal 353 5 2" xfId="10284"/>
    <cellStyle name="Normal 353 5 2 2" xfId="18071"/>
    <cellStyle name="Normal 353 5 2 2 2" xfId="35694"/>
    <cellStyle name="Normal 353 5 2 3" xfId="28637"/>
    <cellStyle name="Normal 353 5 3" xfId="15081"/>
    <cellStyle name="Normal 353 5 3 2" xfId="32702"/>
    <cellStyle name="Normal 353 5 4" xfId="25777"/>
    <cellStyle name="Normal 353 6" xfId="7897"/>
    <cellStyle name="Normal 353 6 2" xfId="15688"/>
    <cellStyle name="Normal 353 6 2 2" xfId="33309"/>
    <cellStyle name="Normal 353 6 3" xfId="26299"/>
    <cellStyle name="Normal 353 7" xfId="11851"/>
    <cellStyle name="Normal 353 7 2" xfId="29520"/>
    <cellStyle name="Normal 353 8" xfId="23438"/>
    <cellStyle name="Normal 353 9" xfId="52305"/>
    <cellStyle name="Normal 354" xfId="2698"/>
    <cellStyle name="Normal 354 2" xfId="4709"/>
    <cellStyle name="Normal 354 2 2" xfId="8579"/>
    <cellStyle name="Normal 354 2 2 2" xfId="16369"/>
    <cellStyle name="Normal 354 2 2 2 2" xfId="33990"/>
    <cellStyle name="Normal 354 2 2 3" xfId="26966"/>
    <cellStyle name="Normal 354 2 3" xfId="12864"/>
    <cellStyle name="Normal 354 2 3 2" xfId="30500"/>
    <cellStyle name="Normal 354 2 4" xfId="24105"/>
    <cellStyle name="Normal 354 3" xfId="5895"/>
    <cellStyle name="Normal 354 3 2" xfId="9192"/>
    <cellStyle name="Normal 354 3 2 2" xfId="16981"/>
    <cellStyle name="Normal 354 3 2 2 2" xfId="34603"/>
    <cellStyle name="Normal 354 3 2 3" xfId="27566"/>
    <cellStyle name="Normal 354 3 3" xfId="13745"/>
    <cellStyle name="Normal 354 3 3 2" xfId="31371"/>
    <cellStyle name="Normal 354 3 4" xfId="24705"/>
    <cellStyle name="Normal 354 4" xfId="6525"/>
    <cellStyle name="Normal 354 4 2" xfId="9732"/>
    <cellStyle name="Normal 354 4 2 2" xfId="17520"/>
    <cellStyle name="Normal 354 4 2 2 2" xfId="35143"/>
    <cellStyle name="Normal 354 4 2 3" xfId="28102"/>
    <cellStyle name="Normal 354 4 3" xfId="14308"/>
    <cellStyle name="Normal 354 4 3 2" xfId="31929"/>
    <cellStyle name="Normal 354 4 4" xfId="25241"/>
    <cellStyle name="Normal 354 5" xfId="7300"/>
    <cellStyle name="Normal 354 5 2" xfId="10285"/>
    <cellStyle name="Normal 354 5 2 2" xfId="18072"/>
    <cellStyle name="Normal 354 5 2 2 2" xfId="35695"/>
    <cellStyle name="Normal 354 5 2 3" xfId="28638"/>
    <cellStyle name="Normal 354 5 3" xfId="15082"/>
    <cellStyle name="Normal 354 5 3 2" xfId="32703"/>
    <cellStyle name="Normal 354 5 4" xfId="25778"/>
    <cellStyle name="Normal 354 6" xfId="7898"/>
    <cellStyle name="Normal 354 6 2" xfId="15689"/>
    <cellStyle name="Normal 354 6 2 2" xfId="33310"/>
    <cellStyle name="Normal 354 6 3" xfId="26300"/>
    <cellStyle name="Normal 354 7" xfId="11852"/>
    <cellStyle name="Normal 354 7 2" xfId="29521"/>
    <cellStyle name="Normal 354 8" xfId="23439"/>
    <cellStyle name="Normal 354 9" xfId="52306"/>
    <cellStyle name="Normal 355" xfId="2699"/>
    <cellStyle name="Normal 355 2" xfId="4710"/>
    <cellStyle name="Normal 355 2 2" xfId="8580"/>
    <cellStyle name="Normal 355 2 2 2" xfId="16370"/>
    <cellStyle name="Normal 355 2 2 2 2" xfId="33991"/>
    <cellStyle name="Normal 355 2 2 3" xfId="26967"/>
    <cellStyle name="Normal 355 2 3" xfId="12865"/>
    <cellStyle name="Normal 355 2 3 2" xfId="30501"/>
    <cellStyle name="Normal 355 2 4" xfId="24106"/>
    <cellStyle name="Normal 355 3" xfId="5896"/>
    <cellStyle name="Normal 355 3 2" xfId="9193"/>
    <cellStyle name="Normal 355 3 2 2" xfId="16982"/>
    <cellStyle name="Normal 355 3 2 2 2" xfId="34604"/>
    <cellStyle name="Normal 355 3 2 3" xfId="27567"/>
    <cellStyle name="Normal 355 3 3" xfId="13746"/>
    <cellStyle name="Normal 355 3 3 2" xfId="31372"/>
    <cellStyle name="Normal 355 3 4" xfId="24706"/>
    <cellStyle name="Normal 355 4" xfId="6526"/>
    <cellStyle name="Normal 355 4 2" xfId="9733"/>
    <cellStyle name="Normal 355 4 2 2" xfId="17521"/>
    <cellStyle name="Normal 355 4 2 2 2" xfId="35144"/>
    <cellStyle name="Normal 355 4 2 3" xfId="28103"/>
    <cellStyle name="Normal 355 4 3" xfId="14309"/>
    <cellStyle name="Normal 355 4 3 2" xfId="31930"/>
    <cellStyle name="Normal 355 4 4" xfId="25242"/>
    <cellStyle name="Normal 355 5" xfId="7301"/>
    <cellStyle name="Normal 355 5 2" xfId="10286"/>
    <cellStyle name="Normal 355 5 2 2" xfId="18073"/>
    <cellStyle name="Normal 355 5 2 2 2" xfId="35696"/>
    <cellStyle name="Normal 355 5 2 3" xfId="28639"/>
    <cellStyle name="Normal 355 5 3" xfId="15083"/>
    <cellStyle name="Normal 355 5 3 2" xfId="32704"/>
    <cellStyle name="Normal 355 5 4" xfId="25779"/>
    <cellStyle name="Normal 355 6" xfId="7899"/>
    <cellStyle name="Normal 355 6 2" xfId="15690"/>
    <cellStyle name="Normal 355 6 2 2" xfId="33311"/>
    <cellStyle name="Normal 355 6 3" xfId="26301"/>
    <cellStyle name="Normal 355 7" xfId="11853"/>
    <cellStyle name="Normal 355 7 2" xfId="29522"/>
    <cellStyle name="Normal 355 8" xfId="23440"/>
    <cellStyle name="Normal 355 9" xfId="52307"/>
    <cellStyle name="Normal 356" xfId="2700"/>
    <cellStyle name="Normal 356 2" xfId="4711"/>
    <cellStyle name="Normal 356 2 2" xfId="8581"/>
    <cellStyle name="Normal 356 2 2 2" xfId="16371"/>
    <cellStyle name="Normal 356 2 2 2 2" xfId="33992"/>
    <cellStyle name="Normal 356 2 2 3" xfId="26968"/>
    <cellStyle name="Normal 356 2 3" xfId="12866"/>
    <cellStyle name="Normal 356 2 3 2" xfId="30502"/>
    <cellStyle name="Normal 356 2 4" xfId="24107"/>
    <cellStyle name="Normal 356 3" xfId="5897"/>
    <cellStyle name="Normal 356 3 2" xfId="9194"/>
    <cellStyle name="Normal 356 3 2 2" xfId="16983"/>
    <cellStyle name="Normal 356 3 2 2 2" xfId="34605"/>
    <cellStyle name="Normal 356 3 2 3" xfId="27568"/>
    <cellStyle name="Normal 356 3 3" xfId="13747"/>
    <cellStyle name="Normal 356 3 3 2" xfId="31373"/>
    <cellStyle name="Normal 356 3 4" xfId="24707"/>
    <cellStyle name="Normal 356 4" xfId="6527"/>
    <cellStyle name="Normal 356 4 2" xfId="9734"/>
    <cellStyle name="Normal 356 4 2 2" xfId="17522"/>
    <cellStyle name="Normal 356 4 2 2 2" xfId="35145"/>
    <cellStyle name="Normal 356 4 2 3" xfId="28104"/>
    <cellStyle name="Normal 356 4 3" xfId="14310"/>
    <cellStyle name="Normal 356 4 3 2" xfId="31931"/>
    <cellStyle name="Normal 356 4 4" xfId="25243"/>
    <cellStyle name="Normal 356 5" xfId="7302"/>
    <cellStyle name="Normal 356 5 2" xfId="10287"/>
    <cellStyle name="Normal 356 5 2 2" xfId="18074"/>
    <cellStyle name="Normal 356 5 2 2 2" xfId="35697"/>
    <cellStyle name="Normal 356 5 2 3" xfId="28640"/>
    <cellStyle name="Normal 356 5 3" xfId="15084"/>
    <cellStyle name="Normal 356 5 3 2" xfId="32705"/>
    <cellStyle name="Normal 356 5 4" xfId="25780"/>
    <cellStyle name="Normal 356 6" xfId="7900"/>
    <cellStyle name="Normal 356 6 2" xfId="15691"/>
    <cellStyle name="Normal 356 6 2 2" xfId="33312"/>
    <cellStyle name="Normal 356 6 3" xfId="26302"/>
    <cellStyle name="Normal 356 7" xfId="11854"/>
    <cellStyle name="Normal 356 7 2" xfId="29523"/>
    <cellStyle name="Normal 356 8" xfId="23441"/>
    <cellStyle name="Normal 356 9" xfId="52308"/>
    <cellStyle name="Normal 357" xfId="2701"/>
    <cellStyle name="Normal 357 2" xfId="4712"/>
    <cellStyle name="Normal 357 2 2" xfId="8582"/>
    <cellStyle name="Normal 357 2 2 2" xfId="16372"/>
    <cellStyle name="Normal 357 2 2 2 2" xfId="33993"/>
    <cellStyle name="Normal 357 2 2 3" xfId="26969"/>
    <cellStyle name="Normal 357 2 3" xfId="12867"/>
    <cellStyle name="Normal 357 2 3 2" xfId="30503"/>
    <cellStyle name="Normal 357 2 4" xfId="24108"/>
    <cellStyle name="Normal 357 3" xfId="5898"/>
    <cellStyle name="Normal 357 3 2" xfId="9195"/>
    <cellStyle name="Normal 357 3 2 2" xfId="16984"/>
    <cellStyle name="Normal 357 3 2 2 2" xfId="34606"/>
    <cellStyle name="Normal 357 3 2 3" xfId="27569"/>
    <cellStyle name="Normal 357 3 3" xfId="13748"/>
    <cellStyle name="Normal 357 3 3 2" xfId="31374"/>
    <cellStyle name="Normal 357 3 4" xfId="24708"/>
    <cellStyle name="Normal 357 4" xfId="6528"/>
    <cellStyle name="Normal 357 4 2" xfId="9735"/>
    <cellStyle name="Normal 357 4 2 2" xfId="17523"/>
    <cellStyle name="Normal 357 4 2 2 2" xfId="35146"/>
    <cellStyle name="Normal 357 4 2 3" xfId="28105"/>
    <cellStyle name="Normal 357 4 3" xfId="14311"/>
    <cellStyle name="Normal 357 4 3 2" xfId="31932"/>
    <cellStyle name="Normal 357 4 4" xfId="25244"/>
    <cellStyle name="Normal 357 5" xfId="7303"/>
    <cellStyle name="Normal 357 5 2" xfId="10288"/>
    <cellStyle name="Normal 357 5 2 2" xfId="18075"/>
    <cellStyle name="Normal 357 5 2 2 2" xfId="35698"/>
    <cellStyle name="Normal 357 5 2 3" xfId="28641"/>
    <cellStyle name="Normal 357 5 3" xfId="15085"/>
    <cellStyle name="Normal 357 5 3 2" xfId="32706"/>
    <cellStyle name="Normal 357 5 4" xfId="25781"/>
    <cellStyle name="Normal 357 6" xfId="7901"/>
    <cellStyle name="Normal 357 6 2" xfId="15692"/>
    <cellStyle name="Normal 357 6 2 2" xfId="33313"/>
    <cellStyle name="Normal 357 6 3" xfId="26303"/>
    <cellStyle name="Normal 357 7" xfId="11855"/>
    <cellStyle name="Normal 357 7 2" xfId="29524"/>
    <cellStyle name="Normal 357 8" xfId="23442"/>
    <cellStyle name="Normal 357 9" xfId="52309"/>
    <cellStyle name="Normal 358" xfId="2702"/>
    <cellStyle name="Normal 358 2" xfId="4713"/>
    <cellStyle name="Normal 358 2 2" xfId="8583"/>
    <cellStyle name="Normal 358 2 2 2" xfId="16373"/>
    <cellStyle name="Normal 358 2 2 2 2" xfId="33994"/>
    <cellStyle name="Normal 358 2 2 3" xfId="26970"/>
    <cellStyle name="Normal 358 2 3" xfId="12868"/>
    <cellStyle name="Normal 358 2 3 2" xfId="30504"/>
    <cellStyle name="Normal 358 2 4" xfId="24109"/>
    <cellStyle name="Normal 358 3" xfId="5899"/>
    <cellStyle name="Normal 358 3 2" xfId="9196"/>
    <cellStyle name="Normal 358 3 2 2" xfId="16985"/>
    <cellStyle name="Normal 358 3 2 2 2" xfId="34607"/>
    <cellStyle name="Normal 358 3 2 3" xfId="27570"/>
    <cellStyle name="Normal 358 3 3" xfId="13749"/>
    <cellStyle name="Normal 358 3 3 2" xfId="31375"/>
    <cellStyle name="Normal 358 3 4" xfId="24709"/>
    <cellStyle name="Normal 358 4" xfId="6529"/>
    <cellStyle name="Normal 358 4 2" xfId="9736"/>
    <cellStyle name="Normal 358 4 2 2" xfId="17524"/>
    <cellStyle name="Normal 358 4 2 2 2" xfId="35147"/>
    <cellStyle name="Normal 358 4 2 3" xfId="28106"/>
    <cellStyle name="Normal 358 4 3" xfId="14312"/>
    <cellStyle name="Normal 358 4 3 2" xfId="31933"/>
    <cellStyle name="Normal 358 4 4" xfId="25245"/>
    <cellStyle name="Normal 358 5" xfId="7304"/>
    <cellStyle name="Normal 358 5 2" xfId="10289"/>
    <cellStyle name="Normal 358 5 2 2" xfId="18076"/>
    <cellStyle name="Normal 358 5 2 2 2" xfId="35699"/>
    <cellStyle name="Normal 358 5 2 3" xfId="28642"/>
    <cellStyle name="Normal 358 5 3" xfId="15086"/>
    <cellStyle name="Normal 358 5 3 2" xfId="32707"/>
    <cellStyle name="Normal 358 5 4" xfId="25782"/>
    <cellStyle name="Normal 358 6" xfId="7902"/>
    <cellStyle name="Normal 358 6 2" xfId="15693"/>
    <cellStyle name="Normal 358 6 2 2" xfId="33314"/>
    <cellStyle name="Normal 358 6 3" xfId="26304"/>
    <cellStyle name="Normal 358 7" xfId="11856"/>
    <cellStyle name="Normal 358 7 2" xfId="29525"/>
    <cellStyle name="Normal 358 8" xfId="23443"/>
    <cellStyle name="Normal 358 9" xfId="52310"/>
    <cellStyle name="Normal 359" xfId="2703"/>
    <cellStyle name="Normal 359 2" xfId="4714"/>
    <cellStyle name="Normal 359 2 2" xfId="8584"/>
    <cellStyle name="Normal 359 2 2 2" xfId="16374"/>
    <cellStyle name="Normal 359 2 2 2 2" xfId="33995"/>
    <cellStyle name="Normal 359 2 2 3" xfId="26971"/>
    <cellStyle name="Normal 359 2 3" xfId="12869"/>
    <cellStyle name="Normal 359 2 3 2" xfId="30505"/>
    <cellStyle name="Normal 359 2 4" xfId="24110"/>
    <cellStyle name="Normal 359 3" xfId="5900"/>
    <cellStyle name="Normal 359 3 2" xfId="9197"/>
    <cellStyle name="Normal 359 3 2 2" xfId="16986"/>
    <cellStyle name="Normal 359 3 2 2 2" xfId="34608"/>
    <cellStyle name="Normal 359 3 2 3" xfId="27571"/>
    <cellStyle name="Normal 359 3 3" xfId="13750"/>
    <cellStyle name="Normal 359 3 3 2" xfId="31376"/>
    <cellStyle name="Normal 359 3 4" xfId="24710"/>
    <cellStyle name="Normal 359 4" xfId="6530"/>
    <cellStyle name="Normal 359 4 2" xfId="9737"/>
    <cellStyle name="Normal 359 4 2 2" xfId="17525"/>
    <cellStyle name="Normal 359 4 2 2 2" xfId="35148"/>
    <cellStyle name="Normal 359 4 2 3" xfId="28107"/>
    <cellStyle name="Normal 359 4 3" xfId="14313"/>
    <cellStyle name="Normal 359 4 3 2" xfId="31934"/>
    <cellStyle name="Normal 359 4 4" xfId="25246"/>
    <cellStyle name="Normal 359 5" xfId="7305"/>
    <cellStyle name="Normal 359 5 2" xfId="10290"/>
    <cellStyle name="Normal 359 5 2 2" xfId="18077"/>
    <cellStyle name="Normal 359 5 2 2 2" xfId="35700"/>
    <cellStyle name="Normal 359 5 2 3" xfId="28643"/>
    <cellStyle name="Normal 359 5 3" xfId="15087"/>
    <cellStyle name="Normal 359 5 3 2" xfId="32708"/>
    <cellStyle name="Normal 359 5 4" xfId="25783"/>
    <cellStyle name="Normal 359 6" xfId="7903"/>
    <cellStyle name="Normal 359 6 2" xfId="15694"/>
    <cellStyle name="Normal 359 6 2 2" xfId="33315"/>
    <cellStyle name="Normal 359 6 3" xfId="26305"/>
    <cellStyle name="Normal 359 7" xfId="11857"/>
    <cellStyle name="Normal 359 7 2" xfId="29526"/>
    <cellStyle name="Normal 359 8" xfId="23444"/>
    <cellStyle name="Normal 359 9" xfId="52311"/>
    <cellStyle name="Normal 36" xfId="2704"/>
    <cellStyle name="Normal 36 2" xfId="4715"/>
    <cellStyle name="Normal 36 2 2" xfId="22762"/>
    <cellStyle name="Normal 36 2 2 2" xfId="38955"/>
    <cellStyle name="Normal 36 3" xfId="22978"/>
    <cellStyle name="Normal 36 4" xfId="22553"/>
    <cellStyle name="Normal 36 4 2" xfId="38850"/>
    <cellStyle name="Normal 36 5" xfId="52312"/>
    <cellStyle name="Normal 360" xfId="2705"/>
    <cellStyle name="Normal 360 2" xfId="4716"/>
    <cellStyle name="Normal 360 2 2" xfId="8585"/>
    <cellStyle name="Normal 360 2 2 2" xfId="16375"/>
    <cellStyle name="Normal 360 2 2 2 2" xfId="33996"/>
    <cellStyle name="Normal 360 2 2 3" xfId="26972"/>
    <cellStyle name="Normal 360 2 3" xfId="12870"/>
    <cellStyle name="Normal 360 2 3 2" xfId="30506"/>
    <cellStyle name="Normal 360 2 4" xfId="24111"/>
    <cellStyle name="Normal 360 3" xfId="5901"/>
    <cellStyle name="Normal 360 3 2" xfId="9198"/>
    <cellStyle name="Normal 360 3 2 2" xfId="16987"/>
    <cellStyle name="Normal 360 3 2 2 2" xfId="34609"/>
    <cellStyle name="Normal 360 3 2 3" xfId="27572"/>
    <cellStyle name="Normal 360 3 3" xfId="13751"/>
    <cellStyle name="Normal 360 3 3 2" xfId="31377"/>
    <cellStyle name="Normal 360 3 4" xfId="24711"/>
    <cellStyle name="Normal 360 4" xfId="6531"/>
    <cellStyle name="Normal 360 4 2" xfId="9738"/>
    <cellStyle name="Normal 360 4 2 2" xfId="17526"/>
    <cellStyle name="Normal 360 4 2 2 2" xfId="35149"/>
    <cellStyle name="Normal 360 4 2 3" xfId="28108"/>
    <cellStyle name="Normal 360 4 3" xfId="14314"/>
    <cellStyle name="Normal 360 4 3 2" xfId="31935"/>
    <cellStyle name="Normal 360 4 4" xfId="25247"/>
    <cellStyle name="Normal 360 5" xfId="7306"/>
    <cellStyle name="Normal 360 5 2" xfId="10291"/>
    <cellStyle name="Normal 360 5 2 2" xfId="18078"/>
    <cellStyle name="Normal 360 5 2 2 2" xfId="35701"/>
    <cellStyle name="Normal 360 5 2 3" xfId="28644"/>
    <cellStyle name="Normal 360 5 3" xfId="15088"/>
    <cellStyle name="Normal 360 5 3 2" xfId="32709"/>
    <cellStyle name="Normal 360 5 4" xfId="25784"/>
    <cellStyle name="Normal 360 6" xfId="7904"/>
    <cellStyle name="Normal 360 6 2" xfId="15695"/>
    <cellStyle name="Normal 360 6 2 2" xfId="33316"/>
    <cellStyle name="Normal 360 6 3" xfId="26306"/>
    <cellStyle name="Normal 360 7" xfId="11858"/>
    <cellStyle name="Normal 360 7 2" xfId="29527"/>
    <cellStyle name="Normal 360 8" xfId="23445"/>
    <cellStyle name="Normal 360 9" xfId="52313"/>
    <cellStyle name="Normal 361" xfId="2706"/>
    <cellStyle name="Normal 361 2" xfId="4717"/>
    <cellStyle name="Normal 361 2 2" xfId="8586"/>
    <cellStyle name="Normal 361 2 2 2" xfId="16376"/>
    <cellStyle name="Normal 361 2 2 2 2" xfId="33997"/>
    <cellStyle name="Normal 361 2 2 3" xfId="26973"/>
    <cellStyle name="Normal 361 2 3" xfId="12871"/>
    <cellStyle name="Normal 361 2 3 2" xfId="30507"/>
    <cellStyle name="Normal 361 2 4" xfId="24112"/>
    <cellStyle name="Normal 361 3" xfId="5902"/>
    <cellStyle name="Normal 361 3 2" xfId="9199"/>
    <cellStyle name="Normal 361 3 2 2" xfId="16988"/>
    <cellStyle name="Normal 361 3 2 2 2" xfId="34610"/>
    <cellStyle name="Normal 361 3 2 3" xfId="27573"/>
    <cellStyle name="Normal 361 3 3" xfId="13752"/>
    <cellStyle name="Normal 361 3 3 2" xfId="31378"/>
    <cellStyle name="Normal 361 3 4" xfId="24712"/>
    <cellStyle name="Normal 361 4" xfId="6532"/>
    <cellStyle name="Normal 361 4 2" xfId="9739"/>
    <cellStyle name="Normal 361 4 2 2" xfId="17527"/>
    <cellStyle name="Normal 361 4 2 2 2" xfId="35150"/>
    <cellStyle name="Normal 361 4 2 3" xfId="28109"/>
    <cellStyle name="Normal 361 4 3" xfId="14315"/>
    <cellStyle name="Normal 361 4 3 2" xfId="31936"/>
    <cellStyle name="Normal 361 4 4" xfId="25248"/>
    <cellStyle name="Normal 361 5" xfId="7307"/>
    <cellStyle name="Normal 361 5 2" xfId="10292"/>
    <cellStyle name="Normal 361 5 2 2" xfId="18079"/>
    <cellStyle name="Normal 361 5 2 2 2" xfId="35702"/>
    <cellStyle name="Normal 361 5 2 3" xfId="28645"/>
    <cellStyle name="Normal 361 5 3" xfId="15089"/>
    <cellStyle name="Normal 361 5 3 2" xfId="32710"/>
    <cellStyle name="Normal 361 5 4" xfId="25785"/>
    <cellStyle name="Normal 361 6" xfId="7905"/>
    <cellStyle name="Normal 361 6 2" xfId="15696"/>
    <cellStyle name="Normal 361 6 2 2" xfId="33317"/>
    <cellStyle name="Normal 361 6 3" xfId="26307"/>
    <cellStyle name="Normal 361 7" xfId="11859"/>
    <cellStyle name="Normal 361 7 2" xfId="29528"/>
    <cellStyle name="Normal 361 8" xfId="23446"/>
    <cellStyle name="Normal 361 9" xfId="52314"/>
    <cellStyle name="Normal 362" xfId="2707"/>
    <cellStyle name="Normal 362 2" xfId="4718"/>
    <cellStyle name="Normal 362 2 2" xfId="8587"/>
    <cellStyle name="Normal 362 2 2 2" xfId="16377"/>
    <cellStyle name="Normal 362 2 2 2 2" xfId="33998"/>
    <cellStyle name="Normal 362 2 2 3" xfId="26974"/>
    <cellStyle name="Normal 362 2 3" xfId="12872"/>
    <cellStyle name="Normal 362 2 3 2" xfId="30508"/>
    <cellStyle name="Normal 362 2 4" xfId="24113"/>
    <cellStyle name="Normal 362 3" xfId="5903"/>
    <cellStyle name="Normal 362 3 2" xfId="9200"/>
    <cellStyle name="Normal 362 3 2 2" xfId="16989"/>
    <cellStyle name="Normal 362 3 2 2 2" xfId="34611"/>
    <cellStyle name="Normal 362 3 2 3" xfId="27574"/>
    <cellStyle name="Normal 362 3 3" xfId="13753"/>
    <cellStyle name="Normal 362 3 3 2" xfId="31379"/>
    <cellStyle name="Normal 362 3 4" xfId="24713"/>
    <cellStyle name="Normal 362 4" xfId="6533"/>
    <cellStyle name="Normal 362 4 2" xfId="9740"/>
    <cellStyle name="Normal 362 4 2 2" xfId="17528"/>
    <cellStyle name="Normal 362 4 2 2 2" xfId="35151"/>
    <cellStyle name="Normal 362 4 2 3" xfId="28110"/>
    <cellStyle name="Normal 362 4 3" xfId="14316"/>
    <cellStyle name="Normal 362 4 3 2" xfId="31937"/>
    <cellStyle name="Normal 362 4 4" xfId="25249"/>
    <cellStyle name="Normal 362 5" xfId="7308"/>
    <cellStyle name="Normal 362 5 2" xfId="10293"/>
    <cellStyle name="Normal 362 5 2 2" xfId="18080"/>
    <cellStyle name="Normal 362 5 2 2 2" xfId="35703"/>
    <cellStyle name="Normal 362 5 2 3" xfId="28646"/>
    <cellStyle name="Normal 362 5 3" xfId="15090"/>
    <cellStyle name="Normal 362 5 3 2" xfId="32711"/>
    <cellStyle name="Normal 362 5 4" xfId="25786"/>
    <cellStyle name="Normal 362 6" xfId="7906"/>
    <cellStyle name="Normal 362 6 2" xfId="15697"/>
    <cellStyle name="Normal 362 6 2 2" xfId="33318"/>
    <cellStyle name="Normal 362 6 3" xfId="26308"/>
    <cellStyle name="Normal 362 7" xfId="11860"/>
    <cellStyle name="Normal 362 7 2" xfId="29529"/>
    <cellStyle name="Normal 362 8" xfId="23447"/>
    <cellStyle name="Normal 362 9" xfId="52315"/>
    <cellStyle name="Normal 363" xfId="2708"/>
    <cellStyle name="Normal 363 2" xfId="4719"/>
    <cellStyle name="Normal 363 2 2" xfId="8588"/>
    <cellStyle name="Normal 363 2 2 2" xfId="16378"/>
    <cellStyle name="Normal 363 2 2 2 2" xfId="33999"/>
    <cellStyle name="Normal 363 2 2 3" xfId="26975"/>
    <cellStyle name="Normal 363 2 3" xfId="12873"/>
    <cellStyle name="Normal 363 2 3 2" xfId="30509"/>
    <cellStyle name="Normal 363 2 4" xfId="24114"/>
    <cellStyle name="Normal 363 3" xfId="5904"/>
    <cellStyle name="Normal 363 3 2" xfId="9201"/>
    <cellStyle name="Normal 363 3 2 2" xfId="16990"/>
    <cellStyle name="Normal 363 3 2 2 2" xfId="34612"/>
    <cellStyle name="Normal 363 3 2 3" xfId="27575"/>
    <cellStyle name="Normal 363 3 3" xfId="13754"/>
    <cellStyle name="Normal 363 3 3 2" xfId="31380"/>
    <cellStyle name="Normal 363 3 4" xfId="24714"/>
    <cellStyle name="Normal 363 4" xfId="6534"/>
    <cellStyle name="Normal 363 4 2" xfId="9741"/>
    <cellStyle name="Normal 363 4 2 2" xfId="17529"/>
    <cellStyle name="Normal 363 4 2 2 2" xfId="35152"/>
    <cellStyle name="Normal 363 4 2 3" xfId="28111"/>
    <cellStyle name="Normal 363 4 3" xfId="14317"/>
    <cellStyle name="Normal 363 4 3 2" xfId="31938"/>
    <cellStyle name="Normal 363 4 4" xfId="25250"/>
    <cellStyle name="Normal 363 5" xfId="7309"/>
    <cellStyle name="Normal 363 5 2" xfId="10294"/>
    <cellStyle name="Normal 363 5 2 2" xfId="18081"/>
    <cellStyle name="Normal 363 5 2 2 2" xfId="35704"/>
    <cellStyle name="Normal 363 5 2 3" xfId="28647"/>
    <cellStyle name="Normal 363 5 3" xfId="15091"/>
    <cellStyle name="Normal 363 5 3 2" xfId="32712"/>
    <cellStyle name="Normal 363 5 4" xfId="25787"/>
    <cellStyle name="Normal 363 6" xfId="7907"/>
    <cellStyle name="Normal 363 6 2" xfId="15698"/>
    <cellStyle name="Normal 363 6 2 2" xfId="33319"/>
    <cellStyle name="Normal 363 6 3" xfId="26309"/>
    <cellStyle name="Normal 363 7" xfId="11861"/>
    <cellStyle name="Normal 363 7 2" xfId="29530"/>
    <cellStyle name="Normal 363 8" xfId="23448"/>
    <cellStyle name="Normal 363 9" xfId="52316"/>
    <cellStyle name="Normal 364" xfId="2709"/>
    <cellStyle name="Normal 364 2" xfId="4720"/>
    <cellStyle name="Normal 364 2 2" xfId="8589"/>
    <cellStyle name="Normal 364 2 2 2" xfId="16379"/>
    <cellStyle name="Normal 364 2 2 2 2" xfId="34000"/>
    <cellStyle name="Normal 364 2 2 3" xfId="26976"/>
    <cellStyle name="Normal 364 2 3" xfId="12874"/>
    <cellStyle name="Normal 364 2 3 2" xfId="30510"/>
    <cellStyle name="Normal 364 2 4" xfId="24115"/>
    <cellStyle name="Normal 364 3" xfId="5905"/>
    <cellStyle name="Normal 364 3 2" xfId="9202"/>
    <cellStyle name="Normal 364 3 2 2" xfId="16991"/>
    <cellStyle name="Normal 364 3 2 2 2" xfId="34613"/>
    <cellStyle name="Normal 364 3 2 3" xfId="27576"/>
    <cellStyle name="Normal 364 3 3" xfId="13755"/>
    <cellStyle name="Normal 364 3 3 2" xfId="31381"/>
    <cellStyle name="Normal 364 3 4" xfId="24715"/>
    <cellStyle name="Normal 364 4" xfId="6535"/>
    <cellStyle name="Normal 364 4 2" xfId="9742"/>
    <cellStyle name="Normal 364 4 2 2" xfId="17530"/>
    <cellStyle name="Normal 364 4 2 2 2" xfId="35153"/>
    <cellStyle name="Normal 364 4 2 3" xfId="28112"/>
    <cellStyle name="Normal 364 4 3" xfId="14318"/>
    <cellStyle name="Normal 364 4 3 2" xfId="31939"/>
    <cellStyle name="Normal 364 4 4" xfId="25251"/>
    <cellStyle name="Normal 364 5" xfId="7310"/>
    <cellStyle name="Normal 364 5 2" xfId="10295"/>
    <cellStyle name="Normal 364 5 2 2" xfId="18082"/>
    <cellStyle name="Normal 364 5 2 2 2" xfId="35705"/>
    <cellStyle name="Normal 364 5 2 3" xfId="28648"/>
    <cellStyle name="Normal 364 5 3" xfId="15092"/>
    <cellStyle name="Normal 364 5 3 2" xfId="32713"/>
    <cellStyle name="Normal 364 5 4" xfId="25788"/>
    <cellStyle name="Normal 364 6" xfId="7908"/>
    <cellStyle name="Normal 364 6 2" xfId="15699"/>
    <cellStyle name="Normal 364 6 2 2" xfId="33320"/>
    <cellStyle name="Normal 364 6 3" xfId="26310"/>
    <cellStyle name="Normal 364 7" xfId="11862"/>
    <cellStyle name="Normal 364 7 2" xfId="29531"/>
    <cellStyle name="Normal 364 8" xfId="23449"/>
    <cellStyle name="Normal 364 9" xfId="52317"/>
    <cellStyle name="Normal 365" xfId="2710"/>
    <cellStyle name="Normal 365 2" xfId="4721"/>
    <cellStyle name="Normal 365 2 2" xfId="8590"/>
    <cellStyle name="Normal 365 2 2 2" xfId="16380"/>
    <cellStyle name="Normal 365 2 2 2 2" xfId="34001"/>
    <cellStyle name="Normal 365 2 2 3" xfId="26977"/>
    <cellStyle name="Normal 365 2 3" xfId="12875"/>
    <cellStyle name="Normal 365 2 3 2" xfId="30511"/>
    <cellStyle name="Normal 365 2 4" xfId="24116"/>
    <cellStyle name="Normal 365 3" xfId="5906"/>
    <cellStyle name="Normal 365 3 2" xfId="9203"/>
    <cellStyle name="Normal 365 3 2 2" xfId="16992"/>
    <cellStyle name="Normal 365 3 2 2 2" xfId="34614"/>
    <cellStyle name="Normal 365 3 2 3" xfId="27577"/>
    <cellStyle name="Normal 365 3 3" xfId="13756"/>
    <cellStyle name="Normal 365 3 3 2" xfId="31382"/>
    <cellStyle name="Normal 365 3 4" xfId="24716"/>
    <cellStyle name="Normal 365 4" xfId="6536"/>
    <cellStyle name="Normal 365 4 2" xfId="9743"/>
    <cellStyle name="Normal 365 4 2 2" xfId="17531"/>
    <cellStyle name="Normal 365 4 2 2 2" xfId="35154"/>
    <cellStyle name="Normal 365 4 2 3" xfId="28113"/>
    <cellStyle name="Normal 365 4 3" xfId="14319"/>
    <cellStyle name="Normal 365 4 3 2" xfId="31940"/>
    <cellStyle name="Normal 365 4 4" xfId="25252"/>
    <cellStyle name="Normal 365 5" xfId="7311"/>
    <cellStyle name="Normal 365 5 2" xfId="10296"/>
    <cellStyle name="Normal 365 5 2 2" xfId="18083"/>
    <cellStyle name="Normal 365 5 2 2 2" xfId="35706"/>
    <cellStyle name="Normal 365 5 2 3" xfId="28649"/>
    <cellStyle name="Normal 365 5 3" xfId="15093"/>
    <cellStyle name="Normal 365 5 3 2" xfId="32714"/>
    <cellStyle name="Normal 365 5 4" xfId="25789"/>
    <cellStyle name="Normal 365 6" xfId="7909"/>
    <cellStyle name="Normal 365 6 2" xfId="15700"/>
    <cellStyle name="Normal 365 6 2 2" xfId="33321"/>
    <cellStyle name="Normal 365 6 3" xfId="26311"/>
    <cellStyle name="Normal 365 7" xfId="11863"/>
    <cellStyle name="Normal 365 7 2" xfId="29532"/>
    <cellStyle name="Normal 365 8" xfId="23450"/>
    <cellStyle name="Normal 365 9" xfId="52318"/>
    <cellStyle name="Normal 366" xfId="2711"/>
    <cellStyle name="Normal 366 2" xfId="4722"/>
    <cellStyle name="Normal 366 2 2" xfId="8591"/>
    <cellStyle name="Normal 366 2 2 2" xfId="16381"/>
    <cellStyle name="Normal 366 2 2 2 2" xfId="34002"/>
    <cellStyle name="Normal 366 2 2 3" xfId="26978"/>
    <cellStyle name="Normal 366 2 3" xfId="12876"/>
    <cellStyle name="Normal 366 2 3 2" xfId="30512"/>
    <cellStyle name="Normal 366 2 4" xfId="24117"/>
    <cellStyle name="Normal 366 3" xfId="5907"/>
    <cellStyle name="Normal 366 3 2" xfId="9204"/>
    <cellStyle name="Normal 366 3 2 2" xfId="16993"/>
    <cellStyle name="Normal 366 3 2 2 2" xfId="34615"/>
    <cellStyle name="Normal 366 3 2 3" xfId="27578"/>
    <cellStyle name="Normal 366 3 3" xfId="13757"/>
    <cellStyle name="Normal 366 3 3 2" xfId="31383"/>
    <cellStyle name="Normal 366 3 4" xfId="24717"/>
    <cellStyle name="Normal 366 4" xfId="6537"/>
    <cellStyle name="Normal 366 4 2" xfId="9744"/>
    <cellStyle name="Normal 366 4 2 2" xfId="17532"/>
    <cellStyle name="Normal 366 4 2 2 2" xfId="35155"/>
    <cellStyle name="Normal 366 4 2 3" xfId="28114"/>
    <cellStyle name="Normal 366 4 3" xfId="14320"/>
    <cellStyle name="Normal 366 4 3 2" xfId="31941"/>
    <cellStyle name="Normal 366 4 4" xfId="25253"/>
    <cellStyle name="Normal 366 5" xfId="7312"/>
    <cellStyle name="Normal 366 5 2" xfId="10297"/>
    <cellStyle name="Normal 366 5 2 2" xfId="18084"/>
    <cellStyle name="Normal 366 5 2 2 2" xfId="35707"/>
    <cellStyle name="Normal 366 5 2 3" xfId="28650"/>
    <cellStyle name="Normal 366 5 3" xfId="15094"/>
    <cellStyle name="Normal 366 5 3 2" xfId="32715"/>
    <cellStyle name="Normal 366 5 4" xfId="25790"/>
    <cellStyle name="Normal 366 6" xfId="7910"/>
    <cellStyle name="Normal 366 6 2" xfId="15701"/>
    <cellStyle name="Normal 366 6 2 2" xfId="33322"/>
    <cellStyle name="Normal 366 6 3" xfId="26312"/>
    <cellStyle name="Normal 366 7" xfId="11864"/>
    <cellStyle name="Normal 366 7 2" xfId="29533"/>
    <cellStyle name="Normal 366 8" xfId="23451"/>
    <cellStyle name="Normal 366 9" xfId="52319"/>
    <cellStyle name="Normal 367" xfId="2712"/>
    <cellStyle name="Normal 367 2" xfId="4723"/>
    <cellStyle name="Normal 367 2 2" xfId="8592"/>
    <cellStyle name="Normal 367 2 2 2" xfId="16382"/>
    <cellStyle name="Normal 367 2 2 2 2" xfId="34003"/>
    <cellStyle name="Normal 367 2 2 3" xfId="26979"/>
    <cellStyle name="Normal 367 2 3" xfId="12877"/>
    <cellStyle name="Normal 367 2 3 2" xfId="30513"/>
    <cellStyle name="Normal 367 2 4" xfId="24118"/>
    <cellStyle name="Normal 367 3" xfId="5908"/>
    <cellStyle name="Normal 367 3 2" xfId="9205"/>
    <cellStyle name="Normal 367 3 2 2" xfId="16994"/>
    <cellStyle name="Normal 367 3 2 2 2" xfId="34616"/>
    <cellStyle name="Normal 367 3 2 3" xfId="27579"/>
    <cellStyle name="Normal 367 3 3" xfId="13758"/>
    <cellStyle name="Normal 367 3 3 2" xfId="31384"/>
    <cellStyle name="Normal 367 3 4" xfId="24718"/>
    <cellStyle name="Normal 367 4" xfId="6538"/>
    <cellStyle name="Normal 367 4 2" xfId="9745"/>
    <cellStyle name="Normal 367 4 2 2" xfId="17533"/>
    <cellStyle name="Normal 367 4 2 2 2" xfId="35156"/>
    <cellStyle name="Normal 367 4 2 3" xfId="28115"/>
    <cellStyle name="Normal 367 4 3" xfId="14321"/>
    <cellStyle name="Normal 367 4 3 2" xfId="31942"/>
    <cellStyle name="Normal 367 4 4" xfId="25254"/>
    <cellStyle name="Normal 367 5" xfId="7313"/>
    <cellStyle name="Normal 367 5 2" xfId="10298"/>
    <cellStyle name="Normal 367 5 2 2" xfId="18085"/>
    <cellStyle name="Normal 367 5 2 2 2" xfId="35708"/>
    <cellStyle name="Normal 367 5 2 3" xfId="28651"/>
    <cellStyle name="Normal 367 5 3" xfId="15095"/>
    <cellStyle name="Normal 367 5 3 2" xfId="32716"/>
    <cellStyle name="Normal 367 5 4" xfId="25791"/>
    <cellStyle name="Normal 367 6" xfId="7911"/>
    <cellStyle name="Normal 367 6 2" xfId="15702"/>
    <cellStyle name="Normal 367 6 2 2" xfId="33323"/>
    <cellStyle name="Normal 367 6 3" xfId="26313"/>
    <cellStyle name="Normal 367 7" xfId="11865"/>
    <cellStyle name="Normal 367 7 2" xfId="29534"/>
    <cellStyle name="Normal 367 8" xfId="23452"/>
    <cellStyle name="Normal 367 9" xfId="52320"/>
    <cellStyle name="Normal 368" xfId="2713"/>
    <cellStyle name="Normal 368 2" xfId="4724"/>
    <cellStyle name="Normal 368 2 2" xfId="8593"/>
    <cellStyle name="Normal 368 2 2 2" xfId="16383"/>
    <cellStyle name="Normal 368 2 2 2 2" xfId="34004"/>
    <cellStyle name="Normal 368 2 2 3" xfId="26980"/>
    <cellStyle name="Normal 368 2 3" xfId="12878"/>
    <cellStyle name="Normal 368 2 3 2" xfId="30514"/>
    <cellStyle name="Normal 368 2 4" xfId="24119"/>
    <cellStyle name="Normal 368 3" xfId="5909"/>
    <cellStyle name="Normal 368 3 2" xfId="9206"/>
    <cellStyle name="Normal 368 3 2 2" xfId="16995"/>
    <cellStyle name="Normal 368 3 2 2 2" xfId="34617"/>
    <cellStyle name="Normal 368 3 2 3" xfId="27580"/>
    <cellStyle name="Normal 368 3 3" xfId="13759"/>
    <cellStyle name="Normal 368 3 3 2" xfId="31385"/>
    <cellStyle name="Normal 368 3 4" xfId="24719"/>
    <cellStyle name="Normal 368 4" xfId="6539"/>
    <cellStyle name="Normal 368 4 2" xfId="9746"/>
    <cellStyle name="Normal 368 4 2 2" xfId="17534"/>
    <cellStyle name="Normal 368 4 2 2 2" xfId="35157"/>
    <cellStyle name="Normal 368 4 2 3" xfId="28116"/>
    <cellStyle name="Normal 368 4 3" xfId="14322"/>
    <cellStyle name="Normal 368 4 3 2" xfId="31943"/>
    <cellStyle name="Normal 368 4 4" xfId="25255"/>
    <cellStyle name="Normal 368 5" xfId="7314"/>
    <cellStyle name="Normal 368 5 2" xfId="10299"/>
    <cellStyle name="Normal 368 5 2 2" xfId="18086"/>
    <cellStyle name="Normal 368 5 2 2 2" xfId="35709"/>
    <cellStyle name="Normal 368 5 2 3" xfId="28652"/>
    <cellStyle name="Normal 368 5 3" xfId="15096"/>
    <cellStyle name="Normal 368 5 3 2" xfId="32717"/>
    <cellStyle name="Normal 368 5 4" xfId="25792"/>
    <cellStyle name="Normal 368 6" xfId="7912"/>
    <cellStyle name="Normal 368 6 2" xfId="15703"/>
    <cellStyle name="Normal 368 6 2 2" xfId="33324"/>
    <cellStyle name="Normal 368 6 3" xfId="26314"/>
    <cellStyle name="Normal 368 7" xfId="11866"/>
    <cellStyle name="Normal 368 7 2" xfId="29535"/>
    <cellStyle name="Normal 368 8" xfId="23453"/>
    <cellStyle name="Normal 368 9" xfId="52321"/>
    <cellStyle name="Normal 369" xfId="2714"/>
    <cellStyle name="Normal 369 2" xfId="4725"/>
    <cellStyle name="Normal 369 2 2" xfId="8594"/>
    <cellStyle name="Normal 369 2 2 2" xfId="16384"/>
    <cellStyle name="Normal 369 2 2 2 2" xfId="34005"/>
    <cellStyle name="Normal 369 2 2 3" xfId="26981"/>
    <cellStyle name="Normal 369 2 3" xfId="12879"/>
    <cellStyle name="Normal 369 2 3 2" xfId="30515"/>
    <cellStyle name="Normal 369 2 4" xfId="24120"/>
    <cellStyle name="Normal 369 3" xfId="5910"/>
    <cellStyle name="Normal 369 3 2" xfId="9207"/>
    <cellStyle name="Normal 369 3 2 2" xfId="16996"/>
    <cellStyle name="Normal 369 3 2 2 2" xfId="34618"/>
    <cellStyle name="Normal 369 3 2 3" xfId="27581"/>
    <cellStyle name="Normal 369 3 3" xfId="13760"/>
    <cellStyle name="Normal 369 3 3 2" xfId="31386"/>
    <cellStyle name="Normal 369 3 4" xfId="24720"/>
    <cellStyle name="Normal 369 4" xfId="6540"/>
    <cellStyle name="Normal 369 4 2" xfId="9747"/>
    <cellStyle name="Normal 369 4 2 2" xfId="17535"/>
    <cellStyle name="Normal 369 4 2 2 2" xfId="35158"/>
    <cellStyle name="Normal 369 4 2 3" xfId="28117"/>
    <cellStyle name="Normal 369 4 3" xfId="14323"/>
    <cellStyle name="Normal 369 4 3 2" xfId="31944"/>
    <cellStyle name="Normal 369 4 4" xfId="25256"/>
    <cellStyle name="Normal 369 5" xfId="7315"/>
    <cellStyle name="Normal 369 5 2" xfId="10300"/>
    <cellStyle name="Normal 369 5 2 2" xfId="18087"/>
    <cellStyle name="Normal 369 5 2 2 2" xfId="35710"/>
    <cellStyle name="Normal 369 5 2 3" xfId="28653"/>
    <cellStyle name="Normal 369 5 3" xfId="15097"/>
    <cellStyle name="Normal 369 5 3 2" xfId="32718"/>
    <cellStyle name="Normal 369 5 4" xfId="25793"/>
    <cellStyle name="Normal 369 6" xfId="7913"/>
    <cellStyle name="Normal 369 6 2" xfId="15704"/>
    <cellStyle name="Normal 369 6 2 2" xfId="33325"/>
    <cellStyle name="Normal 369 6 3" xfId="26315"/>
    <cellStyle name="Normal 369 7" xfId="11867"/>
    <cellStyle name="Normal 369 7 2" xfId="29536"/>
    <cellStyle name="Normal 369 8" xfId="23454"/>
    <cellStyle name="Normal 369 9" xfId="52322"/>
    <cellStyle name="Normal 37" xfId="2715"/>
    <cellStyle name="Normal 37 2" xfId="4726"/>
    <cellStyle name="Normal 37 2 2" xfId="22763"/>
    <cellStyle name="Normal 37 2 2 2" xfId="38956"/>
    <cellStyle name="Normal 37 3" xfId="22979"/>
    <cellStyle name="Normal 37 4" xfId="22554"/>
    <cellStyle name="Normal 37 4 2" xfId="38851"/>
    <cellStyle name="Normal 37 5" xfId="52323"/>
    <cellStyle name="Normal 370" xfId="2716"/>
    <cellStyle name="Normal 370 2" xfId="4727"/>
    <cellStyle name="Normal 370 2 2" xfId="8595"/>
    <cellStyle name="Normal 370 2 2 2" xfId="16385"/>
    <cellStyle name="Normal 370 2 2 2 2" xfId="34006"/>
    <cellStyle name="Normal 370 2 2 3" xfId="26982"/>
    <cellStyle name="Normal 370 2 3" xfId="12880"/>
    <cellStyle name="Normal 370 2 3 2" xfId="30516"/>
    <cellStyle name="Normal 370 2 4" xfId="24121"/>
    <cellStyle name="Normal 370 3" xfId="5911"/>
    <cellStyle name="Normal 370 3 2" xfId="9208"/>
    <cellStyle name="Normal 370 3 2 2" xfId="16997"/>
    <cellStyle name="Normal 370 3 2 2 2" xfId="34619"/>
    <cellStyle name="Normal 370 3 2 3" xfId="27582"/>
    <cellStyle name="Normal 370 3 3" xfId="13761"/>
    <cellStyle name="Normal 370 3 3 2" xfId="31387"/>
    <cellStyle name="Normal 370 3 4" xfId="24721"/>
    <cellStyle name="Normal 370 4" xfId="6541"/>
    <cellStyle name="Normal 370 4 2" xfId="9748"/>
    <cellStyle name="Normal 370 4 2 2" xfId="17536"/>
    <cellStyle name="Normal 370 4 2 2 2" xfId="35159"/>
    <cellStyle name="Normal 370 4 2 3" xfId="28118"/>
    <cellStyle name="Normal 370 4 3" xfId="14324"/>
    <cellStyle name="Normal 370 4 3 2" xfId="31945"/>
    <cellStyle name="Normal 370 4 4" xfId="25257"/>
    <cellStyle name="Normal 370 5" xfId="7316"/>
    <cellStyle name="Normal 370 5 2" xfId="10301"/>
    <cellStyle name="Normal 370 5 2 2" xfId="18088"/>
    <cellStyle name="Normal 370 5 2 2 2" xfId="35711"/>
    <cellStyle name="Normal 370 5 2 3" xfId="28654"/>
    <cellStyle name="Normal 370 5 3" xfId="15098"/>
    <cellStyle name="Normal 370 5 3 2" xfId="32719"/>
    <cellStyle name="Normal 370 5 4" xfId="25794"/>
    <cellStyle name="Normal 370 6" xfId="7914"/>
    <cellStyle name="Normal 370 6 2" xfId="15705"/>
    <cellStyle name="Normal 370 6 2 2" xfId="33326"/>
    <cellStyle name="Normal 370 6 3" xfId="26316"/>
    <cellStyle name="Normal 370 7" xfId="11868"/>
    <cellStyle name="Normal 370 7 2" xfId="29537"/>
    <cellStyle name="Normal 370 8" xfId="23455"/>
    <cellStyle name="Normal 370 9" xfId="52324"/>
    <cellStyle name="Normal 371" xfId="2717"/>
    <cellStyle name="Normal 371 2" xfId="4728"/>
    <cellStyle name="Normal 371 2 2" xfId="8596"/>
    <cellStyle name="Normal 371 2 2 2" xfId="16386"/>
    <cellStyle name="Normal 371 2 2 2 2" xfId="34007"/>
    <cellStyle name="Normal 371 2 2 3" xfId="26983"/>
    <cellStyle name="Normal 371 2 3" xfId="12881"/>
    <cellStyle name="Normal 371 2 3 2" xfId="30517"/>
    <cellStyle name="Normal 371 2 4" xfId="24122"/>
    <cellStyle name="Normal 371 3" xfId="5912"/>
    <cellStyle name="Normal 371 3 2" xfId="9209"/>
    <cellStyle name="Normal 371 3 2 2" xfId="16998"/>
    <cellStyle name="Normal 371 3 2 2 2" xfId="34620"/>
    <cellStyle name="Normal 371 3 2 3" xfId="27583"/>
    <cellStyle name="Normal 371 3 3" xfId="13762"/>
    <cellStyle name="Normal 371 3 3 2" xfId="31388"/>
    <cellStyle name="Normal 371 3 4" xfId="24722"/>
    <cellStyle name="Normal 371 4" xfId="6542"/>
    <cellStyle name="Normal 371 4 2" xfId="9749"/>
    <cellStyle name="Normal 371 4 2 2" xfId="17537"/>
    <cellStyle name="Normal 371 4 2 2 2" xfId="35160"/>
    <cellStyle name="Normal 371 4 2 3" xfId="28119"/>
    <cellStyle name="Normal 371 4 3" xfId="14325"/>
    <cellStyle name="Normal 371 4 3 2" xfId="31946"/>
    <cellStyle name="Normal 371 4 4" xfId="25258"/>
    <cellStyle name="Normal 371 5" xfId="7317"/>
    <cellStyle name="Normal 371 5 2" xfId="10302"/>
    <cellStyle name="Normal 371 5 2 2" xfId="18089"/>
    <cellStyle name="Normal 371 5 2 2 2" xfId="35712"/>
    <cellStyle name="Normal 371 5 2 3" xfId="28655"/>
    <cellStyle name="Normal 371 5 3" xfId="15099"/>
    <cellStyle name="Normal 371 5 3 2" xfId="32720"/>
    <cellStyle name="Normal 371 5 4" xfId="25795"/>
    <cellStyle name="Normal 371 6" xfId="7915"/>
    <cellStyle name="Normal 371 6 2" xfId="15706"/>
    <cellStyle name="Normal 371 6 2 2" xfId="33327"/>
    <cellStyle name="Normal 371 6 3" xfId="26317"/>
    <cellStyle name="Normal 371 7" xfId="11869"/>
    <cellStyle name="Normal 371 7 2" xfId="29538"/>
    <cellStyle name="Normal 371 8" xfId="23456"/>
    <cellStyle name="Normal 371 9" xfId="52325"/>
    <cellStyle name="Normal 372" xfId="2718"/>
    <cellStyle name="Normal 372 2" xfId="4729"/>
    <cellStyle name="Normal 372 2 2" xfId="8597"/>
    <cellStyle name="Normal 372 2 2 2" xfId="16387"/>
    <cellStyle name="Normal 372 2 2 2 2" xfId="34008"/>
    <cellStyle name="Normal 372 2 2 3" xfId="26984"/>
    <cellStyle name="Normal 372 2 3" xfId="12882"/>
    <cellStyle name="Normal 372 2 3 2" xfId="30518"/>
    <cellStyle name="Normal 372 2 4" xfId="24123"/>
    <cellStyle name="Normal 372 3" xfId="5913"/>
    <cellStyle name="Normal 372 3 2" xfId="9210"/>
    <cellStyle name="Normal 372 3 2 2" xfId="16999"/>
    <cellStyle name="Normal 372 3 2 2 2" xfId="34621"/>
    <cellStyle name="Normal 372 3 2 3" xfId="27584"/>
    <cellStyle name="Normal 372 3 3" xfId="13763"/>
    <cellStyle name="Normal 372 3 3 2" xfId="31389"/>
    <cellStyle name="Normal 372 3 4" xfId="24723"/>
    <cellStyle name="Normal 372 4" xfId="6543"/>
    <cellStyle name="Normal 372 4 2" xfId="9750"/>
    <cellStyle name="Normal 372 4 2 2" xfId="17538"/>
    <cellStyle name="Normal 372 4 2 2 2" xfId="35161"/>
    <cellStyle name="Normal 372 4 2 3" xfId="28120"/>
    <cellStyle name="Normal 372 4 3" xfId="14326"/>
    <cellStyle name="Normal 372 4 3 2" xfId="31947"/>
    <cellStyle name="Normal 372 4 4" xfId="25259"/>
    <cellStyle name="Normal 372 5" xfId="7318"/>
    <cellStyle name="Normal 372 5 2" xfId="10303"/>
    <cellStyle name="Normal 372 5 2 2" xfId="18090"/>
    <cellStyle name="Normal 372 5 2 2 2" xfId="35713"/>
    <cellStyle name="Normal 372 5 2 3" xfId="28656"/>
    <cellStyle name="Normal 372 5 3" xfId="15100"/>
    <cellStyle name="Normal 372 5 3 2" xfId="32721"/>
    <cellStyle name="Normal 372 5 4" xfId="25796"/>
    <cellStyle name="Normal 372 6" xfId="7916"/>
    <cellStyle name="Normal 372 6 2" xfId="15707"/>
    <cellStyle name="Normal 372 6 2 2" xfId="33328"/>
    <cellStyle name="Normal 372 6 3" xfId="26318"/>
    <cellStyle name="Normal 372 7" xfId="11870"/>
    <cellStyle name="Normal 372 7 2" xfId="29539"/>
    <cellStyle name="Normal 372 8" xfId="23457"/>
    <cellStyle name="Normal 372 9" xfId="52326"/>
    <cellStyle name="Normal 373" xfId="2719"/>
    <cellStyle name="Normal 373 2" xfId="4730"/>
    <cellStyle name="Normal 373 2 2" xfId="8598"/>
    <cellStyle name="Normal 373 2 2 2" xfId="16388"/>
    <cellStyle name="Normal 373 2 2 2 2" xfId="34009"/>
    <cellStyle name="Normal 373 2 2 3" xfId="26985"/>
    <cellStyle name="Normal 373 2 3" xfId="12883"/>
    <cellStyle name="Normal 373 2 3 2" xfId="30519"/>
    <cellStyle name="Normal 373 2 4" xfId="24124"/>
    <cellStyle name="Normal 373 3" xfId="5914"/>
    <cellStyle name="Normal 373 3 2" xfId="9211"/>
    <cellStyle name="Normal 373 3 2 2" xfId="17000"/>
    <cellStyle name="Normal 373 3 2 2 2" xfId="34622"/>
    <cellStyle name="Normal 373 3 2 3" xfId="27585"/>
    <cellStyle name="Normal 373 3 3" xfId="13764"/>
    <cellStyle name="Normal 373 3 3 2" xfId="31390"/>
    <cellStyle name="Normal 373 3 4" xfId="24724"/>
    <cellStyle name="Normal 373 4" xfId="6544"/>
    <cellStyle name="Normal 373 4 2" xfId="9751"/>
    <cellStyle name="Normal 373 4 2 2" xfId="17539"/>
    <cellStyle name="Normal 373 4 2 2 2" xfId="35162"/>
    <cellStyle name="Normal 373 4 2 3" xfId="28121"/>
    <cellStyle name="Normal 373 4 3" xfId="14327"/>
    <cellStyle name="Normal 373 4 3 2" xfId="31948"/>
    <cellStyle name="Normal 373 4 4" xfId="25260"/>
    <cellStyle name="Normal 373 5" xfId="7319"/>
    <cellStyle name="Normal 373 5 2" xfId="10304"/>
    <cellStyle name="Normal 373 5 2 2" xfId="18091"/>
    <cellStyle name="Normal 373 5 2 2 2" xfId="35714"/>
    <cellStyle name="Normal 373 5 2 3" xfId="28657"/>
    <cellStyle name="Normal 373 5 3" xfId="15101"/>
    <cellStyle name="Normal 373 5 3 2" xfId="32722"/>
    <cellStyle name="Normal 373 5 4" xfId="25797"/>
    <cellStyle name="Normal 373 6" xfId="7917"/>
    <cellStyle name="Normal 373 6 2" xfId="15708"/>
    <cellStyle name="Normal 373 6 2 2" xfId="33329"/>
    <cellStyle name="Normal 373 6 3" xfId="26319"/>
    <cellStyle name="Normal 373 7" xfId="11871"/>
    <cellStyle name="Normal 373 7 2" xfId="29540"/>
    <cellStyle name="Normal 373 8" xfId="23458"/>
    <cellStyle name="Normal 373 9" xfId="52327"/>
    <cellStyle name="Normal 374" xfId="2720"/>
    <cellStyle name="Normal 374 2" xfId="4731"/>
    <cellStyle name="Normal 374 2 2" xfId="8599"/>
    <cellStyle name="Normal 374 2 2 2" xfId="16389"/>
    <cellStyle name="Normal 374 2 2 2 2" xfId="34010"/>
    <cellStyle name="Normal 374 2 2 3" xfId="26986"/>
    <cellStyle name="Normal 374 2 3" xfId="12884"/>
    <cellStyle name="Normal 374 2 3 2" xfId="30520"/>
    <cellStyle name="Normal 374 2 4" xfId="24125"/>
    <cellStyle name="Normal 374 3" xfId="5915"/>
    <cellStyle name="Normal 374 3 2" xfId="9212"/>
    <cellStyle name="Normal 374 3 2 2" xfId="17001"/>
    <cellStyle name="Normal 374 3 2 2 2" xfId="34623"/>
    <cellStyle name="Normal 374 3 2 3" xfId="27586"/>
    <cellStyle name="Normal 374 3 3" xfId="13765"/>
    <cellStyle name="Normal 374 3 3 2" xfId="31391"/>
    <cellStyle name="Normal 374 3 4" xfId="24725"/>
    <cellStyle name="Normal 374 4" xfId="6545"/>
    <cellStyle name="Normal 374 4 2" xfId="9752"/>
    <cellStyle name="Normal 374 4 2 2" xfId="17540"/>
    <cellStyle name="Normal 374 4 2 2 2" xfId="35163"/>
    <cellStyle name="Normal 374 4 2 3" xfId="28122"/>
    <cellStyle name="Normal 374 4 3" xfId="14328"/>
    <cellStyle name="Normal 374 4 3 2" xfId="31949"/>
    <cellStyle name="Normal 374 4 4" xfId="25261"/>
    <cellStyle name="Normal 374 5" xfId="7320"/>
    <cellStyle name="Normal 374 5 2" xfId="10305"/>
    <cellStyle name="Normal 374 5 2 2" xfId="18092"/>
    <cellStyle name="Normal 374 5 2 2 2" xfId="35715"/>
    <cellStyle name="Normal 374 5 2 3" xfId="28658"/>
    <cellStyle name="Normal 374 5 3" xfId="15102"/>
    <cellStyle name="Normal 374 5 3 2" xfId="32723"/>
    <cellStyle name="Normal 374 5 4" xfId="25798"/>
    <cellStyle name="Normal 374 6" xfId="7918"/>
    <cellStyle name="Normal 374 6 2" xfId="15709"/>
    <cellStyle name="Normal 374 6 2 2" xfId="33330"/>
    <cellStyle name="Normal 374 6 3" xfId="26320"/>
    <cellStyle name="Normal 374 7" xfId="11872"/>
    <cellStyle name="Normal 374 7 2" xfId="29541"/>
    <cellStyle name="Normal 374 8" xfId="23459"/>
    <cellStyle name="Normal 374 9" xfId="52328"/>
    <cellStyle name="Normal 375" xfId="2721"/>
    <cellStyle name="Normal 375 2" xfId="4732"/>
    <cellStyle name="Normal 375 2 2" xfId="8600"/>
    <cellStyle name="Normal 375 2 2 2" xfId="16390"/>
    <cellStyle name="Normal 375 2 2 2 2" xfId="34011"/>
    <cellStyle name="Normal 375 2 2 3" xfId="26987"/>
    <cellStyle name="Normal 375 2 3" xfId="12885"/>
    <cellStyle name="Normal 375 2 3 2" xfId="30521"/>
    <cellStyle name="Normal 375 2 4" xfId="24126"/>
    <cellStyle name="Normal 375 3" xfId="5916"/>
    <cellStyle name="Normal 375 3 2" xfId="9213"/>
    <cellStyle name="Normal 375 3 2 2" xfId="17002"/>
    <cellStyle name="Normal 375 3 2 2 2" xfId="34624"/>
    <cellStyle name="Normal 375 3 2 3" xfId="27587"/>
    <cellStyle name="Normal 375 3 3" xfId="13766"/>
    <cellStyle name="Normal 375 3 3 2" xfId="31392"/>
    <cellStyle name="Normal 375 3 4" xfId="24726"/>
    <cellStyle name="Normal 375 4" xfId="6546"/>
    <cellStyle name="Normal 375 4 2" xfId="9753"/>
    <cellStyle name="Normal 375 4 2 2" xfId="17541"/>
    <cellStyle name="Normal 375 4 2 2 2" xfId="35164"/>
    <cellStyle name="Normal 375 4 2 3" xfId="28123"/>
    <cellStyle name="Normal 375 4 3" xfId="14329"/>
    <cellStyle name="Normal 375 4 3 2" xfId="31950"/>
    <cellStyle name="Normal 375 4 4" xfId="25262"/>
    <cellStyle name="Normal 375 5" xfId="7321"/>
    <cellStyle name="Normal 375 5 2" xfId="10306"/>
    <cellStyle name="Normal 375 5 2 2" xfId="18093"/>
    <cellStyle name="Normal 375 5 2 2 2" xfId="35716"/>
    <cellStyle name="Normal 375 5 2 3" xfId="28659"/>
    <cellStyle name="Normal 375 5 3" xfId="15103"/>
    <cellStyle name="Normal 375 5 3 2" xfId="32724"/>
    <cellStyle name="Normal 375 5 4" xfId="25799"/>
    <cellStyle name="Normal 375 6" xfId="7919"/>
    <cellStyle name="Normal 375 6 2" xfId="15710"/>
    <cellStyle name="Normal 375 6 2 2" xfId="33331"/>
    <cellStyle name="Normal 375 6 3" xfId="26321"/>
    <cellStyle name="Normal 375 7" xfId="11873"/>
    <cellStyle name="Normal 375 7 2" xfId="29542"/>
    <cellStyle name="Normal 375 8" xfId="23460"/>
    <cellStyle name="Normal 375 9" xfId="52329"/>
    <cellStyle name="Normal 376" xfId="2722"/>
    <cellStyle name="Normal 376 2" xfId="4733"/>
    <cellStyle name="Normal 376 2 2" xfId="8601"/>
    <cellStyle name="Normal 376 2 2 2" xfId="16391"/>
    <cellStyle name="Normal 376 2 2 2 2" xfId="34012"/>
    <cellStyle name="Normal 376 2 2 3" xfId="26988"/>
    <cellStyle name="Normal 376 2 3" xfId="12886"/>
    <cellStyle name="Normal 376 2 3 2" xfId="30522"/>
    <cellStyle name="Normal 376 2 4" xfId="24127"/>
    <cellStyle name="Normal 376 3" xfId="5917"/>
    <cellStyle name="Normal 376 3 2" xfId="9214"/>
    <cellStyle name="Normal 376 3 2 2" xfId="17003"/>
    <cellStyle name="Normal 376 3 2 2 2" xfId="34625"/>
    <cellStyle name="Normal 376 3 2 3" xfId="27588"/>
    <cellStyle name="Normal 376 3 3" xfId="13767"/>
    <cellStyle name="Normal 376 3 3 2" xfId="31393"/>
    <cellStyle name="Normal 376 3 4" xfId="24727"/>
    <cellStyle name="Normal 376 4" xfId="6547"/>
    <cellStyle name="Normal 376 4 2" xfId="9754"/>
    <cellStyle name="Normal 376 4 2 2" xfId="17542"/>
    <cellStyle name="Normal 376 4 2 2 2" xfId="35165"/>
    <cellStyle name="Normal 376 4 2 3" xfId="28124"/>
    <cellStyle name="Normal 376 4 3" xfId="14330"/>
    <cellStyle name="Normal 376 4 3 2" xfId="31951"/>
    <cellStyle name="Normal 376 4 4" xfId="25263"/>
    <cellStyle name="Normal 376 5" xfId="7322"/>
    <cellStyle name="Normal 376 5 2" xfId="10307"/>
    <cellStyle name="Normal 376 5 2 2" xfId="18094"/>
    <cellStyle name="Normal 376 5 2 2 2" xfId="35717"/>
    <cellStyle name="Normal 376 5 2 3" xfId="28660"/>
    <cellStyle name="Normal 376 5 3" xfId="15104"/>
    <cellStyle name="Normal 376 5 3 2" xfId="32725"/>
    <cellStyle name="Normal 376 5 4" xfId="25800"/>
    <cellStyle name="Normal 376 6" xfId="7920"/>
    <cellStyle name="Normal 376 6 2" xfId="15711"/>
    <cellStyle name="Normal 376 6 2 2" xfId="33332"/>
    <cellStyle name="Normal 376 6 3" xfId="26322"/>
    <cellStyle name="Normal 376 7" xfId="11874"/>
    <cellStyle name="Normal 376 7 2" xfId="29543"/>
    <cellStyle name="Normal 376 8" xfId="23461"/>
    <cellStyle name="Normal 376 9" xfId="52330"/>
    <cellStyle name="Normal 377" xfId="2723"/>
    <cellStyle name="Normal 377 2" xfId="4734"/>
    <cellStyle name="Normal 377 3" xfId="52331"/>
    <cellStyle name="Normal 378" xfId="2724"/>
    <cellStyle name="Normal 378 2" xfId="4735"/>
    <cellStyle name="Normal 378 3" xfId="52332"/>
    <cellStyle name="Normal 379" xfId="2725"/>
    <cellStyle name="Normal 379 2" xfId="4736"/>
    <cellStyle name="Normal 379 3" xfId="52333"/>
    <cellStyle name="Normal 38" xfId="2726"/>
    <cellStyle name="Normal 38 2" xfId="4737"/>
    <cellStyle name="Normal 38 2 2" xfId="22764"/>
    <cellStyle name="Normal 38 2 2 2" xfId="38957"/>
    <cellStyle name="Normal 38 3" xfId="22980"/>
    <cellStyle name="Normal 38 4" xfId="22555"/>
    <cellStyle name="Normal 38 4 2" xfId="38852"/>
    <cellStyle name="Normal 38 5" xfId="52334"/>
    <cellStyle name="Normal 380" xfId="2727"/>
    <cellStyle name="Normal 380 2" xfId="4738"/>
    <cellStyle name="Normal 380 3" xfId="52335"/>
    <cellStyle name="Normal 381" xfId="2728"/>
    <cellStyle name="Normal 381 2" xfId="4739"/>
    <cellStyle name="Normal 381 3" xfId="52336"/>
    <cellStyle name="Normal 382" xfId="2729"/>
    <cellStyle name="Normal 382 2" xfId="4740"/>
    <cellStyle name="Normal 382 3" xfId="52337"/>
    <cellStyle name="Normal 383" xfId="2730"/>
    <cellStyle name="Normal 383 2" xfId="4741"/>
    <cellStyle name="Normal 383 3" xfId="52338"/>
    <cellStyle name="Normal 384" xfId="2731"/>
    <cellStyle name="Normal 384 2" xfId="4742"/>
    <cellStyle name="Normal 384 2 2" xfId="8602"/>
    <cellStyle name="Normal 384 2 2 2" xfId="16392"/>
    <cellStyle name="Normal 384 2 2 2 2" xfId="34013"/>
    <cellStyle name="Normal 384 2 2 3" xfId="26989"/>
    <cellStyle name="Normal 384 2 3" xfId="12888"/>
    <cellStyle name="Normal 384 2 3 2" xfId="30524"/>
    <cellStyle name="Normal 384 2 4" xfId="24128"/>
    <cellStyle name="Normal 384 3" xfId="5918"/>
    <cellStyle name="Normal 384 3 2" xfId="9215"/>
    <cellStyle name="Normal 384 3 2 2" xfId="17004"/>
    <cellStyle name="Normal 384 3 2 2 2" xfId="34626"/>
    <cellStyle name="Normal 384 3 2 3" xfId="27589"/>
    <cellStyle name="Normal 384 3 3" xfId="13768"/>
    <cellStyle name="Normal 384 3 3 2" xfId="31394"/>
    <cellStyle name="Normal 384 3 4" xfId="24728"/>
    <cellStyle name="Normal 384 4" xfId="6548"/>
    <cellStyle name="Normal 384 4 2" xfId="9755"/>
    <cellStyle name="Normal 384 4 2 2" xfId="17543"/>
    <cellStyle name="Normal 384 4 2 2 2" xfId="35166"/>
    <cellStyle name="Normal 384 4 2 3" xfId="28125"/>
    <cellStyle name="Normal 384 4 3" xfId="14331"/>
    <cellStyle name="Normal 384 4 3 2" xfId="31952"/>
    <cellStyle name="Normal 384 4 4" xfId="25264"/>
    <cellStyle name="Normal 384 5" xfId="7323"/>
    <cellStyle name="Normal 384 5 2" xfId="10308"/>
    <cellStyle name="Normal 384 5 2 2" xfId="18095"/>
    <cellStyle name="Normal 384 5 2 2 2" xfId="35718"/>
    <cellStyle name="Normal 384 5 2 3" xfId="28661"/>
    <cellStyle name="Normal 384 5 3" xfId="15105"/>
    <cellStyle name="Normal 384 5 3 2" xfId="32726"/>
    <cellStyle name="Normal 384 5 4" xfId="25801"/>
    <cellStyle name="Normal 384 6" xfId="7921"/>
    <cellStyle name="Normal 384 6 2" xfId="15712"/>
    <cellStyle name="Normal 384 6 2 2" xfId="33333"/>
    <cellStyle name="Normal 384 6 3" xfId="26323"/>
    <cellStyle name="Normal 384 7" xfId="11875"/>
    <cellStyle name="Normal 384 7 2" xfId="29544"/>
    <cellStyle name="Normal 384 8" xfId="23462"/>
    <cellStyle name="Normal 384 9" xfId="52339"/>
    <cellStyle name="Normal 385" xfId="2732"/>
    <cellStyle name="Normal 385 2" xfId="4743"/>
    <cellStyle name="Normal 385 3" xfId="52340"/>
    <cellStyle name="Normal 386" xfId="2733"/>
    <cellStyle name="Normal 386 2" xfId="4744"/>
    <cellStyle name="Normal 386 3" xfId="52341"/>
    <cellStyle name="Normal 387" xfId="2734"/>
    <cellStyle name="Normal 387 2" xfId="4745"/>
    <cellStyle name="Normal 387 3" xfId="52342"/>
    <cellStyle name="Normal 388" xfId="2735"/>
    <cellStyle name="Normal 388 2" xfId="4746"/>
    <cellStyle name="Normal 388 3" xfId="52343"/>
    <cellStyle name="Normal 389" xfId="2736"/>
    <cellStyle name="Normal 389 2" xfId="4747"/>
    <cellStyle name="Normal 389 3" xfId="52344"/>
    <cellStyle name="Normal 39" xfId="2737"/>
    <cellStyle name="Normal 39 2" xfId="4748"/>
    <cellStyle name="Normal 39 2 2" xfId="22765"/>
    <cellStyle name="Normal 39 2 2 2" xfId="38958"/>
    <cellStyle name="Normal 39 3" xfId="22981"/>
    <cellStyle name="Normal 39 4" xfId="22556"/>
    <cellStyle name="Normal 39 4 2" xfId="38853"/>
    <cellStyle name="Normal 39 5" xfId="52345"/>
    <cellStyle name="Normal 390" xfId="2738"/>
    <cellStyle name="Normal 390 2" xfId="4749"/>
    <cellStyle name="Normal 390 2 2" xfId="8603"/>
    <cellStyle name="Normal 390 2 2 2" xfId="16393"/>
    <cellStyle name="Normal 390 2 2 2 2" xfId="34014"/>
    <cellStyle name="Normal 390 2 2 3" xfId="26990"/>
    <cellStyle name="Normal 390 2 3" xfId="12891"/>
    <cellStyle name="Normal 390 2 3 2" xfId="30527"/>
    <cellStyle name="Normal 390 2 4" xfId="24129"/>
    <cellStyle name="Normal 390 3" xfId="5919"/>
    <cellStyle name="Normal 390 3 2" xfId="9216"/>
    <cellStyle name="Normal 390 3 2 2" xfId="17005"/>
    <cellStyle name="Normal 390 3 2 2 2" xfId="34627"/>
    <cellStyle name="Normal 390 3 2 3" xfId="27590"/>
    <cellStyle name="Normal 390 3 3" xfId="13769"/>
    <cellStyle name="Normal 390 3 3 2" xfId="31395"/>
    <cellStyle name="Normal 390 3 4" xfId="24729"/>
    <cellStyle name="Normal 390 4" xfId="6549"/>
    <cellStyle name="Normal 390 4 2" xfId="9756"/>
    <cellStyle name="Normal 390 4 2 2" xfId="17544"/>
    <cellStyle name="Normal 390 4 2 2 2" xfId="35167"/>
    <cellStyle name="Normal 390 4 2 3" xfId="28126"/>
    <cellStyle name="Normal 390 4 3" xfId="14332"/>
    <cellStyle name="Normal 390 4 3 2" xfId="31953"/>
    <cellStyle name="Normal 390 4 4" xfId="25265"/>
    <cellStyle name="Normal 390 5" xfId="7324"/>
    <cellStyle name="Normal 390 5 2" xfId="10309"/>
    <cellStyle name="Normal 390 5 2 2" xfId="18096"/>
    <cellStyle name="Normal 390 5 2 2 2" xfId="35719"/>
    <cellStyle name="Normal 390 5 2 3" xfId="28662"/>
    <cellStyle name="Normal 390 5 3" xfId="15106"/>
    <cellStyle name="Normal 390 5 3 2" xfId="32727"/>
    <cellStyle name="Normal 390 5 4" xfId="25802"/>
    <cellStyle name="Normal 390 6" xfId="7922"/>
    <cellStyle name="Normal 390 6 2" xfId="15713"/>
    <cellStyle name="Normal 390 6 2 2" xfId="33334"/>
    <cellStyle name="Normal 390 6 3" xfId="26324"/>
    <cellStyle name="Normal 390 7" xfId="11878"/>
    <cellStyle name="Normal 390 7 2" xfId="29547"/>
    <cellStyle name="Normal 390 8" xfId="23463"/>
    <cellStyle name="Normal 390 9" xfId="52346"/>
    <cellStyle name="Normal 391" xfId="2739"/>
    <cellStyle name="Normal 391 2" xfId="4750"/>
    <cellStyle name="Normal 391 3" xfId="52347"/>
    <cellStyle name="Normal 392" xfId="2740"/>
    <cellStyle name="Normal 392 2" xfId="4751"/>
    <cellStyle name="Normal 392 3" xfId="52348"/>
    <cellStyle name="Normal 393" xfId="2741"/>
    <cellStyle name="Normal 393 2" xfId="4752"/>
    <cellStyle name="Normal 393 3" xfId="52349"/>
    <cellStyle name="Normal 394" xfId="2742"/>
    <cellStyle name="Normal 394 2" xfId="4753"/>
    <cellStyle name="Normal 394 3" xfId="52350"/>
    <cellStyle name="Normal 395" xfId="2743"/>
    <cellStyle name="Normal 395 2" xfId="4754"/>
    <cellStyle name="Normal 395 3" xfId="52351"/>
    <cellStyle name="Normal 396" xfId="2744"/>
    <cellStyle name="Normal 396 2" xfId="4755"/>
    <cellStyle name="Normal 396 2 2" xfId="8604"/>
    <cellStyle name="Normal 396 2 2 2" xfId="16394"/>
    <cellStyle name="Normal 396 2 2 2 2" xfId="34015"/>
    <cellStyle name="Normal 396 2 2 3" xfId="26991"/>
    <cellStyle name="Normal 396 2 3" xfId="12892"/>
    <cellStyle name="Normal 396 2 3 2" xfId="30528"/>
    <cellStyle name="Normal 396 2 4" xfId="24130"/>
    <cellStyle name="Normal 396 3" xfId="5920"/>
    <cellStyle name="Normal 396 3 2" xfId="9217"/>
    <cellStyle name="Normal 396 3 2 2" xfId="17006"/>
    <cellStyle name="Normal 396 3 2 2 2" xfId="34628"/>
    <cellStyle name="Normal 396 3 2 3" xfId="27591"/>
    <cellStyle name="Normal 396 3 3" xfId="13770"/>
    <cellStyle name="Normal 396 3 3 2" xfId="31396"/>
    <cellStyle name="Normal 396 3 4" xfId="24730"/>
    <cellStyle name="Normal 396 4" xfId="6550"/>
    <cellStyle name="Normal 396 4 2" xfId="9757"/>
    <cellStyle name="Normal 396 4 2 2" xfId="17545"/>
    <cellStyle name="Normal 396 4 2 2 2" xfId="35168"/>
    <cellStyle name="Normal 396 4 2 3" xfId="28127"/>
    <cellStyle name="Normal 396 4 3" xfId="14333"/>
    <cellStyle name="Normal 396 4 3 2" xfId="31954"/>
    <cellStyle name="Normal 396 4 4" xfId="25266"/>
    <cellStyle name="Normal 396 5" xfId="7325"/>
    <cellStyle name="Normal 396 5 2" xfId="10310"/>
    <cellStyle name="Normal 396 5 2 2" xfId="18097"/>
    <cellStyle name="Normal 396 5 2 2 2" xfId="35720"/>
    <cellStyle name="Normal 396 5 2 3" xfId="28663"/>
    <cellStyle name="Normal 396 5 3" xfId="15107"/>
    <cellStyle name="Normal 396 5 3 2" xfId="32728"/>
    <cellStyle name="Normal 396 5 4" xfId="25803"/>
    <cellStyle name="Normal 396 6" xfId="7923"/>
    <cellStyle name="Normal 396 6 2" xfId="15714"/>
    <cellStyle name="Normal 396 6 2 2" xfId="33335"/>
    <cellStyle name="Normal 396 6 3" xfId="26325"/>
    <cellStyle name="Normal 396 7" xfId="11879"/>
    <cellStyle name="Normal 396 7 2" xfId="29548"/>
    <cellStyle name="Normal 396 8" xfId="23464"/>
    <cellStyle name="Normal 396 9" xfId="52352"/>
    <cellStyle name="Normal 397" xfId="2745"/>
    <cellStyle name="Normal 397 2" xfId="4756"/>
    <cellStyle name="Normal 397 3" xfId="52353"/>
    <cellStyle name="Normal 398" xfId="2746"/>
    <cellStyle name="Normal 398 2" xfId="4757"/>
    <cellStyle name="Normal 398 3" xfId="52354"/>
    <cellStyle name="Normal 399" xfId="2747"/>
    <cellStyle name="Normal 399 2" xfId="4758"/>
    <cellStyle name="Normal 399 2 2" xfId="8605"/>
    <cellStyle name="Normal 399 2 2 2" xfId="16395"/>
    <cellStyle name="Normal 399 2 2 2 2" xfId="34016"/>
    <cellStyle name="Normal 399 2 2 3" xfId="26992"/>
    <cellStyle name="Normal 399 2 3" xfId="12893"/>
    <cellStyle name="Normal 399 2 3 2" xfId="30529"/>
    <cellStyle name="Normal 399 2 4" xfId="24131"/>
    <cellStyle name="Normal 399 3" xfId="5921"/>
    <cellStyle name="Normal 399 3 2" xfId="9218"/>
    <cellStyle name="Normal 399 3 2 2" xfId="17007"/>
    <cellStyle name="Normal 399 3 2 2 2" xfId="34629"/>
    <cellStyle name="Normal 399 3 2 3" xfId="27592"/>
    <cellStyle name="Normal 399 3 3" xfId="13771"/>
    <cellStyle name="Normal 399 3 3 2" xfId="31397"/>
    <cellStyle name="Normal 399 3 4" xfId="24731"/>
    <cellStyle name="Normal 399 4" xfId="6551"/>
    <cellStyle name="Normal 399 4 2" xfId="9758"/>
    <cellStyle name="Normal 399 4 2 2" xfId="17546"/>
    <cellStyle name="Normal 399 4 2 2 2" xfId="35169"/>
    <cellStyle name="Normal 399 4 2 3" xfId="28128"/>
    <cellStyle name="Normal 399 4 3" xfId="14334"/>
    <cellStyle name="Normal 399 4 3 2" xfId="31955"/>
    <cellStyle name="Normal 399 4 4" xfId="25267"/>
    <cellStyle name="Normal 399 5" xfId="7326"/>
    <cellStyle name="Normal 399 5 2" xfId="10311"/>
    <cellStyle name="Normal 399 5 2 2" xfId="18098"/>
    <cellStyle name="Normal 399 5 2 2 2" xfId="35721"/>
    <cellStyle name="Normal 399 5 2 3" xfId="28664"/>
    <cellStyle name="Normal 399 5 3" xfId="15108"/>
    <cellStyle name="Normal 399 5 3 2" xfId="32729"/>
    <cellStyle name="Normal 399 5 4" xfId="25804"/>
    <cellStyle name="Normal 399 6" xfId="7924"/>
    <cellStyle name="Normal 399 6 2" xfId="15715"/>
    <cellStyle name="Normal 399 6 2 2" xfId="33336"/>
    <cellStyle name="Normal 399 6 3" xfId="26326"/>
    <cellStyle name="Normal 399 7" xfId="11880"/>
    <cellStyle name="Normal 399 7 2" xfId="29549"/>
    <cellStyle name="Normal 399 8" xfId="23465"/>
    <cellStyle name="Normal 399 9" xfId="52355"/>
    <cellStyle name="Normal 4" xfId="121"/>
    <cellStyle name="Normal 4 2" xfId="122"/>
    <cellStyle name="Normal 4 2 2" xfId="123"/>
    <cellStyle name="Normal 4 2 3" xfId="52357"/>
    <cellStyle name="Normal 4 3" xfId="124"/>
    <cellStyle name="Normal 4 3 2" xfId="125"/>
    <cellStyle name="Normal 4 4" xfId="126"/>
    <cellStyle name="Normal 4 5" xfId="52356"/>
    <cellStyle name="Normal 40" xfId="2748"/>
    <cellStyle name="Normal 40 2" xfId="4759"/>
    <cellStyle name="Normal 40 2 2" xfId="22766"/>
    <cellStyle name="Normal 40 2 2 2" xfId="38959"/>
    <cellStyle name="Normal 40 3" xfId="22982"/>
    <cellStyle name="Normal 40 4" xfId="22557"/>
    <cellStyle name="Normal 40 4 2" xfId="38854"/>
    <cellStyle name="Normal 40 5" xfId="52358"/>
    <cellStyle name="Normal 400" xfId="2749"/>
    <cellStyle name="Normal 400 2" xfId="4760"/>
    <cellStyle name="Normal 400 2 2" xfId="8606"/>
    <cellStyle name="Normal 400 2 2 2" xfId="16396"/>
    <cellStyle name="Normal 400 2 2 2 2" xfId="34017"/>
    <cellStyle name="Normal 400 2 2 3" xfId="26993"/>
    <cellStyle name="Normal 400 2 3" xfId="12894"/>
    <cellStyle name="Normal 400 2 3 2" xfId="30530"/>
    <cellStyle name="Normal 400 2 4" xfId="24132"/>
    <cellStyle name="Normal 400 3" xfId="5922"/>
    <cellStyle name="Normal 400 3 2" xfId="9219"/>
    <cellStyle name="Normal 400 3 2 2" xfId="17008"/>
    <cellStyle name="Normal 400 3 2 2 2" xfId="34630"/>
    <cellStyle name="Normal 400 3 2 3" xfId="27593"/>
    <cellStyle name="Normal 400 3 3" xfId="13772"/>
    <cellStyle name="Normal 400 3 3 2" xfId="31398"/>
    <cellStyle name="Normal 400 3 4" xfId="24732"/>
    <cellStyle name="Normal 400 4" xfId="6552"/>
    <cellStyle name="Normal 400 4 2" xfId="9759"/>
    <cellStyle name="Normal 400 4 2 2" xfId="17547"/>
    <cellStyle name="Normal 400 4 2 2 2" xfId="35170"/>
    <cellStyle name="Normal 400 4 2 3" xfId="28129"/>
    <cellStyle name="Normal 400 4 3" xfId="14335"/>
    <cellStyle name="Normal 400 4 3 2" xfId="31956"/>
    <cellStyle name="Normal 400 4 4" xfId="25268"/>
    <cellStyle name="Normal 400 5" xfId="7327"/>
    <cellStyle name="Normal 400 5 2" xfId="10312"/>
    <cellStyle name="Normal 400 5 2 2" xfId="18099"/>
    <cellStyle name="Normal 400 5 2 2 2" xfId="35722"/>
    <cellStyle name="Normal 400 5 2 3" xfId="28665"/>
    <cellStyle name="Normal 400 5 3" xfId="15109"/>
    <cellStyle name="Normal 400 5 3 2" xfId="32730"/>
    <cellStyle name="Normal 400 5 4" xfId="25805"/>
    <cellStyle name="Normal 400 6" xfId="7925"/>
    <cellStyle name="Normal 400 6 2" xfId="15716"/>
    <cellStyle name="Normal 400 6 2 2" xfId="33337"/>
    <cellStyle name="Normal 400 6 3" xfId="26327"/>
    <cellStyle name="Normal 400 7" xfId="11881"/>
    <cellStyle name="Normal 400 7 2" xfId="29550"/>
    <cellStyle name="Normal 400 8" xfId="23466"/>
    <cellStyle name="Normal 400 9" xfId="52359"/>
    <cellStyle name="Normal 401" xfId="2750"/>
    <cellStyle name="Normal 401 2" xfId="4761"/>
    <cellStyle name="Normal 401 3" xfId="52360"/>
    <cellStyle name="Normal 402" xfId="2751"/>
    <cellStyle name="Normal 402 2" xfId="4762"/>
    <cellStyle name="Normal 402 2 2" xfId="8607"/>
    <cellStyle name="Normal 402 2 2 2" xfId="16397"/>
    <cellStyle name="Normal 402 2 2 2 2" xfId="34018"/>
    <cellStyle name="Normal 402 2 2 3" xfId="26994"/>
    <cellStyle name="Normal 402 2 3" xfId="12895"/>
    <cellStyle name="Normal 402 2 3 2" xfId="30531"/>
    <cellStyle name="Normal 402 2 4" xfId="24133"/>
    <cellStyle name="Normal 402 3" xfId="5923"/>
    <cellStyle name="Normal 402 3 2" xfId="9220"/>
    <cellStyle name="Normal 402 3 2 2" xfId="17009"/>
    <cellStyle name="Normal 402 3 2 2 2" xfId="34631"/>
    <cellStyle name="Normal 402 3 2 3" xfId="27594"/>
    <cellStyle name="Normal 402 3 3" xfId="13773"/>
    <cellStyle name="Normal 402 3 3 2" xfId="31399"/>
    <cellStyle name="Normal 402 3 4" xfId="24733"/>
    <cellStyle name="Normal 402 4" xfId="6553"/>
    <cellStyle name="Normal 402 4 2" xfId="9760"/>
    <cellStyle name="Normal 402 4 2 2" xfId="17548"/>
    <cellStyle name="Normal 402 4 2 2 2" xfId="35171"/>
    <cellStyle name="Normal 402 4 2 3" xfId="28130"/>
    <cellStyle name="Normal 402 4 3" xfId="14336"/>
    <cellStyle name="Normal 402 4 3 2" xfId="31957"/>
    <cellStyle name="Normal 402 4 4" xfId="25269"/>
    <cellStyle name="Normal 402 5" xfId="7328"/>
    <cellStyle name="Normal 402 5 2" xfId="10313"/>
    <cellStyle name="Normal 402 5 2 2" xfId="18100"/>
    <cellStyle name="Normal 402 5 2 2 2" xfId="35723"/>
    <cellStyle name="Normal 402 5 2 3" xfId="28666"/>
    <cellStyle name="Normal 402 5 3" xfId="15110"/>
    <cellStyle name="Normal 402 5 3 2" xfId="32731"/>
    <cellStyle name="Normal 402 5 4" xfId="25806"/>
    <cellStyle name="Normal 402 6" xfId="7926"/>
    <cellStyle name="Normal 402 6 2" xfId="15717"/>
    <cellStyle name="Normal 402 6 2 2" xfId="33338"/>
    <cellStyle name="Normal 402 6 3" xfId="26328"/>
    <cellStyle name="Normal 402 7" xfId="11882"/>
    <cellStyle name="Normal 402 7 2" xfId="29551"/>
    <cellStyle name="Normal 402 8" xfId="23467"/>
    <cellStyle name="Normal 402 9" xfId="52361"/>
    <cellStyle name="Normal 403" xfId="2752"/>
    <cellStyle name="Normal 403 2" xfId="4763"/>
    <cellStyle name="Normal 403 2 2" xfId="8608"/>
    <cellStyle name="Normal 403 2 2 2" xfId="16398"/>
    <cellStyle name="Normal 403 2 2 2 2" xfId="34019"/>
    <cellStyle name="Normal 403 2 2 3" xfId="26995"/>
    <cellStyle name="Normal 403 2 3" xfId="12896"/>
    <cellStyle name="Normal 403 2 3 2" xfId="30532"/>
    <cellStyle name="Normal 403 2 4" xfId="24134"/>
    <cellStyle name="Normal 403 3" xfId="5924"/>
    <cellStyle name="Normal 403 3 2" xfId="9221"/>
    <cellStyle name="Normal 403 3 2 2" xfId="17010"/>
    <cellStyle name="Normal 403 3 2 2 2" xfId="34632"/>
    <cellStyle name="Normal 403 3 2 3" xfId="27595"/>
    <cellStyle name="Normal 403 3 3" xfId="13774"/>
    <cellStyle name="Normal 403 3 3 2" xfId="31400"/>
    <cellStyle name="Normal 403 3 4" xfId="24734"/>
    <cellStyle name="Normal 403 4" xfId="6554"/>
    <cellStyle name="Normal 403 4 2" xfId="9761"/>
    <cellStyle name="Normal 403 4 2 2" xfId="17549"/>
    <cellStyle name="Normal 403 4 2 2 2" xfId="35172"/>
    <cellStyle name="Normal 403 4 2 3" xfId="28131"/>
    <cellStyle name="Normal 403 4 3" xfId="14337"/>
    <cellStyle name="Normal 403 4 3 2" xfId="31958"/>
    <cellStyle name="Normal 403 4 4" xfId="25270"/>
    <cellStyle name="Normal 403 5" xfId="7329"/>
    <cellStyle name="Normal 403 5 2" xfId="10314"/>
    <cellStyle name="Normal 403 5 2 2" xfId="18101"/>
    <cellStyle name="Normal 403 5 2 2 2" xfId="35724"/>
    <cellStyle name="Normal 403 5 2 3" xfId="28667"/>
    <cellStyle name="Normal 403 5 3" xfId="15111"/>
    <cellStyle name="Normal 403 5 3 2" xfId="32732"/>
    <cellStyle name="Normal 403 5 4" xfId="25807"/>
    <cellStyle name="Normal 403 6" xfId="7927"/>
    <cellStyle name="Normal 403 6 2" xfId="15718"/>
    <cellStyle name="Normal 403 6 2 2" xfId="33339"/>
    <cellStyle name="Normal 403 6 3" xfId="26329"/>
    <cellStyle name="Normal 403 7" xfId="11883"/>
    <cellStyle name="Normal 403 7 2" xfId="29552"/>
    <cellStyle name="Normal 403 8" xfId="23468"/>
    <cellStyle name="Normal 403 9" xfId="52362"/>
    <cellStyle name="Normal 404" xfId="2753"/>
    <cellStyle name="Normal 404 2" xfId="4764"/>
    <cellStyle name="Normal 404 2 2" xfId="8609"/>
    <cellStyle name="Normal 404 2 2 2" xfId="16399"/>
    <cellStyle name="Normal 404 2 2 2 2" xfId="34020"/>
    <cellStyle name="Normal 404 2 2 3" xfId="26996"/>
    <cellStyle name="Normal 404 2 3" xfId="12897"/>
    <cellStyle name="Normal 404 2 3 2" xfId="30533"/>
    <cellStyle name="Normal 404 2 4" xfId="24135"/>
    <cellStyle name="Normal 404 3" xfId="5925"/>
    <cellStyle name="Normal 404 3 2" xfId="9222"/>
    <cellStyle name="Normal 404 3 2 2" xfId="17011"/>
    <cellStyle name="Normal 404 3 2 2 2" xfId="34633"/>
    <cellStyle name="Normal 404 3 2 3" xfId="27596"/>
    <cellStyle name="Normal 404 3 3" xfId="13775"/>
    <cellStyle name="Normal 404 3 3 2" xfId="31401"/>
    <cellStyle name="Normal 404 3 4" xfId="24735"/>
    <cellStyle name="Normal 404 4" xfId="6555"/>
    <cellStyle name="Normal 404 4 2" xfId="9762"/>
    <cellStyle name="Normal 404 4 2 2" xfId="17550"/>
    <cellStyle name="Normal 404 4 2 2 2" xfId="35173"/>
    <cellStyle name="Normal 404 4 2 3" xfId="28132"/>
    <cellStyle name="Normal 404 4 3" xfId="14338"/>
    <cellStyle name="Normal 404 4 3 2" xfId="31959"/>
    <cellStyle name="Normal 404 4 4" xfId="25271"/>
    <cellStyle name="Normal 404 5" xfId="7330"/>
    <cellStyle name="Normal 404 5 2" xfId="10315"/>
    <cellStyle name="Normal 404 5 2 2" xfId="18102"/>
    <cellStyle name="Normal 404 5 2 2 2" xfId="35725"/>
    <cellStyle name="Normal 404 5 2 3" xfId="28668"/>
    <cellStyle name="Normal 404 5 3" xfId="15112"/>
    <cellStyle name="Normal 404 5 3 2" xfId="32733"/>
    <cellStyle name="Normal 404 5 4" xfId="25808"/>
    <cellStyle name="Normal 404 6" xfId="7928"/>
    <cellStyle name="Normal 404 6 2" xfId="15719"/>
    <cellStyle name="Normal 404 6 2 2" xfId="33340"/>
    <cellStyle name="Normal 404 6 3" xfId="26330"/>
    <cellStyle name="Normal 404 7" xfId="11884"/>
    <cellStyle name="Normal 404 7 2" xfId="29553"/>
    <cellStyle name="Normal 404 8" xfId="23469"/>
    <cellStyle name="Normal 404 9" xfId="52363"/>
    <cellStyle name="Normal 405" xfId="2754"/>
    <cellStyle name="Normal 405 2" xfId="4765"/>
    <cellStyle name="Normal 405 2 2" xfId="8610"/>
    <cellStyle name="Normal 405 2 2 2" xfId="16400"/>
    <cellStyle name="Normal 405 2 2 2 2" xfId="34021"/>
    <cellStyle name="Normal 405 2 2 3" xfId="26997"/>
    <cellStyle name="Normal 405 2 3" xfId="12898"/>
    <cellStyle name="Normal 405 2 3 2" xfId="30534"/>
    <cellStyle name="Normal 405 2 4" xfId="24136"/>
    <cellStyle name="Normal 405 3" xfId="5926"/>
    <cellStyle name="Normal 405 3 2" xfId="9223"/>
    <cellStyle name="Normal 405 3 2 2" xfId="17012"/>
    <cellStyle name="Normal 405 3 2 2 2" xfId="34634"/>
    <cellStyle name="Normal 405 3 2 3" xfId="27597"/>
    <cellStyle name="Normal 405 3 3" xfId="13776"/>
    <cellStyle name="Normal 405 3 3 2" xfId="31402"/>
    <cellStyle name="Normal 405 3 4" xfId="24736"/>
    <cellStyle name="Normal 405 4" xfId="6556"/>
    <cellStyle name="Normal 405 4 2" xfId="9763"/>
    <cellStyle name="Normal 405 4 2 2" xfId="17551"/>
    <cellStyle name="Normal 405 4 2 2 2" xfId="35174"/>
    <cellStyle name="Normal 405 4 2 3" xfId="28133"/>
    <cellStyle name="Normal 405 4 3" xfId="14339"/>
    <cellStyle name="Normal 405 4 3 2" xfId="31960"/>
    <cellStyle name="Normal 405 4 4" xfId="25272"/>
    <cellStyle name="Normal 405 5" xfId="7331"/>
    <cellStyle name="Normal 405 5 2" xfId="10316"/>
    <cellStyle name="Normal 405 5 2 2" xfId="18103"/>
    <cellStyle name="Normal 405 5 2 2 2" xfId="35726"/>
    <cellStyle name="Normal 405 5 2 3" xfId="28669"/>
    <cellStyle name="Normal 405 5 3" xfId="15113"/>
    <cellStyle name="Normal 405 5 3 2" xfId="32734"/>
    <cellStyle name="Normal 405 5 4" xfId="25809"/>
    <cellStyle name="Normal 405 6" xfId="7929"/>
    <cellStyle name="Normal 405 6 2" xfId="15720"/>
    <cellStyle name="Normal 405 6 2 2" xfId="33341"/>
    <cellStyle name="Normal 405 6 3" xfId="26331"/>
    <cellStyle name="Normal 405 7" xfId="11885"/>
    <cellStyle name="Normal 405 7 2" xfId="29554"/>
    <cellStyle name="Normal 405 8" xfId="23470"/>
    <cellStyle name="Normal 405 9" xfId="52364"/>
    <cellStyle name="Normal 406" xfId="2755"/>
    <cellStyle name="Normal 406 2" xfId="4766"/>
    <cellStyle name="Normal 406 2 2" xfId="8611"/>
    <cellStyle name="Normal 406 2 2 2" xfId="16401"/>
    <cellStyle name="Normal 406 2 2 2 2" xfId="34022"/>
    <cellStyle name="Normal 406 2 2 3" xfId="26998"/>
    <cellStyle name="Normal 406 2 3" xfId="12899"/>
    <cellStyle name="Normal 406 2 3 2" xfId="30535"/>
    <cellStyle name="Normal 406 2 4" xfId="24137"/>
    <cellStyle name="Normal 406 3" xfId="5927"/>
    <cellStyle name="Normal 406 3 2" xfId="9224"/>
    <cellStyle name="Normal 406 3 2 2" xfId="17013"/>
    <cellStyle name="Normal 406 3 2 2 2" xfId="34635"/>
    <cellStyle name="Normal 406 3 2 3" xfId="27598"/>
    <cellStyle name="Normal 406 3 3" xfId="13777"/>
    <cellStyle name="Normal 406 3 3 2" xfId="31403"/>
    <cellStyle name="Normal 406 3 4" xfId="24737"/>
    <cellStyle name="Normal 406 4" xfId="6557"/>
    <cellStyle name="Normal 406 4 2" xfId="9764"/>
    <cellStyle name="Normal 406 4 2 2" xfId="17552"/>
    <cellStyle name="Normal 406 4 2 2 2" xfId="35175"/>
    <cellStyle name="Normal 406 4 2 3" xfId="28134"/>
    <cellStyle name="Normal 406 4 3" xfId="14340"/>
    <cellStyle name="Normal 406 4 3 2" xfId="31961"/>
    <cellStyle name="Normal 406 4 4" xfId="25273"/>
    <cellStyle name="Normal 406 5" xfId="7332"/>
    <cellStyle name="Normal 406 5 2" xfId="10317"/>
    <cellStyle name="Normal 406 5 2 2" xfId="18104"/>
    <cellStyle name="Normal 406 5 2 2 2" xfId="35727"/>
    <cellStyle name="Normal 406 5 2 3" xfId="28670"/>
    <cellStyle name="Normal 406 5 3" xfId="15114"/>
    <cellStyle name="Normal 406 5 3 2" xfId="32735"/>
    <cellStyle name="Normal 406 5 4" xfId="25810"/>
    <cellStyle name="Normal 406 6" xfId="7930"/>
    <cellStyle name="Normal 406 6 2" xfId="15721"/>
    <cellStyle name="Normal 406 6 2 2" xfId="33342"/>
    <cellStyle name="Normal 406 6 3" xfId="26332"/>
    <cellStyle name="Normal 406 7" xfId="11886"/>
    <cellStyle name="Normal 406 7 2" xfId="29555"/>
    <cellStyle name="Normal 406 8" xfId="23471"/>
    <cellStyle name="Normal 406 9" xfId="52365"/>
    <cellStyle name="Normal 407" xfId="2756"/>
    <cellStyle name="Normal 407 2" xfId="4767"/>
    <cellStyle name="Normal 407 2 2" xfId="8612"/>
    <cellStyle name="Normal 407 2 2 2" xfId="16402"/>
    <cellStyle name="Normal 407 2 2 2 2" xfId="34023"/>
    <cellStyle name="Normal 407 2 2 3" xfId="26999"/>
    <cellStyle name="Normal 407 2 3" xfId="12900"/>
    <cellStyle name="Normal 407 2 3 2" xfId="30536"/>
    <cellStyle name="Normal 407 2 4" xfId="24138"/>
    <cellStyle name="Normal 407 3" xfId="5928"/>
    <cellStyle name="Normal 407 3 2" xfId="9225"/>
    <cellStyle name="Normal 407 3 2 2" xfId="17014"/>
    <cellStyle name="Normal 407 3 2 2 2" xfId="34636"/>
    <cellStyle name="Normal 407 3 2 3" xfId="27599"/>
    <cellStyle name="Normal 407 3 3" xfId="13778"/>
    <cellStyle name="Normal 407 3 3 2" xfId="31404"/>
    <cellStyle name="Normal 407 3 4" xfId="24738"/>
    <cellStyle name="Normal 407 4" xfId="6558"/>
    <cellStyle name="Normal 407 4 2" xfId="9765"/>
    <cellStyle name="Normal 407 4 2 2" xfId="17553"/>
    <cellStyle name="Normal 407 4 2 2 2" xfId="35176"/>
    <cellStyle name="Normal 407 4 2 3" xfId="28135"/>
    <cellStyle name="Normal 407 4 3" xfId="14341"/>
    <cellStyle name="Normal 407 4 3 2" xfId="31962"/>
    <cellStyle name="Normal 407 4 4" xfId="25274"/>
    <cellStyle name="Normal 407 5" xfId="7333"/>
    <cellStyle name="Normal 407 5 2" xfId="10318"/>
    <cellStyle name="Normal 407 5 2 2" xfId="18105"/>
    <cellStyle name="Normal 407 5 2 2 2" xfId="35728"/>
    <cellStyle name="Normal 407 5 2 3" xfId="28671"/>
    <cellStyle name="Normal 407 5 3" xfId="15115"/>
    <cellStyle name="Normal 407 5 3 2" xfId="32736"/>
    <cellStyle name="Normal 407 5 4" xfId="25811"/>
    <cellStyle name="Normal 407 6" xfId="7931"/>
    <cellStyle name="Normal 407 6 2" xfId="15722"/>
    <cellStyle name="Normal 407 6 2 2" xfId="33343"/>
    <cellStyle name="Normal 407 6 3" xfId="26333"/>
    <cellStyle name="Normal 407 7" xfId="11887"/>
    <cellStyle name="Normal 407 7 2" xfId="29556"/>
    <cellStyle name="Normal 407 8" xfId="23472"/>
    <cellStyle name="Normal 407 9" xfId="52366"/>
    <cellStyle name="Normal 408" xfId="2757"/>
    <cellStyle name="Normal 408 2" xfId="4768"/>
    <cellStyle name="Normal 408 2 2" xfId="8613"/>
    <cellStyle name="Normal 408 2 2 2" xfId="16403"/>
    <cellStyle name="Normal 408 2 2 2 2" xfId="34024"/>
    <cellStyle name="Normal 408 2 2 3" xfId="27000"/>
    <cellStyle name="Normal 408 2 3" xfId="12901"/>
    <cellStyle name="Normal 408 2 3 2" xfId="30537"/>
    <cellStyle name="Normal 408 2 4" xfId="24139"/>
    <cellStyle name="Normal 408 3" xfId="5929"/>
    <cellStyle name="Normal 408 3 2" xfId="9226"/>
    <cellStyle name="Normal 408 3 2 2" xfId="17015"/>
    <cellStyle name="Normal 408 3 2 2 2" xfId="34637"/>
    <cellStyle name="Normal 408 3 2 3" xfId="27600"/>
    <cellStyle name="Normal 408 3 3" xfId="13779"/>
    <cellStyle name="Normal 408 3 3 2" xfId="31405"/>
    <cellStyle name="Normal 408 3 4" xfId="24739"/>
    <cellStyle name="Normal 408 4" xfId="6559"/>
    <cellStyle name="Normal 408 4 2" xfId="9766"/>
    <cellStyle name="Normal 408 4 2 2" xfId="17554"/>
    <cellStyle name="Normal 408 4 2 2 2" xfId="35177"/>
    <cellStyle name="Normal 408 4 2 3" xfId="28136"/>
    <cellStyle name="Normal 408 4 3" xfId="14342"/>
    <cellStyle name="Normal 408 4 3 2" xfId="31963"/>
    <cellStyle name="Normal 408 4 4" xfId="25275"/>
    <cellStyle name="Normal 408 5" xfId="7334"/>
    <cellStyle name="Normal 408 5 2" xfId="10319"/>
    <cellStyle name="Normal 408 5 2 2" xfId="18106"/>
    <cellStyle name="Normal 408 5 2 2 2" xfId="35729"/>
    <cellStyle name="Normal 408 5 2 3" xfId="28672"/>
    <cellStyle name="Normal 408 5 3" xfId="15116"/>
    <cellStyle name="Normal 408 5 3 2" xfId="32737"/>
    <cellStyle name="Normal 408 5 4" xfId="25812"/>
    <cellStyle name="Normal 408 6" xfId="7932"/>
    <cellStyle name="Normal 408 6 2" xfId="15723"/>
    <cellStyle name="Normal 408 6 2 2" xfId="33344"/>
    <cellStyle name="Normal 408 6 3" xfId="26334"/>
    <cellStyle name="Normal 408 7" xfId="11888"/>
    <cellStyle name="Normal 408 7 2" xfId="29557"/>
    <cellStyle name="Normal 408 8" xfId="23473"/>
    <cellStyle name="Normal 408 9" xfId="52367"/>
    <cellStyle name="Normal 409" xfId="2758"/>
    <cellStyle name="Normal 409 2" xfId="4769"/>
    <cellStyle name="Normal 409 2 2" xfId="8614"/>
    <cellStyle name="Normal 409 2 2 2" xfId="16404"/>
    <cellStyle name="Normal 409 2 2 2 2" xfId="34025"/>
    <cellStyle name="Normal 409 2 2 3" xfId="27001"/>
    <cellStyle name="Normal 409 2 3" xfId="12902"/>
    <cellStyle name="Normal 409 2 3 2" xfId="30538"/>
    <cellStyle name="Normal 409 2 4" xfId="24140"/>
    <cellStyle name="Normal 409 3" xfId="5930"/>
    <cellStyle name="Normal 409 3 2" xfId="9227"/>
    <cellStyle name="Normal 409 3 2 2" xfId="17016"/>
    <cellStyle name="Normal 409 3 2 2 2" xfId="34638"/>
    <cellStyle name="Normal 409 3 2 3" xfId="27601"/>
    <cellStyle name="Normal 409 3 3" xfId="13780"/>
    <cellStyle name="Normal 409 3 3 2" xfId="31406"/>
    <cellStyle name="Normal 409 3 4" xfId="24740"/>
    <cellStyle name="Normal 409 4" xfId="6560"/>
    <cellStyle name="Normal 409 4 2" xfId="9767"/>
    <cellStyle name="Normal 409 4 2 2" xfId="17555"/>
    <cellStyle name="Normal 409 4 2 2 2" xfId="35178"/>
    <cellStyle name="Normal 409 4 2 3" xfId="28137"/>
    <cellStyle name="Normal 409 4 3" xfId="14343"/>
    <cellStyle name="Normal 409 4 3 2" xfId="31964"/>
    <cellStyle name="Normal 409 4 4" xfId="25276"/>
    <cellStyle name="Normal 409 5" xfId="7335"/>
    <cellStyle name="Normal 409 5 2" xfId="10320"/>
    <cellStyle name="Normal 409 5 2 2" xfId="18107"/>
    <cellStyle name="Normal 409 5 2 2 2" xfId="35730"/>
    <cellStyle name="Normal 409 5 2 3" xfId="28673"/>
    <cellStyle name="Normal 409 5 3" xfId="15117"/>
    <cellStyle name="Normal 409 5 3 2" xfId="32738"/>
    <cellStyle name="Normal 409 5 4" xfId="25813"/>
    <cellStyle name="Normal 409 6" xfId="7933"/>
    <cellStyle name="Normal 409 6 2" xfId="15724"/>
    <cellStyle name="Normal 409 6 2 2" xfId="33345"/>
    <cellStyle name="Normal 409 6 3" xfId="26335"/>
    <cellStyle name="Normal 409 7" xfId="11889"/>
    <cellStyle name="Normal 409 7 2" xfId="29558"/>
    <cellStyle name="Normal 409 8" xfId="23474"/>
    <cellStyle name="Normal 409 9" xfId="52368"/>
    <cellStyle name="Normal 41" xfId="2759"/>
    <cellStyle name="Normal 41 2" xfId="4770"/>
    <cellStyle name="Normal 41 2 2" xfId="22767"/>
    <cellStyle name="Normal 41 2 2 2" xfId="38960"/>
    <cellStyle name="Normal 41 3" xfId="22983"/>
    <cellStyle name="Normal 41 4" xfId="22558"/>
    <cellStyle name="Normal 41 4 2" xfId="38855"/>
    <cellStyle name="Normal 41 5" xfId="52369"/>
    <cellStyle name="Normal 410" xfId="2760"/>
    <cellStyle name="Normal 410 2" xfId="4771"/>
    <cellStyle name="Normal 410 2 2" xfId="8615"/>
    <cellStyle name="Normal 410 2 2 2" xfId="16405"/>
    <cellStyle name="Normal 410 2 2 2 2" xfId="34026"/>
    <cellStyle name="Normal 410 2 2 3" xfId="27002"/>
    <cellStyle name="Normal 410 2 3" xfId="12904"/>
    <cellStyle name="Normal 410 2 3 2" xfId="30540"/>
    <cellStyle name="Normal 410 2 4" xfId="24141"/>
    <cellStyle name="Normal 410 3" xfId="5931"/>
    <cellStyle name="Normal 410 3 2" xfId="9228"/>
    <cellStyle name="Normal 410 3 2 2" xfId="17017"/>
    <cellStyle name="Normal 410 3 2 2 2" xfId="34639"/>
    <cellStyle name="Normal 410 3 2 3" xfId="27602"/>
    <cellStyle name="Normal 410 3 3" xfId="13781"/>
    <cellStyle name="Normal 410 3 3 2" xfId="31407"/>
    <cellStyle name="Normal 410 3 4" xfId="24741"/>
    <cellStyle name="Normal 410 4" xfId="6561"/>
    <cellStyle name="Normal 410 4 2" xfId="9768"/>
    <cellStyle name="Normal 410 4 2 2" xfId="17556"/>
    <cellStyle name="Normal 410 4 2 2 2" xfId="35179"/>
    <cellStyle name="Normal 410 4 2 3" xfId="28138"/>
    <cellStyle name="Normal 410 4 3" xfId="14344"/>
    <cellStyle name="Normal 410 4 3 2" xfId="31965"/>
    <cellStyle name="Normal 410 4 4" xfId="25277"/>
    <cellStyle name="Normal 410 5" xfId="7336"/>
    <cellStyle name="Normal 410 5 2" xfId="10321"/>
    <cellStyle name="Normal 410 5 2 2" xfId="18108"/>
    <cellStyle name="Normal 410 5 2 2 2" xfId="35731"/>
    <cellStyle name="Normal 410 5 2 3" xfId="28674"/>
    <cellStyle name="Normal 410 5 3" xfId="15118"/>
    <cellStyle name="Normal 410 5 3 2" xfId="32739"/>
    <cellStyle name="Normal 410 5 4" xfId="25814"/>
    <cellStyle name="Normal 410 6" xfId="7934"/>
    <cellStyle name="Normal 410 6 2" xfId="15725"/>
    <cellStyle name="Normal 410 6 2 2" xfId="33346"/>
    <cellStyle name="Normal 410 6 3" xfId="26336"/>
    <cellStyle name="Normal 410 7" xfId="11890"/>
    <cellStyle name="Normal 410 7 2" xfId="29559"/>
    <cellStyle name="Normal 410 8" xfId="23475"/>
    <cellStyle name="Normal 410 9" xfId="52370"/>
    <cellStyle name="Normal 411" xfId="2761"/>
    <cellStyle name="Normal 411 2" xfId="4772"/>
    <cellStyle name="Normal 411 2 2" xfId="8616"/>
    <cellStyle name="Normal 411 2 2 2" xfId="16406"/>
    <cellStyle name="Normal 411 2 2 2 2" xfId="34027"/>
    <cellStyle name="Normal 411 2 2 3" xfId="27003"/>
    <cellStyle name="Normal 411 2 3" xfId="12905"/>
    <cellStyle name="Normal 411 2 3 2" xfId="30541"/>
    <cellStyle name="Normal 411 2 4" xfId="24142"/>
    <cellStyle name="Normal 411 3" xfId="5932"/>
    <cellStyle name="Normal 411 3 2" xfId="9229"/>
    <cellStyle name="Normal 411 3 2 2" xfId="17018"/>
    <cellStyle name="Normal 411 3 2 2 2" xfId="34640"/>
    <cellStyle name="Normal 411 3 2 3" xfId="27603"/>
    <cellStyle name="Normal 411 3 3" xfId="13782"/>
    <cellStyle name="Normal 411 3 3 2" xfId="31408"/>
    <cellStyle name="Normal 411 3 4" xfId="24742"/>
    <cellStyle name="Normal 411 4" xfId="6562"/>
    <cellStyle name="Normal 411 4 2" xfId="9769"/>
    <cellStyle name="Normal 411 4 2 2" xfId="17557"/>
    <cellStyle name="Normal 411 4 2 2 2" xfId="35180"/>
    <cellStyle name="Normal 411 4 2 3" xfId="28139"/>
    <cellStyle name="Normal 411 4 3" xfId="14345"/>
    <cellStyle name="Normal 411 4 3 2" xfId="31966"/>
    <cellStyle name="Normal 411 4 4" xfId="25278"/>
    <cellStyle name="Normal 411 5" xfId="7337"/>
    <cellStyle name="Normal 411 5 2" xfId="10322"/>
    <cellStyle name="Normal 411 5 2 2" xfId="18109"/>
    <cellStyle name="Normal 411 5 2 2 2" xfId="35732"/>
    <cellStyle name="Normal 411 5 2 3" xfId="28675"/>
    <cellStyle name="Normal 411 5 3" xfId="15119"/>
    <cellStyle name="Normal 411 5 3 2" xfId="32740"/>
    <cellStyle name="Normal 411 5 4" xfId="25815"/>
    <cellStyle name="Normal 411 6" xfId="7935"/>
    <cellStyle name="Normal 411 6 2" xfId="15726"/>
    <cellStyle name="Normal 411 6 2 2" xfId="33347"/>
    <cellStyle name="Normal 411 6 3" xfId="26337"/>
    <cellStyle name="Normal 411 7" xfId="11891"/>
    <cellStyle name="Normal 411 7 2" xfId="29560"/>
    <cellStyle name="Normal 411 8" xfId="23476"/>
    <cellStyle name="Normal 411 9" xfId="52371"/>
    <cellStyle name="Normal 412" xfId="2762"/>
    <cellStyle name="Normal 412 2" xfId="4773"/>
    <cellStyle name="Normal 412 2 2" xfId="8617"/>
    <cellStyle name="Normal 412 2 2 2" xfId="16407"/>
    <cellStyle name="Normal 412 2 2 2 2" xfId="34028"/>
    <cellStyle name="Normal 412 2 2 3" xfId="27004"/>
    <cellStyle name="Normal 412 2 3" xfId="12906"/>
    <cellStyle name="Normal 412 2 3 2" xfId="30542"/>
    <cellStyle name="Normal 412 2 4" xfId="24143"/>
    <cellStyle name="Normal 412 3" xfId="5933"/>
    <cellStyle name="Normal 412 3 2" xfId="9230"/>
    <cellStyle name="Normal 412 3 2 2" xfId="17019"/>
    <cellStyle name="Normal 412 3 2 2 2" xfId="34641"/>
    <cellStyle name="Normal 412 3 2 3" xfId="27604"/>
    <cellStyle name="Normal 412 3 3" xfId="13783"/>
    <cellStyle name="Normal 412 3 3 2" xfId="31409"/>
    <cellStyle name="Normal 412 3 4" xfId="24743"/>
    <cellStyle name="Normal 412 4" xfId="6563"/>
    <cellStyle name="Normal 412 4 2" xfId="9770"/>
    <cellStyle name="Normal 412 4 2 2" xfId="17558"/>
    <cellStyle name="Normal 412 4 2 2 2" xfId="35181"/>
    <cellStyle name="Normal 412 4 2 3" xfId="28140"/>
    <cellStyle name="Normal 412 4 3" xfId="14346"/>
    <cellStyle name="Normal 412 4 3 2" xfId="31967"/>
    <cellStyle name="Normal 412 4 4" xfId="25279"/>
    <cellStyle name="Normal 412 5" xfId="7338"/>
    <cellStyle name="Normal 412 5 2" xfId="10323"/>
    <cellStyle name="Normal 412 5 2 2" xfId="18110"/>
    <cellStyle name="Normal 412 5 2 2 2" xfId="35733"/>
    <cellStyle name="Normal 412 5 2 3" xfId="28676"/>
    <cellStyle name="Normal 412 5 3" xfId="15120"/>
    <cellStyle name="Normal 412 5 3 2" xfId="32741"/>
    <cellStyle name="Normal 412 5 4" xfId="25816"/>
    <cellStyle name="Normal 412 6" xfId="7936"/>
    <cellStyle name="Normal 412 6 2" xfId="15727"/>
    <cellStyle name="Normal 412 6 2 2" xfId="33348"/>
    <cellStyle name="Normal 412 6 3" xfId="26338"/>
    <cellStyle name="Normal 412 7" xfId="11892"/>
    <cellStyle name="Normal 412 7 2" xfId="29561"/>
    <cellStyle name="Normal 412 8" xfId="23477"/>
    <cellStyle name="Normal 412 9" xfId="52372"/>
    <cellStyle name="Normal 413" xfId="2763"/>
    <cellStyle name="Normal 413 2" xfId="4774"/>
    <cellStyle name="Normal 413 2 2" xfId="8618"/>
    <cellStyle name="Normal 413 2 2 2" xfId="16408"/>
    <cellStyle name="Normal 413 2 2 2 2" xfId="34029"/>
    <cellStyle name="Normal 413 2 2 3" xfId="27005"/>
    <cellStyle name="Normal 413 2 3" xfId="12907"/>
    <cellStyle name="Normal 413 2 3 2" xfId="30543"/>
    <cellStyle name="Normal 413 2 4" xfId="24144"/>
    <cellStyle name="Normal 413 3" xfId="5934"/>
    <cellStyle name="Normal 413 3 2" xfId="9231"/>
    <cellStyle name="Normal 413 3 2 2" xfId="17020"/>
    <cellStyle name="Normal 413 3 2 2 2" xfId="34642"/>
    <cellStyle name="Normal 413 3 2 3" xfId="27605"/>
    <cellStyle name="Normal 413 3 3" xfId="13784"/>
    <cellStyle name="Normal 413 3 3 2" xfId="31410"/>
    <cellStyle name="Normal 413 3 4" xfId="24744"/>
    <cellStyle name="Normal 413 4" xfId="6564"/>
    <cellStyle name="Normal 413 4 2" xfId="9771"/>
    <cellStyle name="Normal 413 4 2 2" xfId="17559"/>
    <cellStyle name="Normal 413 4 2 2 2" xfId="35182"/>
    <cellStyle name="Normal 413 4 2 3" xfId="28141"/>
    <cellStyle name="Normal 413 4 3" xfId="14347"/>
    <cellStyle name="Normal 413 4 3 2" xfId="31968"/>
    <cellStyle name="Normal 413 4 4" xfId="25280"/>
    <cellStyle name="Normal 413 5" xfId="7339"/>
    <cellStyle name="Normal 413 5 2" xfId="10324"/>
    <cellStyle name="Normal 413 5 2 2" xfId="18111"/>
    <cellStyle name="Normal 413 5 2 2 2" xfId="35734"/>
    <cellStyle name="Normal 413 5 2 3" xfId="28677"/>
    <cellStyle name="Normal 413 5 3" xfId="15121"/>
    <cellStyle name="Normal 413 5 3 2" xfId="32742"/>
    <cellStyle name="Normal 413 5 4" xfId="25817"/>
    <cellStyle name="Normal 413 6" xfId="7937"/>
    <cellStyle name="Normal 413 6 2" xfId="15728"/>
    <cellStyle name="Normal 413 6 2 2" xfId="33349"/>
    <cellStyle name="Normal 413 6 3" xfId="26339"/>
    <cellStyle name="Normal 413 7" xfId="11893"/>
    <cellStyle name="Normal 413 7 2" xfId="29562"/>
    <cellStyle name="Normal 413 8" xfId="23478"/>
    <cellStyle name="Normal 413 9" xfId="52373"/>
    <cellStyle name="Normal 414" xfId="2764"/>
    <cellStyle name="Normal 414 2" xfId="4775"/>
    <cellStyle name="Normal 414 2 2" xfId="8619"/>
    <cellStyle name="Normal 414 2 2 2" xfId="16409"/>
    <cellStyle name="Normal 414 2 2 2 2" xfId="34030"/>
    <cellStyle name="Normal 414 2 2 3" xfId="27006"/>
    <cellStyle name="Normal 414 2 3" xfId="12908"/>
    <cellStyle name="Normal 414 2 3 2" xfId="30544"/>
    <cellStyle name="Normal 414 2 4" xfId="24145"/>
    <cellStyle name="Normal 414 3" xfId="5935"/>
    <cellStyle name="Normal 414 3 2" xfId="9232"/>
    <cellStyle name="Normal 414 3 2 2" xfId="17021"/>
    <cellStyle name="Normal 414 3 2 2 2" xfId="34643"/>
    <cellStyle name="Normal 414 3 2 3" xfId="27606"/>
    <cellStyle name="Normal 414 3 3" xfId="13785"/>
    <cellStyle name="Normal 414 3 3 2" xfId="31411"/>
    <cellStyle name="Normal 414 3 4" xfId="24745"/>
    <cellStyle name="Normal 414 4" xfId="6565"/>
    <cellStyle name="Normal 414 4 2" xfId="9772"/>
    <cellStyle name="Normal 414 4 2 2" xfId="17560"/>
    <cellStyle name="Normal 414 4 2 2 2" xfId="35183"/>
    <cellStyle name="Normal 414 4 2 3" xfId="28142"/>
    <cellStyle name="Normal 414 4 3" xfId="14348"/>
    <cellStyle name="Normal 414 4 3 2" xfId="31969"/>
    <cellStyle name="Normal 414 4 4" xfId="25281"/>
    <cellStyle name="Normal 414 5" xfId="7340"/>
    <cellStyle name="Normal 414 5 2" xfId="10325"/>
    <cellStyle name="Normal 414 5 2 2" xfId="18112"/>
    <cellStyle name="Normal 414 5 2 2 2" xfId="35735"/>
    <cellStyle name="Normal 414 5 2 3" xfId="28678"/>
    <cellStyle name="Normal 414 5 3" xfId="15122"/>
    <cellStyle name="Normal 414 5 3 2" xfId="32743"/>
    <cellStyle name="Normal 414 5 4" xfId="25818"/>
    <cellStyle name="Normal 414 6" xfId="7938"/>
    <cellStyle name="Normal 414 6 2" xfId="15729"/>
    <cellStyle name="Normal 414 6 2 2" xfId="33350"/>
    <cellStyle name="Normal 414 6 3" xfId="26340"/>
    <cellStyle name="Normal 414 7" xfId="11894"/>
    <cellStyle name="Normal 414 7 2" xfId="29563"/>
    <cellStyle name="Normal 414 8" xfId="23479"/>
    <cellStyle name="Normal 414 9" xfId="52374"/>
    <cellStyle name="Normal 415" xfId="2765"/>
    <cellStyle name="Normal 415 2" xfId="4776"/>
    <cellStyle name="Normal 415 2 2" xfId="8620"/>
    <cellStyle name="Normal 415 2 2 2" xfId="16410"/>
    <cellStyle name="Normal 415 2 2 2 2" xfId="34031"/>
    <cellStyle name="Normal 415 2 2 3" xfId="27007"/>
    <cellStyle name="Normal 415 2 3" xfId="12909"/>
    <cellStyle name="Normal 415 2 3 2" xfId="30545"/>
    <cellStyle name="Normal 415 2 4" xfId="24146"/>
    <cellStyle name="Normal 415 3" xfId="5936"/>
    <cellStyle name="Normal 415 3 2" xfId="9233"/>
    <cellStyle name="Normal 415 3 2 2" xfId="17022"/>
    <cellStyle name="Normal 415 3 2 2 2" xfId="34644"/>
    <cellStyle name="Normal 415 3 2 3" xfId="27607"/>
    <cellStyle name="Normal 415 3 3" xfId="13786"/>
    <cellStyle name="Normal 415 3 3 2" xfId="31412"/>
    <cellStyle name="Normal 415 3 4" xfId="24746"/>
    <cellStyle name="Normal 415 4" xfId="6566"/>
    <cellStyle name="Normal 415 4 2" xfId="9773"/>
    <cellStyle name="Normal 415 4 2 2" xfId="17561"/>
    <cellStyle name="Normal 415 4 2 2 2" xfId="35184"/>
    <cellStyle name="Normal 415 4 2 3" xfId="28143"/>
    <cellStyle name="Normal 415 4 3" xfId="14349"/>
    <cellStyle name="Normal 415 4 3 2" xfId="31970"/>
    <cellStyle name="Normal 415 4 4" xfId="25282"/>
    <cellStyle name="Normal 415 5" xfId="7341"/>
    <cellStyle name="Normal 415 5 2" xfId="10326"/>
    <cellStyle name="Normal 415 5 2 2" xfId="18113"/>
    <cellStyle name="Normal 415 5 2 2 2" xfId="35736"/>
    <cellStyle name="Normal 415 5 2 3" xfId="28679"/>
    <cellStyle name="Normal 415 5 3" xfId="15123"/>
    <cellStyle name="Normal 415 5 3 2" xfId="32744"/>
    <cellStyle name="Normal 415 5 4" xfId="25819"/>
    <cellStyle name="Normal 415 6" xfId="7939"/>
    <cellStyle name="Normal 415 6 2" xfId="15730"/>
    <cellStyle name="Normal 415 6 2 2" xfId="33351"/>
    <cellStyle name="Normal 415 6 3" xfId="26341"/>
    <cellStyle name="Normal 415 7" xfId="11895"/>
    <cellStyle name="Normal 415 7 2" xfId="29564"/>
    <cellStyle name="Normal 415 8" xfId="23480"/>
    <cellStyle name="Normal 415 9" xfId="52375"/>
    <cellStyle name="Normal 416" xfId="2766"/>
    <cellStyle name="Normal 416 2" xfId="4777"/>
    <cellStyle name="Normal 416 3" xfId="52376"/>
    <cellStyle name="Normal 417" xfId="2767"/>
    <cellStyle name="Normal 417 2" xfId="4778"/>
    <cellStyle name="Normal 417 3" xfId="52377"/>
    <cellStyle name="Normal 418" xfId="2768"/>
    <cellStyle name="Normal 418 2" xfId="4779"/>
    <cellStyle name="Normal 418 2 2" xfId="8621"/>
    <cellStyle name="Normal 418 2 2 2" xfId="16411"/>
    <cellStyle name="Normal 418 2 2 2 2" xfId="34032"/>
    <cellStyle name="Normal 418 2 2 3" xfId="27008"/>
    <cellStyle name="Normal 418 2 3" xfId="12910"/>
    <cellStyle name="Normal 418 2 3 2" xfId="30546"/>
    <cellStyle name="Normal 418 2 4" xfId="24147"/>
    <cellStyle name="Normal 418 3" xfId="5937"/>
    <cellStyle name="Normal 418 3 2" xfId="9234"/>
    <cellStyle name="Normal 418 3 2 2" xfId="17023"/>
    <cellStyle name="Normal 418 3 2 2 2" xfId="34645"/>
    <cellStyle name="Normal 418 3 2 3" xfId="27608"/>
    <cellStyle name="Normal 418 3 3" xfId="13787"/>
    <cellStyle name="Normal 418 3 3 2" xfId="31413"/>
    <cellStyle name="Normal 418 3 4" xfId="24747"/>
    <cellStyle name="Normal 418 4" xfId="6567"/>
    <cellStyle name="Normal 418 4 2" xfId="9774"/>
    <cellStyle name="Normal 418 4 2 2" xfId="17562"/>
    <cellStyle name="Normal 418 4 2 2 2" xfId="35185"/>
    <cellStyle name="Normal 418 4 2 3" xfId="28144"/>
    <cellStyle name="Normal 418 4 3" xfId="14350"/>
    <cellStyle name="Normal 418 4 3 2" xfId="31971"/>
    <cellStyle name="Normal 418 4 4" xfId="25283"/>
    <cellStyle name="Normal 418 5" xfId="7342"/>
    <cellStyle name="Normal 418 5 2" xfId="10327"/>
    <cellStyle name="Normal 418 5 2 2" xfId="18114"/>
    <cellStyle name="Normal 418 5 2 2 2" xfId="35737"/>
    <cellStyle name="Normal 418 5 2 3" xfId="28680"/>
    <cellStyle name="Normal 418 5 3" xfId="15124"/>
    <cellStyle name="Normal 418 5 3 2" xfId="32745"/>
    <cellStyle name="Normal 418 5 4" xfId="25820"/>
    <cellStyle name="Normal 418 6" xfId="7940"/>
    <cellStyle name="Normal 418 6 2" xfId="15731"/>
    <cellStyle name="Normal 418 6 2 2" xfId="33352"/>
    <cellStyle name="Normal 418 6 3" xfId="26342"/>
    <cellStyle name="Normal 418 7" xfId="11896"/>
    <cellStyle name="Normal 418 7 2" xfId="29565"/>
    <cellStyle name="Normal 418 8" xfId="23481"/>
    <cellStyle name="Normal 418 9" xfId="52378"/>
    <cellStyle name="Normal 419" xfId="2769"/>
    <cellStyle name="Normal 419 2" xfId="4780"/>
    <cellStyle name="Normal 419 2 2" xfId="8622"/>
    <cellStyle name="Normal 419 2 2 2" xfId="16412"/>
    <cellStyle name="Normal 419 2 2 2 2" xfId="34033"/>
    <cellStyle name="Normal 419 2 2 3" xfId="27009"/>
    <cellStyle name="Normal 419 2 3" xfId="12911"/>
    <cellStyle name="Normal 419 2 3 2" xfId="30547"/>
    <cellStyle name="Normal 419 2 4" xfId="24148"/>
    <cellStyle name="Normal 419 3" xfId="5938"/>
    <cellStyle name="Normal 419 3 2" xfId="9235"/>
    <cellStyle name="Normal 419 3 2 2" xfId="17024"/>
    <cellStyle name="Normal 419 3 2 2 2" xfId="34646"/>
    <cellStyle name="Normal 419 3 2 3" xfId="27609"/>
    <cellStyle name="Normal 419 3 3" xfId="13788"/>
    <cellStyle name="Normal 419 3 3 2" xfId="31414"/>
    <cellStyle name="Normal 419 3 4" xfId="24748"/>
    <cellStyle name="Normal 419 4" xfId="6568"/>
    <cellStyle name="Normal 419 4 2" xfId="9775"/>
    <cellStyle name="Normal 419 4 2 2" xfId="17563"/>
    <cellStyle name="Normal 419 4 2 2 2" xfId="35186"/>
    <cellStyle name="Normal 419 4 2 3" xfId="28145"/>
    <cellStyle name="Normal 419 4 3" xfId="14351"/>
    <cellStyle name="Normal 419 4 3 2" xfId="31972"/>
    <cellStyle name="Normal 419 4 4" xfId="25284"/>
    <cellStyle name="Normal 419 5" xfId="7343"/>
    <cellStyle name="Normal 419 5 2" xfId="10328"/>
    <cellStyle name="Normal 419 5 2 2" xfId="18115"/>
    <cellStyle name="Normal 419 5 2 2 2" xfId="35738"/>
    <cellStyle name="Normal 419 5 2 3" xfId="28681"/>
    <cellStyle name="Normal 419 5 3" xfId="15125"/>
    <cellStyle name="Normal 419 5 3 2" xfId="32746"/>
    <cellStyle name="Normal 419 5 4" xfId="25821"/>
    <cellStyle name="Normal 419 6" xfId="7941"/>
    <cellStyle name="Normal 419 6 2" xfId="15732"/>
    <cellStyle name="Normal 419 6 2 2" xfId="33353"/>
    <cellStyle name="Normal 419 6 3" xfId="26343"/>
    <cellStyle name="Normal 419 7" xfId="11897"/>
    <cellStyle name="Normal 419 7 2" xfId="29566"/>
    <cellStyle name="Normal 419 8" xfId="23482"/>
    <cellStyle name="Normal 419 9" xfId="52379"/>
    <cellStyle name="Normal 42" xfId="2770"/>
    <cellStyle name="Normal 42 2" xfId="4781"/>
    <cellStyle name="Normal 42 2 2" xfId="22768"/>
    <cellStyle name="Normal 42 2 2 2" xfId="38961"/>
    <cellStyle name="Normal 42 3" xfId="22984"/>
    <cellStyle name="Normal 42 4" xfId="22559"/>
    <cellStyle name="Normal 42 4 2" xfId="38856"/>
    <cellStyle name="Normal 42 5" xfId="52380"/>
    <cellStyle name="Normal 420" xfId="2771"/>
    <cellStyle name="Normal 420 2" xfId="4782"/>
    <cellStyle name="Normal 420 2 2" xfId="8623"/>
    <cellStyle name="Normal 420 2 2 2" xfId="16413"/>
    <cellStyle name="Normal 420 2 2 2 2" xfId="34034"/>
    <cellStyle name="Normal 420 2 2 3" xfId="27010"/>
    <cellStyle name="Normal 420 2 3" xfId="12912"/>
    <cellStyle name="Normal 420 2 3 2" xfId="30548"/>
    <cellStyle name="Normal 420 2 4" xfId="24149"/>
    <cellStyle name="Normal 420 3" xfId="5939"/>
    <cellStyle name="Normal 420 3 2" xfId="9236"/>
    <cellStyle name="Normal 420 3 2 2" xfId="17025"/>
    <cellStyle name="Normal 420 3 2 2 2" xfId="34647"/>
    <cellStyle name="Normal 420 3 2 3" xfId="27610"/>
    <cellStyle name="Normal 420 3 3" xfId="13789"/>
    <cellStyle name="Normal 420 3 3 2" xfId="31415"/>
    <cellStyle name="Normal 420 3 4" xfId="24749"/>
    <cellStyle name="Normal 420 4" xfId="6569"/>
    <cellStyle name="Normal 420 4 2" xfId="9776"/>
    <cellStyle name="Normal 420 4 2 2" xfId="17564"/>
    <cellStyle name="Normal 420 4 2 2 2" xfId="35187"/>
    <cellStyle name="Normal 420 4 2 3" xfId="28146"/>
    <cellStyle name="Normal 420 4 3" xfId="14352"/>
    <cellStyle name="Normal 420 4 3 2" xfId="31973"/>
    <cellStyle name="Normal 420 4 4" xfId="25285"/>
    <cellStyle name="Normal 420 5" xfId="7344"/>
    <cellStyle name="Normal 420 5 2" xfId="10329"/>
    <cellStyle name="Normal 420 5 2 2" xfId="18116"/>
    <cellStyle name="Normal 420 5 2 2 2" xfId="35739"/>
    <cellStyle name="Normal 420 5 2 3" xfId="28682"/>
    <cellStyle name="Normal 420 5 3" xfId="15126"/>
    <cellStyle name="Normal 420 5 3 2" xfId="32747"/>
    <cellStyle name="Normal 420 5 4" xfId="25822"/>
    <cellStyle name="Normal 420 6" xfId="7942"/>
    <cellStyle name="Normal 420 6 2" xfId="15733"/>
    <cellStyle name="Normal 420 6 2 2" xfId="33354"/>
    <cellStyle name="Normal 420 6 3" xfId="26344"/>
    <cellStyle name="Normal 420 7" xfId="11898"/>
    <cellStyle name="Normal 420 7 2" xfId="29567"/>
    <cellStyle name="Normal 420 8" xfId="23483"/>
    <cellStyle name="Normal 420 9" xfId="52381"/>
    <cellStyle name="Normal 421" xfId="2772"/>
    <cellStyle name="Normal 421 2" xfId="4783"/>
    <cellStyle name="Normal 421 2 2" xfId="8624"/>
    <cellStyle name="Normal 421 2 2 2" xfId="16414"/>
    <cellStyle name="Normal 421 2 2 2 2" xfId="34035"/>
    <cellStyle name="Normal 421 2 2 3" xfId="27011"/>
    <cellStyle name="Normal 421 2 3" xfId="12913"/>
    <cellStyle name="Normal 421 2 3 2" xfId="30549"/>
    <cellStyle name="Normal 421 2 4" xfId="24150"/>
    <cellStyle name="Normal 421 3" xfId="5940"/>
    <cellStyle name="Normal 421 3 2" xfId="9237"/>
    <cellStyle name="Normal 421 3 2 2" xfId="17026"/>
    <cellStyle name="Normal 421 3 2 2 2" xfId="34648"/>
    <cellStyle name="Normal 421 3 2 3" xfId="27611"/>
    <cellStyle name="Normal 421 3 3" xfId="13790"/>
    <cellStyle name="Normal 421 3 3 2" xfId="31416"/>
    <cellStyle name="Normal 421 3 4" xfId="24750"/>
    <cellStyle name="Normal 421 4" xfId="6570"/>
    <cellStyle name="Normal 421 4 2" xfId="9777"/>
    <cellStyle name="Normal 421 4 2 2" xfId="17565"/>
    <cellStyle name="Normal 421 4 2 2 2" xfId="35188"/>
    <cellStyle name="Normal 421 4 2 3" xfId="28147"/>
    <cellStyle name="Normal 421 4 3" xfId="14353"/>
    <cellStyle name="Normal 421 4 3 2" xfId="31974"/>
    <cellStyle name="Normal 421 4 4" xfId="25286"/>
    <cellStyle name="Normal 421 5" xfId="7345"/>
    <cellStyle name="Normal 421 5 2" xfId="10330"/>
    <cellStyle name="Normal 421 5 2 2" xfId="18117"/>
    <cellStyle name="Normal 421 5 2 2 2" xfId="35740"/>
    <cellStyle name="Normal 421 5 2 3" xfId="28683"/>
    <cellStyle name="Normal 421 5 3" xfId="15127"/>
    <cellStyle name="Normal 421 5 3 2" xfId="32748"/>
    <cellStyle name="Normal 421 5 4" xfId="25823"/>
    <cellStyle name="Normal 421 6" xfId="7943"/>
    <cellStyle name="Normal 421 6 2" xfId="15734"/>
    <cellStyle name="Normal 421 6 2 2" xfId="33355"/>
    <cellStyle name="Normal 421 6 3" xfId="26345"/>
    <cellStyle name="Normal 421 7" xfId="11899"/>
    <cellStyle name="Normal 421 7 2" xfId="29568"/>
    <cellStyle name="Normal 421 8" xfId="23484"/>
    <cellStyle name="Normal 421 9" xfId="52382"/>
    <cellStyle name="Normal 422" xfId="2773"/>
    <cellStyle name="Normal 422 2" xfId="4784"/>
    <cellStyle name="Normal 422 2 2" xfId="8625"/>
    <cellStyle name="Normal 422 2 2 2" xfId="16415"/>
    <cellStyle name="Normal 422 2 2 2 2" xfId="34036"/>
    <cellStyle name="Normal 422 2 2 3" xfId="27012"/>
    <cellStyle name="Normal 422 2 3" xfId="12914"/>
    <cellStyle name="Normal 422 2 3 2" xfId="30550"/>
    <cellStyle name="Normal 422 2 4" xfId="24151"/>
    <cellStyle name="Normal 422 3" xfId="5941"/>
    <cellStyle name="Normal 422 3 2" xfId="9238"/>
    <cellStyle name="Normal 422 3 2 2" xfId="17027"/>
    <cellStyle name="Normal 422 3 2 2 2" xfId="34649"/>
    <cellStyle name="Normal 422 3 2 3" xfId="27612"/>
    <cellStyle name="Normal 422 3 3" xfId="13791"/>
    <cellStyle name="Normal 422 3 3 2" xfId="31417"/>
    <cellStyle name="Normal 422 3 4" xfId="24751"/>
    <cellStyle name="Normal 422 4" xfId="6571"/>
    <cellStyle name="Normal 422 4 2" xfId="9778"/>
    <cellStyle name="Normal 422 4 2 2" xfId="17566"/>
    <cellStyle name="Normal 422 4 2 2 2" xfId="35189"/>
    <cellStyle name="Normal 422 4 2 3" xfId="28148"/>
    <cellStyle name="Normal 422 4 3" xfId="14354"/>
    <cellStyle name="Normal 422 4 3 2" xfId="31975"/>
    <cellStyle name="Normal 422 4 4" xfId="25287"/>
    <cellStyle name="Normal 422 5" xfId="7346"/>
    <cellStyle name="Normal 422 5 2" xfId="10331"/>
    <cellStyle name="Normal 422 5 2 2" xfId="18118"/>
    <cellStyle name="Normal 422 5 2 2 2" xfId="35741"/>
    <cellStyle name="Normal 422 5 2 3" xfId="28684"/>
    <cellStyle name="Normal 422 5 3" xfId="15128"/>
    <cellStyle name="Normal 422 5 3 2" xfId="32749"/>
    <cellStyle name="Normal 422 5 4" xfId="25824"/>
    <cellStyle name="Normal 422 6" xfId="7944"/>
    <cellStyle name="Normal 422 6 2" xfId="15735"/>
    <cellStyle name="Normal 422 6 2 2" xfId="33356"/>
    <cellStyle name="Normal 422 6 3" xfId="26346"/>
    <cellStyle name="Normal 422 7" xfId="11900"/>
    <cellStyle name="Normal 422 7 2" xfId="29569"/>
    <cellStyle name="Normal 422 8" xfId="23485"/>
    <cellStyle name="Normal 422 9" xfId="52383"/>
    <cellStyle name="Normal 423" xfId="2774"/>
    <cellStyle name="Normal 423 2" xfId="4785"/>
    <cellStyle name="Normal 423 2 2" xfId="8626"/>
    <cellStyle name="Normal 423 2 2 2" xfId="16416"/>
    <cellStyle name="Normal 423 2 2 2 2" xfId="34037"/>
    <cellStyle name="Normal 423 2 2 3" xfId="27013"/>
    <cellStyle name="Normal 423 2 3" xfId="12915"/>
    <cellStyle name="Normal 423 2 3 2" xfId="30551"/>
    <cellStyle name="Normal 423 2 4" xfId="24152"/>
    <cellStyle name="Normal 423 3" xfId="5942"/>
    <cellStyle name="Normal 423 3 2" xfId="9239"/>
    <cellStyle name="Normal 423 3 2 2" xfId="17028"/>
    <cellStyle name="Normal 423 3 2 2 2" xfId="34650"/>
    <cellStyle name="Normal 423 3 2 3" xfId="27613"/>
    <cellStyle name="Normal 423 3 3" xfId="13792"/>
    <cellStyle name="Normal 423 3 3 2" xfId="31418"/>
    <cellStyle name="Normal 423 3 4" xfId="24752"/>
    <cellStyle name="Normal 423 4" xfId="6572"/>
    <cellStyle name="Normal 423 4 2" xfId="9779"/>
    <cellStyle name="Normal 423 4 2 2" xfId="17567"/>
    <cellStyle name="Normal 423 4 2 2 2" xfId="35190"/>
    <cellStyle name="Normal 423 4 2 3" xfId="28149"/>
    <cellStyle name="Normal 423 4 3" xfId="14355"/>
    <cellStyle name="Normal 423 4 3 2" xfId="31976"/>
    <cellStyle name="Normal 423 4 4" xfId="25288"/>
    <cellStyle name="Normal 423 5" xfId="7347"/>
    <cellStyle name="Normal 423 5 2" xfId="10332"/>
    <cellStyle name="Normal 423 5 2 2" xfId="18119"/>
    <cellStyle name="Normal 423 5 2 2 2" xfId="35742"/>
    <cellStyle name="Normal 423 5 2 3" xfId="28685"/>
    <cellStyle name="Normal 423 5 3" xfId="15129"/>
    <cellStyle name="Normal 423 5 3 2" xfId="32750"/>
    <cellStyle name="Normal 423 5 4" xfId="25825"/>
    <cellStyle name="Normal 423 6" xfId="7945"/>
    <cellStyle name="Normal 423 6 2" xfId="15736"/>
    <cellStyle name="Normal 423 6 2 2" xfId="33357"/>
    <cellStyle name="Normal 423 6 3" xfId="26347"/>
    <cellStyle name="Normal 423 7" xfId="11901"/>
    <cellStyle name="Normal 423 7 2" xfId="29570"/>
    <cellStyle name="Normal 423 8" xfId="23486"/>
    <cellStyle name="Normal 423 9" xfId="52384"/>
    <cellStyle name="Normal 424" xfId="2775"/>
    <cellStyle name="Normal 424 2" xfId="4786"/>
    <cellStyle name="Normal 424 2 2" xfId="8627"/>
    <cellStyle name="Normal 424 2 2 2" xfId="16417"/>
    <cellStyle name="Normal 424 2 2 2 2" xfId="34038"/>
    <cellStyle name="Normal 424 2 2 3" xfId="27014"/>
    <cellStyle name="Normal 424 2 3" xfId="12916"/>
    <cellStyle name="Normal 424 2 3 2" xfId="30552"/>
    <cellStyle name="Normal 424 2 4" xfId="24153"/>
    <cellStyle name="Normal 424 3" xfId="5943"/>
    <cellStyle name="Normal 424 3 2" xfId="9240"/>
    <cellStyle name="Normal 424 3 2 2" xfId="17029"/>
    <cellStyle name="Normal 424 3 2 2 2" xfId="34651"/>
    <cellStyle name="Normal 424 3 2 3" xfId="27614"/>
    <cellStyle name="Normal 424 3 3" xfId="13793"/>
    <cellStyle name="Normal 424 3 3 2" xfId="31419"/>
    <cellStyle name="Normal 424 3 4" xfId="24753"/>
    <cellStyle name="Normal 424 4" xfId="6573"/>
    <cellStyle name="Normal 424 4 2" xfId="9780"/>
    <cellStyle name="Normal 424 4 2 2" xfId="17568"/>
    <cellStyle name="Normal 424 4 2 2 2" xfId="35191"/>
    <cellStyle name="Normal 424 4 2 3" xfId="28150"/>
    <cellStyle name="Normal 424 4 3" xfId="14356"/>
    <cellStyle name="Normal 424 4 3 2" xfId="31977"/>
    <cellStyle name="Normal 424 4 4" xfId="25289"/>
    <cellStyle name="Normal 424 5" xfId="7348"/>
    <cellStyle name="Normal 424 5 2" xfId="10333"/>
    <cellStyle name="Normal 424 5 2 2" xfId="18120"/>
    <cellStyle name="Normal 424 5 2 2 2" xfId="35743"/>
    <cellStyle name="Normal 424 5 2 3" xfId="28686"/>
    <cellStyle name="Normal 424 5 3" xfId="15130"/>
    <cellStyle name="Normal 424 5 3 2" xfId="32751"/>
    <cellStyle name="Normal 424 5 4" xfId="25826"/>
    <cellStyle name="Normal 424 6" xfId="7946"/>
    <cellStyle name="Normal 424 6 2" xfId="15737"/>
    <cellStyle name="Normal 424 6 2 2" xfId="33358"/>
    <cellStyle name="Normal 424 6 3" xfId="26348"/>
    <cellStyle name="Normal 424 7" xfId="11902"/>
    <cellStyle name="Normal 424 7 2" xfId="29571"/>
    <cellStyle name="Normal 424 8" xfId="23487"/>
    <cellStyle name="Normal 424 9" xfId="52385"/>
    <cellStyle name="Normal 425" xfId="2776"/>
    <cellStyle name="Normal 425 2" xfId="4787"/>
    <cellStyle name="Normal 425 2 2" xfId="8628"/>
    <cellStyle name="Normal 425 2 2 2" xfId="16418"/>
    <cellStyle name="Normal 425 2 2 2 2" xfId="34039"/>
    <cellStyle name="Normal 425 2 2 3" xfId="27015"/>
    <cellStyle name="Normal 425 2 3" xfId="12917"/>
    <cellStyle name="Normal 425 2 3 2" xfId="30553"/>
    <cellStyle name="Normal 425 2 4" xfId="24154"/>
    <cellStyle name="Normal 425 3" xfId="5944"/>
    <cellStyle name="Normal 425 3 2" xfId="9241"/>
    <cellStyle name="Normal 425 3 2 2" xfId="17030"/>
    <cellStyle name="Normal 425 3 2 2 2" xfId="34652"/>
    <cellStyle name="Normal 425 3 2 3" xfId="27615"/>
    <cellStyle name="Normal 425 3 3" xfId="13794"/>
    <cellStyle name="Normal 425 3 3 2" xfId="31420"/>
    <cellStyle name="Normal 425 3 4" xfId="24754"/>
    <cellStyle name="Normal 425 4" xfId="6574"/>
    <cellStyle name="Normal 425 4 2" xfId="9781"/>
    <cellStyle name="Normal 425 4 2 2" xfId="17569"/>
    <cellStyle name="Normal 425 4 2 2 2" xfId="35192"/>
    <cellStyle name="Normal 425 4 2 3" xfId="28151"/>
    <cellStyle name="Normal 425 4 3" xfId="14357"/>
    <cellStyle name="Normal 425 4 3 2" xfId="31978"/>
    <cellStyle name="Normal 425 4 4" xfId="25290"/>
    <cellStyle name="Normal 425 5" xfId="7349"/>
    <cellStyle name="Normal 425 5 2" xfId="10334"/>
    <cellStyle name="Normal 425 5 2 2" xfId="18121"/>
    <cellStyle name="Normal 425 5 2 2 2" xfId="35744"/>
    <cellStyle name="Normal 425 5 2 3" xfId="28687"/>
    <cellStyle name="Normal 425 5 3" xfId="15131"/>
    <cellStyle name="Normal 425 5 3 2" xfId="32752"/>
    <cellStyle name="Normal 425 5 4" xfId="25827"/>
    <cellStyle name="Normal 425 6" xfId="7947"/>
    <cellStyle name="Normal 425 6 2" xfId="15738"/>
    <cellStyle name="Normal 425 6 2 2" xfId="33359"/>
    <cellStyle name="Normal 425 6 3" xfId="26349"/>
    <cellStyle name="Normal 425 7" xfId="11903"/>
    <cellStyle name="Normal 425 7 2" xfId="29572"/>
    <cellStyle name="Normal 425 8" xfId="23488"/>
    <cellStyle name="Normal 425 9" xfId="52386"/>
    <cellStyle name="Normal 426" xfId="2777"/>
    <cellStyle name="Normal 426 2" xfId="4788"/>
    <cellStyle name="Normal 426 2 2" xfId="8629"/>
    <cellStyle name="Normal 426 2 2 2" xfId="16419"/>
    <cellStyle name="Normal 426 2 2 2 2" xfId="34040"/>
    <cellStyle name="Normal 426 2 2 3" xfId="27016"/>
    <cellStyle name="Normal 426 2 3" xfId="12918"/>
    <cellStyle name="Normal 426 2 3 2" xfId="30554"/>
    <cellStyle name="Normal 426 2 4" xfId="24155"/>
    <cellStyle name="Normal 426 3" xfId="5945"/>
    <cellStyle name="Normal 426 3 2" xfId="9242"/>
    <cellStyle name="Normal 426 3 2 2" xfId="17031"/>
    <cellStyle name="Normal 426 3 2 2 2" xfId="34653"/>
    <cellStyle name="Normal 426 3 2 3" xfId="27616"/>
    <cellStyle name="Normal 426 3 3" xfId="13795"/>
    <cellStyle name="Normal 426 3 3 2" xfId="31421"/>
    <cellStyle name="Normal 426 3 4" xfId="24755"/>
    <cellStyle name="Normal 426 4" xfId="6575"/>
    <cellStyle name="Normal 426 4 2" xfId="9782"/>
    <cellStyle name="Normal 426 4 2 2" xfId="17570"/>
    <cellStyle name="Normal 426 4 2 2 2" xfId="35193"/>
    <cellStyle name="Normal 426 4 2 3" xfId="28152"/>
    <cellStyle name="Normal 426 4 3" xfId="14358"/>
    <cellStyle name="Normal 426 4 3 2" xfId="31979"/>
    <cellStyle name="Normal 426 4 4" xfId="25291"/>
    <cellStyle name="Normal 426 5" xfId="7350"/>
    <cellStyle name="Normal 426 5 2" xfId="10335"/>
    <cellStyle name="Normal 426 5 2 2" xfId="18122"/>
    <cellStyle name="Normal 426 5 2 2 2" xfId="35745"/>
    <cellStyle name="Normal 426 5 2 3" xfId="28688"/>
    <cellStyle name="Normal 426 5 3" xfId="15132"/>
    <cellStyle name="Normal 426 5 3 2" xfId="32753"/>
    <cellStyle name="Normal 426 5 4" xfId="25828"/>
    <cellStyle name="Normal 426 6" xfId="7948"/>
    <cellStyle name="Normal 426 6 2" xfId="15739"/>
    <cellStyle name="Normal 426 6 2 2" xfId="33360"/>
    <cellStyle name="Normal 426 6 3" xfId="26350"/>
    <cellStyle name="Normal 426 7" xfId="11904"/>
    <cellStyle name="Normal 426 7 2" xfId="29573"/>
    <cellStyle name="Normal 426 8" xfId="23489"/>
    <cellStyle name="Normal 426 9" xfId="52387"/>
    <cellStyle name="Normal 427" xfId="2778"/>
    <cellStyle name="Normal 427 2" xfId="4789"/>
    <cellStyle name="Normal 427 2 2" xfId="8630"/>
    <cellStyle name="Normal 427 2 2 2" xfId="16420"/>
    <cellStyle name="Normal 427 2 2 2 2" xfId="34041"/>
    <cellStyle name="Normal 427 2 2 3" xfId="27017"/>
    <cellStyle name="Normal 427 2 3" xfId="12919"/>
    <cellStyle name="Normal 427 2 3 2" xfId="30555"/>
    <cellStyle name="Normal 427 2 4" xfId="24156"/>
    <cellStyle name="Normal 427 3" xfId="5946"/>
    <cellStyle name="Normal 427 3 2" xfId="9243"/>
    <cellStyle name="Normal 427 3 2 2" xfId="17032"/>
    <cellStyle name="Normal 427 3 2 2 2" xfId="34654"/>
    <cellStyle name="Normal 427 3 2 3" xfId="27617"/>
    <cellStyle name="Normal 427 3 3" xfId="13796"/>
    <cellStyle name="Normal 427 3 3 2" xfId="31422"/>
    <cellStyle name="Normal 427 3 4" xfId="24756"/>
    <cellStyle name="Normal 427 4" xfId="6576"/>
    <cellStyle name="Normal 427 4 2" xfId="9783"/>
    <cellStyle name="Normal 427 4 2 2" xfId="17571"/>
    <cellStyle name="Normal 427 4 2 2 2" xfId="35194"/>
    <cellStyle name="Normal 427 4 2 3" xfId="28153"/>
    <cellStyle name="Normal 427 4 3" xfId="14359"/>
    <cellStyle name="Normal 427 4 3 2" xfId="31980"/>
    <cellStyle name="Normal 427 4 4" xfId="25292"/>
    <cellStyle name="Normal 427 5" xfId="7351"/>
    <cellStyle name="Normal 427 5 2" xfId="10336"/>
    <cellStyle name="Normal 427 5 2 2" xfId="18123"/>
    <cellStyle name="Normal 427 5 2 2 2" xfId="35746"/>
    <cellStyle name="Normal 427 5 2 3" xfId="28689"/>
    <cellStyle name="Normal 427 5 3" xfId="15133"/>
    <cellStyle name="Normal 427 5 3 2" xfId="32754"/>
    <cellStyle name="Normal 427 5 4" xfId="25829"/>
    <cellStyle name="Normal 427 6" xfId="7949"/>
    <cellStyle name="Normal 427 6 2" xfId="15740"/>
    <cellStyle name="Normal 427 6 2 2" xfId="33361"/>
    <cellStyle name="Normal 427 6 3" xfId="26351"/>
    <cellStyle name="Normal 427 7" xfId="11905"/>
    <cellStyle name="Normal 427 7 2" xfId="29574"/>
    <cellStyle name="Normal 427 8" xfId="23490"/>
    <cellStyle name="Normal 427 9" xfId="52388"/>
    <cellStyle name="Normal 428" xfId="2779"/>
    <cellStyle name="Normal 428 2" xfId="4790"/>
    <cellStyle name="Normal 428 2 2" xfId="8631"/>
    <cellStyle name="Normal 428 2 2 2" xfId="16421"/>
    <cellStyle name="Normal 428 2 2 2 2" xfId="34042"/>
    <cellStyle name="Normal 428 2 2 3" xfId="27018"/>
    <cellStyle name="Normal 428 2 3" xfId="12920"/>
    <cellStyle name="Normal 428 2 3 2" xfId="30556"/>
    <cellStyle name="Normal 428 2 4" xfId="24157"/>
    <cellStyle name="Normal 428 3" xfId="5947"/>
    <cellStyle name="Normal 428 3 2" xfId="9244"/>
    <cellStyle name="Normal 428 3 2 2" xfId="17033"/>
    <cellStyle name="Normal 428 3 2 2 2" xfId="34655"/>
    <cellStyle name="Normal 428 3 2 3" xfId="27618"/>
    <cellStyle name="Normal 428 3 3" xfId="13797"/>
    <cellStyle name="Normal 428 3 3 2" xfId="31423"/>
    <cellStyle name="Normal 428 3 4" xfId="24757"/>
    <cellStyle name="Normal 428 4" xfId="6577"/>
    <cellStyle name="Normal 428 4 2" xfId="9784"/>
    <cellStyle name="Normal 428 4 2 2" xfId="17572"/>
    <cellStyle name="Normal 428 4 2 2 2" xfId="35195"/>
    <cellStyle name="Normal 428 4 2 3" xfId="28154"/>
    <cellStyle name="Normal 428 4 3" xfId="14360"/>
    <cellStyle name="Normal 428 4 3 2" xfId="31981"/>
    <cellStyle name="Normal 428 4 4" xfId="25293"/>
    <cellStyle name="Normal 428 5" xfId="7352"/>
    <cellStyle name="Normal 428 5 2" xfId="10337"/>
    <cellStyle name="Normal 428 5 2 2" xfId="18124"/>
    <cellStyle name="Normal 428 5 2 2 2" xfId="35747"/>
    <cellStyle name="Normal 428 5 2 3" xfId="28690"/>
    <cellStyle name="Normal 428 5 3" xfId="15134"/>
    <cellStyle name="Normal 428 5 3 2" xfId="32755"/>
    <cellStyle name="Normal 428 5 4" xfId="25830"/>
    <cellStyle name="Normal 428 6" xfId="7950"/>
    <cellStyle name="Normal 428 6 2" xfId="15741"/>
    <cellStyle name="Normal 428 6 2 2" xfId="33362"/>
    <cellStyle name="Normal 428 6 3" xfId="26352"/>
    <cellStyle name="Normal 428 7" xfId="11906"/>
    <cellStyle name="Normal 428 7 2" xfId="29575"/>
    <cellStyle name="Normal 428 8" xfId="23491"/>
    <cellStyle name="Normal 428 9" xfId="52389"/>
    <cellStyle name="Normal 429" xfId="2780"/>
    <cellStyle name="Normal 429 2" xfId="2781"/>
    <cellStyle name="Normal 429 2 2" xfId="4792"/>
    <cellStyle name="Normal 429 2 3" xfId="52391"/>
    <cellStyle name="Normal 429 3" xfId="2782"/>
    <cellStyle name="Normal 429 3 2" xfId="4793"/>
    <cellStyle name="Normal 429 4" xfId="4791"/>
    <cellStyle name="Normal 429 5" xfId="52390"/>
    <cellStyle name="Normal 43" xfId="2783"/>
    <cellStyle name="Normal 43 2" xfId="4794"/>
    <cellStyle name="Normal 43 2 2" xfId="22769"/>
    <cellStyle name="Normal 43 2 2 2" xfId="38962"/>
    <cellStyle name="Normal 43 3" xfId="22985"/>
    <cellStyle name="Normal 43 4" xfId="22560"/>
    <cellStyle name="Normal 43 4 2" xfId="38857"/>
    <cellStyle name="Normal 43 5" xfId="52392"/>
    <cellStyle name="Normal 430" xfId="2784"/>
    <cellStyle name="Normal 430 10" xfId="52393"/>
    <cellStyle name="Normal 430 2" xfId="2785"/>
    <cellStyle name="Normal 430 2 2" xfId="4796"/>
    <cellStyle name="Normal 430 2 3" xfId="52394"/>
    <cellStyle name="Normal 430 3" xfId="4795"/>
    <cellStyle name="Normal 430 3 2" xfId="8632"/>
    <cellStyle name="Normal 430 3 2 2" xfId="16422"/>
    <cellStyle name="Normal 430 3 2 2 2" xfId="34043"/>
    <cellStyle name="Normal 430 3 2 3" xfId="27019"/>
    <cellStyle name="Normal 430 3 3" xfId="12923"/>
    <cellStyle name="Normal 430 3 3 2" xfId="30559"/>
    <cellStyle name="Normal 430 3 4" xfId="24158"/>
    <cellStyle name="Normal 430 4" xfId="5948"/>
    <cellStyle name="Normal 430 4 2" xfId="9245"/>
    <cellStyle name="Normal 430 4 2 2" xfId="17034"/>
    <cellStyle name="Normal 430 4 2 2 2" xfId="34656"/>
    <cellStyle name="Normal 430 4 2 3" xfId="27619"/>
    <cellStyle name="Normal 430 4 3" xfId="13798"/>
    <cellStyle name="Normal 430 4 3 2" xfId="31424"/>
    <cellStyle name="Normal 430 4 4" xfId="24758"/>
    <cellStyle name="Normal 430 5" xfId="6578"/>
    <cellStyle name="Normal 430 5 2" xfId="9785"/>
    <cellStyle name="Normal 430 5 2 2" xfId="17573"/>
    <cellStyle name="Normal 430 5 2 2 2" xfId="35196"/>
    <cellStyle name="Normal 430 5 2 3" xfId="28155"/>
    <cellStyle name="Normal 430 5 3" xfId="14361"/>
    <cellStyle name="Normal 430 5 3 2" xfId="31982"/>
    <cellStyle name="Normal 430 5 4" xfId="25294"/>
    <cellStyle name="Normal 430 6" xfId="7353"/>
    <cellStyle name="Normal 430 6 2" xfId="10338"/>
    <cellStyle name="Normal 430 6 2 2" xfId="18125"/>
    <cellStyle name="Normal 430 6 2 2 2" xfId="35748"/>
    <cellStyle name="Normal 430 6 2 3" xfId="28691"/>
    <cellStyle name="Normal 430 6 3" xfId="15135"/>
    <cellStyle name="Normal 430 6 3 2" xfId="32756"/>
    <cellStyle name="Normal 430 6 4" xfId="25831"/>
    <cellStyle name="Normal 430 7" xfId="7951"/>
    <cellStyle name="Normal 430 7 2" xfId="15742"/>
    <cellStyle name="Normal 430 7 2 2" xfId="33363"/>
    <cellStyle name="Normal 430 7 3" xfId="26353"/>
    <cellStyle name="Normal 430 8" xfId="11908"/>
    <cellStyle name="Normal 430 8 2" xfId="29577"/>
    <cellStyle name="Normal 430 9" xfId="23492"/>
    <cellStyle name="Normal 431" xfId="2786"/>
    <cellStyle name="Normal 431 10" xfId="52395"/>
    <cellStyle name="Normal 431 2" xfId="2787"/>
    <cellStyle name="Normal 431 2 2" xfId="4798"/>
    <cellStyle name="Normal 431 2 3" xfId="52396"/>
    <cellStyle name="Normal 431 3" xfId="4797"/>
    <cellStyle name="Normal 431 3 2" xfId="8633"/>
    <cellStyle name="Normal 431 3 2 2" xfId="16423"/>
    <cellStyle name="Normal 431 3 2 2 2" xfId="34044"/>
    <cellStyle name="Normal 431 3 2 3" xfId="27020"/>
    <cellStyle name="Normal 431 3 3" xfId="12924"/>
    <cellStyle name="Normal 431 3 3 2" xfId="30560"/>
    <cellStyle name="Normal 431 3 4" xfId="24159"/>
    <cellStyle name="Normal 431 4" xfId="5949"/>
    <cellStyle name="Normal 431 4 2" xfId="9246"/>
    <cellStyle name="Normal 431 4 2 2" xfId="17035"/>
    <cellStyle name="Normal 431 4 2 2 2" xfId="34657"/>
    <cellStyle name="Normal 431 4 2 3" xfId="27620"/>
    <cellStyle name="Normal 431 4 3" xfId="13799"/>
    <cellStyle name="Normal 431 4 3 2" xfId="31425"/>
    <cellStyle name="Normal 431 4 4" xfId="24759"/>
    <cellStyle name="Normal 431 5" xfId="6579"/>
    <cellStyle name="Normal 431 5 2" xfId="9786"/>
    <cellStyle name="Normal 431 5 2 2" xfId="17574"/>
    <cellStyle name="Normal 431 5 2 2 2" xfId="35197"/>
    <cellStyle name="Normal 431 5 2 3" xfId="28156"/>
    <cellStyle name="Normal 431 5 3" xfId="14362"/>
    <cellStyle name="Normal 431 5 3 2" xfId="31983"/>
    <cellStyle name="Normal 431 5 4" xfId="25295"/>
    <cellStyle name="Normal 431 6" xfId="7354"/>
    <cellStyle name="Normal 431 6 2" xfId="10339"/>
    <cellStyle name="Normal 431 6 2 2" xfId="18126"/>
    <cellStyle name="Normal 431 6 2 2 2" xfId="35749"/>
    <cellStyle name="Normal 431 6 2 3" xfId="28692"/>
    <cellStyle name="Normal 431 6 3" xfId="15136"/>
    <cellStyle name="Normal 431 6 3 2" xfId="32757"/>
    <cellStyle name="Normal 431 6 4" xfId="25832"/>
    <cellStyle name="Normal 431 7" xfId="7952"/>
    <cellStyle name="Normal 431 7 2" xfId="15743"/>
    <cellStyle name="Normal 431 7 2 2" xfId="33364"/>
    <cellStyle name="Normal 431 7 3" xfId="26354"/>
    <cellStyle name="Normal 431 8" xfId="11909"/>
    <cellStyle name="Normal 431 8 2" xfId="29578"/>
    <cellStyle name="Normal 431 9" xfId="23493"/>
    <cellStyle name="Normal 432" xfId="2788"/>
    <cellStyle name="Normal 432 10" xfId="52397"/>
    <cellStyle name="Normal 432 2" xfId="2789"/>
    <cellStyle name="Normal 432 2 2" xfId="4800"/>
    <cellStyle name="Normal 432 2 3" xfId="52398"/>
    <cellStyle name="Normal 432 3" xfId="4799"/>
    <cellStyle name="Normal 432 3 2" xfId="8634"/>
    <cellStyle name="Normal 432 3 2 2" xfId="16424"/>
    <cellStyle name="Normal 432 3 2 2 2" xfId="34045"/>
    <cellStyle name="Normal 432 3 2 3" xfId="27021"/>
    <cellStyle name="Normal 432 3 3" xfId="12925"/>
    <cellStyle name="Normal 432 3 3 2" xfId="30561"/>
    <cellStyle name="Normal 432 3 4" xfId="24160"/>
    <cellStyle name="Normal 432 4" xfId="5950"/>
    <cellStyle name="Normal 432 4 2" xfId="9247"/>
    <cellStyle name="Normal 432 4 2 2" xfId="17036"/>
    <cellStyle name="Normal 432 4 2 2 2" xfId="34658"/>
    <cellStyle name="Normal 432 4 2 3" xfId="27621"/>
    <cellStyle name="Normal 432 4 3" xfId="13800"/>
    <cellStyle name="Normal 432 4 3 2" xfId="31426"/>
    <cellStyle name="Normal 432 4 4" xfId="24760"/>
    <cellStyle name="Normal 432 5" xfId="6580"/>
    <cellStyle name="Normal 432 5 2" xfId="9787"/>
    <cellStyle name="Normal 432 5 2 2" xfId="17575"/>
    <cellStyle name="Normal 432 5 2 2 2" xfId="35198"/>
    <cellStyle name="Normal 432 5 2 3" xfId="28157"/>
    <cellStyle name="Normal 432 5 3" xfId="14363"/>
    <cellStyle name="Normal 432 5 3 2" xfId="31984"/>
    <cellStyle name="Normal 432 5 4" xfId="25296"/>
    <cellStyle name="Normal 432 6" xfId="7355"/>
    <cellStyle name="Normal 432 6 2" xfId="10340"/>
    <cellStyle name="Normal 432 6 2 2" xfId="18127"/>
    <cellStyle name="Normal 432 6 2 2 2" xfId="35750"/>
    <cellStyle name="Normal 432 6 2 3" xfId="28693"/>
    <cellStyle name="Normal 432 6 3" xfId="15137"/>
    <cellStyle name="Normal 432 6 3 2" xfId="32758"/>
    <cellStyle name="Normal 432 6 4" xfId="25833"/>
    <cellStyle name="Normal 432 7" xfId="7953"/>
    <cellStyle name="Normal 432 7 2" xfId="15744"/>
    <cellStyle name="Normal 432 7 2 2" xfId="33365"/>
    <cellStyle name="Normal 432 7 3" xfId="26355"/>
    <cellStyle name="Normal 432 8" xfId="11910"/>
    <cellStyle name="Normal 432 8 2" xfId="29579"/>
    <cellStyle name="Normal 432 9" xfId="23494"/>
    <cellStyle name="Normal 433" xfId="2790"/>
    <cellStyle name="Normal 433 10" xfId="52399"/>
    <cellStyle name="Normal 433 2" xfId="2791"/>
    <cellStyle name="Normal 433 2 2" xfId="4802"/>
    <cellStyle name="Normal 433 2 3" xfId="52400"/>
    <cellStyle name="Normal 433 3" xfId="4801"/>
    <cellStyle name="Normal 433 3 2" xfId="8635"/>
    <cellStyle name="Normal 433 3 2 2" xfId="16425"/>
    <cellStyle name="Normal 433 3 2 2 2" xfId="34046"/>
    <cellStyle name="Normal 433 3 2 3" xfId="27022"/>
    <cellStyle name="Normal 433 3 3" xfId="12926"/>
    <cellStyle name="Normal 433 3 3 2" xfId="30562"/>
    <cellStyle name="Normal 433 3 4" xfId="24161"/>
    <cellStyle name="Normal 433 4" xfId="5951"/>
    <cellStyle name="Normal 433 4 2" xfId="9248"/>
    <cellStyle name="Normal 433 4 2 2" xfId="17037"/>
    <cellStyle name="Normal 433 4 2 2 2" xfId="34659"/>
    <cellStyle name="Normal 433 4 2 3" xfId="27622"/>
    <cellStyle name="Normal 433 4 3" xfId="13801"/>
    <cellStyle name="Normal 433 4 3 2" xfId="31427"/>
    <cellStyle name="Normal 433 4 4" xfId="24761"/>
    <cellStyle name="Normal 433 5" xfId="6581"/>
    <cellStyle name="Normal 433 5 2" xfId="9788"/>
    <cellStyle name="Normal 433 5 2 2" xfId="17576"/>
    <cellStyle name="Normal 433 5 2 2 2" xfId="35199"/>
    <cellStyle name="Normal 433 5 2 3" xfId="28158"/>
    <cellStyle name="Normal 433 5 3" xfId="14364"/>
    <cellStyle name="Normal 433 5 3 2" xfId="31985"/>
    <cellStyle name="Normal 433 5 4" xfId="25297"/>
    <cellStyle name="Normal 433 6" xfId="7356"/>
    <cellStyle name="Normal 433 6 2" xfId="10341"/>
    <cellStyle name="Normal 433 6 2 2" xfId="18128"/>
    <cellStyle name="Normal 433 6 2 2 2" xfId="35751"/>
    <cellStyle name="Normal 433 6 2 3" xfId="28694"/>
    <cellStyle name="Normal 433 6 3" xfId="15138"/>
    <cellStyle name="Normal 433 6 3 2" xfId="32759"/>
    <cellStyle name="Normal 433 6 4" xfId="25834"/>
    <cellStyle name="Normal 433 7" xfId="7954"/>
    <cellStyle name="Normal 433 7 2" xfId="15745"/>
    <cellStyle name="Normal 433 7 2 2" xfId="33366"/>
    <cellStyle name="Normal 433 7 3" xfId="26356"/>
    <cellStyle name="Normal 433 8" xfId="11911"/>
    <cellStyle name="Normal 433 8 2" xfId="29580"/>
    <cellStyle name="Normal 433 9" xfId="23495"/>
    <cellStyle name="Normal 434" xfId="2792"/>
    <cellStyle name="Normal 434 2" xfId="4803"/>
    <cellStyle name="Normal 434 2 2" xfId="8636"/>
    <cellStyle name="Normal 434 2 2 2" xfId="16426"/>
    <cellStyle name="Normal 434 2 2 2 2" xfId="34047"/>
    <cellStyle name="Normal 434 2 2 3" xfId="27023"/>
    <cellStyle name="Normal 434 2 3" xfId="12927"/>
    <cellStyle name="Normal 434 2 3 2" xfId="30563"/>
    <cellStyle name="Normal 434 2 4" xfId="24162"/>
    <cellStyle name="Normal 434 3" xfId="5952"/>
    <cellStyle name="Normal 434 3 2" xfId="9249"/>
    <cellStyle name="Normal 434 3 2 2" xfId="17038"/>
    <cellStyle name="Normal 434 3 2 2 2" xfId="34660"/>
    <cellStyle name="Normal 434 3 2 3" xfId="27623"/>
    <cellStyle name="Normal 434 3 3" xfId="13802"/>
    <cellStyle name="Normal 434 3 3 2" xfId="31428"/>
    <cellStyle name="Normal 434 3 4" xfId="24762"/>
    <cellStyle name="Normal 434 4" xfId="6582"/>
    <cellStyle name="Normal 434 4 2" xfId="9789"/>
    <cellStyle name="Normal 434 4 2 2" xfId="17577"/>
    <cellStyle name="Normal 434 4 2 2 2" xfId="35200"/>
    <cellStyle name="Normal 434 4 2 3" xfId="28159"/>
    <cellStyle name="Normal 434 4 3" xfId="14365"/>
    <cellStyle name="Normal 434 4 3 2" xfId="31986"/>
    <cellStyle name="Normal 434 4 4" xfId="25298"/>
    <cellStyle name="Normal 434 5" xfId="7357"/>
    <cellStyle name="Normal 434 5 2" xfId="10342"/>
    <cellStyle name="Normal 434 5 2 2" xfId="18129"/>
    <cellStyle name="Normal 434 5 2 2 2" xfId="35752"/>
    <cellStyle name="Normal 434 5 2 3" xfId="28695"/>
    <cellStyle name="Normal 434 5 3" xfId="15139"/>
    <cellStyle name="Normal 434 5 3 2" xfId="32760"/>
    <cellStyle name="Normal 434 5 4" xfId="25835"/>
    <cellStyle name="Normal 434 6" xfId="7955"/>
    <cellStyle name="Normal 434 6 2" xfId="15746"/>
    <cellStyle name="Normal 434 6 2 2" xfId="33367"/>
    <cellStyle name="Normal 434 6 3" xfId="26357"/>
    <cellStyle name="Normal 434 7" xfId="11912"/>
    <cellStyle name="Normal 434 7 2" xfId="29581"/>
    <cellStyle name="Normal 434 8" xfId="23496"/>
    <cellStyle name="Normal 434 9" xfId="52401"/>
    <cellStyle name="Normal 435" xfId="2793"/>
    <cellStyle name="Normal 435 2" xfId="4805"/>
    <cellStyle name="Normal 435 2 2" xfId="8637"/>
    <cellStyle name="Normal 435 2 2 2" xfId="16427"/>
    <cellStyle name="Normal 435 2 2 2 2" xfId="34048"/>
    <cellStyle name="Normal 435 2 2 3" xfId="27024"/>
    <cellStyle name="Normal 435 2 3" xfId="12929"/>
    <cellStyle name="Normal 435 2 3 2" xfId="30565"/>
    <cellStyle name="Normal 435 2 4" xfId="24163"/>
    <cellStyle name="Normal 435 3" xfId="4804"/>
    <cellStyle name="Normal 435 4" xfId="7956"/>
    <cellStyle name="Normal 435 4 2" xfId="15747"/>
    <cellStyle name="Normal 435 4 2 2" xfId="33368"/>
    <cellStyle name="Normal 435 4 3" xfId="26358"/>
    <cellStyle name="Normal 435 5" xfId="11913"/>
    <cellStyle name="Normal 435 5 2" xfId="29582"/>
    <cellStyle name="Normal 435 6" xfId="23497"/>
    <cellStyle name="Normal 435 7" xfId="52402"/>
    <cellStyle name="Normal 436" xfId="2794"/>
    <cellStyle name="Normal 436 2" xfId="4807"/>
    <cellStyle name="Normal 436 2 2" xfId="8638"/>
    <cellStyle name="Normal 436 2 2 2" xfId="16428"/>
    <cellStyle name="Normal 436 2 2 2 2" xfId="34049"/>
    <cellStyle name="Normal 436 2 2 3" xfId="27025"/>
    <cellStyle name="Normal 436 2 3" xfId="12931"/>
    <cellStyle name="Normal 436 2 3 2" xfId="30566"/>
    <cellStyle name="Normal 436 2 4" xfId="24164"/>
    <cellStyle name="Normal 436 3" xfId="4806"/>
    <cellStyle name="Normal 436 4" xfId="7957"/>
    <cellStyle name="Normal 436 4 2" xfId="15748"/>
    <cellStyle name="Normal 436 4 2 2" xfId="33369"/>
    <cellStyle name="Normal 436 4 3" xfId="26359"/>
    <cellStyle name="Normal 436 5" xfId="11914"/>
    <cellStyle name="Normal 436 5 2" xfId="29583"/>
    <cellStyle name="Normal 436 6" xfId="23498"/>
    <cellStyle name="Normal 436 7" xfId="52403"/>
    <cellStyle name="Normal 437" xfId="2795"/>
    <cellStyle name="Normal 437 2" xfId="4809"/>
    <cellStyle name="Normal 437 2 2" xfId="8639"/>
    <cellStyle name="Normal 437 2 2 2" xfId="16429"/>
    <cellStyle name="Normal 437 2 2 2 2" xfId="34050"/>
    <cellStyle name="Normal 437 2 2 3" xfId="27026"/>
    <cellStyle name="Normal 437 2 3" xfId="12932"/>
    <cellStyle name="Normal 437 2 3 2" xfId="30567"/>
    <cellStyle name="Normal 437 2 4" xfId="24165"/>
    <cellStyle name="Normal 437 3" xfId="4808"/>
    <cellStyle name="Normal 437 4" xfId="7958"/>
    <cellStyle name="Normal 437 4 2" xfId="15749"/>
    <cellStyle name="Normal 437 4 2 2" xfId="33370"/>
    <cellStyle name="Normal 437 4 3" xfId="26360"/>
    <cellStyle name="Normal 437 5" xfId="11915"/>
    <cellStyle name="Normal 437 5 2" xfId="29584"/>
    <cellStyle name="Normal 437 6" xfId="23499"/>
    <cellStyle name="Normal 437 7" xfId="52404"/>
    <cellStyle name="Normal 438" xfId="2796"/>
    <cellStyle name="Normal 438 2" xfId="4811"/>
    <cellStyle name="Normal 438 2 2" xfId="8640"/>
    <cellStyle name="Normal 438 2 2 2" xfId="16430"/>
    <cellStyle name="Normal 438 2 2 2 2" xfId="34051"/>
    <cellStyle name="Normal 438 2 2 3" xfId="27027"/>
    <cellStyle name="Normal 438 2 3" xfId="12933"/>
    <cellStyle name="Normal 438 2 3 2" xfId="30568"/>
    <cellStyle name="Normal 438 2 4" xfId="24166"/>
    <cellStyle name="Normal 438 3" xfId="4810"/>
    <cellStyle name="Normal 438 4" xfId="7959"/>
    <cellStyle name="Normal 438 4 2" xfId="15750"/>
    <cellStyle name="Normal 438 4 2 2" xfId="33371"/>
    <cellStyle name="Normal 438 4 3" xfId="26361"/>
    <cellStyle name="Normal 438 5" xfId="11916"/>
    <cellStyle name="Normal 438 5 2" xfId="29585"/>
    <cellStyle name="Normal 438 6" xfId="23500"/>
    <cellStyle name="Normal 438 7" xfId="52405"/>
    <cellStyle name="Normal 439" xfId="2797"/>
    <cellStyle name="Normal 439 2" xfId="4813"/>
    <cellStyle name="Normal 439 2 2" xfId="8641"/>
    <cellStyle name="Normal 439 2 2 2" xfId="16431"/>
    <cellStyle name="Normal 439 2 2 2 2" xfId="34052"/>
    <cellStyle name="Normal 439 2 2 3" xfId="27028"/>
    <cellStyle name="Normal 439 2 3" xfId="12934"/>
    <cellStyle name="Normal 439 2 3 2" xfId="30569"/>
    <cellStyle name="Normal 439 2 4" xfId="24167"/>
    <cellStyle name="Normal 439 3" xfId="4812"/>
    <cellStyle name="Normal 439 4" xfId="7960"/>
    <cellStyle name="Normal 439 4 2" xfId="15751"/>
    <cellStyle name="Normal 439 4 2 2" xfId="33372"/>
    <cellStyle name="Normal 439 4 3" xfId="26362"/>
    <cellStyle name="Normal 439 5" xfId="11917"/>
    <cellStyle name="Normal 439 5 2" xfId="29586"/>
    <cellStyle name="Normal 439 6" xfId="23501"/>
    <cellStyle name="Normal 439 7" xfId="52406"/>
    <cellStyle name="Normal 44" xfId="2798"/>
    <cellStyle name="Normal 44 2" xfId="4814"/>
    <cellStyle name="Normal 44 2 2" xfId="22770"/>
    <cellStyle name="Normal 44 2 2 2" xfId="38963"/>
    <cellStyle name="Normal 44 3" xfId="22986"/>
    <cellStyle name="Normal 44 4" xfId="22561"/>
    <cellStyle name="Normal 44 4 2" xfId="38858"/>
    <cellStyle name="Normal 44 5" xfId="52407"/>
    <cellStyle name="Normal 440" xfId="2799"/>
    <cellStyle name="Normal 440 2" xfId="4816"/>
    <cellStyle name="Normal 440 2 2" xfId="8642"/>
    <cellStyle name="Normal 440 2 2 2" xfId="16432"/>
    <cellStyle name="Normal 440 2 2 2 2" xfId="34053"/>
    <cellStyle name="Normal 440 2 2 3" xfId="27029"/>
    <cellStyle name="Normal 440 2 3" xfId="12936"/>
    <cellStyle name="Normal 440 2 3 2" xfId="30571"/>
    <cellStyle name="Normal 440 2 4" xfId="24168"/>
    <cellStyle name="Normal 440 3" xfId="4815"/>
    <cellStyle name="Normal 440 4" xfId="7961"/>
    <cellStyle name="Normal 440 4 2" xfId="15752"/>
    <cellStyle name="Normal 440 4 2 2" xfId="33373"/>
    <cellStyle name="Normal 440 4 3" xfId="26363"/>
    <cellStyle name="Normal 440 5" xfId="11918"/>
    <cellStyle name="Normal 440 5 2" xfId="29587"/>
    <cellStyle name="Normal 440 6" xfId="23502"/>
    <cellStyle name="Normal 440 7" xfId="52408"/>
    <cellStyle name="Normal 441" xfId="2800"/>
    <cellStyle name="Normal 441 2" xfId="4817"/>
    <cellStyle name="Normal 441 2 2" xfId="8643"/>
    <cellStyle name="Normal 441 2 2 2" xfId="16433"/>
    <cellStyle name="Normal 441 2 2 2 2" xfId="34054"/>
    <cellStyle name="Normal 441 2 2 3" xfId="27030"/>
    <cellStyle name="Normal 441 2 3" xfId="12937"/>
    <cellStyle name="Normal 441 2 3 2" xfId="30572"/>
    <cellStyle name="Normal 441 2 4" xfId="24169"/>
    <cellStyle name="Normal 441 3" xfId="5953"/>
    <cellStyle name="Normal 441 3 2" xfId="9250"/>
    <cellStyle name="Normal 441 3 2 2" xfId="17039"/>
    <cellStyle name="Normal 441 3 2 2 2" xfId="34661"/>
    <cellStyle name="Normal 441 3 2 3" xfId="27624"/>
    <cellStyle name="Normal 441 3 3" xfId="13803"/>
    <cellStyle name="Normal 441 3 3 2" xfId="31429"/>
    <cellStyle name="Normal 441 3 4" xfId="24763"/>
    <cellStyle name="Normal 441 4" xfId="6583"/>
    <cellStyle name="Normal 441 4 2" xfId="9790"/>
    <cellStyle name="Normal 441 4 2 2" xfId="17578"/>
    <cellStyle name="Normal 441 4 2 2 2" xfId="35201"/>
    <cellStyle name="Normal 441 4 2 3" xfId="28160"/>
    <cellStyle name="Normal 441 4 3" xfId="14366"/>
    <cellStyle name="Normal 441 4 3 2" xfId="31987"/>
    <cellStyle name="Normal 441 4 4" xfId="25299"/>
    <cellStyle name="Normal 441 5" xfId="7358"/>
    <cellStyle name="Normal 441 5 2" xfId="10343"/>
    <cellStyle name="Normal 441 5 2 2" xfId="18130"/>
    <cellStyle name="Normal 441 5 2 2 2" xfId="35753"/>
    <cellStyle name="Normal 441 5 2 3" xfId="28696"/>
    <cellStyle name="Normal 441 5 3" xfId="15140"/>
    <cellStyle name="Normal 441 5 3 2" xfId="32761"/>
    <cellStyle name="Normal 441 5 4" xfId="25836"/>
    <cellStyle name="Normal 441 6" xfId="7962"/>
    <cellStyle name="Normal 441 6 2" xfId="15753"/>
    <cellStyle name="Normal 441 6 2 2" xfId="33374"/>
    <cellStyle name="Normal 441 6 3" xfId="26364"/>
    <cellStyle name="Normal 441 7" xfId="11919"/>
    <cellStyle name="Normal 441 7 2" xfId="29588"/>
    <cellStyle name="Normal 441 8" xfId="23503"/>
    <cellStyle name="Normal 441 9" xfId="52409"/>
    <cellStyle name="Normal 442" xfId="2801"/>
    <cellStyle name="Normal 442 2" xfId="4818"/>
    <cellStyle name="Normal 442 2 2" xfId="8644"/>
    <cellStyle name="Normal 442 2 2 2" xfId="16434"/>
    <cellStyle name="Normal 442 2 2 2 2" xfId="34055"/>
    <cellStyle name="Normal 442 2 2 3" xfId="27031"/>
    <cellStyle name="Normal 442 2 3" xfId="12938"/>
    <cellStyle name="Normal 442 2 3 2" xfId="30573"/>
    <cellStyle name="Normal 442 2 4" xfId="24170"/>
    <cellStyle name="Normal 442 3" xfId="5954"/>
    <cellStyle name="Normal 442 3 2" xfId="9251"/>
    <cellStyle name="Normal 442 3 2 2" xfId="17040"/>
    <cellStyle name="Normal 442 3 2 2 2" xfId="34662"/>
    <cellStyle name="Normal 442 3 2 3" xfId="27625"/>
    <cellStyle name="Normal 442 3 3" xfId="13804"/>
    <cellStyle name="Normal 442 3 3 2" xfId="31430"/>
    <cellStyle name="Normal 442 3 4" xfId="24764"/>
    <cellStyle name="Normal 442 4" xfId="6584"/>
    <cellStyle name="Normal 442 4 2" xfId="9791"/>
    <cellStyle name="Normal 442 4 2 2" xfId="17579"/>
    <cellStyle name="Normal 442 4 2 2 2" xfId="35202"/>
    <cellStyle name="Normal 442 4 2 3" xfId="28161"/>
    <cellStyle name="Normal 442 4 3" xfId="14367"/>
    <cellStyle name="Normal 442 4 3 2" xfId="31988"/>
    <cellStyle name="Normal 442 4 4" xfId="25300"/>
    <cellStyle name="Normal 442 5" xfId="7359"/>
    <cellStyle name="Normal 442 5 2" xfId="10344"/>
    <cellStyle name="Normal 442 5 2 2" xfId="18131"/>
    <cellStyle name="Normal 442 5 2 2 2" xfId="35754"/>
    <cellStyle name="Normal 442 5 2 3" xfId="28697"/>
    <cellStyle name="Normal 442 5 3" xfId="15141"/>
    <cellStyle name="Normal 442 5 3 2" xfId="32762"/>
    <cellStyle name="Normal 442 5 4" xfId="25837"/>
    <cellStyle name="Normal 442 6" xfId="7963"/>
    <cellStyle name="Normal 442 6 2" xfId="15754"/>
    <cellStyle name="Normal 442 6 2 2" xfId="33375"/>
    <cellStyle name="Normal 442 6 3" xfId="26365"/>
    <cellStyle name="Normal 442 7" xfId="11920"/>
    <cellStyle name="Normal 442 7 2" xfId="29589"/>
    <cellStyle name="Normal 442 8" xfId="23504"/>
    <cellStyle name="Normal 442 9" xfId="52410"/>
    <cellStyle name="Normal 443" xfId="2802"/>
    <cellStyle name="Normal 443 2" xfId="4819"/>
    <cellStyle name="Normal 443 2 2" xfId="8645"/>
    <cellStyle name="Normal 443 2 2 2" xfId="16435"/>
    <cellStyle name="Normal 443 2 2 2 2" xfId="34056"/>
    <cellStyle name="Normal 443 2 2 3" xfId="27032"/>
    <cellStyle name="Normal 443 2 3" xfId="12939"/>
    <cellStyle name="Normal 443 2 3 2" xfId="30574"/>
    <cellStyle name="Normal 443 2 4" xfId="24171"/>
    <cellStyle name="Normal 443 3" xfId="5955"/>
    <cellStyle name="Normal 443 3 2" xfId="9252"/>
    <cellStyle name="Normal 443 3 2 2" xfId="17041"/>
    <cellStyle name="Normal 443 3 2 2 2" xfId="34663"/>
    <cellStyle name="Normal 443 3 2 3" xfId="27626"/>
    <cellStyle name="Normal 443 3 3" xfId="13805"/>
    <cellStyle name="Normal 443 3 3 2" xfId="31431"/>
    <cellStyle name="Normal 443 3 4" xfId="24765"/>
    <cellStyle name="Normal 443 4" xfId="6585"/>
    <cellStyle name="Normal 443 4 2" xfId="9792"/>
    <cellStyle name="Normal 443 4 2 2" xfId="17580"/>
    <cellStyle name="Normal 443 4 2 2 2" xfId="35203"/>
    <cellStyle name="Normal 443 4 2 3" xfId="28162"/>
    <cellStyle name="Normal 443 4 3" xfId="14368"/>
    <cellStyle name="Normal 443 4 3 2" xfId="31989"/>
    <cellStyle name="Normal 443 4 4" xfId="25301"/>
    <cellStyle name="Normal 443 5" xfId="7360"/>
    <cellStyle name="Normal 443 5 2" xfId="10345"/>
    <cellStyle name="Normal 443 5 2 2" xfId="18132"/>
    <cellStyle name="Normal 443 5 2 2 2" xfId="35755"/>
    <cellStyle name="Normal 443 5 2 3" xfId="28698"/>
    <cellStyle name="Normal 443 5 3" xfId="15142"/>
    <cellStyle name="Normal 443 5 3 2" xfId="32763"/>
    <cellStyle name="Normal 443 5 4" xfId="25838"/>
    <cellStyle name="Normal 443 6" xfId="7964"/>
    <cellStyle name="Normal 443 6 2" xfId="15755"/>
    <cellStyle name="Normal 443 6 2 2" xfId="33376"/>
    <cellStyle name="Normal 443 6 3" xfId="26366"/>
    <cellStyle name="Normal 443 7" xfId="11921"/>
    <cellStyle name="Normal 443 7 2" xfId="29590"/>
    <cellStyle name="Normal 443 8" xfId="23505"/>
    <cellStyle name="Normal 443 9" xfId="52411"/>
    <cellStyle name="Normal 444" xfId="2803"/>
    <cellStyle name="Normal 444 2" xfId="4820"/>
    <cellStyle name="Normal 444 2 2" xfId="8646"/>
    <cellStyle name="Normal 444 2 2 2" xfId="16436"/>
    <cellStyle name="Normal 444 2 2 2 2" xfId="34057"/>
    <cellStyle name="Normal 444 2 2 3" xfId="27033"/>
    <cellStyle name="Normal 444 2 3" xfId="12940"/>
    <cellStyle name="Normal 444 2 3 2" xfId="30575"/>
    <cellStyle name="Normal 444 2 4" xfId="24172"/>
    <cellStyle name="Normal 444 3" xfId="5956"/>
    <cellStyle name="Normal 444 3 2" xfId="9253"/>
    <cellStyle name="Normal 444 3 2 2" xfId="17042"/>
    <cellStyle name="Normal 444 3 2 2 2" xfId="34664"/>
    <cellStyle name="Normal 444 3 2 3" xfId="27627"/>
    <cellStyle name="Normal 444 3 3" xfId="13806"/>
    <cellStyle name="Normal 444 3 3 2" xfId="31432"/>
    <cellStyle name="Normal 444 3 4" xfId="24766"/>
    <cellStyle name="Normal 444 4" xfId="6586"/>
    <cellStyle name="Normal 444 4 2" xfId="9793"/>
    <cellStyle name="Normal 444 4 2 2" xfId="17581"/>
    <cellStyle name="Normal 444 4 2 2 2" xfId="35204"/>
    <cellStyle name="Normal 444 4 2 3" xfId="28163"/>
    <cellStyle name="Normal 444 4 3" xfId="14369"/>
    <cellStyle name="Normal 444 4 3 2" xfId="31990"/>
    <cellStyle name="Normal 444 4 4" xfId="25302"/>
    <cellStyle name="Normal 444 5" xfId="7361"/>
    <cellStyle name="Normal 444 5 2" xfId="10346"/>
    <cellStyle name="Normal 444 5 2 2" xfId="18133"/>
    <cellStyle name="Normal 444 5 2 2 2" xfId="35756"/>
    <cellStyle name="Normal 444 5 2 3" xfId="28699"/>
    <cellStyle name="Normal 444 5 3" xfId="15143"/>
    <cellStyle name="Normal 444 5 3 2" xfId="32764"/>
    <cellStyle name="Normal 444 5 4" xfId="25839"/>
    <cellStyle name="Normal 444 6" xfId="7965"/>
    <cellStyle name="Normal 444 6 2" xfId="15756"/>
    <cellStyle name="Normal 444 6 2 2" xfId="33377"/>
    <cellStyle name="Normal 444 6 3" xfId="26367"/>
    <cellStyle name="Normal 444 7" xfId="11922"/>
    <cellStyle name="Normal 444 7 2" xfId="29591"/>
    <cellStyle name="Normal 444 8" xfId="23506"/>
    <cellStyle name="Normal 444 9" xfId="52412"/>
    <cellStyle name="Normal 445" xfId="2804"/>
    <cellStyle name="Normal 445 2" xfId="4821"/>
    <cellStyle name="Normal 445 2 2" xfId="8647"/>
    <cellStyle name="Normal 445 2 2 2" xfId="16437"/>
    <cellStyle name="Normal 445 2 2 2 2" xfId="34058"/>
    <cellStyle name="Normal 445 2 2 3" xfId="27034"/>
    <cellStyle name="Normal 445 2 3" xfId="12941"/>
    <cellStyle name="Normal 445 2 3 2" xfId="30576"/>
    <cellStyle name="Normal 445 2 4" xfId="24173"/>
    <cellStyle name="Normal 445 3" xfId="5957"/>
    <cellStyle name="Normal 445 3 2" xfId="9254"/>
    <cellStyle name="Normal 445 3 2 2" xfId="17043"/>
    <cellStyle name="Normal 445 3 2 2 2" xfId="34665"/>
    <cellStyle name="Normal 445 3 2 3" xfId="27628"/>
    <cellStyle name="Normal 445 3 3" xfId="13807"/>
    <cellStyle name="Normal 445 3 3 2" xfId="31433"/>
    <cellStyle name="Normal 445 3 4" xfId="24767"/>
    <cellStyle name="Normal 445 4" xfId="6587"/>
    <cellStyle name="Normal 445 4 2" xfId="9794"/>
    <cellStyle name="Normal 445 4 2 2" xfId="17582"/>
    <cellStyle name="Normal 445 4 2 2 2" xfId="35205"/>
    <cellStyle name="Normal 445 4 2 3" xfId="28164"/>
    <cellStyle name="Normal 445 4 3" xfId="14370"/>
    <cellStyle name="Normal 445 4 3 2" xfId="31991"/>
    <cellStyle name="Normal 445 4 4" xfId="25303"/>
    <cellStyle name="Normal 445 5" xfId="7362"/>
    <cellStyle name="Normal 445 5 2" xfId="10347"/>
    <cellStyle name="Normal 445 5 2 2" xfId="18134"/>
    <cellStyle name="Normal 445 5 2 2 2" xfId="35757"/>
    <cellStyle name="Normal 445 5 2 3" xfId="28700"/>
    <cellStyle name="Normal 445 5 3" xfId="15144"/>
    <cellStyle name="Normal 445 5 3 2" xfId="32765"/>
    <cellStyle name="Normal 445 5 4" xfId="25840"/>
    <cellStyle name="Normal 445 6" xfId="7966"/>
    <cellStyle name="Normal 445 6 2" xfId="15757"/>
    <cellStyle name="Normal 445 6 2 2" xfId="33378"/>
    <cellStyle name="Normal 445 6 3" xfId="26368"/>
    <cellStyle name="Normal 445 7" xfId="11923"/>
    <cellStyle name="Normal 445 7 2" xfId="29592"/>
    <cellStyle name="Normal 445 8" xfId="23507"/>
    <cellStyle name="Normal 445 9" xfId="52413"/>
    <cellStyle name="Normal 446" xfId="2805"/>
    <cellStyle name="Normal 446 2" xfId="4823"/>
    <cellStyle name="Normal 446 2 2" xfId="8648"/>
    <cellStyle name="Normal 446 2 2 2" xfId="16438"/>
    <cellStyle name="Normal 446 2 2 2 2" xfId="34059"/>
    <cellStyle name="Normal 446 2 2 3" xfId="27035"/>
    <cellStyle name="Normal 446 2 3" xfId="12943"/>
    <cellStyle name="Normal 446 2 3 2" xfId="30578"/>
    <cellStyle name="Normal 446 2 4" xfId="24174"/>
    <cellStyle name="Normal 446 3" xfId="4822"/>
    <cellStyle name="Normal 446 4" xfId="7967"/>
    <cellStyle name="Normal 446 4 2" xfId="15758"/>
    <cellStyle name="Normal 446 4 2 2" xfId="33379"/>
    <cellStyle name="Normal 446 4 3" xfId="26369"/>
    <cellStyle name="Normal 446 5" xfId="11924"/>
    <cellStyle name="Normal 446 5 2" xfId="29593"/>
    <cellStyle name="Normal 446 6" xfId="23508"/>
    <cellStyle name="Normal 446 7" xfId="52414"/>
    <cellStyle name="Normal 447" xfId="2806"/>
    <cellStyle name="Normal 447 2" xfId="4825"/>
    <cellStyle name="Normal 447 2 2" xfId="8649"/>
    <cellStyle name="Normal 447 2 2 2" xfId="16439"/>
    <cellStyle name="Normal 447 2 2 2 2" xfId="34060"/>
    <cellStyle name="Normal 447 2 2 3" xfId="27036"/>
    <cellStyle name="Normal 447 2 3" xfId="12944"/>
    <cellStyle name="Normal 447 2 3 2" xfId="30579"/>
    <cellStyle name="Normal 447 2 4" xfId="24175"/>
    <cellStyle name="Normal 447 3" xfId="4824"/>
    <cellStyle name="Normal 447 4" xfId="7968"/>
    <cellStyle name="Normal 447 4 2" xfId="15759"/>
    <cellStyle name="Normal 447 4 2 2" xfId="33380"/>
    <cellStyle name="Normal 447 4 3" xfId="26370"/>
    <cellStyle name="Normal 447 5" xfId="11925"/>
    <cellStyle name="Normal 447 5 2" xfId="29594"/>
    <cellStyle name="Normal 447 6" xfId="23509"/>
    <cellStyle name="Normal 447 7" xfId="52415"/>
    <cellStyle name="Normal 448" xfId="2807"/>
    <cellStyle name="Normal 448 2" xfId="4826"/>
    <cellStyle name="Normal 448 2 2" xfId="8650"/>
    <cellStyle name="Normal 448 2 2 2" xfId="16440"/>
    <cellStyle name="Normal 448 2 2 2 2" xfId="34061"/>
    <cellStyle name="Normal 448 2 2 3" xfId="27037"/>
    <cellStyle name="Normal 448 2 3" xfId="12945"/>
    <cellStyle name="Normal 448 2 3 2" xfId="30580"/>
    <cellStyle name="Normal 448 2 4" xfId="24176"/>
    <cellStyle name="Normal 448 3" xfId="5958"/>
    <cellStyle name="Normal 448 3 2" xfId="9255"/>
    <cellStyle name="Normal 448 3 2 2" xfId="17044"/>
    <cellStyle name="Normal 448 3 2 2 2" xfId="34666"/>
    <cellStyle name="Normal 448 3 2 3" xfId="27629"/>
    <cellStyle name="Normal 448 3 3" xfId="13808"/>
    <cellStyle name="Normal 448 3 3 2" xfId="31434"/>
    <cellStyle name="Normal 448 3 4" xfId="24768"/>
    <cellStyle name="Normal 448 4" xfId="6588"/>
    <cellStyle name="Normal 448 4 2" xfId="9795"/>
    <cellStyle name="Normal 448 4 2 2" xfId="17583"/>
    <cellStyle name="Normal 448 4 2 2 2" xfId="35206"/>
    <cellStyle name="Normal 448 4 2 3" xfId="28165"/>
    <cellStyle name="Normal 448 4 3" xfId="14371"/>
    <cellStyle name="Normal 448 4 3 2" xfId="31992"/>
    <cellStyle name="Normal 448 4 4" xfId="25304"/>
    <cellStyle name="Normal 448 5" xfId="7363"/>
    <cellStyle name="Normal 448 5 2" xfId="10348"/>
    <cellStyle name="Normal 448 5 2 2" xfId="18135"/>
    <cellStyle name="Normal 448 5 2 2 2" xfId="35758"/>
    <cellStyle name="Normal 448 5 2 3" xfId="28701"/>
    <cellStyle name="Normal 448 5 3" xfId="15145"/>
    <cellStyle name="Normal 448 5 3 2" xfId="32766"/>
    <cellStyle name="Normal 448 5 4" xfId="25841"/>
    <cellStyle name="Normal 448 6" xfId="7969"/>
    <cellStyle name="Normal 448 6 2" xfId="15760"/>
    <cellStyle name="Normal 448 6 2 2" xfId="33381"/>
    <cellStyle name="Normal 448 6 3" xfId="26371"/>
    <cellStyle name="Normal 448 7" xfId="11926"/>
    <cellStyle name="Normal 448 7 2" xfId="29595"/>
    <cellStyle name="Normal 448 8" xfId="23510"/>
    <cellStyle name="Normal 448 9" xfId="52416"/>
    <cellStyle name="Normal 449" xfId="2808"/>
    <cellStyle name="Normal 449 2" xfId="4828"/>
    <cellStyle name="Normal 449 2 2" xfId="8651"/>
    <cellStyle name="Normal 449 2 2 2" xfId="16441"/>
    <cellStyle name="Normal 449 2 2 2 2" xfId="34062"/>
    <cellStyle name="Normal 449 2 2 3" xfId="27038"/>
    <cellStyle name="Normal 449 2 3" xfId="12946"/>
    <cellStyle name="Normal 449 2 3 2" xfId="30581"/>
    <cellStyle name="Normal 449 2 4" xfId="24177"/>
    <cellStyle name="Normal 449 3" xfId="4827"/>
    <cellStyle name="Normal 449 4" xfId="7970"/>
    <cellStyle name="Normal 449 4 2" xfId="15761"/>
    <cellStyle name="Normal 449 4 2 2" xfId="33382"/>
    <cellStyle name="Normal 449 4 3" xfId="26372"/>
    <cellStyle name="Normal 449 5" xfId="11927"/>
    <cellStyle name="Normal 449 5 2" xfId="29596"/>
    <cellStyle name="Normal 449 6" xfId="23511"/>
    <cellStyle name="Normal 449 7" xfId="52417"/>
    <cellStyle name="Normal 45" xfId="2809"/>
    <cellStyle name="Normal 45 2" xfId="4829"/>
    <cellStyle name="Normal 45 2 2" xfId="22771"/>
    <cellStyle name="Normal 45 2 2 2" xfId="38964"/>
    <cellStyle name="Normal 45 3" xfId="22987"/>
    <cellStyle name="Normal 45 4" xfId="22562"/>
    <cellStyle name="Normal 45 4 2" xfId="38859"/>
    <cellStyle name="Normal 45 5" xfId="52418"/>
    <cellStyle name="Normal 450" xfId="2810"/>
    <cellStyle name="Normal 450 2" xfId="4831"/>
    <cellStyle name="Normal 450 2 2" xfId="8652"/>
    <cellStyle name="Normal 450 2 2 2" xfId="16442"/>
    <cellStyle name="Normal 450 2 2 2 2" xfId="34063"/>
    <cellStyle name="Normal 450 2 2 3" xfId="27039"/>
    <cellStyle name="Normal 450 2 3" xfId="12947"/>
    <cellStyle name="Normal 450 2 3 2" xfId="30582"/>
    <cellStyle name="Normal 450 2 4" xfId="24178"/>
    <cellStyle name="Normal 450 3" xfId="4830"/>
    <cellStyle name="Normal 450 4" xfId="7971"/>
    <cellStyle name="Normal 450 4 2" xfId="15762"/>
    <cellStyle name="Normal 450 4 2 2" xfId="33383"/>
    <cellStyle name="Normal 450 4 3" xfId="26373"/>
    <cellStyle name="Normal 450 5" xfId="11928"/>
    <cellStyle name="Normal 450 5 2" xfId="29597"/>
    <cellStyle name="Normal 450 6" xfId="23512"/>
    <cellStyle name="Normal 450 7" xfId="52419"/>
    <cellStyle name="Normal 451" xfId="2811"/>
    <cellStyle name="Normal 451 2" xfId="4833"/>
    <cellStyle name="Normal 451 2 2" xfId="8653"/>
    <cellStyle name="Normal 451 2 2 2" xfId="16443"/>
    <cellStyle name="Normal 451 2 2 2 2" xfId="34064"/>
    <cellStyle name="Normal 451 2 2 3" xfId="27040"/>
    <cellStyle name="Normal 451 2 3" xfId="12948"/>
    <cellStyle name="Normal 451 2 3 2" xfId="30583"/>
    <cellStyle name="Normal 451 2 4" xfId="24179"/>
    <cellStyle name="Normal 451 3" xfId="4832"/>
    <cellStyle name="Normal 451 4" xfId="7972"/>
    <cellStyle name="Normal 451 4 2" xfId="15763"/>
    <cellStyle name="Normal 451 4 2 2" xfId="33384"/>
    <cellStyle name="Normal 451 4 3" xfId="26374"/>
    <cellStyle name="Normal 451 5" xfId="11929"/>
    <cellStyle name="Normal 451 5 2" xfId="29598"/>
    <cellStyle name="Normal 451 6" xfId="23513"/>
    <cellStyle name="Normal 451 7" xfId="52420"/>
    <cellStyle name="Normal 452" xfId="2812"/>
    <cellStyle name="Normal 452 2" xfId="4835"/>
    <cellStyle name="Normal 452 2 2" xfId="8654"/>
    <cellStyle name="Normal 452 2 2 2" xfId="16444"/>
    <cellStyle name="Normal 452 2 2 2 2" xfId="34065"/>
    <cellStyle name="Normal 452 2 2 3" xfId="27041"/>
    <cellStyle name="Normal 452 2 3" xfId="12949"/>
    <cellStyle name="Normal 452 2 3 2" xfId="30584"/>
    <cellStyle name="Normal 452 2 4" xfId="24180"/>
    <cellStyle name="Normal 452 3" xfId="4834"/>
    <cellStyle name="Normal 452 4" xfId="7973"/>
    <cellStyle name="Normal 452 4 2" xfId="15764"/>
    <cellStyle name="Normal 452 4 2 2" xfId="33385"/>
    <cellStyle name="Normal 452 4 3" xfId="26375"/>
    <cellStyle name="Normal 452 5" xfId="11930"/>
    <cellStyle name="Normal 452 5 2" xfId="29599"/>
    <cellStyle name="Normal 452 6" xfId="23514"/>
    <cellStyle name="Normal 452 7" xfId="52421"/>
    <cellStyle name="Normal 453" xfId="2813"/>
    <cellStyle name="Normal 453 2" xfId="4837"/>
    <cellStyle name="Normal 453 2 2" xfId="8655"/>
    <cellStyle name="Normal 453 2 2 2" xfId="16445"/>
    <cellStyle name="Normal 453 2 2 2 2" xfId="34066"/>
    <cellStyle name="Normal 453 2 2 3" xfId="27042"/>
    <cellStyle name="Normal 453 2 3" xfId="12950"/>
    <cellStyle name="Normal 453 2 3 2" xfId="30585"/>
    <cellStyle name="Normal 453 2 4" xfId="24181"/>
    <cellStyle name="Normal 453 3" xfId="4836"/>
    <cellStyle name="Normal 453 4" xfId="7974"/>
    <cellStyle name="Normal 453 4 2" xfId="15765"/>
    <cellStyle name="Normal 453 4 2 2" xfId="33386"/>
    <cellStyle name="Normal 453 4 3" xfId="26376"/>
    <cellStyle name="Normal 453 5" xfId="11931"/>
    <cellStyle name="Normal 453 5 2" xfId="29600"/>
    <cellStyle name="Normal 453 6" xfId="23515"/>
    <cellStyle name="Normal 453 7" xfId="52422"/>
    <cellStyle name="Normal 454" xfId="2814"/>
    <cellStyle name="Normal 454 2" xfId="4839"/>
    <cellStyle name="Normal 454 2 2" xfId="8656"/>
    <cellStyle name="Normal 454 2 2 2" xfId="16446"/>
    <cellStyle name="Normal 454 2 2 2 2" xfId="34067"/>
    <cellStyle name="Normal 454 2 2 3" xfId="27043"/>
    <cellStyle name="Normal 454 2 3" xfId="12951"/>
    <cellStyle name="Normal 454 2 3 2" xfId="30586"/>
    <cellStyle name="Normal 454 2 4" xfId="24182"/>
    <cellStyle name="Normal 454 3" xfId="4838"/>
    <cellStyle name="Normal 454 4" xfId="7975"/>
    <cellStyle name="Normal 454 4 2" xfId="15766"/>
    <cellStyle name="Normal 454 4 2 2" xfId="33387"/>
    <cellStyle name="Normal 454 4 3" xfId="26377"/>
    <cellStyle name="Normal 454 5" xfId="11932"/>
    <cellStyle name="Normal 454 5 2" xfId="29601"/>
    <cellStyle name="Normal 454 6" xfId="23516"/>
    <cellStyle name="Normal 454 7" xfId="52423"/>
    <cellStyle name="Normal 455" xfId="2815"/>
    <cellStyle name="Normal 455 2" xfId="4841"/>
    <cellStyle name="Normal 455 2 2" xfId="8657"/>
    <cellStyle name="Normal 455 2 2 2" xfId="16447"/>
    <cellStyle name="Normal 455 2 2 2 2" xfId="34068"/>
    <cellStyle name="Normal 455 2 2 3" xfId="27044"/>
    <cellStyle name="Normal 455 2 3" xfId="12952"/>
    <cellStyle name="Normal 455 2 3 2" xfId="30587"/>
    <cellStyle name="Normal 455 2 4" xfId="24183"/>
    <cellStyle name="Normal 455 3" xfId="4840"/>
    <cellStyle name="Normal 455 4" xfId="7976"/>
    <cellStyle name="Normal 455 4 2" xfId="15767"/>
    <cellStyle name="Normal 455 4 2 2" xfId="33388"/>
    <cellStyle name="Normal 455 4 3" xfId="26378"/>
    <cellStyle name="Normal 455 5" xfId="11933"/>
    <cellStyle name="Normal 455 5 2" xfId="29602"/>
    <cellStyle name="Normal 455 6" xfId="23517"/>
    <cellStyle name="Normal 455 7" xfId="52424"/>
    <cellStyle name="Normal 456" xfId="2816"/>
    <cellStyle name="Normal 456 2" xfId="4843"/>
    <cellStyle name="Normal 456 2 2" xfId="8658"/>
    <cellStyle name="Normal 456 2 2 2" xfId="16448"/>
    <cellStyle name="Normal 456 2 2 2 2" xfId="34069"/>
    <cellStyle name="Normal 456 2 2 3" xfId="27045"/>
    <cellStyle name="Normal 456 2 3" xfId="12953"/>
    <cellStyle name="Normal 456 2 3 2" xfId="30588"/>
    <cellStyle name="Normal 456 2 4" xfId="24184"/>
    <cellStyle name="Normal 456 3" xfId="4842"/>
    <cellStyle name="Normal 456 4" xfId="7977"/>
    <cellStyle name="Normal 456 4 2" xfId="15768"/>
    <cellStyle name="Normal 456 4 2 2" xfId="33389"/>
    <cellStyle name="Normal 456 4 3" xfId="26379"/>
    <cellStyle name="Normal 456 5" xfId="11934"/>
    <cellStyle name="Normal 456 5 2" xfId="29603"/>
    <cellStyle name="Normal 456 6" xfId="23518"/>
    <cellStyle name="Normal 456 7" xfId="52425"/>
    <cellStyle name="Normal 457" xfId="2817"/>
    <cellStyle name="Normal 457 2" xfId="4845"/>
    <cellStyle name="Normal 457 2 2" xfId="8659"/>
    <cellStyle name="Normal 457 2 2 2" xfId="16449"/>
    <cellStyle name="Normal 457 2 2 2 2" xfId="34070"/>
    <cellStyle name="Normal 457 2 2 3" xfId="27046"/>
    <cellStyle name="Normal 457 2 3" xfId="12954"/>
    <cellStyle name="Normal 457 2 3 2" xfId="30589"/>
    <cellStyle name="Normal 457 2 4" xfId="24185"/>
    <cellStyle name="Normal 457 3" xfId="4844"/>
    <cellStyle name="Normal 457 4" xfId="7978"/>
    <cellStyle name="Normal 457 4 2" xfId="15769"/>
    <cellStyle name="Normal 457 4 2 2" xfId="33390"/>
    <cellStyle name="Normal 457 4 3" xfId="26380"/>
    <cellStyle name="Normal 457 5" xfId="11935"/>
    <cellStyle name="Normal 457 5 2" xfId="29604"/>
    <cellStyle name="Normal 457 6" xfId="23519"/>
    <cellStyle name="Normal 457 7" xfId="52426"/>
    <cellStyle name="Normal 458" xfId="2818"/>
    <cellStyle name="Normal 458 2" xfId="4847"/>
    <cellStyle name="Normal 458 2 2" xfId="8660"/>
    <cellStyle name="Normal 458 2 2 2" xfId="16450"/>
    <cellStyle name="Normal 458 2 2 2 2" xfId="34071"/>
    <cellStyle name="Normal 458 2 2 3" xfId="27047"/>
    <cellStyle name="Normal 458 2 3" xfId="12955"/>
    <cellStyle name="Normal 458 2 3 2" xfId="30590"/>
    <cellStyle name="Normal 458 2 4" xfId="24186"/>
    <cellStyle name="Normal 458 3" xfId="4846"/>
    <cellStyle name="Normal 458 4" xfId="7979"/>
    <cellStyle name="Normal 458 4 2" xfId="15770"/>
    <cellStyle name="Normal 458 4 2 2" xfId="33391"/>
    <cellStyle name="Normal 458 4 3" xfId="26381"/>
    <cellStyle name="Normal 458 5" xfId="11936"/>
    <cellStyle name="Normal 458 5 2" xfId="29605"/>
    <cellStyle name="Normal 458 6" xfId="23520"/>
    <cellStyle name="Normal 458 7" xfId="52427"/>
    <cellStyle name="Normal 459" xfId="2819"/>
    <cellStyle name="Normal 459 2" xfId="4849"/>
    <cellStyle name="Normal 459 2 2" xfId="8661"/>
    <cellStyle name="Normal 459 2 2 2" xfId="16451"/>
    <cellStyle name="Normal 459 2 2 2 2" xfId="34072"/>
    <cellStyle name="Normal 459 2 2 3" xfId="27048"/>
    <cellStyle name="Normal 459 2 3" xfId="12956"/>
    <cellStyle name="Normal 459 2 3 2" xfId="30591"/>
    <cellStyle name="Normal 459 2 4" xfId="24187"/>
    <cellStyle name="Normal 459 3" xfId="4848"/>
    <cellStyle name="Normal 459 4" xfId="7980"/>
    <cellStyle name="Normal 459 4 2" xfId="15771"/>
    <cellStyle name="Normal 459 4 2 2" xfId="33392"/>
    <cellStyle name="Normal 459 4 3" xfId="26382"/>
    <cellStyle name="Normal 459 5" xfId="11937"/>
    <cellStyle name="Normal 459 5 2" xfId="29606"/>
    <cellStyle name="Normal 459 6" xfId="23521"/>
    <cellStyle name="Normal 459 7" xfId="52428"/>
    <cellStyle name="Normal 46" xfId="2820"/>
    <cellStyle name="Normal 46 2" xfId="4850"/>
    <cellStyle name="Normal 46 2 2" xfId="22772"/>
    <cellStyle name="Normal 46 2 2 2" xfId="38965"/>
    <cellStyle name="Normal 46 3" xfId="22988"/>
    <cellStyle name="Normal 46 4" xfId="22563"/>
    <cellStyle name="Normal 46 4 2" xfId="38860"/>
    <cellStyle name="Normal 46 5" xfId="52429"/>
    <cellStyle name="Normal 460" xfId="2821"/>
    <cellStyle name="Normal 460 2" xfId="4852"/>
    <cellStyle name="Normal 460 2 2" xfId="8662"/>
    <cellStyle name="Normal 460 2 2 2" xfId="16452"/>
    <cellStyle name="Normal 460 2 2 2 2" xfId="34073"/>
    <cellStyle name="Normal 460 2 2 3" xfId="27049"/>
    <cellStyle name="Normal 460 2 3" xfId="12957"/>
    <cellStyle name="Normal 460 2 3 2" xfId="30592"/>
    <cellStyle name="Normal 460 2 4" xfId="24188"/>
    <cellStyle name="Normal 460 3" xfId="4851"/>
    <cellStyle name="Normal 460 4" xfId="7981"/>
    <cellStyle name="Normal 460 4 2" xfId="15772"/>
    <cellStyle name="Normal 460 4 2 2" xfId="33393"/>
    <cellStyle name="Normal 460 4 3" xfId="26383"/>
    <cellStyle name="Normal 460 5" xfId="11938"/>
    <cellStyle name="Normal 460 5 2" xfId="29607"/>
    <cellStyle name="Normal 460 6" xfId="23522"/>
    <cellStyle name="Normal 460 7" xfId="52430"/>
    <cellStyle name="Normal 461" xfId="2822"/>
    <cellStyle name="Normal 461 2" xfId="4854"/>
    <cellStyle name="Normal 461 2 2" xfId="8663"/>
    <cellStyle name="Normal 461 2 2 2" xfId="16453"/>
    <cellStyle name="Normal 461 2 2 2 2" xfId="34074"/>
    <cellStyle name="Normal 461 2 2 3" xfId="27050"/>
    <cellStyle name="Normal 461 2 3" xfId="12958"/>
    <cellStyle name="Normal 461 2 3 2" xfId="30593"/>
    <cellStyle name="Normal 461 2 4" xfId="24189"/>
    <cellStyle name="Normal 461 3" xfId="4853"/>
    <cellStyle name="Normal 461 4" xfId="7982"/>
    <cellStyle name="Normal 461 4 2" xfId="15773"/>
    <cellStyle name="Normal 461 4 2 2" xfId="33394"/>
    <cellStyle name="Normal 461 4 3" xfId="26384"/>
    <cellStyle name="Normal 461 5" xfId="11939"/>
    <cellStyle name="Normal 461 5 2" xfId="29608"/>
    <cellStyle name="Normal 461 6" xfId="23523"/>
    <cellStyle name="Normal 461 7" xfId="52431"/>
    <cellStyle name="Normal 462" xfId="2823"/>
    <cellStyle name="Normal 462 2" xfId="4856"/>
    <cellStyle name="Normal 462 2 2" xfId="8664"/>
    <cellStyle name="Normal 462 2 2 2" xfId="16454"/>
    <cellStyle name="Normal 462 2 2 2 2" xfId="34075"/>
    <cellStyle name="Normal 462 2 2 3" xfId="27051"/>
    <cellStyle name="Normal 462 2 3" xfId="12959"/>
    <cellStyle name="Normal 462 2 3 2" xfId="30594"/>
    <cellStyle name="Normal 462 2 4" xfId="24190"/>
    <cellStyle name="Normal 462 3" xfId="4855"/>
    <cellStyle name="Normal 462 4" xfId="7983"/>
    <cellStyle name="Normal 462 4 2" xfId="15774"/>
    <cellStyle name="Normal 462 4 2 2" xfId="33395"/>
    <cellStyle name="Normal 462 4 3" xfId="26385"/>
    <cellStyle name="Normal 462 5" xfId="11940"/>
    <cellStyle name="Normal 462 5 2" xfId="29609"/>
    <cellStyle name="Normal 462 6" xfId="23524"/>
    <cellStyle name="Normal 462 7" xfId="52432"/>
    <cellStyle name="Normal 463" xfId="2824"/>
    <cellStyle name="Normal 463 2" xfId="4858"/>
    <cellStyle name="Normal 463 2 2" xfId="8665"/>
    <cellStyle name="Normal 463 2 2 2" xfId="16455"/>
    <cellStyle name="Normal 463 2 2 2 2" xfId="34076"/>
    <cellStyle name="Normal 463 2 2 3" xfId="27052"/>
    <cellStyle name="Normal 463 2 3" xfId="12960"/>
    <cellStyle name="Normal 463 2 3 2" xfId="30595"/>
    <cellStyle name="Normal 463 2 4" xfId="24191"/>
    <cellStyle name="Normal 463 3" xfId="4857"/>
    <cellStyle name="Normal 463 4" xfId="7984"/>
    <cellStyle name="Normal 463 4 2" xfId="15775"/>
    <cellStyle name="Normal 463 4 2 2" xfId="33396"/>
    <cellStyle name="Normal 463 4 3" xfId="26386"/>
    <cellStyle name="Normal 463 5" xfId="11941"/>
    <cellStyle name="Normal 463 5 2" xfId="29610"/>
    <cellStyle name="Normal 463 6" xfId="23525"/>
    <cellStyle name="Normal 463 7" xfId="52433"/>
    <cellStyle name="Normal 464" xfId="2825"/>
    <cellStyle name="Normal 464 2" xfId="4860"/>
    <cellStyle name="Normal 464 2 2" xfId="8666"/>
    <cellStyle name="Normal 464 2 2 2" xfId="16456"/>
    <cellStyle name="Normal 464 2 2 2 2" xfId="34077"/>
    <cellStyle name="Normal 464 2 2 3" xfId="27053"/>
    <cellStyle name="Normal 464 2 3" xfId="12961"/>
    <cellStyle name="Normal 464 2 3 2" xfId="30596"/>
    <cellStyle name="Normal 464 2 4" xfId="24192"/>
    <cellStyle name="Normal 464 3" xfId="4859"/>
    <cellStyle name="Normal 464 4" xfId="7985"/>
    <cellStyle name="Normal 464 4 2" xfId="15776"/>
    <cellStyle name="Normal 464 4 2 2" xfId="33397"/>
    <cellStyle name="Normal 464 4 3" xfId="26387"/>
    <cellStyle name="Normal 464 5" xfId="11942"/>
    <cellStyle name="Normal 464 5 2" xfId="29611"/>
    <cellStyle name="Normal 464 6" xfId="23526"/>
    <cellStyle name="Normal 464 7" xfId="52434"/>
    <cellStyle name="Normal 465" xfId="2826"/>
    <cellStyle name="Normal 465 2" xfId="4862"/>
    <cellStyle name="Normal 465 2 2" xfId="8667"/>
    <cellStyle name="Normal 465 2 2 2" xfId="16457"/>
    <cellStyle name="Normal 465 2 2 2 2" xfId="34078"/>
    <cellStyle name="Normal 465 2 2 3" xfId="27054"/>
    <cellStyle name="Normal 465 2 3" xfId="12963"/>
    <cellStyle name="Normal 465 2 3 2" xfId="30598"/>
    <cellStyle name="Normal 465 2 4" xfId="24193"/>
    <cellStyle name="Normal 465 3" xfId="4861"/>
    <cellStyle name="Normal 465 4" xfId="7986"/>
    <cellStyle name="Normal 465 4 2" xfId="15777"/>
    <cellStyle name="Normal 465 4 2 2" xfId="33398"/>
    <cellStyle name="Normal 465 4 3" xfId="26388"/>
    <cellStyle name="Normal 465 5" xfId="11943"/>
    <cellStyle name="Normal 465 5 2" xfId="29612"/>
    <cellStyle name="Normal 465 6" xfId="23527"/>
    <cellStyle name="Normal 465 7" xfId="52435"/>
    <cellStyle name="Normal 466" xfId="2827"/>
    <cellStyle name="Normal 466 2" xfId="4864"/>
    <cellStyle name="Normal 466 2 2" xfId="8668"/>
    <cellStyle name="Normal 466 2 2 2" xfId="16458"/>
    <cellStyle name="Normal 466 2 2 2 2" xfId="34079"/>
    <cellStyle name="Normal 466 2 2 3" xfId="27055"/>
    <cellStyle name="Normal 466 2 3" xfId="12964"/>
    <cellStyle name="Normal 466 2 3 2" xfId="30599"/>
    <cellStyle name="Normal 466 2 4" xfId="24194"/>
    <cellStyle name="Normal 466 3" xfId="4863"/>
    <cellStyle name="Normal 466 4" xfId="7987"/>
    <cellStyle name="Normal 466 4 2" xfId="15778"/>
    <cellStyle name="Normal 466 4 2 2" xfId="33399"/>
    <cellStyle name="Normal 466 4 3" xfId="26389"/>
    <cellStyle name="Normal 466 5" xfId="11944"/>
    <cellStyle name="Normal 466 5 2" xfId="29613"/>
    <cellStyle name="Normal 466 6" xfId="23528"/>
    <cellStyle name="Normal 466 7" xfId="52436"/>
    <cellStyle name="Normal 467" xfId="2828"/>
    <cellStyle name="Normal 467 2" xfId="4866"/>
    <cellStyle name="Normal 467 2 2" xfId="8669"/>
    <cellStyle name="Normal 467 2 2 2" xfId="16459"/>
    <cellStyle name="Normal 467 2 2 2 2" xfId="34080"/>
    <cellStyle name="Normal 467 2 2 3" xfId="27056"/>
    <cellStyle name="Normal 467 2 3" xfId="12965"/>
    <cellStyle name="Normal 467 2 3 2" xfId="30600"/>
    <cellStyle name="Normal 467 2 4" xfId="24195"/>
    <cellStyle name="Normal 467 3" xfId="4865"/>
    <cellStyle name="Normal 467 4" xfId="7988"/>
    <cellStyle name="Normal 467 4 2" xfId="15779"/>
    <cellStyle name="Normal 467 4 2 2" xfId="33400"/>
    <cellStyle name="Normal 467 4 3" xfId="26390"/>
    <cellStyle name="Normal 467 5" xfId="11945"/>
    <cellStyle name="Normal 467 5 2" xfId="29614"/>
    <cellStyle name="Normal 467 6" xfId="23529"/>
    <cellStyle name="Normal 467 7" xfId="52437"/>
    <cellStyle name="Normal 468" xfId="2829"/>
    <cellStyle name="Normal 468 2" xfId="4868"/>
    <cellStyle name="Normal 468 2 2" xfId="8670"/>
    <cellStyle name="Normal 468 2 2 2" xfId="16460"/>
    <cellStyle name="Normal 468 2 2 2 2" xfId="34081"/>
    <cellStyle name="Normal 468 2 2 3" xfId="27057"/>
    <cellStyle name="Normal 468 2 3" xfId="12966"/>
    <cellStyle name="Normal 468 2 3 2" xfId="30601"/>
    <cellStyle name="Normal 468 2 4" xfId="24196"/>
    <cellStyle name="Normal 468 3" xfId="4867"/>
    <cellStyle name="Normal 468 4" xfId="7989"/>
    <cellStyle name="Normal 468 4 2" xfId="15780"/>
    <cellStyle name="Normal 468 4 2 2" xfId="33401"/>
    <cellStyle name="Normal 468 4 3" xfId="26391"/>
    <cellStyle name="Normal 468 5" xfId="11946"/>
    <cellStyle name="Normal 468 5 2" xfId="29615"/>
    <cellStyle name="Normal 468 6" xfId="23530"/>
    <cellStyle name="Normal 468 7" xfId="52438"/>
    <cellStyle name="Normal 469" xfId="2830"/>
    <cellStyle name="Normal 469 2" xfId="4870"/>
    <cellStyle name="Normal 469 2 2" xfId="8671"/>
    <cellStyle name="Normal 469 2 2 2" xfId="16461"/>
    <cellStyle name="Normal 469 2 2 2 2" xfId="34082"/>
    <cellStyle name="Normal 469 2 2 3" xfId="27058"/>
    <cellStyle name="Normal 469 2 3" xfId="12967"/>
    <cellStyle name="Normal 469 2 3 2" xfId="30602"/>
    <cellStyle name="Normal 469 2 4" xfId="24197"/>
    <cellStyle name="Normal 469 3" xfId="4869"/>
    <cellStyle name="Normal 469 4" xfId="7990"/>
    <cellStyle name="Normal 469 4 2" xfId="15781"/>
    <cellStyle name="Normal 469 4 2 2" xfId="33402"/>
    <cellStyle name="Normal 469 4 3" xfId="26392"/>
    <cellStyle name="Normal 469 5" xfId="11947"/>
    <cellStyle name="Normal 469 5 2" xfId="29616"/>
    <cellStyle name="Normal 469 6" xfId="23531"/>
    <cellStyle name="Normal 469 7" xfId="52439"/>
    <cellStyle name="Normal 47" xfId="2831"/>
    <cellStyle name="Normal 47 2" xfId="4871"/>
    <cellStyle name="Normal 47 2 2" xfId="22773"/>
    <cellStyle name="Normal 47 2 2 2" xfId="38966"/>
    <cellStyle name="Normal 47 3" xfId="22989"/>
    <cellStyle name="Normal 47 4" xfId="22564"/>
    <cellStyle name="Normal 47 4 2" xfId="38861"/>
    <cellStyle name="Normal 47 5" xfId="52440"/>
    <cellStyle name="Normal 470" xfId="2832"/>
    <cellStyle name="Normal 470 2" xfId="4873"/>
    <cellStyle name="Normal 470 2 2" xfId="8672"/>
    <cellStyle name="Normal 470 2 2 2" xfId="16462"/>
    <cellStyle name="Normal 470 2 2 2 2" xfId="34083"/>
    <cellStyle name="Normal 470 2 2 3" xfId="27059"/>
    <cellStyle name="Normal 470 2 3" xfId="12968"/>
    <cellStyle name="Normal 470 2 3 2" xfId="30603"/>
    <cellStyle name="Normal 470 2 4" xfId="24198"/>
    <cellStyle name="Normal 470 3" xfId="4872"/>
    <cellStyle name="Normal 470 4" xfId="7991"/>
    <cellStyle name="Normal 470 4 2" xfId="15782"/>
    <cellStyle name="Normal 470 4 2 2" xfId="33403"/>
    <cellStyle name="Normal 470 4 3" xfId="26393"/>
    <cellStyle name="Normal 470 5" xfId="11948"/>
    <cellStyle name="Normal 470 5 2" xfId="29617"/>
    <cellStyle name="Normal 470 6" xfId="23532"/>
    <cellStyle name="Normal 470 7" xfId="52441"/>
    <cellStyle name="Normal 471" xfId="2833"/>
    <cellStyle name="Normal 471 2" xfId="4875"/>
    <cellStyle name="Normal 471 2 2" xfId="8673"/>
    <cellStyle name="Normal 471 2 2 2" xfId="16463"/>
    <cellStyle name="Normal 471 2 2 2 2" xfId="34084"/>
    <cellStyle name="Normal 471 2 2 3" xfId="27060"/>
    <cellStyle name="Normal 471 2 3" xfId="12969"/>
    <cellStyle name="Normal 471 2 3 2" xfId="30604"/>
    <cellStyle name="Normal 471 2 4" xfId="24199"/>
    <cellStyle name="Normal 471 3" xfId="4874"/>
    <cellStyle name="Normal 471 4" xfId="7992"/>
    <cellStyle name="Normal 471 4 2" xfId="15783"/>
    <cellStyle name="Normal 471 4 2 2" xfId="33404"/>
    <cellStyle name="Normal 471 4 3" xfId="26394"/>
    <cellStyle name="Normal 471 5" xfId="11949"/>
    <cellStyle name="Normal 471 5 2" xfId="29618"/>
    <cellStyle name="Normal 471 6" xfId="23533"/>
    <cellStyle name="Normal 471 7" xfId="52442"/>
    <cellStyle name="Normal 472" xfId="2834"/>
    <cellStyle name="Normal 472 2" xfId="4877"/>
    <cellStyle name="Normal 472 2 2" xfId="8674"/>
    <cellStyle name="Normal 472 2 2 2" xfId="16464"/>
    <cellStyle name="Normal 472 2 2 2 2" xfId="34085"/>
    <cellStyle name="Normal 472 2 2 3" xfId="27061"/>
    <cellStyle name="Normal 472 2 3" xfId="12970"/>
    <cellStyle name="Normal 472 2 3 2" xfId="30605"/>
    <cellStyle name="Normal 472 2 4" xfId="24200"/>
    <cellStyle name="Normal 472 3" xfId="4876"/>
    <cellStyle name="Normal 472 4" xfId="7993"/>
    <cellStyle name="Normal 472 4 2" xfId="15784"/>
    <cellStyle name="Normal 472 4 2 2" xfId="33405"/>
    <cellStyle name="Normal 472 4 3" xfId="26395"/>
    <cellStyle name="Normal 472 5" xfId="11950"/>
    <cellStyle name="Normal 472 5 2" xfId="29619"/>
    <cellStyle name="Normal 472 6" xfId="23534"/>
    <cellStyle name="Normal 472 7" xfId="52443"/>
    <cellStyle name="Normal 473" xfId="2835"/>
    <cellStyle name="Normal 473 2" xfId="4879"/>
    <cellStyle name="Normal 473 2 2" xfId="8675"/>
    <cellStyle name="Normal 473 2 2 2" xfId="16465"/>
    <cellStyle name="Normal 473 2 2 2 2" xfId="34086"/>
    <cellStyle name="Normal 473 2 2 3" xfId="27062"/>
    <cellStyle name="Normal 473 2 3" xfId="12971"/>
    <cellStyle name="Normal 473 2 3 2" xfId="30606"/>
    <cellStyle name="Normal 473 2 4" xfId="24201"/>
    <cellStyle name="Normal 473 3" xfId="4878"/>
    <cellStyle name="Normal 473 4" xfId="7994"/>
    <cellStyle name="Normal 473 4 2" xfId="15785"/>
    <cellStyle name="Normal 473 4 2 2" xfId="33406"/>
    <cellStyle name="Normal 473 4 3" xfId="26396"/>
    <cellStyle name="Normal 473 5" xfId="11951"/>
    <cellStyle name="Normal 473 5 2" xfId="29620"/>
    <cellStyle name="Normal 473 6" xfId="23535"/>
    <cellStyle name="Normal 473 7" xfId="52444"/>
    <cellStyle name="Normal 474" xfId="2836"/>
    <cellStyle name="Normal 474 2" xfId="4881"/>
    <cellStyle name="Normal 474 2 2" xfId="8676"/>
    <cellStyle name="Normal 474 2 2 2" xfId="16466"/>
    <cellStyle name="Normal 474 2 2 2 2" xfId="34087"/>
    <cellStyle name="Normal 474 2 2 3" xfId="27063"/>
    <cellStyle name="Normal 474 2 3" xfId="12972"/>
    <cellStyle name="Normal 474 2 3 2" xfId="30607"/>
    <cellStyle name="Normal 474 2 4" xfId="24202"/>
    <cellStyle name="Normal 474 3" xfId="4880"/>
    <cellStyle name="Normal 474 4" xfId="7995"/>
    <cellStyle name="Normal 474 4 2" xfId="15786"/>
    <cellStyle name="Normal 474 4 2 2" xfId="33407"/>
    <cellStyle name="Normal 474 4 3" xfId="26397"/>
    <cellStyle name="Normal 474 5" xfId="11952"/>
    <cellStyle name="Normal 474 5 2" xfId="29621"/>
    <cellStyle name="Normal 474 6" xfId="23536"/>
    <cellStyle name="Normal 474 7" xfId="52445"/>
    <cellStyle name="Normal 475" xfId="2837"/>
    <cellStyle name="Normal 475 2" xfId="4883"/>
    <cellStyle name="Normal 475 2 2" xfId="8677"/>
    <cellStyle name="Normal 475 2 2 2" xfId="16467"/>
    <cellStyle name="Normal 475 2 2 2 2" xfId="34088"/>
    <cellStyle name="Normal 475 2 2 3" xfId="27064"/>
    <cellStyle name="Normal 475 2 3" xfId="12973"/>
    <cellStyle name="Normal 475 2 3 2" xfId="30608"/>
    <cellStyle name="Normal 475 2 4" xfId="24203"/>
    <cellStyle name="Normal 475 3" xfId="4882"/>
    <cellStyle name="Normal 475 4" xfId="7996"/>
    <cellStyle name="Normal 475 4 2" xfId="15787"/>
    <cellStyle name="Normal 475 4 2 2" xfId="33408"/>
    <cellStyle name="Normal 475 4 3" xfId="26398"/>
    <cellStyle name="Normal 475 5" xfId="11953"/>
    <cellStyle name="Normal 475 5 2" xfId="29622"/>
    <cellStyle name="Normal 475 6" xfId="23537"/>
    <cellStyle name="Normal 475 7" xfId="52446"/>
    <cellStyle name="Normal 476" xfId="2838"/>
    <cellStyle name="Normal 476 2" xfId="4885"/>
    <cellStyle name="Normal 476 2 2" xfId="8678"/>
    <cellStyle name="Normal 476 2 2 2" xfId="16468"/>
    <cellStyle name="Normal 476 2 2 2 2" xfId="34089"/>
    <cellStyle name="Normal 476 2 2 3" xfId="27065"/>
    <cellStyle name="Normal 476 2 3" xfId="12974"/>
    <cellStyle name="Normal 476 2 3 2" xfId="30609"/>
    <cellStyle name="Normal 476 2 4" xfId="24204"/>
    <cellStyle name="Normal 476 3" xfId="4884"/>
    <cellStyle name="Normal 476 4" xfId="7997"/>
    <cellStyle name="Normal 476 4 2" xfId="15788"/>
    <cellStyle name="Normal 476 4 2 2" xfId="33409"/>
    <cellStyle name="Normal 476 4 3" xfId="26399"/>
    <cellStyle name="Normal 476 5" xfId="11954"/>
    <cellStyle name="Normal 476 5 2" xfId="29623"/>
    <cellStyle name="Normal 476 6" xfId="23538"/>
    <cellStyle name="Normal 476 7" xfId="52447"/>
    <cellStyle name="Normal 477" xfId="2839"/>
    <cellStyle name="Normal 477 2" xfId="4887"/>
    <cellStyle name="Normal 477 2 2" xfId="8679"/>
    <cellStyle name="Normal 477 2 2 2" xfId="16469"/>
    <cellStyle name="Normal 477 2 2 2 2" xfId="34090"/>
    <cellStyle name="Normal 477 2 2 3" xfId="27066"/>
    <cellStyle name="Normal 477 2 3" xfId="12975"/>
    <cellStyle name="Normal 477 2 3 2" xfId="30610"/>
    <cellStyle name="Normal 477 2 4" xfId="24205"/>
    <cellStyle name="Normal 477 3" xfId="4886"/>
    <cellStyle name="Normal 477 4" xfId="7998"/>
    <cellStyle name="Normal 477 4 2" xfId="15789"/>
    <cellStyle name="Normal 477 4 2 2" xfId="33410"/>
    <cellStyle name="Normal 477 4 3" xfId="26400"/>
    <cellStyle name="Normal 477 5" xfId="11955"/>
    <cellStyle name="Normal 477 5 2" xfId="29624"/>
    <cellStyle name="Normal 477 6" xfId="23539"/>
    <cellStyle name="Normal 477 7" xfId="52448"/>
    <cellStyle name="Normal 478" xfId="2840"/>
    <cellStyle name="Normal 478 2" xfId="4889"/>
    <cellStyle name="Normal 478 2 2" xfId="8680"/>
    <cellStyle name="Normal 478 2 2 2" xfId="16470"/>
    <cellStyle name="Normal 478 2 2 2 2" xfId="34091"/>
    <cellStyle name="Normal 478 2 2 3" xfId="27067"/>
    <cellStyle name="Normal 478 2 3" xfId="12976"/>
    <cellStyle name="Normal 478 2 3 2" xfId="30611"/>
    <cellStyle name="Normal 478 2 4" xfId="24206"/>
    <cellStyle name="Normal 478 3" xfId="4888"/>
    <cellStyle name="Normal 478 4" xfId="7999"/>
    <cellStyle name="Normal 478 4 2" xfId="15790"/>
    <cellStyle name="Normal 478 4 2 2" xfId="33411"/>
    <cellStyle name="Normal 478 4 3" xfId="26401"/>
    <cellStyle name="Normal 478 5" xfId="11956"/>
    <cellStyle name="Normal 478 5 2" xfId="29625"/>
    <cellStyle name="Normal 478 6" xfId="23540"/>
    <cellStyle name="Normal 478 7" xfId="52449"/>
    <cellStyle name="Normal 479" xfId="2841"/>
    <cellStyle name="Normal 479 2" xfId="4891"/>
    <cellStyle name="Normal 479 2 2" xfId="8681"/>
    <cellStyle name="Normal 479 2 2 2" xfId="16471"/>
    <cellStyle name="Normal 479 2 2 2 2" xfId="34092"/>
    <cellStyle name="Normal 479 2 2 3" xfId="27068"/>
    <cellStyle name="Normal 479 2 3" xfId="12977"/>
    <cellStyle name="Normal 479 2 3 2" xfId="30612"/>
    <cellStyle name="Normal 479 2 4" xfId="24207"/>
    <cellStyle name="Normal 479 3" xfId="4890"/>
    <cellStyle name="Normal 479 4" xfId="8000"/>
    <cellStyle name="Normal 479 4 2" xfId="15791"/>
    <cellStyle name="Normal 479 4 2 2" xfId="33412"/>
    <cellStyle name="Normal 479 4 3" xfId="26402"/>
    <cellStyle name="Normal 479 5" xfId="11957"/>
    <cellStyle name="Normal 479 5 2" xfId="29626"/>
    <cellStyle name="Normal 479 6" xfId="23541"/>
    <cellStyle name="Normal 479 7" xfId="52450"/>
    <cellStyle name="Normal 48" xfId="2842"/>
    <cellStyle name="Normal 48 2" xfId="4892"/>
    <cellStyle name="Normal 48 2 2" xfId="22774"/>
    <cellStyle name="Normal 48 2 2 2" xfId="38967"/>
    <cellStyle name="Normal 48 3" xfId="22990"/>
    <cellStyle name="Normal 48 4" xfId="22565"/>
    <cellStyle name="Normal 48 4 2" xfId="38862"/>
    <cellStyle name="Normal 48 5" xfId="52451"/>
    <cellStyle name="Normal 480" xfId="2843"/>
    <cellStyle name="Normal 480 2" xfId="4894"/>
    <cellStyle name="Normal 480 2 2" xfId="8682"/>
    <cellStyle name="Normal 480 2 2 2" xfId="16472"/>
    <cellStyle name="Normal 480 2 2 2 2" xfId="34093"/>
    <cellStyle name="Normal 480 2 2 3" xfId="27069"/>
    <cellStyle name="Normal 480 2 3" xfId="12978"/>
    <cellStyle name="Normal 480 2 3 2" xfId="30613"/>
    <cellStyle name="Normal 480 2 4" xfId="24208"/>
    <cellStyle name="Normal 480 3" xfId="4893"/>
    <cellStyle name="Normal 480 4" xfId="8001"/>
    <cellStyle name="Normal 480 4 2" xfId="15792"/>
    <cellStyle name="Normal 480 4 2 2" xfId="33413"/>
    <cellStyle name="Normal 480 4 3" xfId="26403"/>
    <cellStyle name="Normal 480 5" xfId="11958"/>
    <cellStyle name="Normal 480 5 2" xfId="29627"/>
    <cellStyle name="Normal 480 6" xfId="23542"/>
    <cellStyle name="Normal 480 7" xfId="52452"/>
    <cellStyle name="Normal 481" xfId="2844"/>
    <cellStyle name="Normal 481 2" xfId="4896"/>
    <cellStyle name="Normal 481 2 2" xfId="8683"/>
    <cellStyle name="Normal 481 2 2 2" xfId="16473"/>
    <cellStyle name="Normal 481 2 2 2 2" xfId="34094"/>
    <cellStyle name="Normal 481 2 2 3" xfId="27070"/>
    <cellStyle name="Normal 481 2 3" xfId="12979"/>
    <cellStyle name="Normal 481 2 3 2" xfId="30614"/>
    <cellStyle name="Normal 481 2 4" xfId="24209"/>
    <cellStyle name="Normal 481 3" xfId="4895"/>
    <cellStyle name="Normal 481 4" xfId="8002"/>
    <cellStyle name="Normal 481 4 2" xfId="15793"/>
    <cellStyle name="Normal 481 4 2 2" xfId="33414"/>
    <cellStyle name="Normal 481 4 3" xfId="26404"/>
    <cellStyle name="Normal 481 5" xfId="11959"/>
    <cellStyle name="Normal 481 5 2" xfId="29628"/>
    <cellStyle name="Normal 481 6" xfId="23543"/>
    <cellStyle name="Normal 481 7" xfId="52453"/>
    <cellStyle name="Normal 482" xfId="2845"/>
    <cellStyle name="Normal 482 2" xfId="4898"/>
    <cellStyle name="Normal 482 2 2" xfId="8684"/>
    <cellStyle name="Normal 482 2 2 2" xfId="16474"/>
    <cellStyle name="Normal 482 2 2 2 2" xfId="34095"/>
    <cellStyle name="Normal 482 2 2 3" xfId="27071"/>
    <cellStyle name="Normal 482 2 3" xfId="12980"/>
    <cellStyle name="Normal 482 2 3 2" xfId="30615"/>
    <cellStyle name="Normal 482 2 4" xfId="24210"/>
    <cellStyle name="Normal 482 3" xfId="4897"/>
    <cellStyle name="Normal 482 4" xfId="8003"/>
    <cellStyle name="Normal 482 4 2" xfId="15794"/>
    <cellStyle name="Normal 482 4 2 2" xfId="33415"/>
    <cellStyle name="Normal 482 4 3" xfId="26405"/>
    <cellStyle name="Normal 482 5" xfId="11960"/>
    <cellStyle name="Normal 482 5 2" xfId="29629"/>
    <cellStyle name="Normal 482 6" xfId="23544"/>
    <cellStyle name="Normal 482 7" xfId="52454"/>
    <cellStyle name="Normal 483" xfId="2846"/>
    <cellStyle name="Normal 483 2" xfId="4899"/>
    <cellStyle name="Normal 483 2 2" xfId="8685"/>
    <cellStyle name="Normal 483 2 2 2" xfId="16475"/>
    <cellStyle name="Normal 483 2 2 2 2" xfId="34096"/>
    <cellStyle name="Normal 483 2 2 3" xfId="27072"/>
    <cellStyle name="Normal 483 2 3" xfId="12981"/>
    <cellStyle name="Normal 483 2 3 2" xfId="30616"/>
    <cellStyle name="Normal 483 2 4" xfId="24211"/>
    <cellStyle name="Normal 483 3" xfId="5959"/>
    <cellStyle name="Normal 483 3 2" xfId="9256"/>
    <cellStyle name="Normal 483 3 2 2" xfId="17045"/>
    <cellStyle name="Normal 483 3 2 2 2" xfId="34667"/>
    <cellStyle name="Normal 483 3 2 3" xfId="27630"/>
    <cellStyle name="Normal 483 3 3" xfId="13809"/>
    <cellStyle name="Normal 483 3 3 2" xfId="31435"/>
    <cellStyle name="Normal 483 3 4" xfId="24769"/>
    <cellStyle name="Normal 483 4" xfId="6589"/>
    <cellStyle name="Normal 483 4 2" xfId="9796"/>
    <cellStyle name="Normal 483 4 2 2" xfId="17584"/>
    <cellStyle name="Normal 483 4 2 2 2" xfId="35207"/>
    <cellStyle name="Normal 483 4 2 3" xfId="28166"/>
    <cellStyle name="Normal 483 4 3" xfId="14372"/>
    <cellStyle name="Normal 483 4 3 2" xfId="31993"/>
    <cellStyle name="Normal 483 4 4" xfId="25305"/>
    <cellStyle name="Normal 483 5" xfId="7364"/>
    <cellStyle name="Normal 483 5 2" xfId="10349"/>
    <cellStyle name="Normal 483 5 2 2" xfId="18136"/>
    <cellStyle name="Normal 483 5 2 2 2" xfId="35759"/>
    <cellStyle name="Normal 483 5 2 3" xfId="28702"/>
    <cellStyle name="Normal 483 5 3" xfId="15146"/>
    <cellStyle name="Normal 483 5 3 2" xfId="32767"/>
    <cellStyle name="Normal 483 5 4" xfId="25842"/>
    <cellStyle name="Normal 483 6" xfId="8004"/>
    <cellStyle name="Normal 483 6 2" xfId="15795"/>
    <cellStyle name="Normal 483 6 2 2" xfId="33416"/>
    <cellStyle name="Normal 483 6 3" xfId="26406"/>
    <cellStyle name="Normal 483 7" xfId="11961"/>
    <cellStyle name="Normal 483 7 2" xfId="29630"/>
    <cellStyle name="Normal 483 8" xfId="23545"/>
    <cellStyle name="Normal 483 9" xfId="52455"/>
    <cellStyle name="Normal 484" xfId="2847"/>
    <cellStyle name="Normal 484 2" xfId="4900"/>
    <cellStyle name="Normal 484 2 2" xfId="8686"/>
    <cellStyle name="Normal 484 2 2 2" xfId="16476"/>
    <cellStyle name="Normal 484 2 2 2 2" xfId="34097"/>
    <cellStyle name="Normal 484 2 2 3" xfId="27073"/>
    <cellStyle name="Normal 484 2 3" xfId="12982"/>
    <cellStyle name="Normal 484 2 3 2" xfId="30617"/>
    <cellStyle name="Normal 484 2 4" xfId="24212"/>
    <cellStyle name="Normal 484 3" xfId="5960"/>
    <cellStyle name="Normal 484 3 2" xfId="9257"/>
    <cellStyle name="Normal 484 3 2 2" xfId="17046"/>
    <cellStyle name="Normal 484 3 2 2 2" xfId="34668"/>
    <cellStyle name="Normal 484 3 2 3" xfId="27631"/>
    <cellStyle name="Normal 484 3 3" xfId="13810"/>
    <cellStyle name="Normal 484 3 3 2" xfId="31436"/>
    <cellStyle name="Normal 484 3 4" xfId="24770"/>
    <cellStyle name="Normal 484 4" xfId="6590"/>
    <cellStyle name="Normal 484 4 2" xfId="9797"/>
    <cellStyle name="Normal 484 4 2 2" xfId="17585"/>
    <cellStyle name="Normal 484 4 2 2 2" xfId="35208"/>
    <cellStyle name="Normal 484 4 2 3" xfId="28167"/>
    <cellStyle name="Normal 484 4 3" xfId="14373"/>
    <cellStyle name="Normal 484 4 3 2" xfId="31994"/>
    <cellStyle name="Normal 484 4 4" xfId="25306"/>
    <cellStyle name="Normal 484 5" xfId="7365"/>
    <cellStyle name="Normal 484 5 2" xfId="10350"/>
    <cellStyle name="Normal 484 5 2 2" xfId="18137"/>
    <cellStyle name="Normal 484 5 2 2 2" xfId="35760"/>
    <cellStyle name="Normal 484 5 2 3" xfId="28703"/>
    <cellStyle name="Normal 484 5 3" xfId="15147"/>
    <cellStyle name="Normal 484 5 3 2" xfId="32768"/>
    <cellStyle name="Normal 484 5 4" xfId="25843"/>
    <cellStyle name="Normal 484 6" xfId="8005"/>
    <cellStyle name="Normal 484 6 2" xfId="15796"/>
    <cellStyle name="Normal 484 6 2 2" xfId="33417"/>
    <cellStyle name="Normal 484 6 3" xfId="26407"/>
    <cellStyle name="Normal 484 7" xfId="11962"/>
    <cellStyle name="Normal 484 7 2" xfId="29631"/>
    <cellStyle name="Normal 484 8" xfId="23546"/>
    <cellStyle name="Normal 484 9" xfId="52456"/>
    <cellStyle name="Normal 485" xfId="195"/>
    <cellStyle name="Normal 485 10" xfId="23547"/>
    <cellStyle name="Normal 485 11" xfId="52457"/>
    <cellStyle name="Normal 485 12" xfId="2848"/>
    <cellStyle name="Normal 485 2" xfId="193"/>
    <cellStyle name="Normal 485 2 2" xfId="4902"/>
    <cellStyle name="Normal 485 3" xfId="197"/>
    <cellStyle name="Normal 485 3 2" xfId="211"/>
    <cellStyle name="Normal 485 3 3" xfId="204"/>
    <cellStyle name="Normal 485 4" xfId="198"/>
    <cellStyle name="Normal 485 4 2" xfId="212"/>
    <cellStyle name="Normal 485 4 3" xfId="205"/>
    <cellStyle name="Normal 485 5" xfId="4903"/>
    <cellStyle name="Normal 485 5 2" xfId="8687"/>
    <cellStyle name="Normal 485 5 2 2" xfId="16477"/>
    <cellStyle name="Normal 485 5 2 2 2" xfId="34098"/>
    <cellStyle name="Normal 485 5 2 3" xfId="27074"/>
    <cellStyle name="Normal 485 5 3" xfId="12984"/>
    <cellStyle name="Normal 485 5 3 2" xfId="30619"/>
    <cellStyle name="Normal 485 5 4" xfId="24213"/>
    <cellStyle name="Normal 485 6" xfId="4901"/>
    <cellStyle name="Normal 485 7" xfId="8006"/>
    <cellStyle name="Normal 485 7 2" xfId="15797"/>
    <cellStyle name="Normal 485 7 2 2" xfId="33418"/>
    <cellStyle name="Normal 485 7 3" xfId="26408"/>
    <cellStyle name="Normal 485 8" xfId="11963"/>
    <cellStyle name="Normal 485 8 2" xfId="29632"/>
    <cellStyle name="Normal 485 9" xfId="21943"/>
    <cellStyle name="Normal 485 9 2" xfId="38682"/>
    <cellStyle name="Normal 486" xfId="2849"/>
    <cellStyle name="Normal 486 2" xfId="4905"/>
    <cellStyle name="Normal 486 2 2" xfId="8688"/>
    <cellStyle name="Normal 486 2 2 2" xfId="16478"/>
    <cellStyle name="Normal 486 2 2 2 2" xfId="34099"/>
    <cellStyle name="Normal 486 2 2 3" xfId="27075"/>
    <cellStyle name="Normal 486 2 3" xfId="12985"/>
    <cellStyle name="Normal 486 2 3 2" xfId="30620"/>
    <cellStyle name="Normal 486 2 4" xfId="24214"/>
    <cellStyle name="Normal 486 3" xfId="4904"/>
    <cellStyle name="Normal 486 4" xfId="8007"/>
    <cellStyle name="Normal 486 4 2" xfId="15798"/>
    <cellStyle name="Normal 486 4 2 2" xfId="33419"/>
    <cellStyle name="Normal 486 4 3" xfId="26409"/>
    <cellStyle name="Normal 486 5" xfId="11964"/>
    <cellStyle name="Normal 486 5 2" xfId="29633"/>
    <cellStyle name="Normal 486 6" xfId="23548"/>
    <cellStyle name="Normal 486 7" xfId="52458"/>
    <cellStyle name="Normal 487" xfId="2850"/>
    <cellStyle name="Normal 487 2" xfId="4907"/>
    <cellStyle name="Normal 487 2 2" xfId="8689"/>
    <cellStyle name="Normal 487 2 2 2" xfId="16479"/>
    <cellStyle name="Normal 487 2 2 2 2" xfId="34100"/>
    <cellStyle name="Normal 487 2 2 3" xfId="27076"/>
    <cellStyle name="Normal 487 2 3" xfId="12986"/>
    <cellStyle name="Normal 487 2 3 2" xfId="30621"/>
    <cellStyle name="Normal 487 2 4" xfId="24215"/>
    <cellStyle name="Normal 487 3" xfId="4906"/>
    <cellStyle name="Normal 487 4" xfId="8008"/>
    <cellStyle name="Normal 487 4 2" xfId="15799"/>
    <cellStyle name="Normal 487 4 2 2" xfId="33420"/>
    <cellStyle name="Normal 487 4 3" xfId="26410"/>
    <cellStyle name="Normal 487 5" xfId="11965"/>
    <cellStyle name="Normal 487 5 2" xfId="29634"/>
    <cellStyle name="Normal 487 6" xfId="23549"/>
    <cellStyle name="Normal 487 7" xfId="52459"/>
    <cellStyle name="Normal 488" xfId="2851"/>
    <cellStyle name="Normal 488 2" xfId="4909"/>
    <cellStyle name="Normal 488 2 2" xfId="8690"/>
    <cellStyle name="Normal 488 2 2 2" xfId="16480"/>
    <cellStyle name="Normal 488 2 2 2 2" xfId="34101"/>
    <cellStyle name="Normal 488 2 2 3" xfId="27077"/>
    <cellStyle name="Normal 488 2 3" xfId="12987"/>
    <cellStyle name="Normal 488 2 3 2" xfId="30622"/>
    <cellStyle name="Normal 488 2 4" xfId="24216"/>
    <cellStyle name="Normal 488 3" xfId="4908"/>
    <cellStyle name="Normal 488 4" xfId="8009"/>
    <cellStyle name="Normal 488 4 2" xfId="15800"/>
    <cellStyle name="Normal 488 4 2 2" xfId="33421"/>
    <cellStyle name="Normal 488 4 3" xfId="26411"/>
    <cellStyle name="Normal 488 5" xfId="11966"/>
    <cellStyle name="Normal 488 5 2" xfId="29635"/>
    <cellStyle name="Normal 488 6" xfId="23550"/>
    <cellStyle name="Normal 488 7" xfId="52460"/>
    <cellStyle name="Normal 489" xfId="2852"/>
    <cellStyle name="Normal 489 2" xfId="4911"/>
    <cellStyle name="Normal 489 2 2" xfId="8691"/>
    <cellStyle name="Normal 489 2 2 2" xfId="16481"/>
    <cellStyle name="Normal 489 2 2 2 2" xfId="34102"/>
    <cellStyle name="Normal 489 2 2 3" xfId="27078"/>
    <cellStyle name="Normal 489 2 3" xfId="12988"/>
    <cellStyle name="Normal 489 2 3 2" xfId="30623"/>
    <cellStyle name="Normal 489 2 4" xfId="24217"/>
    <cellStyle name="Normal 489 3" xfId="4910"/>
    <cellStyle name="Normal 489 4" xfId="8010"/>
    <cellStyle name="Normal 489 4 2" xfId="15801"/>
    <cellStyle name="Normal 489 4 2 2" xfId="33422"/>
    <cellStyle name="Normal 489 4 3" xfId="26412"/>
    <cellStyle name="Normal 489 5" xfId="11967"/>
    <cellStyle name="Normal 489 5 2" xfId="29636"/>
    <cellStyle name="Normal 489 6" xfId="23551"/>
    <cellStyle name="Normal 489 7" xfId="52461"/>
    <cellStyle name="Normal 49" xfId="2853"/>
    <cellStyle name="Normal 49 2" xfId="4912"/>
    <cellStyle name="Normal 49 3" xfId="52462"/>
    <cellStyle name="Normal 490" xfId="2854"/>
    <cellStyle name="Normal 490 2" xfId="4914"/>
    <cellStyle name="Normal 490 2 2" xfId="8692"/>
    <cellStyle name="Normal 490 2 2 2" xfId="16482"/>
    <cellStyle name="Normal 490 2 2 2 2" xfId="34103"/>
    <cellStyle name="Normal 490 2 2 3" xfId="27079"/>
    <cellStyle name="Normal 490 2 3" xfId="12989"/>
    <cellStyle name="Normal 490 2 3 2" xfId="30624"/>
    <cellStyle name="Normal 490 2 4" xfId="24218"/>
    <cellStyle name="Normal 490 3" xfId="4913"/>
    <cellStyle name="Normal 490 4" xfId="8011"/>
    <cellStyle name="Normal 490 4 2" xfId="15802"/>
    <cellStyle name="Normal 490 4 2 2" xfId="33423"/>
    <cellStyle name="Normal 490 4 3" xfId="26413"/>
    <cellStyle name="Normal 490 5" xfId="11968"/>
    <cellStyle name="Normal 490 5 2" xfId="29637"/>
    <cellStyle name="Normal 490 6" xfId="23552"/>
    <cellStyle name="Normal 490 7" xfId="52463"/>
    <cellStyle name="Normal 491" xfId="2855"/>
    <cellStyle name="Normal 491 2" xfId="4916"/>
    <cellStyle name="Normal 491 2 2" xfId="8693"/>
    <cellStyle name="Normal 491 2 2 2" xfId="16483"/>
    <cellStyle name="Normal 491 2 2 2 2" xfId="34104"/>
    <cellStyle name="Normal 491 2 2 3" xfId="27080"/>
    <cellStyle name="Normal 491 2 3" xfId="12991"/>
    <cellStyle name="Normal 491 2 3 2" xfId="30626"/>
    <cellStyle name="Normal 491 2 4" xfId="24219"/>
    <cellStyle name="Normal 491 3" xfId="4915"/>
    <cellStyle name="Normal 491 4" xfId="8012"/>
    <cellStyle name="Normal 491 4 2" xfId="15803"/>
    <cellStyle name="Normal 491 4 2 2" xfId="33424"/>
    <cellStyle name="Normal 491 4 3" xfId="26414"/>
    <cellStyle name="Normal 491 5" xfId="11969"/>
    <cellStyle name="Normal 491 5 2" xfId="29638"/>
    <cellStyle name="Normal 491 6" xfId="23553"/>
    <cellStyle name="Normal 491 7" xfId="52464"/>
    <cellStyle name="Normal 492" xfId="2856"/>
    <cellStyle name="Normal 492 2" xfId="4918"/>
    <cellStyle name="Normal 492 2 2" xfId="8694"/>
    <cellStyle name="Normal 492 2 2 2" xfId="16484"/>
    <cellStyle name="Normal 492 2 2 2 2" xfId="34105"/>
    <cellStyle name="Normal 492 2 2 3" xfId="27081"/>
    <cellStyle name="Normal 492 2 3" xfId="12992"/>
    <cellStyle name="Normal 492 2 3 2" xfId="30627"/>
    <cellStyle name="Normal 492 2 4" xfId="24220"/>
    <cellStyle name="Normal 492 3" xfId="4917"/>
    <cellStyle name="Normal 492 4" xfId="8013"/>
    <cellStyle name="Normal 492 4 2" xfId="15804"/>
    <cellStyle name="Normal 492 4 2 2" xfId="33425"/>
    <cellStyle name="Normal 492 4 3" xfId="26415"/>
    <cellStyle name="Normal 492 5" xfId="11970"/>
    <cellStyle name="Normal 492 5 2" xfId="29639"/>
    <cellStyle name="Normal 492 6" xfId="23554"/>
    <cellStyle name="Normal 492 7" xfId="52465"/>
    <cellStyle name="Normal 493" xfId="2857"/>
    <cellStyle name="Normal 493 2" xfId="4920"/>
    <cellStyle name="Normal 493 2 2" xfId="8695"/>
    <cellStyle name="Normal 493 2 2 2" xfId="16485"/>
    <cellStyle name="Normal 493 2 2 2 2" xfId="34106"/>
    <cellStyle name="Normal 493 2 2 3" xfId="27082"/>
    <cellStyle name="Normal 493 2 3" xfId="12993"/>
    <cellStyle name="Normal 493 2 3 2" xfId="30628"/>
    <cellStyle name="Normal 493 2 4" xfId="24221"/>
    <cellStyle name="Normal 493 3" xfId="4919"/>
    <cellStyle name="Normal 493 4" xfId="8014"/>
    <cellStyle name="Normal 493 4 2" xfId="15805"/>
    <cellStyle name="Normal 493 4 2 2" xfId="33426"/>
    <cellStyle name="Normal 493 4 3" xfId="26416"/>
    <cellStyle name="Normal 493 5" xfId="11971"/>
    <cellStyle name="Normal 493 5 2" xfId="29640"/>
    <cellStyle name="Normal 493 6" xfId="23555"/>
    <cellStyle name="Normal 493 7" xfId="52466"/>
    <cellStyle name="Normal 494" xfId="2858"/>
    <cellStyle name="Normal 494 2" xfId="4922"/>
    <cellStyle name="Normal 494 2 2" xfId="8696"/>
    <cellStyle name="Normal 494 2 2 2" xfId="16486"/>
    <cellStyle name="Normal 494 2 2 2 2" xfId="34107"/>
    <cellStyle name="Normal 494 2 2 3" xfId="27083"/>
    <cellStyle name="Normal 494 2 3" xfId="12994"/>
    <cellStyle name="Normal 494 2 3 2" xfId="30629"/>
    <cellStyle name="Normal 494 2 4" xfId="24222"/>
    <cellStyle name="Normal 494 3" xfId="4921"/>
    <cellStyle name="Normal 494 4" xfId="8015"/>
    <cellStyle name="Normal 494 4 2" xfId="15806"/>
    <cellStyle name="Normal 494 4 2 2" xfId="33427"/>
    <cellStyle name="Normal 494 4 3" xfId="26417"/>
    <cellStyle name="Normal 494 5" xfId="11972"/>
    <cellStyle name="Normal 494 5 2" xfId="29641"/>
    <cellStyle name="Normal 494 6" xfId="23556"/>
    <cellStyle name="Normal 494 7" xfId="52467"/>
    <cellStyle name="Normal 495" xfId="2859"/>
    <cellStyle name="Normal 495 2" xfId="4924"/>
    <cellStyle name="Normal 495 2 2" xfId="8697"/>
    <cellStyle name="Normal 495 2 2 2" xfId="16487"/>
    <cellStyle name="Normal 495 2 2 2 2" xfId="34108"/>
    <cellStyle name="Normal 495 2 2 3" xfId="27084"/>
    <cellStyle name="Normal 495 2 3" xfId="12995"/>
    <cellStyle name="Normal 495 2 3 2" xfId="30630"/>
    <cellStyle name="Normal 495 2 4" xfId="24223"/>
    <cellStyle name="Normal 495 3" xfId="4923"/>
    <cellStyle name="Normal 495 4" xfId="8016"/>
    <cellStyle name="Normal 495 4 2" xfId="15807"/>
    <cellStyle name="Normal 495 4 2 2" xfId="33428"/>
    <cellStyle name="Normal 495 4 3" xfId="26418"/>
    <cellStyle name="Normal 495 5" xfId="11973"/>
    <cellStyle name="Normal 495 5 2" xfId="29642"/>
    <cellStyle name="Normal 495 6" xfId="23557"/>
    <cellStyle name="Normal 495 7" xfId="52468"/>
    <cellStyle name="Normal 496" xfId="2860"/>
    <cellStyle name="Normal 496 2" xfId="4926"/>
    <cellStyle name="Normal 496 2 2" xfId="8698"/>
    <cellStyle name="Normal 496 2 2 2" xfId="16488"/>
    <cellStyle name="Normal 496 2 2 2 2" xfId="34109"/>
    <cellStyle name="Normal 496 2 2 3" xfId="27085"/>
    <cellStyle name="Normal 496 2 3" xfId="12996"/>
    <cellStyle name="Normal 496 2 3 2" xfId="30631"/>
    <cellStyle name="Normal 496 2 4" xfId="24224"/>
    <cellStyle name="Normal 496 3" xfId="4925"/>
    <cellStyle name="Normal 496 4" xfId="8017"/>
    <cellStyle name="Normal 496 4 2" xfId="15808"/>
    <cellStyle name="Normal 496 4 2 2" xfId="33429"/>
    <cellStyle name="Normal 496 4 3" xfId="26419"/>
    <cellStyle name="Normal 496 5" xfId="11974"/>
    <cellStyle name="Normal 496 5 2" xfId="29643"/>
    <cellStyle name="Normal 496 6" xfId="23558"/>
    <cellStyle name="Normal 496 7" xfId="52469"/>
    <cellStyle name="Normal 497" xfId="2861"/>
    <cellStyle name="Normal 497 2" xfId="4928"/>
    <cellStyle name="Normal 497 2 2" xfId="8699"/>
    <cellStyle name="Normal 497 2 2 2" xfId="16489"/>
    <cellStyle name="Normal 497 2 2 2 2" xfId="34110"/>
    <cellStyle name="Normal 497 2 2 3" xfId="27086"/>
    <cellStyle name="Normal 497 2 3" xfId="12997"/>
    <cellStyle name="Normal 497 2 3 2" xfId="30632"/>
    <cellStyle name="Normal 497 2 4" xfId="24225"/>
    <cellStyle name="Normal 497 3" xfId="4927"/>
    <cellStyle name="Normal 497 4" xfId="8018"/>
    <cellStyle name="Normal 497 4 2" xfId="15809"/>
    <cellStyle name="Normal 497 4 2 2" xfId="33430"/>
    <cellStyle name="Normal 497 4 3" xfId="26420"/>
    <cellStyle name="Normal 497 5" xfId="11975"/>
    <cellStyle name="Normal 497 5 2" xfId="29644"/>
    <cellStyle name="Normal 497 6" xfId="23559"/>
    <cellStyle name="Normal 497 7" xfId="52470"/>
    <cellStyle name="Normal 498" xfId="2862"/>
    <cellStyle name="Normal 498 2" xfId="4930"/>
    <cellStyle name="Normal 498 2 2" xfId="8700"/>
    <cellStyle name="Normal 498 2 2 2" xfId="16490"/>
    <cellStyle name="Normal 498 2 2 2 2" xfId="34111"/>
    <cellStyle name="Normal 498 2 2 3" xfId="27087"/>
    <cellStyle name="Normal 498 2 3" xfId="12998"/>
    <cellStyle name="Normal 498 2 3 2" xfId="30633"/>
    <cellStyle name="Normal 498 2 4" xfId="24226"/>
    <cellStyle name="Normal 498 3" xfId="4929"/>
    <cellStyle name="Normal 498 4" xfId="8019"/>
    <cellStyle name="Normal 498 4 2" xfId="15810"/>
    <cellStyle name="Normal 498 4 2 2" xfId="33431"/>
    <cellStyle name="Normal 498 4 3" xfId="26421"/>
    <cellStyle name="Normal 498 5" xfId="11976"/>
    <cellStyle name="Normal 498 5 2" xfId="29645"/>
    <cellStyle name="Normal 498 6" xfId="23560"/>
    <cellStyle name="Normal 498 7" xfId="52471"/>
    <cellStyle name="Normal 499" xfId="2863"/>
    <cellStyle name="Normal 499 2" xfId="4931"/>
    <cellStyle name="Normal 499 2 2" xfId="8701"/>
    <cellStyle name="Normal 499 2 2 2" xfId="16491"/>
    <cellStyle name="Normal 499 2 2 2 2" xfId="34112"/>
    <cellStyle name="Normal 499 2 2 3" xfId="27088"/>
    <cellStyle name="Normal 499 2 3" xfId="12999"/>
    <cellStyle name="Normal 499 2 3 2" xfId="30634"/>
    <cellStyle name="Normal 499 2 4" xfId="24227"/>
    <cellStyle name="Normal 499 3" xfId="5961"/>
    <cellStyle name="Normal 499 3 2" xfId="9258"/>
    <cellStyle name="Normal 499 3 2 2" xfId="17047"/>
    <cellStyle name="Normal 499 3 2 2 2" xfId="34669"/>
    <cellStyle name="Normal 499 3 2 3" xfId="27632"/>
    <cellStyle name="Normal 499 3 3" xfId="13811"/>
    <cellStyle name="Normal 499 3 3 2" xfId="31437"/>
    <cellStyle name="Normal 499 3 4" xfId="24771"/>
    <cellStyle name="Normal 499 4" xfId="6591"/>
    <cellStyle name="Normal 499 4 2" xfId="9798"/>
    <cellStyle name="Normal 499 4 2 2" xfId="17586"/>
    <cellStyle name="Normal 499 4 2 2 2" xfId="35209"/>
    <cellStyle name="Normal 499 4 2 3" xfId="28168"/>
    <cellStyle name="Normal 499 4 3" xfId="14374"/>
    <cellStyle name="Normal 499 4 3 2" xfId="31995"/>
    <cellStyle name="Normal 499 4 4" xfId="25307"/>
    <cellStyle name="Normal 499 5" xfId="7366"/>
    <cellStyle name="Normal 499 5 2" xfId="10351"/>
    <cellStyle name="Normal 499 5 2 2" xfId="18138"/>
    <cellStyle name="Normal 499 5 2 2 2" xfId="35761"/>
    <cellStyle name="Normal 499 5 2 3" xfId="28704"/>
    <cellStyle name="Normal 499 5 3" xfId="15148"/>
    <cellStyle name="Normal 499 5 3 2" xfId="32769"/>
    <cellStyle name="Normal 499 5 4" xfId="25844"/>
    <cellStyle name="Normal 499 6" xfId="8020"/>
    <cellStyle name="Normal 499 6 2" xfId="15811"/>
    <cellStyle name="Normal 499 6 2 2" xfId="33432"/>
    <cellStyle name="Normal 499 6 3" xfId="26422"/>
    <cellStyle name="Normal 499 7" xfId="11977"/>
    <cellStyle name="Normal 499 7 2" xfId="29646"/>
    <cellStyle name="Normal 499 8" xfId="23561"/>
    <cellStyle name="Normal 499 9" xfId="52472"/>
    <cellStyle name="Normal 5" xfId="127"/>
    <cellStyle name="Normal 5 10" xfId="2865"/>
    <cellStyle name="Normal 5 10 2" xfId="4932"/>
    <cellStyle name="Normal 5 10 3" xfId="52473"/>
    <cellStyle name="Normal 5 11" xfId="2866"/>
    <cellStyle name="Normal 5 11 2" xfId="4933"/>
    <cellStyle name="Normal 5 11 3" xfId="52474"/>
    <cellStyle name="Normal 5 12" xfId="2867"/>
    <cellStyle name="Normal 5 13" xfId="2868"/>
    <cellStyle name="Normal 5 14" xfId="4934"/>
    <cellStyle name="Normal 5 15" xfId="4935"/>
    <cellStyle name="Normal 5 16" xfId="2864"/>
    <cellStyle name="Normal 5 2" xfId="128"/>
    <cellStyle name="Normal 5 2 2" xfId="2870"/>
    <cellStyle name="Normal 5 2 2 2" xfId="22991"/>
    <cellStyle name="Normal 5 2 2 3" xfId="22692"/>
    <cellStyle name="Normal 5 2 3" xfId="2869"/>
    <cellStyle name="Normal 5 2_Sheet1" xfId="2871"/>
    <cellStyle name="Normal 5 3" xfId="2872"/>
    <cellStyle name="Normal 5 4" xfId="2873"/>
    <cellStyle name="Normal 5 4 2" xfId="2874"/>
    <cellStyle name="Normal 5 4 2 2" xfId="4937"/>
    <cellStyle name="Normal 5 4 2 3" xfId="52476"/>
    <cellStyle name="Normal 5 4 3" xfId="4936"/>
    <cellStyle name="Normal 5 4 4" xfId="52475"/>
    <cellStyle name="Normal 5 5" xfId="2875"/>
    <cellStyle name="Normal 5 5 2" xfId="4938"/>
    <cellStyle name="Normal 5 5 3" xfId="52477"/>
    <cellStyle name="Normal 5 6" xfId="2876"/>
    <cellStyle name="Normal 5 6 2" xfId="4939"/>
    <cellStyle name="Normal 5 6 3" xfId="52478"/>
    <cellStyle name="Normal 5 7" xfId="2877"/>
    <cellStyle name="Normal 5 7 2" xfId="4940"/>
    <cellStyle name="Normal 5 7 3" xfId="52479"/>
    <cellStyle name="Normal 5 8" xfId="2878"/>
    <cellStyle name="Normal 5 8 2" xfId="4941"/>
    <cellStyle name="Normal 5 8 3" xfId="52480"/>
    <cellStyle name="Normal 5 9" xfId="2879"/>
    <cellStyle name="Normal 5 9 2" xfId="4942"/>
    <cellStyle name="Normal 5 9 3" xfId="52481"/>
    <cellStyle name="Normal 5_Sheet1" xfId="2880"/>
    <cellStyle name="Normal 50" xfId="2881"/>
    <cellStyle name="Normal 50 2" xfId="4943"/>
    <cellStyle name="Normal 50 3" xfId="52482"/>
    <cellStyle name="Normal 500" xfId="2882"/>
    <cellStyle name="Normal 500 2" xfId="4944"/>
    <cellStyle name="Normal 500 2 2" xfId="8702"/>
    <cellStyle name="Normal 500 2 2 2" xfId="16492"/>
    <cellStyle name="Normal 500 2 2 2 2" xfId="34113"/>
    <cellStyle name="Normal 500 2 2 3" xfId="27089"/>
    <cellStyle name="Normal 500 2 3" xfId="13000"/>
    <cellStyle name="Normal 500 2 3 2" xfId="30635"/>
    <cellStyle name="Normal 500 2 4" xfId="24228"/>
    <cellStyle name="Normal 500 3" xfId="5962"/>
    <cellStyle name="Normal 500 3 2" xfId="9259"/>
    <cellStyle name="Normal 500 3 2 2" xfId="17048"/>
    <cellStyle name="Normal 500 3 2 2 2" xfId="34670"/>
    <cellStyle name="Normal 500 3 2 3" xfId="27633"/>
    <cellStyle name="Normal 500 3 3" xfId="13812"/>
    <cellStyle name="Normal 500 3 3 2" xfId="31438"/>
    <cellStyle name="Normal 500 3 4" xfId="24772"/>
    <cellStyle name="Normal 500 4" xfId="6592"/>
    <cellStyle name="Normal 500 4 2" xfId="9799"/>
    <cellStyle name="Normal 500 4 2 2" xfId="17587"/>
    <cellStyle name="Normal 500 4 2 2 2" xfId="35210"/>
    <cellStyle name="Normal 500 4 2 3" xfId="28169"/>
    <cellStyle name="Normal 500 4 3" xfId="14375"/>
    <cellStyle name="Normal 500 4 3 2" xfId="31996"/>
    <cellStyle name="Normal 500 4 4" xfId="25308"/>
    <cellStyle name="Normal 500 5" xfId="7367"/>
    <cellStyle name="Normal 500 5 2" xfId="10352"/>
    <cellStyle name="Normal 500 5 2 2" xfId="18139"/>
    <cellStyle name="Normal 500 5 2 2 2" xfId="35762"/>
    <cellStyle name="Normal 500 5 2 3" xfId="28705"/>
    <cellStyle name="Normal 500 5 3" xfId="15149"/>
    <cellStyle name="Normal 500 5 3 2" xfId="32770"/>
    <cellStyle name="Normal 500 5 4" xfId="25845"/>
    <cellStyle name="Normal 500 6" xfId="8021"/>
    <cellStyle name="Normal 500 6 2" xfId="15812"/>
    <cellStyle name="Normal 500 6 2 2" xfId="33433"/>
    <cellStyle name="Normal 500 6 3" xfId="26423"/>
    <cellStyle name="Normal 500 7" xfId="11979"/>
    <cellStyle name="Normal 500 7 2" xfId="29647"/>
    <cellStyle name="Normal 500 8" xfId="23562"/>
    <cellStyle name="Normal 500 9" xfId="52483"/>
    <cellStyle name="Normal 501" xfId="2883"/>
    <cellStyle name="Normal 501 2" xfId="4945"/>
    <cellStyle name="Normal 501 2 2" xfId="8703"/>
    <cellStyle name="Normal 501 2 2 2" xfId="16493"/>
    <cellStyle name="Normal 501 2 2 2 2" xfId="34114"/>
    <cellStyle name="Normal 501 2 2 3" xfId="27090"/>
    <cellStyle name="Normal 501 2 3" xfId="13001"/>
    <cellStyle name="Normal 501 2 3 2" xfId="30636"/>
    <cellStyle name="Normal 501 2 4" xfId="24229"/>
    <cellStyle name="Normal 501 3" xfId="5963"/>
    <cellStyle name="Normal 501 3 2" xfId="9260"/>
    <cellStyle name="Normal 501 3 2 2" xfId="17049"/>
    <cellStyle name="Normal 501 3 2 2 2" xfId="34671"/>
    <cellStyle name="Normal 501 3 2 3" xfId="27634"/>
    <cellStyle name="Normal 501 3 3" xfId="13813"/>
    <cellStyle name="Normal 501 3 3 2" xfId="31439"/>
    <cellStyle name="Normal 501 3 4" xfId="24773"/>
    <cellStyle name="Normal 501 4" xfId="6593"/>
    <cellStyle name="Normal 501 4 2" xfId="9800"/>
    <cellStyle name="Normal 501 4 2 2" xfId="17588"/>
    <cellStyle name="Normal 501 4 2 2 2" xfId="35211"/>
    <cellStyle name="Normal 501 4 2 3" xfId="28170"/>
    <cellStyle name="Normal 501 4 3" xfId="14376"/>
    <cellStyle name="Normal 501 4 3 2" xfId="31997"/>
    <cellStyle name="Normal 501 4 4" xfId="25309"/>
    <cellStyle name="Normal 501 5" xfId="7368"/>
    <cellStyle name="Normal 501 5 2" xfId="10353"/>
    <cellStyle name="Normal 501 5 2 2" xfId="18140"/>
    <cellStyle name="Normal 501 5 2 2 2" xfId="35763"/>
    <cellStyle name="Normal 501 5 2 3" xfId="28706"/>
    <cellStyle name="Normal 501 5 3" xfId="15150"/>
    <cellStyle name="Normal 501 5 3 2" xfId="32771"/>
    <cellStyle name="Normal 501 5 4" xfId="25846"/>
    <cellStyle name="Normal 501 6" xfId="8022"/>
    <cellStyle name="Normal 501 6 2" xfId="15813"/>
    <cellStyle name="Normal 501 6 2 2" xfId="33434"/>
    <cellStyle name="Normal 501 6 3" xfId="26424"/>
    <cellStyle name="Normal 501 7" xfId="11980"/>
    <cellStyle name="Normal 501 7 2" xfId="29648"/>
    <cellStyle name="Normal 501 8" xfId="23563"/>
    <cellStyle name="Normal 501 9" xfId="52484"/>
    <cellStyle name="Normal 502" xfId="2884"/>
    <cellStyle name="Normal 502 2" xfId="4946"/>
    <cellStyle name="Normal 502 2 2" xfId="8704"/>
    <cellStyle name="Normal 502 2 2 2" xfId="16494"/>
    <cellStyle name="Normal 502 2 2 2 2" xfId="34115"/>
    <cellStyle name="Normal 502 2 2 3" xfId="27091"/>
    <cellStyle name="Normal 502 2 3" xfId="13002"/>
    <cellStyle name="Normal 502 2 3 2" xfId="30637"/>
    <cellStyle name="Normal 502 2 4" xfId="24230"/>
    <cellStyle name="Normal 502 3" xfId="5964"/>
    <cellStyle name="Normal 502 3 2" xfId="9261"/>
    <cellStyle name="Normal 502 3 2 2" xfId="17050"/>
    <cellStyle name="Normal 502 3 2 2 2" xfId="34672"/>
    <cellStyle name="Normal 502 3 2 3" xfId="27635"/>
    <cellStyle name="Normal 502 3 3" xfId="13814"/>
    <cellStyle name="Normal 502 3 3 2" xfId="31440"/>
    <cellStyle name="Normal 502 3 4" xfId="24774"/>
    <cellStyle name="Normal 502 4" xfId="6594"/>
    <cellStyle name="Normal 502 4 2" xfId="9801"/>
    <cellStyle name="Normal 502 4 2 2" xfId="17589"/>
    <cellStyle name="Normal 502 4 2 2 2" xfId="35212"/>
    <cellStyle name="Normal 502 4 2 3" xfId="28171"/>
    <cellStyle name="Normal 502 4 3" xfId="14377"/>
    <cellStyle name="Normal 502 4 3 2" xfId="31998"/>
    <cellStyle name="Normal 502 4 4" xfId="25310"/>
    <cellStyle name="Normal 502 5" xfId="7369"/>
    <cellStyle name="Normal 502 5 2" xfId="10354"/>
    <cellStyle name="Normal 502 5 2 2" xfId="18141"/>
    <cellStyle name="Normal 502 5 2 2 2" xfId="35764"/>
    <cellStyle name="Normal 502 5 2 3" xfId="28707"/>
    <cellStyle name="Normal 502 5 3" xfId="15151"/>
    <cellStyle name="Normal 502 5 3 2" xfId="32772"/>
    <cellStyle name="Normal 502 5 4" xfId="25847"/>
    <cellStyle name="Normal 502 6" xfId="8023"/>
    <cellStyle name="Normal 502 6 2" xfId="15814"/>
    <cellStyle name="Normal 502 6 2 2" xfId="33435"/>
    <cellStyle name="Normal 502 6 3" xfId="26425"/>
    <cellStyle name="Normal 502 7" xfId="11981"/>
    <cellStyle name="Normal 502 7 2" xfId="29649"/>
    <cellStyle name="Normal 502 8" xfId="23564"/>
    <cellStyle name="Normal 502 9" xfId="52485"/>
    <cellStyle name="Normal 503" xfId="2885"/>
    <cellStyle name="Normal 503 2" xfId="4947"/>
    <cellStyle name="Normal 503 2 2" xfId="8705"/>
    <cellStyle name="Normal 503 2 2 2" xfId="16495"/>
    <cellStyle name="Normal 503 2 2 2 2" xfId="34116"/>
    <cellStyle name="Normal 503 2 2 3" xfId="27092"/>
    <cellStyle name="Normal 503 2 3" xfId="13003"/>
    <cellStyle name="Normal 503 2 3 2" xfId="30638"/>
    <cellStyle name="Normal 503 2 4" xfId="24231"/>
    <cellStyle name="Normal 503 3" xfId="5965"/>
    <cellStyle name="Normal 503 3 2" xfId="9262"/>
    <cellStyle name="Normal 503 3 2 2" xfId="17051"/>
    <cellStyle name="Normal 503 3 2 2 2" xfId="34673"/>
    <cellStyle name="Normal 503 3 2 3" xfId="27636"/>
    <cellStyle name="Normal 503 3 3" xfId="13815"/>
    <cellStyle name="Normal 503 3 3 2" xfId="31441"/>
    <cellStyle name="Normal 503 3 4" xfId="24775"/>
    <cellStyle name="Normal 503 4" xfId="6595"/>
    <cellStyle name="Normal 503 4 2" xfId="9802"/>
    <cellStyle name="Normal 503 4 2 2" xfId="17590"/>
    <cellStyle name="Normal 503 4 2 2 2" xfId="35213"/>
    <cellStyle name="Normal 503 4 2 3" xfId="28172"/>
    <cellStyle name="Normal 503 4 3" xfId="14378"/>
    <cellStyle name="Normal 503 4 3 2" xfId="31999"/>
    <cellStyle name="Normal 503 4 4" xfId="25311"/>
    <cellStyle name="Normal 503 5" xfId="7370"/>
    <cellStyle name="Normal 503 5 2" xfId="10355"/>
    <cellStyle name="Normal 503 5 2 2" xfId="18142"/>
    <cellStyle name="Normal 503 5 2 2 2" xfId="35765"/>
    <cellStyle name="Normal 503 5 2 3" xfId="28708"/>
    <cellStyle name="Normal 503 5 3" xfId="15152"/>
    <cellStyle name="Normal 503 5 3 2" xfId="32773"/>
    <cellStyle name="Normal 503 5 4" xfId="25848"/>
    <cellStyle name="Normal 503 6" xfId="8024"/>
    <cellStyle name="Normal 503 6 2" xfId="15815"/>
    <cellStyle name="Normal 503 6 2 2" xfId="33436"/>
    <cellStyle name="Normal 503 6 3" xfId="26426"/>
    <cellStyle name="Normal 503 7" xfId="11982"/>
    <cellStyle name="Normal 503 7 2" xfId="29650"/>
    <cellStyle name="Normal 503 8" xfId="23565"/>
    <cellStyle name="Normal 503 9" xfId="52486"/>
    <cellStyle name="Normal 504" xfId="2886"/>
    <cellStyle name="Normal 504 2" xfId="4948"/>
    <cellStyle name="Normal 504 2 2" xfId="8706"/>
    <cellStyle name="Normal 504 2 2 2" xfId="16496"/>
    <cellStyle name="Normal 504 2 2 2 2" xfId="34117"/>
    <cellStyle name="Normal 504 2 2 3" xfId="27093"/>
    <cellStyle name="Normal 504 2 3" xfId="13004"/>
    <cellStyle name="Normal 504 2 3 2" xfId="30639"/>
    <cellStyle name="Normal 504 2 4" xfId="24232"/>
    <cellStyle name="Normal 504 3" xfId="5966"/>
    <cellStyle name="Normal 504 3 2" xfId="9263"/>
    <cellStyle name="Normal 504 3 2 2" xfId="17052"/>
    <cellStyle name="Normal 504 3 2 2 2" xfId="34674"/>
    <cellStyle name="Normal 504 3 2 3" xfId="27637"/>
    <cellStyle name="Normal 504 3 3" xfId="13816"/>
    <cellStyle name="Normal 504 3 3 2" xfId="31442"/>
    <cellStyle name="Normal 504 3 4" xfId="24776"/>
    <cellStyle name="Normal 504 4" xfId="6596"/>
    <cellStyle name="Normal 504 4 2" xfId="9803"/>
    <cellStyle name="Normal 504 4 2 2" xfId="17591"/>
    <cellStyle name="Normal 504 4 2 2 2" xfId="35214"/>
    <cellStyle name="Normal 504 4 2 3" xfId="28173"/>
    <cellStyle name="Normal 504 4 3" xfId="14379"/>
    <cellStyle name="Normal 504 4 3 2" xfId="32000"/>
    <cellStyle name="Normal 504 4 4" xfId="25312"/>
    <cellStyle name="Normal 504 5" xfId="7371"/>
    <cellStyle name="Normal 504 5 2" xfId="10356"/>
    <cellStyle name="Normal 504 5 2 2" xfId="18143"/>
    <cellStyle name="Normal 504 5 2 2 2" xfId="35766"/>
    <cellStyle name="Normal 504 5 2 3" xfId="28709"/>
    <cellStyle name="Normal 504 5 3" xfId="15153"/>
    <cellStyle name="Normal 504 5 3 2" xfId="32774"/>
    <cellStyle name="Normal 504 5 4" xfId="25849"/>
    <cellStyle name="Normal 504 6" xfId="8025"/>
    <cellStyle name="Normal 504 6 2" xfId="15816"/>
    <cellStyle name="Normal 504 6 2 2" xfId="33437"/>
    <cellStyle name="Normal 504 6 3" xfId="26427"/>
    <cellStyle name="Normal 504 7" xfId="11983"/>
    <cellStyle name="Normal 504 7 2" xfId="29651"/>
    <cellStyle name="Normal 504 8" xfId="23566"/>
    <cellStyle name="Normal 504 9" xfId="52487"/>
    <cellStyle name="Normal 505" xfId="2887"/>
    <cellStyle name="Normal 505 2" xfId="4949"/>
    <cellStyle name="Normal 505 2 2" xfId="8707"/>
    <cellStyle name="Normal 505 2 2 2" xfId="16497"/>
    <cellStyle name="Normal 505 2 2 2 2" xfId="34118"/>
    <cellStyle name="Normal 505 2 2 3" xfId="27094"/>
    <cellStyle name="Normal 505 2 3" xfId="13005"/>
    <cellStyle name="Normal 505 2 3 2" xfId="30640"/>
    <cellStyle name="Normal 505 2 4" xfId="24233"/>
    <cellStyle name="Normal 505 3" xfId="5967"/>
    <cellStyle name="Normal 505 3 2" xfId="9264"/>
    <cellStyle name="Normal 505 3 2 2" xfId="17053"/>
    <cellStyle name="Normal 505 3 2 2 2" xfId="34675"/>
    <cellStyle name="Normal 505 3 2 3" xfId="27638"/>
    <cellStyle name="Normal 505 3 3" xfId="13817"/>
    <cellStyle name="Normal 505 3 3 2" xfId="31443"/>
    <cellStyle name="Normal 505 3 4" xfId="24777"/>
    <cellStyle name="Normal 505 4" xfId="6597"/>
    <cellStyle name="Normal 505 4 2" xfId="9804"/>
    <cellStyle name="Normal 505 4 2 2" xfId="17592"/>
    <cellStyle name="Normal 505 4 2 2 2" xfId="35215"/>
    <cellStyle name="Normal 505 4 2 3" xfId="28174"/>
    <cellStyle name="Normal 505 4 3" xfId="14380"/>
    <cellStyle name="Normal 505 4 3 2" xfId="32001"/>
    <cellStyle name="Normal 505 4 4" xfId="25313"/>
    <cellStyle name="Normal 505 5" xfId="7372"/>
    <cellStyle name="Normal 505 5 2" xfId="10357"/>
    <cellStyle name="Normal 505 5 2 2" xfId="18144"/>
    <cellStyle name="Normal 505 5 2 2 2" xfId="35767"/>
    <cellStyle name="Normal 505 5 2 3" xfId="28710"/>
    <cellStyle name="Normal 505 5 3" xfId="15154"/>
    <cellStyle name="Normal 505 5 3 2" xfId="32775"/>
    <cellStyle name="Normal 505 5 4" xfId="25850"/>
    <cellStyle name="Normal 505 6" xfId="8026"/>
    <cellStyle name="Normal 505 6 2" xfId="15817"/>
    <cellStyle name="Normal 505 6 2 2" xfId="33438"/>
    <cellStyle name="Normal 505 6 3" xfId="26428"/>
    <cellStyle name="Normal 505 7" xfId="11984"/>
    <cellStyle name="Normal 505 7 2" xfId="29652"/>
    <cellStyle name="Normal 505 8" xfId="23567"/>
    <cellStyle name="Normal 505 9" xfId="52488"/>
    <cellStyle name="Normal 506" xfId="2888"/>
    <cellStyle name="Normal 506 2" xfId="4950"/>
    <cellStyle name="Normal 506 2 2" xfId="8708"/>
    <cellStyle name="Normal 506 2 2 2" xfId="16498"/>
    <cellStyle name="Normal 506 2 2 2 2" xfId="34119"/>
    <cellStyle name="Normal 506 2 2 3" xfId="27095"/>
    <cellStyle name="Normal 506 2 3" xfId="13006"/>
    <cellStyle name="Normal 506 2 3 2" xfId="30641"/>
    <cellStyle name="Normal 506 2 4" xfId="24234"/>
    <cellStyle name="Normal 506 3" xfId="5968"/>
    <cellStyle name="Normal 506 3 2" xfId="9265"/>
    <cellStyle name="Normal 506 3 2 2" xfId="17054"/>
    <cellStyle name="Normal 506 3 2 2 2" xfId="34676"/>
    <cellStyle name="Normal 506 3 2 3" xfId="27639"/>
    <cellStyle name="Normal 506 3 3" xfId="13818"/>
    <cellStyle name="Normal 506 3 3 2" xfId="31444"/>
    <cellStyle name="Normal 506 3 4" xfId="24778"/>
    <cellStyle name="Normal 506 4" xfId="6598"/>
    <cellStyle name="Normal 506 4 2" xfId="9805"/>
    <cellStyle name="Normal 506 4 2 2" xfId="17593"/>
    <cellStyle name="Normal 506 4 2 2 2" xfId="35216"/>
    <cellStyle name="Normal 506 4 2 3" xfId="28175"/>
    <cellStyle name="Normal 506 4 3" xfId="14381"/>
    <cellStyle name="Normal 506 4 3 2" xfId="32002"/>
    <cellStyle name="Normal 506 4 4" xfId="25314"/>
    <cellStyle name="Normal 506 5" xfId="7373"/>
    <cellStyle name="Normal 506 5 2" xfId="10358"/>
    <cellStyle name="Normal 506 5 2 2" xfId="18145"/>
    <cellStyle name="Normal 506 5 2 2 2" xfId="35768"/>
    <cellStyle name="Normal 506 5 2 3" xfId="28711"/>
    <cellStyle name="Normal 506 5 3" xfId="15155"/>
    <cellStyle name="Normal 506 5 3 2" xfId="32776"/>
    <cellStyle name="Normal 506 5 4" xfId="25851"/>
    <cellStyle name="Normal 506 6" xfId="8027"/>
    <cellStyle name="Normal 506 6 2" xfId="15818"/>
    <cellStyle name="Normal 506 6 2 2" xfId="33439"/>
    <cellStyle name="Normal 506 6 3" xfId="26429"/>
    <cellStyle name="Normal 506 7" xfId="11985"/>
    <cellStyle name="Normal 506 7 2" xfId="29653"/>
    <cellStyle name="Normal 506 8" xfId="23568"/>
    <cellStyle name="Normal 506 9" xfId="52489"/>
    <cellStyle name="Normal 507" xfId="2889"/>
    <cellStyle name="Normal 507 2" xfId="4951"/>
    <cellStyle name="Normal 507 2 2" xfId="8709"/>
    <cellStyle name="Normal 507 2 2 2" xfId="16499"/>
    <cellStyle name="Normal 507 2 2 2 2" xfId="34120"/>
    <cellStyle name="Normal 507 2 2 3" xfId="27096"/>
    <cellStyle name="Normal 507 2 3" xfId="13007"/>
    <cellStyle name="Normal 507 2 3 2" xfId="30642"/>
    <cellStyle name="Normal 507 2 4" xfId="24235"/>
    <cellStyle name="Normal 507 3" xfId="5969"/>
    <cellStyle name="Normal 507 3 2" xfId="9266"/>
    <cellStyle name="Normal 507 3 2 2" xfId="17055"/>
    <cellStyle name="Normal 507 3 2 2 2" xfId="34677"/>
    <cellStyle name="Normal 507 3 2 3" xfId="27640"/>
    <cellStyle name="Normal 507 3 3" xfId="13819"/>
    <cellStyle name="Normal 507 3 3 2" xfId="31445"/>
    <cellStyle name="Normal 507 3 4" xfId="24779"/>
    <cellStyle name="Normal 507 4" xfId="6599"/>
    <cellStyle name="Normal 507 4 2" xfId="9806"/>
    <cellStyle name="Normal 507 4 2 2" xfId="17594"/>
    <cellStyle name="Normal 507 4 2 2 2" xfId="35217"/>
    <cellStyle name="Normal 507 4 2 3" xfId="28176"/>
    <cellStyle name="Normal 507 4 3" xfId="14382"/>
    <cellStyle name="Normal 507 4 3 2" xfId="32003"/>
    <cellStyle name="Normal 507 4 4" xfId="25315"/>
    <cellStyle name="Normal 507 5" xfId="7374"/>
    <cellStyle name="Normal 507 5 2" xfId="10359"/>
    <cellStyle name="Normal 507 5 2 2" xfId="18146"/>
    <cellStyle name="Normal 507 5 2 2 2" xfId="35769"/>
    <cellStyle name="Normal 507 5 2 3" xfId="28712"/>
    <cellStyle name="Normal 507 5 3" xfId="15156"/>
    <cellStyle name="Normal 507 5 3 2" xfId="32777"/>
    <cellStyle name="Normal 507 5 4" xfId="25852"/>
    <cellStyle name="Normal 507 6" xfId="8028"/>
    <cellStyle name="Normal 507 6 2" xfId="15819"/>
    <cellStyle name="Normal 507 6 2 2" xfId="33440"/>
    <cellStyle name="Normal 507 6 3" xfId="26430"/>
    <cellStyle name="Normal 507 7" xfId="11986"/>
    <cellStyle name="Normal 507 7 2" xfId="29654"/>
    <cellStyle name="Normal 507 8" xfId="23569"/>
    <cellStyle name="Normal 507 9" xfId="52490"/>
    <cellStyle name="Normal 508" xfId="2890"/>
    <cellStyle name="Normal 508 2" xfId="4952"/>
    <cellStyle name="Normal 508 2 2" xfId="8710"/>
    <cellStyle name="Normal 508 2 2 2" xfId="16500"/>
    <cellStyle name="Normal 508 2 2 2 2" xfId="34121"/>
    <cellStyle name="Normal 508 2 2 3" xfId="27097"/>
    <cellStyle name="Normal 508 2 3" xfId="13008"/>
    <cellStyle name="Normal 508 2 3 2" xfId="30643"/>
    <cellStyle name="Normal 508 2 4" xfId="24236"/>
    <cellStyle name="Normal 508 3" xfId="5970"/>
    <cellStyle name="Normal 508 3 2" xfId="9267"/>
    <cellStyle name="Normal 508 3 2 2" xfId="17056"/>
    <cellStyle name="Normal 508 3 2 2 2" xfId="34678"/>
    <cellStyle name="Normal 508 3 2 3" xfId="27641"/>
    <cellStyle name="Normal 508 3 3" xfId="13820"/>
    <cellStyle name="Normal 508 3 3 2" xfId="31446"/>
    <cellStyle name="Normal 508 3 4" xfId="24780"/>
    <cellStyle name="Normal 508 4" xfId="6600"/>
    <cellStyle name="Normal 508 4 2" xfId="9807"/>
    <cellStyle name="Normal 508 4 2 2" xfId="17595"/>
    <cellStyle name="Normal 508 4 2 2 2" xfId="35218"/>
    <cellStyle name="Normal 508 4 2 3" xfId="28177"/>
    <cellStyle name="Normal 508 4 3" xfId="14383"/>
    <cellStyle name="Normal 508 4 3 2" xfId="32004"/>
    <cellStyle name="Normal 508 4 4" xfId="25316"/>
    <cellStyle name="Normal 508 5" xfId="7375"/>
    <cellStyle name="Normal 508 5 2" xfId="10360"/>
    <cellStyle name="Normal 508 5 2 2" xfId="18147"/>
    <cellStyle name="Normal 508 5 2 2 2" xfId="35770"/>
    <cellStyle name="Normal 508 5 2 3" xfId="28713"/>
    <cellStyle name="Normal 508 5 3" xfId="15157"/>
    <cellStyle name="Normal 508 5 3 2" xfId="32778"/>
    <cellStyle name="Normal 508 5 4" xfId="25853"/>
    <cellStyle name="Normal 508 6" xfId="8029"/>
    <cellStyle name="Normal 508 6 2" xfId="15820"/>
    <cellStyle name="Normal 508 6 2 2" xfId="33441"/>
    <cellStyle name="Normal 508 6 3" xfId="26431"/>
    <cellStyle name="Normal 508 7" xfId="11987"/>
    <cellStyle name="Normal 508 7 2" xfId="29655"/>
    <cellStyle name="Normal 508 8" xfId="23570"/>
    <cellStyle name="Normal 508 9" xfId="52491"/>
    <cellStyle name="Normal 509" xfId="2891"/>
    <cellStyle name="Normal 509 2" xfId="4953"/>
    <cellStyle name="Normal 509 2 2" xfId="8711"/>
    <cellStyle name="Normal 509 2 2 2" xfId="16501"/>
    <cellStyle name="Normal 509 2 2 2 2" xfId="34122"/>
    <cellStyle name="Normal 509 2 2 3" xfId="27098"/>
    <cellStyle name="Normal 509 2 3" xfId="13009"/>
    <cellStyle name="Normal 509 2 3 2" xfId="30644"/>
    <cellStyle name="Normal 509 2 4" xfId="24237"/>
    <cellStyle name="Normal 509 3" xfId="5971"/>
    <cellStyle name="Normal 509 3 2" xfId="9268"/>
    <cellStyle name="Normal 509 3 2 2" xfId="17057"/>
    <cellStyle name="Normal 509 3 2 2 2" xfId="34679"/>
    <cellStyle name="Normal 509 3 2 3" xfId="27642"/>
    <cellStyle name="Normal 509 3 3" xfId="13821"/>
    <cellStyle name="Normal 509 3 3 2" xfId="31447"/>
    <cellStyle name="Normal 509 3 4" xfId="24781"/>
    <cellStyle name="Normal 509 4" xfId="6601"/>
    <cellStyle name="Normal 509 4 2" xfId="9808"/>
    <cellStyle name="Normal 509 4 2 2" xfId="17596"/>
    <cellStyle name="Normal 509 4 2 2 2" xfId="35219"/>
    <cellStyle name="Normal 509 4 2 3" xfId="28178"/>
    <cellStyle name="Normal 509 4 3" xfId="14384"/>
    <cellStyle name="Normal 509 4 3 2" xfId="32005"/>
    <cellStyle name="Normal 509 4 4" xfId="25317"/>
    <cellStyle name="Normal 509 5" xfId="7376"/>
    <cellStyle name="Normal 509 5 2" xfId="10361"/>
    <cellStyle name="Normal 509 5 2 2" xfId="18148"/>
    <cellStyle name="Normal 509 5 2 2 2" xfId="35771"/>
    <cellStyle name="Normal 509 5 2 3" xfId="28714"/>
    <cellStyle name="Normal 509 5 3" xfId="15158"/>
    <cellStyle name="Normal 509 5 3 2" xfId="32779"/>
    <cellStyle name="Normal 509 5 4" xfId="25854"/>
    <cellStyle name="Normal 509 6" xfId="8030"/>
    <cellStyle name="Normal 509 6 2" xfId="15821"/>
    <cellStyle name="Normal 509 6 2 2" xfId="33442"/>
    <cellStyle name="Normal 509 6 3" xfId="26432"/>
    <cellStyle name="Normal 509 7" xfId="11988"/>
    <cellStyle name="Normal 509 7 2" xfId="29656"/>
    <cellStyle name="Normal 509 8" xfId="23571"/>
    <cellStyle name="Normal 509 9" xfId="52492"/>
    <cellStyle name="Normal 51" xfId="2892"/>
    <cellStyle name="Normal 51 2" xfId="4954"/>
    <cellStyle name="Normal 51 3" xfId="52493"/>
    <cellStyle name="Normal 510" xfId="2893"/>
    <cellStyle name="Normal 510 2" xfId="4955"/>
    <cellStyle name="Normal 510 2 2" xfId="8712"/>
    <cellStyle name="Normal 510 2 2 2" xfId="16502"/>
    <cellStyle name="Normal 510 2 2 2 2" xfId="34123"/>
    <cellStyle name="Normal 510 2 2 3" xfId="27099"/>
    <cellStyle name="Normal 510 2 3" xfId="13010"/>
    <cellStyle name="Normal 510 2 3 2" xfId="30645"/>
    <cellStyle name="Normal 510 2 4" xfId="24238"/>
    <cellStyle name="Normal 510 3" xfId="5972"/>
    <cellStyle name="Normal 510 3 2" xfId="9269"/>
    <cellStyle name="Normal 510 3 2 2" xfId="17058"/>
    <cellStyle name="Normal 510 3 2 2 2" xfId="34680"/>
    <cellStyle name="Normal 510 3 2 3" xfId="27643"/>
    <cellStyle name="Normal 510 3 3" xfId="13822"/>
    <cellStyle name="Normal 510 3 3 2" xfId="31448"/>
    <cellStyle name="Normal 510 3 4" xfId="24782"/>
    <cellStyle name="Normal 510 4" xfId="6602"/>
    <cellStyle name="Normal 510 4 2" xfId="9809"/>
    <cellStyle name="Normal 510 4 2 2" xfId="17597"/>
    <cellStyle name="Normal 510 4 2 2 2" xfId="35220"/>
    <cellStyle name="Normal 510 4 2 3" xfId="28179"/>
    <cellStyle name="Normal 510 4 3" xfId="14385"/>
    <cellStyle name="Normal 510 4 3 2" xfId="32006"/>
    <cellStyle name="Normal 510 4 4" xfId="25318"/>
    <cellStyle name="Normal 510 5" xfId="7377"/>
    <cellStyle name="Normal 510 5 2" xfId="10362"/>
    <cellStyle name="Normal 510 5 2 2" xfId="18149"/>
    <cellStyle name="Normal 510 5 2 2 2" xfId="35772"/>
    <cellStyle name="Normal 510 5 2 3" xfId="28715"/>
    <cellStyle name="Normal 510 5 3" xfId="15159"/>
    <cellStyle name="Normal 510 5 3 2" xfId="32780"/>
    <cellStyle name="Normal 510 5 4" xfId="25855"/>
    <cellStyle name="Normal 510 6" xfId="8031"/>
    <cellStyle name="Normal 510 6 2" xfId="15822"/>
    <cellStyle name="Normal 510 6 2 2" xfId="33443"/>
    <cellStyle name="Normal 510 6 3" xfId="26433"/>
    <cellStyle name="Normal 510 7" xfId="11989"/>
    <cellStyle name="Normal 510 7 2" xfId="29657"/>
    <cellStyle name="Normal 510 8" xfId="23572"/>
    <cellStyle name="Normal 510 9" xfId="52494"/>
    <cellStyle name="Normal 511" xfId="2894"/>
    <cellStyle name="Normal 511 2" xfId="4956"/>
    <cellStyle name="Normal 511 2 2" xfId="8713"/>
    <cellStyle name="Normal 511 2 2 2" xfId="16503"/>
    <cellStyle name="Normal 511 2 2 2 2" xfId="34124"/>
    <cellStyle name="Normal 511 2 2 3" xfId="27100"/>
    <cellStyle name="Normal 511 2 3" xfId="13011"/>
    <cellStyle name="Normal 511 2 3 2" xfId="30646"/>
    <cellStyle name="Normal 511 2 4" xfId="24239"/>
    <cellStyle name="Normal 511 3" xfId="5973"/>
    <cellStyle name="Normal 511 3 2" xfId="9270"/>
    <cellStyle name="Normal 511 3 2 2" xfId="17059"/>
    <cellStyle name="Normal 511 3 2 2 2" xfId="34681"/>
    <cellStyle name="Normal 511 3 2 3" xfId="27644"/>
    <cellStyle name="Normal 511 3 3" xfId="13823"/>
    <cellStyle name="Normal 511 3 3 2" xfId="31449"/>
    <cellStyle name="Normal 511 3 4" xfId="24783"/>
    <cellStyle name="Normal 511 4" xfId="6603"/>
    <cellStyle name="Normal 511 4 2" xfId="9810"/>
    <cellStyle name="Normal 511 4 2 2" xfId="17598"/>
    <cellStyle name="Normal 511 4 2 2 2" xfId="35221"/>
    <cellStyle name="Normal 511 4 2 3" xfId="28180"/>
    <cellStyle name="Normal 511 4 3" xfId="14386"/>
    <cellStyle name="Normal 511 4 3 2" xfId="32007"/>
    <cellStyle name="Normal 511 4 4" xfId="25319"/>
    <cellStyle name="Normal 511 5" xfId="7378"/>
    <cellStyle name="Normal 511 5 2" xfId="10363"/>
    <cellStyle name="Normal 511 5 2 2" xfId="18150"/>
    <cellStyle name="Normal 511 5 2 2 2" xfId="35773"/>
    <cellStyle name="Normal 511 5 2 3" xfId="28716"/>
    <cellStyle name="Normal 511 5 3" xfId="15160"/>
    <cellStyle name="Normal 511 5 3 2" xfId="32781"/>
    <cellStyle name="Normal 511 5 4" xfId="25856"/>
    <cellStyle name="Normal 511 6" xfId="8032"/>
    <cellStyle name="Normal 511 6 2" xfId="15823"/>
    <cellStyle name="Normal 511 6 2 2" xfId="33444"/>
    <cellStyle name="Normal 511 6 3" xfId="26434"/>
    <cellStyle name="Normal 511 7" xfId="11990"/>
    <cellStyle name="Normal 511 7 2" xfId="29658"/>
    <cellStyle name="Normal 511 8" xfId="23573"/>
    <cellStyle name="Normal 511 9" xfId="52495"/>
    <cellStyle name="Normal 512" xfId="2895"/>
    <cellStyle name="Normal 512 2" xfId="4957"/>
    <cellStyle name="Normal 512 2 2" xfId="8714"/>
    <cellStyle name="Normal 512 2 2 2" xfId="16504"/>
    <cellStyle name="Normal 512 2 2 2 2" xfId="34125"/>
    <cellStyle name="Normal 512 2 2 3" xfId="27101"/>
    <cellStyle name="Normal 512 2 3" xfId="13012"/>
    <cellStyle name="Normal 512 2 3 2" xfId="30647"/>
    <cellStyle name="Normal 512 2 4" xfId="24240"/>
    <cellStyle name="Normal 512 3" xfId="5974"/>
    <cellStyle name="Normal 512 3 2" xfId="9271"/>
    <cellStyle name="Normal 512 3 2 2" xfId="17060"/>
    <cellStyle name="Normal 512 3 2 2 2" xfId="34682"/>
    <cellStyle name="Normal 512 3 2 3" xfId="27645"/>
    <cellStyle name="Normal 512 3 3" xfId="13824"/>
    <cellStyle name="Normal 512 3 3 2" xfId="31450"/>
    <cellStyle name="Normal 512 3 4" xfId="24784"/>
    <cellStyle name="Normal 512 4" xfId="6604"/>
    <cellStyle name="Normal 512 4 2" xfId="9811"/>
    <cellStyle name="Normal 512 4 2 2" xfId="17599"/>
    <cellStyle name="Normal 512 4 2 2 2" xfId="35222"/>
    <cellStyle name="Normal 512 4 2 3" xfId="28181"/>
    <cellStyle name="Normal 512 4 3" xfId="14387"/>
    <cellStyle name="Normal 512 4 3 2" xfId="32008"/>
    <cellStyle name="Normal 512 4 4" xfId="25320"/>
    <cellStyle name="Normal 512 5" xfId="7379"/>
    <cellStyle name="Normal 512 5 2" xfId="10364"/>
    <cellStyle name="Normal 512 5 2 2" xfId="18151"/>
    <cellStyle name="Normal 512 5 2 2 2" xfId="35774"/>
    <cellStyle name="Normal 512 5 2 3" xfId="28717"/>
    <cellStyle name="Normal 512 5 3" xfId="15161"/>
    <cellStyle name="Normal 512 5 3 2" xfId="32782"/>
    <cellStyle name="Normal 512 5 4" xfId="25857"/>
    <cellStyle name="Normal 512 6" xfId="8033"/>
    <cellStyle name="Normal 512 6 2" xfId="15824"/>
    <cellStyle name="Normal 512 6 2 2" xfId="33445"/>
    <cellStyle name="Normal 512 6 3" xfId="26435"/>
    <cellStyle name="Normal 512 7" xfId="11991"/>
    <cellStyle name="Normal 512 7 2" xfId="29659"/>
    <cellStyle name="Normal 512 8" xfId="23574"/>
    <cellStyle name="Normal 512 9" xfId="52496"/>
    <cellStyle name="Normal 513" xfId="2896"/>
    <cellStyle name="Normal 513 2" xfId="4958"/>
    <cellStyle name="Normal 513 2 2" xfId="8715"/>
    <cellStyle name="Normal 513 2 2 2" xfId="16505"/>
    <cellStyle name="Normal 513 2 2 2 2" xfId="34126"/>
    <cellStyle name="Normal 513 2 2 3" xfId="27102"/>
    <cellStyle name="Normal 513 2 3" xfId="13013"/>
    <cellStyle name="Normal 513 2 3 2" xfId="30648"/>
    <cellStyle name="Normal 513 2 4" xfId="24241"/>
    <cellStyle name="Normal 513 3" xfId="5975"/>
    <cellStyle name="Normal 513 3 2" xfId="9272"/>
    <cellStyle name="Normal 513 3 2 2" xfId="17061"/>
    <cellStyle name="Normal 513 3 2 2 2" xfId="34683"/>
    <cellStyle name="Normal 513 3 2 3" xfId="27646"/>
    <cellStyle name="Normal 513 3 3" xfId="13825"/>
    <cellStyle name="Normal 513 3 3 2" xfId="31451"/>
    <cellStyle name="Normal 513 3 4" xfId="24785"/>
    <cellStyle name="Normal 513 4" xfId="6605"/>
    <cellStyle name="Normal 513 4 2" xfId="9812"/>
    <cellStyle name="Normal 513 4 2 2" xfId="17600"/>
    <cellStyle name="Normal 513 4 2 2 2" xfId="35223"/>
    <cellStyle name="Normal 513 4 2 3" xfId="28182"/>
    <cellStyle name="Normal 513 4 3" xfId="14388"/>
    <cellStyle name="Normal 513 4 3 2" xfId="32009"/>
    <cellStyle name="Normal 513 4 4" xfId="25321"/>
    <cellStyle name="Normal 513 5" xfId="7380"/>
    <cellStyle name="Normal 513 5 2" xfId="10365"/>
    <cellStyle name="Normal 513 5 2 2" xfId="18152"/>
    <cellStyle name="Normal 513 5 2 2 2" xfId="35775"/>
    <cellStyle name="Normal 513 5 2 3" xfId="28718"/>
    <cellStyle name="Normal 513 5 3" xfId="15162"/>
    <cellStyle name="Normal 513 5 3 2" xfId="32783"/>
    <cellStyle name="Normal 513 5 4" xfId="25858"/>
    <cellStyle name="Normal 513 6" xfId="8034"/>
    <cellStyle name="Normal 513 6 2" xfId="15825"/>
    <cellStyle name="Normal 513 6 2 2" xfId="33446"/>
    <cellStyle name="Normal 513 6 3" xfId="26436"/>
    <cellStyle name="Normal 513 7" xfId="11992"/>
    <cellStyle name="Normal 513 7 2" xfId="29660"/>
    <cellStyle name="Normal 513 8" xfId="23575"/>
    <cellStyle name="Normal 513 9" xfId="52497"/>
    <cellStyle name="Normal 514" xfId="2897"/>
    <cellStyle name="Normal 514 2" xfId="4959"/>
    <cellStyle name="Normal 514 2 2" xfId="8716"/>
    <cellStyle name="Normal 514 2 2 2" xfId="16506"/>
    <cellStyle name="Normal 514 2 2 2 2" xfId="34127"/>
    <cellStyle name="Normal 514 2 2 3" xfId="27103"/>
    <cellStyle name="Normal 514 2 3" xfId="13014"/>
    <cellStyle name="Normal 514 2 3 2" xfId="30649"/>
    <cellStyle name="Normal 514 2 4" xfId="24242"/>
    <cellStyle name="Normal 514 3" xfId="5976"/>
    <cellStyle name="Normal 514 3 2" xfId="9273"/>
    <cellStyle name="Normal 514 3 2 2" xfId="17062"/>
    <cellStyle name="Normal 514 3 2 2 2" xfId="34684"/>
    <cellStyle name="Normal 514 3 2 3" xfId="27647"/>
    <cellStyle name="Normal 514 3 3" xfId="13826"/>
    <cellStyle name="Normal 514 3 3 2" xfId="31452"/>
    <cellStyle name="Normal 514 3 4" xfId="24786"/>
    <cellStyle name="Normal 514 4" xfId="6606"/>
    <cellStyle name="Normal 514 4 2" xfId="9813"/>
    <cellStyle name="Normal 514 4 2 2" xfId="17601"/>
    <cellStyle name="Normal 514 4 2 2 2" xfId="35224"/>
    <cellStyle name="Normal 514 4 2 3" xfId="28183"/>
    <cellStyle name="Normal 514 4 3" xfId="14389"/>
    <cellStyle name="Normal 514 4 3 2" xfId="32010"/>
    <cellStyle name="Normal 514 4 4" xfId="25322"/>
    <cellStyle name="Normal 514 5" xfId="7381"/>
    <cellStyle name="Normal 514 5 2" xfId="10366"/>
    <cellStyle name="Normal 514 5 2 2" xfId="18153"/>
    <cellStyle name="Normal 514 5 2 2 2" xfId="35776"/>
    <cellStyle name="Normal 514 5 2 3" xfId="28719"/>
    <cellStyle name="Normal 514 5 3" xfId="15163"/>
    <cellStyle name="Normal 514 5 3 2" xfId="32784"/>
    <cellStyle name="Normal 514 5 4" xfId="25859"/>
    <cellStyle name="Normal 514 6" xfId="8035"/>
    <cellStyle name="Normal 514 6 2" xfId="15826"/>
    <cellStyle name="Normal 514 6 2 2" xfId="33447"/>
    <cellStyle name="Normal 514 6 3" xfId="26437"/>
    <cellStyle name="Normal 514 7" xfId="11993"/>
    <cellStyle name="Normal 514 7 2" xfId="29661"/>
    <cellStyle name="Normal 514 8" xfId="23576"/>
    <cellStyle name="Normal 514 9" xfId="52498"/>
    <cellStyle name="Normal 515" xfId="2898"/>
    <cellStyle name="Normal 515 2" xfId="4960"/>
    <cellStyle name="Normal 515 2 2" xfId="8717"/>
    <cellStyle name="Normal 515 2 2 2" xfId="16507"/>
    <cellStyle name="Normal 515 2 2 2 2" xfId="34128"/>
    <cellStyle name="Normal 515 2 2 3" xfId="27104"/>
    <cellStyle name="Normal 515 2 3" xfId="13015"/>
    <cellStyle name="Normal 515 2 3 2" xfId="30650"/>
    <cellStyle name="Normal 515 2 4" xfId="24243"/>
    <cellStyle name="Normal 515 3" xfId="5977"/>
    <cellStyle name="Normal 515 3 2" xfId="9274"/>
    <cellStyle name="Normal 515 3 2 2" xfId="17063"/>
    <cellStyle name="Normal 515 3 2 2 2" xfId="34685"/>
    <cellStyle name="Normal 515 3 2 3" xfId="27648"/>
    <cellStyle name="Normal 515 3 3" xfId="13827"/>
    <cellStyle name="Normal 515 3 3 2" xfId="31453"/>
    <cellStyle name="Normal 515 3 4" xfId="24787"/>
    <cellStyle name="Normal 515 4" xfId="6607"/>
    <cellStyle name="Normal 515 4 2" xfId="9814"/>
    <cellStyle name="Normal 515 4 2 2" xfId="17602"/>
    <cellStyle name="Normal 515 4 2 2 2" xfId="35225"/>
    <cellStyle name="Normal 515 4 2 3" xfId="28184"/>
    <cellStyle name="Normal 515 4 3" xfId="14390"/>
    <cellStyle name="Normal 515 4 3 2" xfId="32011"/>
    <cellStyle name="Normal 515 4 4" xfId="25323"/>
    <cellStyle name="Normal 515 5" xfId="7382"/>
    <cellStyle name="Normal 515 5 2" xfId="10367"/>
    <cellStyle name="Normal 515 5 2 2" xfId="18154"/>
    <cellStyle name="Normal 515 5 2 2 2" xfId="35777"/>
    <cellStyle name="Normal 515 5 2 3" xfId="28720"/>
    <cellStyle name="Normal 515 5 3" xfId="15164"/>
    <cellStyle name="Normal 515 5 3 2" xfId="32785"/>
    <cellStyle name="Normal 515 5 4" xfId="25860"/>
    <cellStyle name="Normal 515 6" xfId="8036"/>
    <cellStyle name="Normal 515 6 2" xfId="15827"/>
    <cellStyle name="Normal 515 6 2 2" xfId="33448"/>
    <cellStyle name="Normal 515 6 3" xfId="26438"/>
    <cellStyle name="Normal 515 7" xfId="11994"/>
    <cellStyle name="Normal 515 7 2" xfId="29662"/>
    <cellStyle name="Normal 515 8" xfId="23577"/>
    <cellStyle name="Normal 515 9" xfId="52499"/>
    <cellStyle name="Normal 516" xfId="2899"/>
    <cellStyle name="Normal 516 2" xfId="4961"/>
    <cellStyle name="Normal 516 2 2" xfId="8718"/>
    <cellStyle name="Normal 516 2 2 2" xfId="16508"/>
    <cellStyle name="Normal 516 2 2 2 2" xfId="34129"/>
    <cellStyle name="Normal 516 2 2 3" xfId="27105"/>
    <cellStyle name="Normal 516 2 3" xfId="13016"/>
    <cellStyle name="Normal 516 2 3 2" xfId="30651"/>
    <cellStyle name="Normal 516 2 4" xfId="24244"/>
    <cellStyle name="Normal 516 3" xfId="5978"/>
    <cellStyle name="Normal 516 3 2" xfId="9275"/>
    <cellStyle name="Normal 516 3 2 2" xfId="17064"/>
    <cellStyle name="Normal 516 3 2 2 2" xfId="34686"/>
    <cellStyle name="Normal 516 3 2 3" xfId="27649"/>
    <cellStyle name="Normal 516 3 3" xfId="13828"/>
    <cellStyle name="Normal 516 3 3 2" xfId="31454"/>
    <cellStyle name="Normal 516 3 4" xfId="24788"/>
    <cellStyle name="Normal 516 4" xfId="6608"/>
    <cellStyle name="Normal 516 4 2" xfId="9815"/>
    <cellStyle name="Normal 516 4 2 2" xfId="17603"/>
    <cellStyle name="Normal 516 4 2 2 2" xfId="35226"/>
    <cellStyle name="Normal 516 4 2 3" xfId="28185"/>
    <cellStyle name="Normal 516 4 3" xfId="14391"/>
    <cellStyle name="Normal 516 4 3 2" xfId="32012"/>
    <cellStyle name="Normal 516 4 4" xfId="25324"/>
    <cellStyle name="Normal 516 5" xfId="7383"/>
    <cellStyle name="Normal 516 5 2" xfId="10368"/>
    <cellStyle name="Normal 516 5 2 2" xfId="18155"/>
    <cellStyle name="Normal 516 5 2 2 2" xfId="35778"/>
    <cellStyle name="Normal 516 5 2 3" xfId="28721"/>
    <cellStyle name="Normal 516 5 3" xfId="15165"/>
    <cellStyle name="Normal 516 5 3 2" xfId="32786"/>
    <cellStyle name="Normal 516 5 4" xfId="25861"/>
    <cellStyle name="Normal 516 6" xfId="8037"/>
    <cellStyle name="Normal 516 6 2" xfId="15828"/>
    <cellStyle name="Normal 516 6 2 2" xfId="33449"/>
    <cellStyle name="Normal 516 6 3" xfId="26439"/>
    <cellStyle name="Normal 516 7" xfId="11995"/>
    <cellStyle name="Normal 516 7 2" xfId="29663"/>
    <cellStyle name="Normal 516 8" xfId="23578"/>
    <cellStyle name="Normal 516 9" xfId="52500"/>
    <cellStyle name="Normal 517" xfId="2900"/>
    <cellStyle name="Normal 517 2" xfId="4962"/>
    <cellStyle name="Normal 517 2 2" xfId="8719"/>
    <cellStyle name="Normal 517 2 2 2" xfId="16509"/>
    <cellStyle name="Normal 517 2 2 2 2" xfId="34130"/>
    <cellStyle name="Normal 517 2 2 3" xfId="27106"/>
    <cellStyle name="Normal 517 2 3" xfId="13017"/>
    <cellStyle name="Normal 517 2 3 2" xfId="30652"/>
    <cellStyle name="Normal 517 2 4" xfId="24245"/>
    <cellStyle name="Normal 517 3" xfId="5979"/>
    <cellStyle name="Normal 517 3 2" xfId="9276"/>
    <cellStyle name="Normal 517 3 2 2" xfId="17065"/>
    <cellStyle name="Normal 517 3 2 2 2" xfId="34687"/>
    <cellStyle name="Normal 517 3 2 3" xfId="27650"/>
    <cellStyle name="Normal 517 3 3" xfId="13829"/>
    <cellStyle name="Normal 517 3 3 2" xfId="31455"/>
    <cellStyle name="Normal 517 3 4" xfId="24789"/>
    <cellStyle name="Normal 517 4" xfId="6609"/>
    <cellStyle name="Normal 517 4 2" xfId="9816"/>
    <cellStyle name="Normal 517 4 2 2" xfId="17604"/>
    <cellStyle name="Normal 517 4 2 2 2" xfId="35227"/>
    <cellStyle name="Normal 517 4 2 3" xfId="28186"/>
    <cellStyle name="Normal 517 4 3" xfId="14392"/>
    <cellStyle name="Normal 517 4 3 2" xfId="32013"/>
    <cellStyle name="Normal 517 4 4" xfId="25325"/>
    <cellStyle name="Normal 517 5" xfId="7384"/>
    <cellStyle name="Normal 517 5 2" xfId="10369"/>
    <cellStyle name="Normal 517 5 2 2" xfId="18156"/>
    <cellStyle name="Normal 517 5 2 2 2" xfId="35779"/>
    <cellStyle name="Normal 517 5 2 3" xfId="28722"/>
    <cellStyle name="Normal 517 5 3" xfId="15166"/>
    <cellStyle name="Normal 517 5 3 2" xfId="32787"/>
    <cellStyle name="Normal 517 5 4" xfId="25862"/>
    <cellStyle name="Normal 517 6" xfId="8038"/>
    <cellStyle name="Normal 517 6 2" xfId="15829"/>
    <cellStyle name="Normal 517 6 2 2" xfId="33450"/>
    <cellStyle name="Normal 517 6 3" xfId="26440"/>
    <cellStyle name="Normal 517 7" xfId="11996"/>
    <cellStyle name="Normal 517 7 2" xfId="29664"/>
    <cellStyle name="Normal 517 8" xfId="23579"/>
    <cellStyle name="Normal 517 9" xfId="52501"/>
    <cellStyle name="Normal 518" xfId="2901"/>
    <cellStyle name="Normal 518 2" xfId="4963"/>
    <cellStyle name="Normal 518 2 2" xfId="8720"/>
    <cellStyle name="Normal 518 2 2 2" xfId="16510"/>
    <cellStyle name="Normal 518 2 2 2 2" xfId="34131"/>
    <cellStyle name="Normal 518 2 2 3" xfId="27107"/>
    <cellStyle name="Normal 518 2 3" xfId="13018"/>
    <cellStyle name="Normal 518 2 3 2" xfId="30653"/>
    <cellStyle name="Normal 518 2 4" xfId="24246"/>
    <cellStyle name="Normal 518 3" xfId="5980"/>
    <cellStyle name="Normal 518 3 2" xfId="9277"/>
    <cellStyle name="Normal 518 3 2 2" xfId="17066"/>
    <cellStyle name="Normal 518 3 2 2 2" xfId="34688"/>
    <cellStyle name="Normal 518 3 2 3" xfId="27651"/>
    <cellStyle name="Normal 518 3 3" xfId="13830"/>
    <cellStyle name="Normal 518 3 3 2" xfId="31456"/>
    <cellStyle name="Normal 518 3 4" xfId="24790"/>
    <cellStyle name="Normal 518 4" xfId="6610"/>
    <cellStyle name="Normal 518 4 2" xfId="9817"/>
    <cellStyle name="Normal 518 4 2 2" xfId="17605"/>
    <cellStyle name="Normal 518 4 2 2 2" xfId="35228"/>
    <cellStyle name="Normal 518 4 2 3" xfId="28187"/>
    <cellStyle name="Normal 518 4 3" xfId="14393"/>
    <cellStyle name="Normal 518 4 3 2" xfId="32014"/>
    <cellStyle name="Normal 518 4 4" xfId="25326"/>
    <cellStyle name="Normal 518 5" xfId="7385"/>
    <cellStyle name="Normal 518 5 2" xfId="10370"/>
    <cellStyle name="Normal 518 5 2 2" xfId="18157"/>
    <cellStyle name="Normal 518 5 2 2 2" xfId="35780"/>
    <cellStyle name="Normal 518 5 2 3" xfId="28723"/>
    <cellStyle name="Normal 518 5 3" xfId="15167"/>
    <cellStyle name="Normal 518 5 3 2" xfId="32788"/>
    <cellStyle name="Normal 518 5 4" xfId="25863"/>
    <cellStyle name="Normal 518 6" xfId="8039"/>
    <cellStyle name="Normal 518 6 2" xfId="15830"/>
    <cellStyle name="Normal 518 6 2 2" xfId="33451"/>
    <cellStyle name="Normal 518 6 3" xfId="26441"/>
    <cellStyle name="Normal 518 7" xfId="11997"/>
    <cellStyle name="Normal 518 7 2" xfId="29665"/>
    <cellStyle name="Normal 518 8" xfId="23580"/>
    <cellStyle name="Normal 518 9" xfId="52502"/>
    <cellStyle name="Normal 519" xfId="2902"/>
    <cellStyle name="Normal 519 2" xfId="4964"/>
    <cellStyle name="Normal 519 2 2" xfId="8721"/>
    <cellStyle name="Normal 519 2 2 2" xfId="16511"/>
    <cellStyle name="Normal 519 2 2 2 2" xfId="34132"/>
    <cellStyle name="Normal 519 2 2 3" xfId="27108"/>
    <cellStyle name="Normal 519 2 3" xfId="13019"/>
    <cellStyle name="Normal 519 2 3 2" xfId="30654"/>
    <cellStyle name="Normal 519 2 4" xfId="24247"/>
    <cellStyle name="Normal 519 3" xfId="5981"/>
    <cellStyle name="Normal 519 3 2" xfId="9278"/>
    <cellStyle name="Normal 519 3 2 2" xfId="17067"/>
    <cellStyle name="Normal 519 3 2 2 2" xfId="34689"/>
    <cellStyle name="Normal 519 3 2 3" xfId="27652"/>
    <cellStyle name="Normal 519 3 3" xfId="13831"/>
    <cellStyle name="Normal 519 3 3 2" xfId="31457"/>
    <cellStyle name="Normal 519 3 4" xfId="24791"/>
    <cellStyle name="Normal 519 4" xfId="6611"/>
    <cellStyle name="Normal 519 4 2" xfId="9818"/>
    <cellStyle name="Normal 519 4 2 2" xfId="17606"/>
    <cellStyle name="Normal 519 4 2 2 2" xfId="35229"/>
    <cellStyle name="Normal 519 4 2 3" xfId="28188"/>
    <cellStyle name="Normal 519 4 3" xfId="14394"/>
    <cellStyle name="Normal 519 4 3 2" xfId="32015"/>
    <cellStyle name="Normal 519 4 4" xfId="25327"/>
    <cellStyle name="Normal 519 5" xfId="7386"/>
    <cellStyle name="Normal 519 5 2" xfId="10371"/>
    <cellStyle name="Normal 519 5 2 2" xfId="18158"/>
    <cellStyle name="Normal 519 5 2 2 2" xfId="35781"/>
    <cellStyle name="Normal 519 5 2 3" xfId="28724"/>
    <cellStyle name="Normal 519 5 3" xfId="15168"/>
    <cellStyle name="Normal 519 5 3 2" xfId="32789"/>
    <cellStyle name="Normal 519 5 4" xfId="25864"/>
    <cellStyle name="Normal 519 6" xfId="8040"/>
    <cellStyle name="Normal 519 6 2" xfId="15831"/>
    <cellStyle name="Normal 519 6 2 2" xfId="33452"/>
    <cellStyle name="Normal 519 6 3" xfId="26442"/>
    <cellStyle name="Normal 519 7" xfId="11998"/>
    <cellStyle name="Normal 519 7 2" xfId="29666"/>
    <cellStyle name="Normal 519 8" xfId="23581"/>
    <cellStyle name="Normal 519 9" xfId="52503"/>
    <cellStyle name="Normal 52" xfId="2903"/>
    <cellStyle name="Normal 52 2" xfId="4965"/>
    <cellStyle name="Normal 52 3" xfId="52504"/>
    <cellStyle name="Normal 520" xfId="2904"/>
    <cellStyle name="Normal 520 2" xfId="4966"/>
    <cellStyle name="Normal 520 2 2" xfId="8722"/>
    <cellStyle name="Normal 520 2 2 2" xfId="16512"/>
    <cellStyle name="Normal 520 2 2 2 2" xfId="34133"/>
    <cellStyle name="Normal 520 2 2 3" xfId="27109"/>
    <cellStyle name="Normal 520 2 3" xfId="13020"/>
    <cellStyle name="Normal 520 2 3 2" xfId="30655"/>
    <cellStyle name="Normal 520 2 4" xfId="24248"/>
    <cellStyle name="Normal 520 3" xfId="5982"/>
    <cellStyle name="Normal 520 3 2" xfId="9279"/>
    <cellStyle name="Normal 520 3 2 2" xfId="17068"/>
    <cellStyle name="Normal 520 3 2 2 2" xfId="34690"/>
    <cellStyle name="Normal 520 3 2 3" xfId="27653"/>
    <cellStyle name="Normal 520 3 3" xfId="13832"/>
    <cellStyle name="Normal 520 3 3 2" xfId="31458"/>
    <cellStyle name="Normal 520 3 4" xfId="24792"/>
    <cellStyle name="Normal 520 4" xfId="6612"/>
    <cellStyle name="Normal 520 4 2" xfId="9819"/>
    <cellStyle name="Normal 520 4 2 2" xfId="17607"/>
    <cellStyle name="Normal 520 4 2 2 2" xfId="35230"/>
    <cellStyle name="Normal 520 4 2 3" xfId="28189"/>
    <cellStyle name="Normal 520 4 3" xfId="14395"/>
    <cellStyle name="Normal 520 4 3 2" xfId="32016"/>
    <cellStyle name="Normal 520 4 4" xfId="25328"/>
    <cellStyle name="Normal 520 5" xfId="7387"/>
    <cellStyle name="Normal 520 5 2" xfId="10372"/>
    <cellStyle name="Normal 520 5 2 2" xfId="18159"/>
    <cellStyle name="Normal 520 5 2 2 2" xfId="35782"/>
    <cellStyle name="Normal 520 5 2 3" xfId="28725"/>
    <cellStyle name="Normal 520 5 3" xfId="15169"/>
    <cellStyle name="Normal 520 5 3 2" xfId="32790"/>
    <cellStyle name="Normal 520 5 4" xfId="25865"/>
    <cellStyle name="Normal 520 6" xfId="8041"/>
    <cellStyle name="Normal 520 6 2" xfId="15832"/>
    <cellStyle name="Normal 520 6 2 2" xfId="33453"/>
    <cellStyle name="Normal 520 6 3" xfId="26443"/>
    <cellStyle name="Normal 520 7" xfId="11999"/>
    <cellStyle name="Normal 520 7 2" xfId="29667"/>
    <cellStyle name="Normal 520 8" xfId="23582"/>
    <cellStyle name="Normal 520 9" xfId="52505"/>
    <cellStyle name="Normal 521" xfId="2905"/>
    <cellStyle name="Normal 521 2" xfId="4967"/>
    <cellStyle name="Normal 521 2 2" xfId="8723"/>
    <cellStyle name="Normal 521 2 2 2" xfId="16513"/>
    <cellStyle name="Normal 521 2 2 2 2" xfId="34134"/>
    <cellStyle name="Normal 521 2 2 3" xfId="27110"/>
    <cellStyle name="Normal 521 2 3" xfId="13021"/>
    <cellStyle name="Normal 521 2 3 2" xfId="30656"/>
    <cellStyle name="Normal 521 2 4" xfId="24249"/>
    <cellStyle name="Normal 521 3" xfId="5983"/>
    <cellStyle name="Normal 521 3 2" xfId="9280"/>
    <cellStyle name="Normal 521 3 2 2" xfId="17069"/>
    <cellStyle name="Normal 521 3 2 2 2" xfId="34691"/>
    <cellStyle name="Normal 521 3 2 3" xfId="27654"/>
    <cellStyle name="Normal 521 3 3" xfId="13833"/>
    <cellStyle name="Normal 521 3 3 2" xfId="31459"/>
    <cellStyle name="Normal 521 3 4" xfId="24793"/>
    <cellStyle name="Normal 521 4" xfId="6613"/>
    <cellStyle name="Normal 521 4 2" xfId="9820"/>
    <cellStyle name="Normal 521 4 2 2" xfId="17608"/>
    <cellStyle name="Normal 521 4 2 2 2" xfId="35231"/>
    <cellStyle name="Normal 521 4 2 3" xfId="28190"/>
    <cellStyle name="Normal 521 4 3" xfId="14396"/>
    <cellStyle name="Normal 521 4 3 2" xfId="32017"/>
    <cellStyle name="Normal 521 4 4" xfId="25329"/>
    <cellStyle name="Normal 521 5" xfId="7388"/>
    <cellStyle name="Normal 521 5 2" xfId="10373"/>
    <cellStyle name="Normal 521 5 2 2" xfId="18160"/>
    <cellStyle name="Normal 521 5 2 2 2" xfId="35783"/>
    <cellStyle name="Normal 521 5 2 3" xfId="28726"/>
    <cellStyle name="Normal 521 5 3" xfId="15170"/>
    <cellStyle name="Normal 521 5 3 2" xfId="32791"/>
    <cellStyle name="Normal 521 5 4" xfId="25866"/>
    <cellStyle name="Normal 521 6" xfId="8042"/>
    <cellStyle name="Normal 521 6 2" xfId="15833"/>
    <cellStyle name="Normal 521 6 2 2" xfId="33454"/>
    <cellStyle name="Normal 521 6 3" xfId="26444"/>
    <cellStyle name="Normal 521 7" xfId="12000"/>
    <cellStyle name="Normal 521 7 2" xfId="29668"/>
    <cellStyle name="Normal 521 8" xfId="23583"/>
    <cellStyle name="Normal 521 9" xfId="52506"/>
    <cellStyle name="Normal 522" xfId="2906"/>
    <cellStyle name="Normal 522 2" xfId="4968"/>
    <cellStyle name="Normal 522 2 2" xfId="8724"/>
    <cellStyle name="Normal 522 2 2 2" xfId="16514"/>
    <cellStyle name="Normal 522 2 2 2 2" xfId="34135"/>
    <cellStyle name="Normal 522 2 2 3" xfId="27111"/>
    <cellStyle name="Normal 522 2 3" xfId="13022"/>
    <cellStyle name="Normal 522 2 3 2" xfId="30657"/>
    <cellStyle name="Normal 522 2 4" xfId="24250"/>
    <cellStyle name="Normal 522 3" xfId="5984"/>
    <cellStyle name="Normal 522 3 2" xfId="9281"/>
    <cellStyle name="Normal 522 3 2 2" xfId="17070"/>
    <cellStyle name="Normal 522 3 2 2 2" xfId="34692"/>
    <cellStyle name="Normal 522 3 2 3" xfId="27655"/>
    <cellStyle name="Normal 522 3 3" xfId="13834"/>
    <cellStyle name="Normal 522 3 3 2" xfId="31460"/>
    <cellStyle name="Normal 522 3 4" xfId="24794"/>
    <cellStyle name="Normal 522 4" xfId="6614"/>
    <cellStyle name="Normal 522 4 2" xfId="9821"/>
    <cellStyle name="Normal 522 4 2 2" xfId="17609"/>
    <cellStyle name="Normal 522 4 2 2 2" xfId="35232"/>
    <cellStyle name="Normal 522 4 2 3" xfId="28191"/>
    <cellStyle name="Normal 522 4 3" xfId="14397"/>
    <cellStyle name="Normal 522 4 3 2" xfId="32018"/>
    <cellStyle name="Normal 522 4 4" xfId="25330"/>
    <cellStyle name="Normal 522 5" xfId="7389"/>
    <cellStyle name="Normal 522 5 2" xfId="10374"/>
    <cellStyle name="Normal 522 5 2 2" xfId="18161"/>
    <cellStyle name="Normal 522 5 2 2 2" xfId="35784"/>
    <cellStyle name="Normal 522 5 2 3" xfId="28727"/>
    <cellStyle name="Normal 522 5 3" xfId="15171"/>
    <cellStyle name="Normal 522 5 3 2" xfId="32792"/>
    <cellStyle name="Normal 522 5 4" xfId="25867"/>
    <cellStyle name="Normal 522 6" xfId="8043"/>
    <cellStyle name="Normal 522 6 2" xfId="15834"/>
    <cellStyle name="Normal 522 6 2 2" xfId="33455"/>
    <cellStyle name="Normal 522 6 3" xfId="26445"/>
    <cellStyle name="Normal 522 7" xfId="12001"/>
    <cellStyle name="Normal 522 7 2" xfId="29669"/>
    <cellStyle name="Normal 522 8" xfId="23584"/>
    <cellStyle name="Normal 522 9" xfId="52507"/>
    <cellStyle name="Normal 523" xfId="2907"/>
    <cellStyle name="Normal 523 2" xfId="4969"/>
    <cellStyle name="Normal 523 2 2" xfId="8725"/>
    <cellStyle name="Normal 523 2 2 2" xfId="16515"/>
    <cellStyle name="Normal 523 2 2 2 2" xfId="34136"/>
    <cellStyle name="Normal 523 2 2 3" xfId="27112"/>
    <cellStyle name="Normal 523 2 3" xfId="13023"/>
    <cellStyle name="Normal 523 2 3 2" xfId="30658"/>
    <cellStyle name="Normal 523 2 4" xfId="24251"/>
    <cellStyle name="Normal 523 3" xfId="5985"/>
    <cellStyle name="Normal 523 3 2" xfId="9282"/>
    <cellStyle name="Normal 523 3 2 2" xfId="17071"/>
    <cellStyle name="Normal 523 3 2 2 2" xfId="34693"/>
    <cellStyle name="Normal 523 3 2 3" xfId="27656"/>
    <cellStyle name="Normal 523 3 3" xfId="13835"/>
    <cellStyle name="Normal 523 3 3 2" xfId="31461"/>
    <cellStyle name="Normal 523 3 4" xfId="24795"/>
    <cellStyle name="Normal 523 4" xfId="6615"/>
    <cellStyle name="Normal 523 4 2" xfId="9822"/>
    <cellStyle name="Normal 523 4 2 2" xfId="17610"/>
    <cellStyle name="Normal 523 4 2 2 2" xfId="35233"/>
    <cellStyle name="Normal 523 4 2 3" xfId="28192"/>
    <cellStyle name="Normal 523 4 3" xfId="14398"/>
    <cellStyle name="Normal 523 4 3 2" xfId="32019"/>
    <cellStyle name="Normal 523 4 4" xfId="25331"/>
    <cellStyle name="Normal 523 5" xfId="7390"/>
    <cellStyle name="Normal 523 5 2" xfId="10375"/>
    <cellStyle name="Normal 523 5 2 2" xfId="18162"/>
    <cellStyle name="Normal 523 5 2 2 2" xfId="35785"/>
    <cellStyle name="Normal 523 5 2 3" xfId="28728"/>
    <cellStyle name="Normal 523 5 3" xfId="15172"/>
    <cellStyle name="Normal 523 5 3 2" xfId="32793"/>
    <cellStyle name="Normal 523 5 4" xfId="25868"/>
    <cellStyle name="Normal 523 6" xfId="8044"/>
    <cellStyle name="Normal 523 6 2" xfId="15835"/>
    <cellStyle name="Normal 523 6 2 2" xfId="33456"/>
    <cellStyle name="Normal 523 6 3" xfId="26446"/>
    <cellStyle name="Normal 523 7" xfId="12002"/>
    <cellStyle name="Normal 523 7 2" xfId="29670"/>
    <cellStyle name="Normal 523 8" xfId="23585"/>
    <cellStyle name="Normal 523 9" xfId="52508"/>
    <cellStyle name="Normal 524" xfId="2908"/>
    <cellStyle name="Normal 524 2" xfId="4970"/>
    <cellStyle name="Normal 524 2 2" xfId="8726"/>
    <cellStyle name="Normal 524 2 2 2" xfId="16516"/>
    <cellStyle name="Normal 524 2 2 2 2" xfId="34137"/>
    <cellStyle name="Normal 524 2 2 3" xfId="27113"/>
    <cellStyle name="Normal 524 2 3" xfId="13024"/>
    <cellStyle name="Normal 524 2 3 2" xfId="30659"/>
    <cellStyle name="Normal 524 2 4" xfId="24252"/>
    <cellStyle name="Normal 524 3" xfId="5986"/>
    <cellStyle name="Normal 524 3 2" xfId="9283"/>
    <cellStyle name="Normal 524 3 2 2" xfId="17072"/>
    <cellStyle name="Normal 524 3 2 2 2" xfId="34694"/>
    <cellStyle name="Normal 524 3 2 3" xfId="27657"/>
    <cellStyle name="Normal 524 3 3" xfId="13836"/>
    <cellStyle name="Normal 524 3 3 2" xfId="31462"/>
    <cellStyle name="Normal 524 3 4" xfId="24796"/>
    <cellStyle name="Normal 524 4" xfId="6616"/>
    <cellStyle name="Normal 524 4 2" xfId="9823"/>
    <cellStyle name="Normal 524 4 2 2" xfId="17611"/>
    <cellStyle name="Normal 524 4 2 2 2" xfId="35234"/>
    <cellStyle name="Normal 524 4 2 3" xfId="28193"/>
    <cellStyle name="Normal 524 4 3" xfId="14399"/>
    <cellStyle name="Normal 524 4 3 2" xfId="32020"/>
    <cellStyle name="Normal 524 4 4" xfId="25332"/>
    <cellStyle name="Normal 524 5" xfId="7391"/>
    <cellStyle name="Normal 524 5 2" xfId="10376"/>
    <cellStyle name="Normal 524 5 2 2" xfId="18163"/>
    <cellStyle name="Normal 524 5 2 2 2" xfId="35786"/>
    <cellStyle name="Normal 524 5 2 3" xfId="28729"/>
    <cellStyle name="Normal 524 5 3" xfId="15173"/>
    <cellStyle name="Normal 524 5 3 2" xfId="32794"/>
    <cellStyle name="Normal 524 5 4" xfId="25869"/>
    <cellStyle name="Normal 524 6" xfId="8045"/>
    <cellStyle name="Normal 524 6 2" xfId="15836"/>
    <cellStyle name="Normal 524 6 2 2" xfId="33457"/>
    <cellStyle name="Normal 524 6 3" xfId="26447"/>
    <cellStyle name="Normal 524 7" xfId="12003"/>
    <cellStyle name="Normal 524 7 2" xfId="29671"/>
    <cellStyle name="Normal 524 8" xfId="23586"/>
    <cellStyle name="Normal 524 9" xfId="52509"/>
    <cellStyle name="Normal 525" xfId="2909"/>
    <cellStyle name="Normal 525 2" xfId="4971"/>
    <cellStyle name="Normal 525 2 2" xfId="8727"/>
    <cellStyle name="Normal 525 2 2 2" xfId="16517"/>
    <cellStyle name="Normal 525 2 2 2 2" xfId="34138"/>
    <cellStyle name="Normal 525 2 2 3" xfId="27114"/>
    <cellStyle name="Normal 525 2 3" xfId="13025"/>
    <cellStyle name="Normal 525 2 3 2" xfId="30660"/>
    <cellStyle name="Normal 525 2 4" xfId="24253"/>
    <cellStyle name="Normal 525 3" xfId="5987"/>
    <cellStyle name="Normal 525 3 2" xfId="9284"/>
    <cellStyle name="Normal 525 3 2 2" xfId="17073"/>
    <cellStyle name="Normal 525 3 2 2 2" xfId="34695"/>
    <cellStyle name="Normal 525 3 2 3" xfId="27658"/>
    <cellStyle name="Normal 525 3 3" xfId="13837"/>
    <cellStyle name="Normal 525 3 3 2" xfId="31463"/>
    <cellStyle name="Normal 525 3 4" xfId="24797"/>
    <cellStyle name="Normal 525 4" xfId="6617"/>
    <cellStyle name="Normal 525 4 2" xfId="9824"/>
    <cellStyle name="Normal 525 4 2 2" xfId="17612"/>
    <cellStyle name="Normal 525 4 2 2 2" xfId="35235"/>
    <cellStyle name="Normal 525 4 2 3" xfId="28194"/>
    <cellStyle name="Normal 525 4 3" xfId="14400"/>
    <cellStyle name="Normal 525 4 3 2" xfId="32021"/>
    <cellStyle name="Normal 525 4 4" xfId="25333"/>
    <cellStyle name="Normal 525 5" xfId="7392"/>
    <cellStyle name="Normal 525 5 2" xfId="10377"/>
    <cellStyle name="Normal 525 5 2 2" xfId="18164"/>
    <cellStyle name="Normal 525 5 2 2 2" xfId="35787"/>
    <cellStyle name="Normal 525 5 2 3" xfId="28730"/>
    <cellStyle name="Normal 525 5 3" xfId="15174"/>
    <cellStyle name="Normal 525 5 3 2" xfId="32795"/>
    <cellStyle name="Normal 525 5 4" xfId="25870"/>
    <cellStyle name="Normal 525 6" xfId="8046"/>
    <cellStyle name="Normal 525 6 2" xfId="15837"/>
    <cellStyle name="Normal 525 6 2 2" xfId="33458"/>
    <cellStyle name="Normal 525 6 3" xfId="26448"/>
    <cellStyle name="Normal 525 7" xfId="12004"/>
    <cellStyle name="Normal 525 7 2" xfId="29672"/>
    <cellStyle name="Normal 525 8" xfId="23587"/>
    <cellStyle name="Normal 525 9" xfId="52510"/>
    <cellStyle name="Normal 526" xfId="2910"/>
    <cellStyle name="Normal 526 2" xfId="4972"/>
    <cellStyle name="Normal 526 2 2" xfId="8728"/>
    <cellStyle name="Normal 526 2 2 2" xfId="16518"/>
    <cellStyle name="Normal 526 2 2 2 2" xfId="34139"/>
    <cellStyle name="Normal 526 2 2 3" xfId="27115"/>
    <cellStyle name="Normal 526 2 3" xfId="13026"/>
    <cellStyle name="Normal 526 2 3 2" xfId="30661"/>
    <cellStyle name="Normal 526 2 4" xfId="24254"/>
    <cellStyle name="Normal 526 3" xfId="5988"/>
    <cellStyle name="Normal 526 3 2" xfId="9285"/>
    <cellStyle name="Normal 526 3 2 2" xfId="17074"/>
    <cellStyle name="Normal 526 3 2 2 2" xfId="34696"/>
    <cellStyle name="Normal 526 3 2 3" xfId="27659"/>
    <cellStyle name="Normal 526 3 3" xfId="13838"/>
    <cellStyle name="Normal 526 3 3 2" xfId="31464"/>
    <cellStyle name="Normal 526 3 4" xfId="24798"/>
    <cellStyle name="Normal 526 4" xfId="6618"/>
    <cellStyle name="Normal 526 4 2" xfId="9825"/>
    <cellStyle name="Normal 526 4 2 2" xfId="17613"/>
    <cellStyle name="Normal 526 4 2 2 2" xfId="35236"/>
    <cellStyle name="Normal 526 4 2 3" xfId="28195"/>
    <cellStyle name="Normal 526 4 3" xfId="14401"/>
    <cellStyle name="Normal 526 4 3 2" xfId="32022"/>
    <cellStyle name="Normal 526 4 4" xfId="25334"/>
    <cellStyle name="Normal 526 5" xfId="7393"/>
    <cellStyle name="Normal 526 5 2" xfId="10378"/>
    <cellStyle name="Normal 526 5 2 2" xfId="18165"/>
    <cellStyle name="Normal 526 5 2 2 2" xfId="35788"/>
    <cellStyle name="Normal 526 5 2 3" xfId="28731"/>
    <cellStyle name="Normal 526 5 3" xfId="15175"/>
    <cellStyle name="Normal 526 5 3 2" xfId="32796"/>
    <cellStyle name="Normal 526 5 4" xfId="25871"/>
    <cellStyle name="Normal 526 6" xfId="8047"/>
    <cellStyle name="Normal 526 6 2" xfId="15838"/>
    <cellStyle name="Normal 526 6 2 2" xfId="33459"/>
    <cellStyle name="Normal 526 6 3" xfId="26449"/>
    <cellStyle name="Normal 526 7" xfId="12005"/>
    <cellStyle name="Normal 526 7 2" xfId="29673"/>
    <cellStyle name="Normal 526 8" xfId="23588"/>
    <cellStyle name="Normal 526 9" xfId="52511"/>
    <cellStyle name="Normal 527" xfId="2911"/>
    <cellStyle name="Normal 527 2" xfId="4973"/>
    <cellStyle name="Normal 527 2 2" xfId="8729"/>
    <cellStyle name="Normal 527 2 2 2" xfId="16519"/>
    <cellStyle name="Normal 527 2 2 2 2" xfId="34140"/>
    <cellStyle name="Normal 527 2 2 3" xfId="27116"/>
    <cellStyle name="Normal 527 2 3" xfId="13027"/>
    <cellStyle name="Normal 527 2 3 2" xfId="30662"/>
    <cellStyle name="Normal 527 2 4" xfId="24255"/>
    <cellStyle name="Normal 527 3" xfId="5989"/>
    <cellStyle name="Normal 527 3 2" xfId="9286"/>
    <cellStyle name="Normal 527 3 2 2" xfId="17075"/>
    <cellStyle name="Normal 527 3 2 2 2" xfId="34697"/>
    <cellStyle name="Normal 527 3 2 3" xfId="27660"/>
    <cellStyle name="Normal 527 3 3" xfId="13839"/>
    <cellStyle name="Normal 527 3 3 2" xfId="31465"/>
    <cellStyle name="Normal 527 3 4" xfId="24799"/>
    <cellStyle name="Normal 527 4" xfId="6619"/>
    <cellStyle name="Normal 527 4 2" xfId="9826"/>
    <cellStyle name="Normal 527 4 2 2" xfId="17614"/>
    <cellStyle name="Normal 527 4 2 2 2" xfId="35237"/>
    <cellStyle name="Normal 527 4 2 3" xfId="28196"/>
    <cellStyle name="Normal 527 4 3" xfId="14402"/>
    <cellStyle name="Normal 527 4 3 2" xfId="32023"/>
    <cellStyle name="Normal 527 4 4" xfId="25335"/>
    <cellStyle name="Normal 527 5" xfId="7394"/>
    <cellStyle name="Normal 527 5 2" xfId="10379"/>
    <cellStyle name="Normal 527 5 2 2" xfId="18166"/>
    <cellStyle name="Normal 527 5 2 2 2" xfId="35789"/>
    <cellStyle name="Normal 527 5 2 3" xfId="28732"/>
    <cellStyle name="Normal 527 5 3" xfId="15176"/>
    <cellStyle name="Normal 527 5 3 2" xfId="32797"/>
    <cellStyle name="Normal 527 5 4" xfId="25872"/>
    <cellStyle name="Normal 527 6" xfId="8048"/>
    <cellStyle name="Normal 527 6 2" xfId="15839"/>
    <cellStyle name="Normal 527 6 2 2" xfId="33460"/>
    <cellStyle name="Normal 527 6 3" xfId="26450"/>
    <cellStyle name="Normal 527 7" xfId="12006"/>
    <cellStyle name="Normal 527 7 2" xfId="29674"/>
    <cellStyle name="Normal 527 8" xfId="23589"/>
    <cellStyle name="Normal 527 9" xfId="52512"/>
    <cellStyle name="Normal 528" xfId="2912"/>
    <cellStyle name="Normal 528 2" xfId="4974"/>
    <cellStyle name="Normal 528 2 2" xfId="8730"/>
    <cellStyle name="Normal 528 2 2 2" xfId="16520"/>
    <cellStyle name="Normal 528 2 2 2 2" xfId="34141"/>
    <cellStyle name="Normal 528 2 2 3" xfId="27117"/>
    <cellStyle name="Normal 528 2 3" xfId="13028"/>
    <cellStyle name="Normal 528 2 3 2" xfId="30663"/>
    <cellStyle name="Normal 528 2 4" xfId="24256"/>
    <cellStyle name="Normal 528 3" xfId="5990"/>
    <cellStyle name="Normal 528 3 2" xfId="9287"/>
    <cellStyle name="Normal 528 3 2 2" xfId="17076"/>
    <cellStyle name="Normal 528 3 2 2 2" xfId="34698"/>
    <cellStyle name="Normal 528 3 2 3" xfId="27661"/>
    <cellStyle name="Normal 528 3 3" xfId="13840"/>
    <cellStyle name="Normal 528 3 3 2" xfId="31466"/>
    <cellStyle name="Normal 528 3 4" xfId="24800"/>
    <cellStyle name="Normal 528 4" xfId="6620"/>
    <cellStyle name="Normal 528 4 2" xfId="9827"/>
    <cellStyle name="Normal 528 4 2 2" xfId="17615"/>
    <cellStyle name="Normal 528 4 2 2 2" xfId="35238"/>
    <cellStyle name="Normal 528 4 2 3" xfId="28197"/>
    <cellStyle name="Normal 528 4 3" xfId="14403"/>
    <cellStyle name="Normal 528 4 3 2" xfId="32024"/>
    <cellStyle name="Normal 528 4 4" xfId="25336"/>
    <cellStyle name="Normal 528 5" xfId="7395"/>
    <cellStyle name="Normal 528 5 2" xfId="10380"/>
    <cellStyle name="Normal 528 5 2 2" xfId="18167"/>
    <cellStyle name="Normal 528 5 2 2 2" xfId="35790"/>
    <cellStyle name="Normal 528 5 2 3" xfId="28733"/>
    <cellStyle name="Normal 528 5 3" xfId="15177"/>
    <cellStyle name="Normal 528 5 3 2" xfId="32798"/>
    <cellStyle name="Normal 528 5 4" xfId="25873"/>
    <cellStyle name="Normal 528 6" xfId="8049"/>
    <cellStyle name="Normal 528 6 2" xfId="15840"/>
    <cellStyle name="Normal 528 6 2 2" xfId="33461"/>
    <cellStyle name="Normal 528 6 3" xfId="26451"/>
    <cellStyle name="Normal 528 7" xfId="12007"/>
    <cellStyle name="Normal 528 7 2" xfId="29675"/>
    <cellStyle name="Normal 528 8" xfId="23590"/>
    <cellStyle name="Normal 528 9" xfId="52513"/>
    <cellStyle name="Normal 529" xfId="2913"/>
    <cellStyle name="Normal 529 2" xfId="4976"/>
    <cellStyle name="Normal 529 2 2" xfId="8731"/>
    <cellStyle name="Normal 529 2 2 2" xfId="16521"/>
    <cellStyle name="Normal 529 2 2 2 2" xfId="34142"/>
    <cellStyle name="Normal 529 2 2 3" xfId="27118"/>
    <cellStyle name="Normal 529 2 3" xfId="13029"/>
    <cellStyle name="Normal 529 2 3 2" xfId="30664"/>
    <cellStyle name="Normal 529 2 4" xfId="24257"/>
    <cellStyle name="Normal 529 3" xfId="4975"/>
    <cellStyle name="Normal 529 4" xfId="8050"/>
    <cellStyle name="Normal 529 4 2" xfId="15841"/>
    <cellStyle name="Normal 529 4 2 2" xfId="33462"/>
    <cellStyle name="Normal 529 4 3" xfId="26452"/>
    <cellStyle name="Normal 529 5" xfId="12008"/>
    <cellStyle name="Normal 529 5 2" xfId="29676"/>
    <cellStyle name="Normal 529 6" xfId="23591"/>
    <cellStyle name="Normal 529 7" xfId="52514"/>
    <cellStyle name="Normal 53" xfId="2914"/>
    <cellStyle name="Normal 53 2" xfId="4977"/>
    <cellStyle name="Normal 53 3" xfId="52515"/>
    <cellStyle name="Normal 530" xfId="2915"/>
    <cellStyle name="Normal 530 2" xfId="4978"/>
    <cellStyle name="Normal 530 2 2" xfId="8732"/>
    <cellStyle name="Normal 530 2 2 2" xfId="16522"/>
    <cellStyle name="Normal 530 2 2 2 2" xfId="34143"/>
    <cellStyle name="Normal 530 2 2 3" xfId="27119"/>
    <cellStyle name="Normal 530 2 3" xfId="13030"/>
    <cellStyle name="Normal 530 2 3 2" xfId="30665"/>
    <cellStyle name="Normal 530 2 4" xfId="24258"/>
    <cellStyle name="Normal 530 3" xfId="5991"/>
    <cellStyle name="Normal 530 3 2" xfId="9288"/>
    <cellStyle name="Normal 530 3 2 2" xfId="17077"/>
    <cellStyle name="Normal 530 3 2 2 2" xfId="34699"/>
    <cellStyle name="Normal 530 3 2 3" xfId="27662"/>
    <cellStyle name="Normal 530 3 3" xfId="13841"/>
    <cellStyle name="Normal 530 3 3 2" xfId="31467"/>
    <cellStyle name="Normal 530 3 4" xfId="24801"/>
    <cellStyle name="Normal 530 4" xfId="6621"/>
    <cellStyle name="Normal 530 4 2" xfId="9828"/>
    <cellStyle name="Normal 530 4 2 2" xfId="17616"/>
    <cellStyle name="Normal 530 4 2 2 2" xfId="35239"/>
    <cellStyle name="Normal 530 4 2 3" xfId="28198"/>
    <cellStyle name="Normal 530 4 3" xfId="14404"/>
    <cellStyle name="Normal 530 4 3 2" xfId="32025"/>
    <cellStyle name="Normal 530 4 4" xfId="25337"/>
    <cellStyle name="Normal 530 5" xfId="7396"/>
    <cellStyle name="Normal 530 5 2" xfId="10381"/>
    <cellStyle name="Normal 530 5 2 2" xfId="18168"/>
    <cellStyle name="Normal 530 5 2 2 2" xfId="35791"/>
    <cellStyle name="Normal 530 5 2 3" xfId="28734"/>
    <cellStyle name="Normal 530 5 3" xfId="15178"/>
    <cellStyle name="Normal 530 5 3 2" xfId="32799"/>
    <cellStyle name="Normal 530 5 4" xfId="25874"/>
    <cellStyle name="Normal 530 6" xfId="8051"/>
    <cellStyle name="Normal 530 6 2" xfId="15842"/>
    <cellStyle name="Normal 530 6 2 2" xfId="33463"/>
    <cellStyle name="Normal 530 6 3" xfId="26453"/>
    <cellStyle name="Normal 530 7" xfId="12009"/>
    <cellStyle name="Normal 530 7 2" xfId="29677"/>
    <cellStyle name="Normal 530 8" xfId="23592"/>
    <cellStyle name="Normal 530 9" xfId="52516"/>
    <cellStyle name="Normal 531" xfId="2916"/>
    <cellStyle name="Normal 531 2" xfId="2917"/>
    <cellStyle name="Normal 531 2 2" xfId="4980"/>
    <cellStyle name="Normal 531 2 3" xfId="52518"/>
    <cellStyle name="Normal 531 3" xfId="4981"/>
    <cellStyle name="Normal 531 4" xfId="4979"/>
    <cellStyle name="Normal 531 4 2" xfId="8733"/>
    <cellStyle name="Normal 531 4 2 2" xfId="16523"/>
    <cellStyle name="Normal 531 4 2 2 2" xfId="34144"/>
    <cellStyle name="Normal 531 4 2 3" xfId="27120"/>
    <cellStyle name="Normal 531 4 3" xfId="13031"/>
    <cellStyle name="Normal 531 4 3 2" xfId="30666"/>
    <cellStyle name="Normal 531 4 4" xfId="24259"/>
    <cellStyle name="Normal 531 5" xfId="5992"/>
    <cellStyle name="Normal 531 5 2" xfId="9289"/>
    <cellStyle name="Normal 531 5 2 2" xfId="17078"/>
    <cellStyle name="Normal 531 5 2 2 2" xfId="34700"/>
    <cellStyle name="Normal 531 5 2 3" xfId="27663"/>
    <cellStyle name="Normal 531 5 3" xfId="13842"/>
    <cellStyle name="Normal 531 5 3 2" xfId="31468"/>
    <cellStyle name="Normal 531 5 4" xfId="24802"/>
    <cellStyle name="Normal 531 6" xfId="6622"/>
    <cellStyle name="Normal 531 6 2" xfId="9829"/>
    <cellStyle name="Normal 531 6 2 2" xfId="17617"/>
    <cellStyle name="Normal 531 6 2 2 2" xfId="35240"/>
    <cellStyle name="Normal 531 6 2 3" xfId="28199"/>
    <cellStyle name="Normal 531 6 3" xfId="14405"/>
    <cellStyle name="Normal 531 6 3 2" xfId="32026"/>
    <cellStyle name="Normal 531 6 4" xfId="25338"/>
    <cellStyle name="Normal 531 7" xfId="7397"/>
    <cellStyle name="Normal 531 7 2" xfId="10382"/>
    <cellStyle name="Normal 531 7 2 2" xfId="18169"/>
    <cellStyle name="Normal 531 7 2 2 2" xfId="35792"/>
    <cellStyle name="Normal 531 7 2 3" xfId="28735"/>
    <cellStyle name="Normal 531 7 3" xfId="15179"/>
    <cellStyle name="Normal 531 7 3 2" xfId="32800"/>
    <cellStyle name="Normal 531 7 4" xfId="25875"/>
    <cellStyle name="Normal 531 8" xfId="52517"/>
    <cellStyle name="Normal 532" xfId="2918"/>
    <cellStyle name="Normal 532 2" xfId="4982"/>
    <cellStyle name="Normal 532 2 2" xfId="8734"/>
    <cellStyle name="Normal 532 2 2 2" xfId="16524"/>
    <cellStyle name="Normal 532 2 2 2 2" xfId="34145"/>
    <cellStyle name="Normal 532 2 2 3" xfId="27121"/>
    <cellStyle name="Normal 532 2 3" xfId="13032"/>
    <cellStyle name="Normal 532 2 3 2" xfId="30667"/>
    <cellStyle name="Normal 532 2 4" xfId="24260"/>
    <cellStyle name="Normal 532 3" xfId="5993"/>
    <cellStyle name="Normal 532 3 2" xfId="9290"/>
    <cellStyle name="Normal 532 3 2 2" xfId="17079"/>
    <cellStyle name="Normal 532 3 2 2 2" xfId="34701"/>
    <cellStyle name="Normal 532 3 2 3" xfId="27664"/>
    <cellStyle name="Normal 532 3 3" xfId="13843"/>
    <cellStyle name="Normal 532 3 3 2" xfId="31469"/>
    <cellStyle name="Normal 532 3 4" xfId="24803"/>
    <cellStyle name="Normal 532 4" xfId="6623"/>
    <cellStyle name="Normal 532 4 2" xfId="9830"/>
    <cellStyle name="Normal 532 4 2 2" xfId="17618"/>
    <cellStyle name="Normal 532 4 2 2 2" xfId="35241"/>
    <cellStyle name="Normal 532 4 2 3" xfId="28200"/>
    <cellStyle name="Normal 532 4 3" xfId="14406"/>
    <cellStyle name="Normal 532 4 3 2" xfId="32027"/>
    <cellStyle name="Normal 532 4 4" xfId="25339"/>
    <cellStyle name="Normal 532 5" xfId="7398"/>
    <cellStyle name="Normal 532 5 2" xfId="10383"/>
    <cellStyle name="Normal 532 5 2 2" xfId="18170"/>
    <cellStyle name="Normal 532 5 2 2 2" xfId="35793"/>
    <cellStyle name="Normal 532 5 2 3" xfId="28736"/>
    <cellStyle name="Normal 532 5 3" xfId="15180"/>
    <cellStyle name="Normal 532 5 3 2" xfId="32801"/>
    <cellStyle name="Normal 532 5 4" xfId="25876"/>
    <cellStyle name="Normal 532 6" xfId="8052"/>
    <cellStyle name="Normal 532 6 2" xfId="15843"/>
    <cellStyle name="Normal 532 6 2 2" xfId="33464"/>
    <cellStyle name="Normal 532 6 3" xfId="26454"/>
    <cellStyle name="Normal 532 7" xfId="12011"/>
    <cellStyle name="Normal 532 7 2" xfId="29679"/>
    <cellStyle name="Normal 532 8" xfId="23593"/>
    <cellStyle name="Normal 532 9" xfId="52519"/>
    <cellStyle name="Normal 533" xfId="2919"/>
    <cellStyle name="Normal 533 2" xfId="4984"/>
    <cellStyle name="Normal 533 2 2" xfId="8735"/>
    <cellStyle name="Normal 533 2 2 2" xfId="16525"/>
    <cellStyle name="Normal 533 2 2 2 2" xfId="34146"/>
    <cellStyle name="Normal 533 2 2 3" xfId="27122"/>
    <cellStyle name="Normal 533 2 3" xfId="13033"/>
    <cellStyle name="Normal 533 2 3 2" xfId="30668"/>
    <cellStyle name="Normal 533 2 4" xfId="24261"/>
    <cellStyle name="Normal 533 3" xfId="4983"/>
    <cellStyle name="Normal 533 4" xfId="8053"/>
    <cellStyle name="Normal 533 4 2" xfId="15844"/>
    <cellStyle name="Normal 533 4 2 2" xfId="33465"/>
    <cellStyle name="Normal 533 4 3" xfId="26455"/>
    <cellStyle name="Normal 533 5" xfId="12012"/>
    <cellStyle name="Normal 533 5 2" xfId="29680"/>
    <cellStyle name="Normal 533 6" xfId="23594"/>
    <cellStyle name="Normal 533 7" xfId="52520"/>
    <cellStyle name="Normal 534" xfId="2920"/>
    <cellStyle name="Normal 534 2" xfId="4986"/>
    <cellStyle name="Normal 534 3" xfId="4987"/>
    <cellStyle name="Normal 534 4" xfId="4988"/>
    <cellStyle name="Normal 534 4 2" xfId="8736"/>
    <cellStyle name="Normal 534 4 2 2" xfId="16526"/>
    <cellStyle name="Normal 534 4 2 2 2" xfId="34147"/>
    <cellStyle name="Normal 534 4 2 3" xfId="27123"/>
    <cellStyle name="Normal 534 4 3" xfId="13034"/>
    <cellStyle name="Normal 534 4 3 2" xfId="30669"/>
    <cellStyle name="Normal 534 4 4" xfId="24262"/>
    <cellStyle name="Normal 534 5" xfId="4985"/>
    <cellStyle name="Normal 534 6" xfId="8054"/>
    <cellStyle name="Normal 534 6 2" xfId="15845"/>
    <cellStyle name="Normal 534 6 2 2" xfId="33466"/>
    <cellStyle name="Normal 534 6 3" xfId="26456"/>
    <cellStyle name="Normal 534 7" xfId="12013"/>
    <cellStyle name="Normal 534 7 2" xfId="29681"/>
    <cellStyle name="Normal 534 8" xfId="23595"/>
    <cellStyle name="Normal 534 9" xfId="52521"/>
    <cellStyle name="Normal 535" xfId="2921"/>
    <cellStyle name="Normal 535 2" xfId="4989"/>
    <cellStyle name="Normal 535 3" xfId="4990"/>
    <cellStyle name="Normal 535 4" xfId="52522"/>
    <cellStyle name="Normal 536" xfId="2922"/>
    <cellStyle name="Normal 536 2" xfId="4991"/>
    <cellStyle name="Normal 536 3" xfId="4992"/>
    <cellStyle name="Normal 536 4" xfId="52523"/>
    <cellStyle name="Normal 537" xfId="2923"/>
    <cellStyle name="Normal 537 2" xfId="4993"/>
    <cellStyle name="Normal 537 3" xfId="4994"/>
    <cellStyle name="Normal 537 4" xfId="52524"/>
    <cellStyle name="Normal 538" xfId="2924"/>
    <cellStyle name="Normal 538 2" xfId="4996"/>
    <cellStyle name="Normal 538 3" xfId="4997"/>
    <cellStyle name="Normal 538 4" xfId="4995"/>
    <cellStyle name="Normal 538 5" xfId="52525"/>
    <cellStyle name="Normal 539" xfId="2925"/>
    <cellStyle name="Normal 539 2" xfId="4999"/>
    <cellStyle name="Normal 539 3" xfId="5000"/>
    <cellStyle name="Normal 539 4" xfId="4998"/>
    <cellStyle name="Normal 539 5" xfId="52526"/>
    <cellStyle name="Normal 54" xfId="2926"/>
    <cellStyle name="Normal 54 2" xfId="5001"/>
    <cellStyle name="Normal 54 3" xfId="52527"/>
    <cellStyle name="Normal 540" xfId="2927"/>
    <cellStyle name="Normal 540 2" xfId="5002"/>
    <cellStyle name="Normal 540 3" xfId="5003"/>
    <cellStyle name="Normal 540 4" xfId="52528"/>
    <cellStyle name="Normal 541" xfId="2928"/>
    <cellStyle name="Normal 541 2" xfId="5005"/>
    <cellStyle name="Normal 541 3" xfId="5006"/>
    <cellStyle name="Normal 541 4" xfId="5004"/>
    <cellStyle name="Normal 541 5" xfId="52529"/>
    <cellStyle name="Normal 542" xfId="2929"/>
    <cellStyle name="Normal 542 2" xfId="5007"/>
    <cellStyle name="Normal 542 3" xfId="5008"/>
    <cellStyle name="Normal 542 4" xfId="52530"/>
    <cellStyle name="Normal 543" xfId="2930"/>
    <cellStyle name="Normal 543 2" xfId="5009"/>
    <cellStyle name="Normal 543 3" xfId="5010"/>
    <cellStyle name="Normal 543 4" xfId="52531"/>
    <cellStyle name="Normal 544" xfId="2931"/>
    <cellStyle name="Normal 544 2" xfId="5012"/>
    <cellStyle name="Normal 544 3" xfId="5013"/>
    <cellStyle name="Normal 544 4" xfId="5011"/>
    <cellStyle name="Normal 544 5" xfId="52532"/>
    <cellStyle name="Normal 545" xfId="2932"/>
    <cellStyle name="Normal 545 2" xfId="5014"/>
    <cellStyle name="Normal 545 3" xfId="5015"/>
    <cellStyle name="Normal 545 4" xfId="52533"/>
    <cellStyle name="Normal 546" xfId="2933"/>
    <cellStyle name="Normal 546 2" xfId="5017"/>
    <cellStyle name="Normal 546 3" xfId="5018"/>
    <cellStyle name="Normal 546 4" xfId="5016"/>
    <cellStyle name="Normal 546 5" xfId="52534"/>
    <cellStyle name="Normal 547" xfId="2934"/>
    <cellStyle name="Normal 547 2" xfId="5019"/>
    <cellStyle name="Normal 547 3" xfId="5020"/>
    <cellStyle name="Normal 547 4" xfId="52535"/>
    <cellStyle name="Normal 548" xfId="2935"/>
    <cellStyle name="Normal 548 2" xfId="5021"/>
    <cellStyle name="Normal 548 3" xfId="5022"/>
    <cellStyle name="Normal 548 4" xfId="52536"/>
    <cellStyle name="Normal 549" xfId="2936"/>
    <cellStyle name="Normal 549 2" xfId="5024"/>
    <cellStyle name="Normal 549 3" xfId="5025"/>
    <cellStyle name="Normal 549 4" xfId="5023"/>
    <cellStyle name="Normal 549 5" xfId="52537"/>
    <cellStyle name="Normal 55" xfId="2937"/>
    <cellStyle name="Normal 55 2" xfId="5026"/>
    <cellStyle name="Normal 55 3" xfId="52538"/>
    <cellStyle name="Normal 550" xfId="2938"/>
    <cellStyle name="Normal 550 2" xfId="5027"/>
    <cellStyle name="Normal 550 3" xfId="5028"/>
    <cellStyle name="Normal 551" xfId="2939"/>
    <cellStyle name="Normal 551 2" xfId="5029"/>
    <cellStyle name="Normal 551 3" xfId="5030"/>
    <cellStyle name="Normal 552" xfId="2940"/>
    <cellStyle name="Normal 552 2" xfId="5031"/>
    <cellStyle name="Normal 552 3" xfId="5032"/>
    <cellStyle name="Normal 553" xfId="2941"/>
    <cellStyle name="Normal 553 2" xfId="5033"/>
    <cellStyle name="Normal 553 3" xfId="5034"/>
    <cellStyle name="Normal 554" xfId="2942"/>
    <cellStyle name="Normal 554 2" xfId="5035"/>
    <cellStyle name="Normal 554 3" xfId="5036"/>
    <cellStyle name="Normal 555" xfId="2943"/>
    <cellStyle name="Normal 555 2" xfId="5037"/>
    <cellStyle name="Normal 555 3" xfId="5038"/>
    <cellStyle name="Normal 556" xfId="2944"/>
    <cellStyle name="Normal 556 2" xfId="5039"/>
    <cellStyle name="Normal 556 3" xfId="5040"/>
    <cellStyle name="Normal 557" xfId="2945"/>
    <cellStyle name="Normal 557 2" xfId="5041"/>
    <cellStyle name="Normal 557 3" xfId="5042"/>
    <cellStyle name="Normal 558" xfId="2946"/>
    <cellStyle name="Normal 558 2" xfId="5043"/>
    <cellStyle name="Normal 558 3" xfId="5044"/>
    <cellStyle name="Normal 559" xfId="2947"/>
    <cellStyle name="Normal 559 2" xfId="5045"/>
    <cellStyle name="Normal 559 3" xfId="5046"/>
    <cellStyle name="Normal 559 4" xfId="52539"/>
    <cellStyle name="Normal 56" xfId="2948"/>
    <cellStyle name="Normal 56 2" xfId="5047"/>
    <cellStyle name="Normal 56 3" xfId="52540"/>
    <cellStyle name="Normal 560" xfId="2949"/>
    <cellStyle name="Normal 560 2" xfId="5049"/>
    <cellStyle name="Normal 560 3" xfId="5050"/>
    <cellStyle name="Normal 560 4" xfId="5048"/>
    <cellStyle name="Normal 561" xfId="5051"/>
    <cellStyle name="Normal 561 2" xfId="5052"/>
    <cellStyle name="Normal 561 3" xfId="5053"/>
    <cellStyle name="Normal 562" xfId="5054"/>
    <cellStyle name="Normal 562 2" xfId="5055"/>
    <cellStyle name="Normal 562 3" xfId="5056"/>
    <cellStyle name="Normal 563" xfId="5057"/>
    <cellStyle name="Normal 563 2" xfId="5058"/>
    <cellStyle name="Normal 563 3" xfId="5059"/>
    <cellStyle name="Normal 564" xfId="5060"/>
    <cellStyle name="Normal 564 2" xfId="5061"/>
    <cellStyle name="Normal 564 3" xfId="5062"/>
    <cellStyle name="Normal 565" xfId="5063"/>
    <cellStyle name="Normal 565 2" xfId="5064"/>
    <cellStyle name="Normal 565 3" xfId="5065"/>
    <cellStyle name="Normal 566" xfId="5066"/>
    <cellStyle name="Normal 566 2" xfId="5067"/>
    <cellStyle name="Normal 566 3" xfId="5068"/>
    <cellStyle name="Normal 567" xfId="5069"/>
    <cellStyle name="Normal 567 2" xfId="5070"/>
    <cellStyle name="Normal 567 3" xfId="5071"/>
    <cellStyle name="Normal 568" xfId="2950"/>
    <cellStyle name="Normal 568 2" xfId="2951"/>
    <cellStyle name="Normal 568 2 2" xfId="5073"/>
    <cellStyle name="Normal 568 2 3" xfId="52542"/>
    <cellStyle name="Normal 568 3" xfId="5074"/>
    <cellStyle name="Normal 568 4" xfId="5072"/>
    <cellStyle name="Normal 568 5" xfId="52541"/>
    <cellStyle name="Normal 569" xfId="5075"/>
    <cellStyle name="Normal 569 2" xfId="5076"/>
    <cellStyle name="Normal 569 3" xfId="5077"/>
    <cellStyle name="Normal 57" xfId="2952"/>
    <cellStyle name="Normal 57 2" xfId="5078"/>
    <cellStyle name="Normal 57 3" xfId="52543"/>
    <cellStyle name="Normal 570" xfId="5079"/>
    <cellStyle name="Normal 570 2" xfId="5080"/>
    <cellStyle name="Normal 570 3" xfId="5081"/>
    <cellStyle name="Normal 571" xfId="5082"/>
    <cellStyle name="Normal 571 2" xfId="5083"/>
    <cellStyle name="Normal 571 3" xfId="5084"/>
    <cellStyle name="Normal 572" xfId="5085"/>
    <cellStyle name="Normal 572 2" xfId="5086"/>
    <cellStyle name="Normal 572 3" xfId="5087"/>
    <cellStyle name="Normal 573" xfId="5088"/>
    <cellStyle name="Normal 573 2" xfId="5089"/>
    <cellStyle name="Normal 573 3" xfId="5090"/>
    <cellStyle name="Normal 574" xfId="5091"/>
    <cellStyle name="Normal 574 2" xfId="5092"/>
    <cellStyle name="Normal 574 3" xfId="5093"/>
    <cellStyle name="Normal 575" xfId="5094"/>
    <cellStyle name="Normal 575 2" xfId="5095"/>
    <cellStyle name="Normal 575 3" xfId="5096"/>
    <cellStyle name="Normal 576" xfId="5097"/>
    <cellStyle name="Normal 576 2" xfId="5098"/>
    <cellStyle name="Normal 576 3" xfId="5099"/>
    <cellStyle name="Normal 577" xfId="5100"/>
    <cellStyle name="Normal 577 2" xfId="5101"/>
    <cellStyle name="Normal 577 3" xfId="5102"/>
    <cellStyle name="Normal 578" xfId="5103"/>
    <cellStyle name="Normal 578 2" xfId="5104"/>
    <cellStyle name="Normal 578 3" xfId="5105"/>
    <cellStyle name="Normal 579" xfId="5106"/>
    <cellStyle name="Normal 579 2" xfId="5107"/>
    <cellStyle name="Normal 579 3" xfId="5108"/>
    <cellStyle name="Normal 58" xfId="2953"/>
    <cellStyle name="Normal 58 2" xfId="5109"/>
    <cellStyle name="Normal 58 3" xfId="52544"/>
    <cellStyle name="Normal 580" xfId="5110"/>
    <cellStyle name="Normal 580 2" xfId="5111"/>
    <cellStyle name="Normal 580 3" xfId="5112"/>
    <cellStyle name="Normal 581" xfId="5113"/>
    <cellStyle name="Normal 581 2" xfId="5114"/>
    <cellStyle name="Normal 581 3" xfId="5115"/>
    <cellStyle name="Normal 582" xfId="5116"/>
    <cellStyle name="Normal 582 2" xfId="5117"/>
    <cellStyle name="Normal 582 3" xfId="5118"/>
    <cellStyle name="Normal 583" xfId="5119"/>
    <cellStyle name="Normal 583 2" xfId="5120"/>
    <cellStyle name="Normal 583 3" xfId="5121"/>
    <cellStyle name="Normal 584" xfId="5122"/>
    <cellStyle name="Normal 584 2" xfId="5123"/>
    <cellStyle name="Normal 584 3" xfId="5124"/>
    <cellStyle name="Normal 585" xfId="5125"/>
    <cellStyle name="Normal 585 2" xfId="5126"/>
    <cellStyle name="Normal 585 3" xfId="5127"/>
    <cellStyle name="Normal 586" xfId="5128"/>
    <cellStyle name="Normal 586 2" xfId="5129"/>
    <cellStyle name="Normal 586 3" xfId="5130"/>
    <cellStyle name="Normal 587" xfId="5131"/>
    <cellStyle name="Normal 588" xfId="5132"/>
    <cellStyle name="Normal 589" xfId="5133"/>
    <cellStyle name="Normal 59" xfId="2954"/>
    <cellStyle name="Normal 59 2" xfId="5134"/>
    <cellStyle name="Normal 59 3" xfId="52545"/>
    <cellStyle name="Normal 590" xfId="5135"/>
    <cellStyle name="Normal 591" xfId="5136"/>
    <cellStyle name="Normal 592" xfId="5137"/>
    <cellStyle name="Normal 593" xfId="5138"/>
    <cellStyle name="Normal 594" xfId="5139"/>
    <cellStyle name="Normal 595" xfId="5140"/>
    <cellStyle name="Normal 596" xfId="5141"/>
    <cellStyle name="Normal 597" xfId="5142"/>
    <cellStyle name="Normal 598" xfId="5143"/>
    <cellStyle name="Normal 599" xfId="5144"/>
    <cellStyle name="Normal 6" xfId="129"/>
    <cellStyle name="Normal 6 10" xfId="2956"/>
    <cellStyle name="Normal 6 10 2" xfId="2957"/>
    <cellStyle name="Normal 6 10 2 2" xfId="5146"/>
    <cellStyle name="Normal 6 10 2 3" xfId="52547"/>
    <cellStyle name="Normal 6 10 3" xfId="2958"/>
    <cellStyle name="Normal 6 10 3 2" xfId="2959"/>
    <cellStyle name="Normal 6 10 3 2 2" xfId="5148"/>
    <cellStyle name="Normal 6 10 3 2 3" xfId="52549"/>
    <cellStyle name="Normal 6 10 3 3" xfId="5147"/>
    <cellStyle name="Normal 6 10 3 4" xfId="52548"/>
    <cellStyle name="Normal 6 10 4" xfId="5149"/>
    <cellStyle name="Normal 6 10 5" xfId="5145"/>
    <cellStyle name="Normal 6 10 6" xfId="52546"/>
    <cellStyle name="Normal 6 11" xfId="2960"/>
    <cellStyle name="Normal 6 11 2" xfId="5150"/>
    <cellStyle name="Normal 6 11 3" xfId="52550"/>
    <cellStyle name="Normal 6 12" xfId="2961"/>
    <cellStyle name="Normal 6 12 2" xfId="2962"/>
    <cellStyle name="Normal 6 12 2 2" xfId="5152"/>
    <cellStyle name="Normal 6 12 2 3" xfId="52552"/>
    <cellStyle name="Normal 6 12 3" xfId="5151"/>
    <cellStyle name="Normal 6 12 4" xfId="52551"/>
    <cellStyle name="Normal 6 13" xfId="2963"/>
    <cellStyle name="Normal 6 13 2" xfId="2964"/>
    <cellStyle name="Normal 6 13 2 2" xfId="5154"/>
    <cellStyle name="Normal 6 13 2 3" xfId="5153"/>
    <cellStyle name="Normal 6 13 3" xfId="2965"/>
    <cellStyle name="Normal 6 13 3 2" xfId="2966"/>
    <cellStyle name="Normal 6 13 3 2 2" xfId="5156"/>
    <cellStyle name="Normal 6 13 3 2 3" xfId="52555"/>
    <cellStyle name="Normal 6 13 3 3" xfId="5155"/>
    <cellStyle name="Normal 6 13 3 4" xfId="52554"/>
    <cellStyle name="Normal 6 13 4" xfId="2967"/>
    <cellStyle name="Normal 6 13 4 2" xfId="5158"/>
    <cellStyle name="Normal 6 13 4 3" xfId="5157"/>
    <cellStyle name="Normal 6 13 4 4" xfId="52556"/>
    <cellStyle name="Normal 6 13 5" xfId="2968"/>
    <cellStyle name="Normal 6 13 6" xfId="52553"/>
    <cellStyle name="Normal 6 14" xfId="2969"/>
    <cellStyle name="Normal 6 14 2" xfId="5159"/>
    <cellStyle name="Normal 6 14 3" xfId="52557"/>
    <cellStyle name="Normal 6 15" xfId="2970"/>
    <cellStyle name="Normal 6 15 2" xfId="5160"/>
    <cellStyle name="Normal 6 15 3" xfId="52558"/>
    <cellStyle name="Normal 6 16" xfId="2971"/>
    <cellStyle name="Normal 6 16 2" xfId="2972"/>
    <cellStyle name="Normal 6 16 2 2" xfId="5162"/>
    <cellStyle name="Normal 6 16 2 3" xfId="52560"/>
    <cellStyle name="Normal 6 16 3" xfId="5163"/>
    <cellStyle name="Normal 6 16 4" xfId="5161"/>
    <cellStyle name="Normal 6 16 5" xfId="52559"/>
    <cellStyle name="Normal 6 17" xfId="5164"/>
    <cellStyle name="Normal 6 18" xfId="21942"/>
    <cellStyle name="Normal 6 18 2" xfId="38681"/>
    <cellStyle name="Normal 6 19" xfId="2955"/>
    <cellStyle name="Normal 6 2" xfId="130"/>
    <cellStyle name="Normal 6 2 2" xfId="2974"/>
    <cellStyle name="Normal 6 2 2 2" xfId="22992"/>
    <cellStyle name="Normal 6 2 2 3" xfId="22693"/>
    <cellStyle name="Normal 6 2 3" xfId="2975"/>
    <cellStyle name="Normal 6 2 3 2" xfId="5165"/>
    <cellStyle name="Normal 6 2 3 3" xfId="52561"/>
    <cellStyle name="Normal 6 2 4" xfId="2973"/>
    <cellStyle name="Normal 6 2_Sheet1" xfId="2976"/>
    <cellStyle name="Normal 6 3" xfId="2977"/>
    <cellStyle name="Normal 6 4" xfId="2978"/>
    <cellStyle name="Normal 6 4 2" xfId="2979"/>
    <cellStyle name="Normal 6 4 2 2" xfId="5167"/>
    <cellStyle name="Normal 6 4 2 3" xfId="52563"/>
    <cellStyle name="Normal 6 4 3" xfId="5166"/>
    <cellStyle name="Normal 6 4 4" xfId="52562"/>
    <cellStyle name="Normal 6 5" xfId="2980"/>
    <cellStyle name="Normal 6 5 2" xfId="2981"/>
    <cellStyle name="Normal 6 5 3" xfId="2982"/>
    <cellStyle name="Normal 6 5 3 2" xfId="5169"/>
    <cellStyle name="Normal 6 5 3 3" xfId="52565"/>
    <cellStyle name="Normal 6 5 4" xfId="2983"/>
    <cellStyle name="Normal 6 5 4 2" xfId="2984"/>
    <cellStyle name="Normal 6 5 4 2 2" xfId="5171"/>
    <cellStyle name="Normal 6 5 4 2 3" xfId="52567"/>
    <cellStyle name="Normal 6 5 4 3" xfId="5170"/>
    <cellStyle name="Normal 6 5 4 4" xfId="52566"/>
    <cellStyle name="Normal 6 5 5" xfId="5172"/>
    <cellStyle name="Normal 6 5 6" xfId="5168"/>
    <cellStyle name="Normal 6 5 7" xfId="52564"/>
    <cellStyle name="Normal 6 6" xfId="2985"/>
    <cellStyle name="Normal 6 6 2" xfId="2986"/>
    <cellStyle name="Normal 6 6 2 2" xfId="5174"/>
    <cellStyle name="Normal 6 6 2 3" xfId="52569"/>
    <cellStyle name="Normal 6 6 3" xfId="2987"/>
    <cellStyle name="Normal 6 6 3 2" xfId="2988"/>
    <cellStyle name="Normal 6 6 3 2 2" xfId="5176"/>
    <cellStyle name="Normal 6 6 3 2 3" xfId="52571"/>
    <cellStyle name="Normal 6 6 3 3" xfId="5175"/>
    <cellStyle name="Normal 6 6 3 4" xfId="52570"/>
    <cellStyle name="Normal 6 6 4" xfId="5177"/>
    <cellStyle name="Normal 6 6 5" xfId="5173"/>
    <cellStyle name="Normal 6 6 6" xfId="52568"/>
    <cellStyle name="Normal 6 7" xfId="2989"/>
    <cellStyle name="Normal 6 7 2" xfId="2990"/>
    <cellStyle name="Normal 6 7 2 2" xfId="5179"/>
    <cellStyle name="Normal 6 7 2 3" xfId="52573"/>
    <cellStyle name="Normal 6 7 3" xfId="2991"/>
    <cellStyle name="Normal 6 7 3 2" xfId="2992"/>
    <cellStyle name="Normal 6 7 3 2 2" xfId="5181"/>
    <cellStyle name="Normal 6 7 3 2 3" xfId="52575"/>
    <cellStyle name="Normal 6 7 3 3" xfId="5180"/>
    <cellStyle name="Normal 6 7 3 4" xfId="52574"/>
    <cellStyle name="Normal 6 7 4" xfId="5182"/>
    <cellStyle name="Normal 6 7 5" xfId="5178"/>
    <cellStyle name="Normal 6 7 6" xfId="52572"/>
    <cellStyle name="Normal 6 8" xfId="2993"/>
    <cellStyle name="Normal 6 8 2" xfId="2994"/>
    <cellStyle name="Normal 6 8 2 2" xfId="5184"/>
    <cellStyle name="Normal 6 8 2 3" xfId="52577"/>
    <cellStyle name="Normal 6 8 3" xfId="2995"/>
    <cellStyle name="Normal 6 8 3 2" xfId="2996"/>
    <cellStyle name="Normal 6 8 3 2 2" xfId="5186"/>
    <cellStyle name="Normal 6 8 3 2 3" xfId="52579"/>
    <cellStyle name="Normal 6 8 3 3" xfId="5185"/>
    <cellStyle name="Normal 6 8 3 4" xfId="52578"/>
    <cellStyle name="Normal 6 8 4" xfId="5187"/>
    <cellStyle name="Normal 6 8 5" xfId="5183"/>
    <cellStyle name="Normal 6 8 6" xfId="52576"/>
    <cellStyle name="Normal 6 9" xfId="2997"/>
    <cellStyle name="Normal 6 9 2" xfId="5188"/>
    <cellStyle name="Normal 6 9 3" xfId="52580"/>
    <cellStyle name="Normal 6_Sheet1" xfId="2998"/>
    <cellStyle name="Normal 60" xfId="2999"/>
    <cellStyle name="Normal 60 2" xfId="5189"/>
    <cellStyle name="Normal 60 3" xfId="52581"/>
    <cellStyle name="Normal 600" xfId="5190"/>
    <cellStyle name="Normal 601" xfId="5191"/>
    <cellStyle name="Normal 602" xfId="5192"/>
    <cellStyle name="Normal 603" xfId="5193"/>
    <cellStyle name="Normal 604" xfId="5194"/>
    <cellStyle name="Normal 605" xfId="5195"/>
    <cellStyle name="Normal 606" xfId="5196"/>
    <cellStyle name="Normal 607" xfId="5197"/>
    <cellStyle name="Normal 608" xfId="5198"/>
    <cellStyle name="Normal 609" xfId="5199"/>
    <cellStyle name="Normal 61" xfId="3000"/>
    <cellStyle name="Normal 61 2" xfId="5200"/>
    <cellStyle name="Normal 61 3" xfId="52582"/>
    <cellStyle name="Normal 610" xfId="5201"/>
    <cellStyle name="Normal 611" xfId="5202"/>
    <cellStyle name="Normal 611 2" xfId="5994"/>
    <cellStyle name="Normal 611 2 2" xfId="9291"/>
    <cellStyle name="Normal 611 2 2 2" xfId="17080"/>
    <cellStyle name="Normal 611 2 2 2 2" xfId="34702"/>
    <cellStyle name="Normal 611 2 2 3" xfId="27665"/>
    <cellStyle name="Normal 611 2 3" xfId="13844"/>
    <cellStyle name="Normal 611 2 3 2" xfId="31470"/>
    <cellStyle name="Normal 611 2 4" xfId="24804"/>
    <cellStyle name="Normal 611 3" xfId="6624"/>
    <cellStyle name="Normal 611 3 2" xfId="9831"/>
    <cellStyle name="Normal 611 3 2 2" xfId="17619"/>
    <cellStyle name="Normal 611 3 2 2 2" xfId="35242"/>
    <cellStyle name="Normal 611 3 2 3" xfId="28201"/>
    <cellStyle name="Normal 611 3 3" xfId="14407"/>
    <cellStyle name="Normal 611 3 3 2" xfId="32028"/>
    <cellStyle name="Normal 611 3 4" xfId="25340"/>
    <cellStyle name="Normal 611 4" xfId="7399"/>
    <cellStyle name="Normal 611 4 2" xfId="10384"/>
    <cellStyle name="Normal 611 4 2 2" xfId="18171"/>
    <cellStyle name="Normal 611 4 2 2 2" xfId="35794"/>
    <cellStyle name="Normal 611 4 2 3" xfId="28737"/>
    <cellStyle name="Normal 611 4 3" xfId="15181"/>
    <cellStyle name="Normal 611 4 3 2" xfId="32802"/>
    <cellStyle name="Normal 611 4 4" xfId="25877"/>
    <cellStyle name="Normal 611 5" xfId="8737"/>
    <cellStyle name="Normal 611 5 2" xfId="16527"/>
    <cellStyle name="Normal 611 5 2 2" xfId="34148"/>
    <cellStyle name="Normal 611 5 3" xfId="27124"/>
    <cellStyle name="Normal 611 6" xfId="13194"/>
    <cellStyle name="Normal 611 6 2" xfId="30825"/>
    <cellStyle name="Normal 611 7" xfId="24263"/>
    <cellStyle name="Normal 612" xfId="5203"/>
    <cellStyle name="Normal 612 2" xfId="5995"/>
    <cellStyle name="Normal 612 2 2" xfId="9292"/>
    <cellStyle name="Normal 612 2 2 2" xfId="17081"/>
    <cellStyle name="Normal 612 2 2 2 2" xfId="34703"/>
    <cellStyle name="Normal 612 2 2 3" xfId="27666"/>
    <cellStyle name="Normal 612 2 3" xfId="13845"/>
    <cellStyle name="Normal 612 2 3 2" xfId="31471"/>
    <cellStyle name="Normal 612 2 4" xfId="24805"/>
    <cellStyle name="Normal 612 3" xfId="6625"/>
    <cellStyle name="Normal 612 3 2" xfId="9832"/>
    <cellStyle name="Normal 612 3 2 2" xfId="17620"/>
    <cellStyle name="Normal 612 3 2 2 2" xfId="35243"/>
    <cellStyle name="Normal 612 3 2 3" xfId="28202"/>
    <cellStyle name="Normal 612 3 3" xfId="14408"/>
    <cellStyle name="Normal 612 3 3 2" xfId="32029"/>
    <cellStyle name="Normal 612 3 4" xfId="25341"/>
    <cellStyle name="Normal 612 4" xfId="7400"/>
    <cellStyle name="Normal 612 4 2" xfId="10385"/>
    <cellStyle name="Normal 612 4 2 2" xfId="18172"/>
    <cellStyle name="Normal 612 4 2 2 2" xfId="35795"/>
    <cellStyle name="Normal 612 4 2 3" xfId="28738"/>
    <cellStyle name="Normal 612 4 3" xfId="15182"/>
    <cellStyle name="Normal 612 4 3 2" xfId="32803"/>
    <cellStyle name="Normal 612 4 4" xfId="25878"/>
    <cellStyle name="Normal 612 5" xfId="8738"/>
    <cellStyle name="Normal 612 5 2" xfId="16528"/>
    <cellStyle name="Normal 612 5 2 2" xfId="34149"/>
    <cellStyle name="Normal 612 5 3" xfId="27125"/>
    <cellStyle name="Normal 612 6" xfId="13195"/>
    <cellStyle name="Normal 612 6 2" xfId="30826"/>
    <cellStyle name="Normal 612 7" xfId="24264"/>
    <cellStyle name="Normal 613" xfId="5204"/>
    <cellStyle name="Normal 613 2" xfId="5996"/>
    <cellStyle name="Normal 613 2 2" xfId="9293"/>
    <cellStyle name="Normal 613 2 2 2" xfId="17082"/>
    <cellStyle name="Normal 613 2 2 2 2" xfId="34704"/>
    <cellStyle name="Normal 613 2 2 3" xfId="27667"/>
    <cellStyle name="Normal 613 2 3" xfId="13846"/>
    <cellStyle name="Normal 613 2 3 2" xfId="31472"/>
    <cellStyle name="Normal 613 2 4" xfId="24806"/>
    <cellStyle name="Normal 613 3" xfId="6626"/>
    <cellStyle name="Normal 613 3 2" xfId="9833"/>
    <cellStyle name="Normal 613 3 2 2" xfId="17621"/>
    <cellStyle name="Normal 613 3 2 2 2" xfId="35244"/>
    <cellStyle name="Normal 613 3 2 3" xfId="28203"/>
    <cellStyle name="Normal 613 3 3" xfId="14409"/>
    <cellStyle name="Normal 613 3 3 2" xfId="32030"/>
    <cellStyle name="Normal 613 3 4" xfId="25342"/>
    <cellStyle name="Normal 613 4" xfId="7401"/>
    <cellStyle name="Normal 613 4 2" xfId="10386"/>
    <cellStyle name="Normal 613 4 2 2" xfId="18173"/>
    <cellStyle name="Normal 613 4 2 2 2" xfId="35796"/>
    <cellStyle name="Normal 613 4 2 3" xfId="28739"/>
    <cellStyle name="Normal 613 4 3" xfId="15183"/>
    <cellStyle name="Normal 613 4 3 2" xfId="32804"/>
    <cellStyle name="Normal 613 4 4" xfId="25879"/>
    <cellStyle name="Normal 613 5" xfId="8739"/>
    <cellStyle name="Normal 613 5 2" xfId="16529"/>
    <cellStyle name="Normal 613 5 2 2" xfId="34150"/>
    <cellStyle name="Normal 613 5 3" xfId="27126"/>
    <cellStyle name="Normal 613 6" xfId="13196"/>
    <cellStyle name="Normal 613 6 2" xfId="30827"/>
    <cellStyle name="Normal 613 7" xfId="24265"/>
    <cellStyle name="Normal 614" xfId="5205"/>
    <cellStyle name="Normal 614 2" xfId="5997"/>
    <cellStyle name="Normal 614 2 2" xfId="9294"/>
    <cellStyle name="Normal 614 2 2 2" xfId="17083"/>
    <cellStyle name="Normal 614 2 2 2 2" xfId="34705"/>
    <cellStyle name="Normal 614 2 2 3" xfId="27668"/>
    <cellStyle name="Normal 614 2 3" xfId="13847"/>
    <cellStyle name="Normal 614 2 3 2" xfId="31473"/>
    <cellStyle name="Normal 614 2 4" xfId="24807"/>
    <cellStyle name="Normal 614 3" xfId="6627"/>
    <cellStyle name="Normal 614 3 2" xfId="9834"/>
    <cellStyle name="Normal 614 3 2 2" xfId="17622"/>
    <cellStyle name="Normal 614 3 2 2 2" xfId="35245"/>
    <cellStyle name="Normal 614 3 2 3" xfId="28204"/>
    <cellStyle name="Normal 614 3 3" xfId="14410"/>
    <cellStyle name="Normal 614 3 3 2" xfId="32031"/>
    <cellStyle name="Normal 614 3 4" xfId="25343"/>
    <cellStyle name="Normal 614 4" xfId="7402"/>
    <cellStyle name="Normal 614 4 2" xfId="10387"/>
    <cellStyle name="Normal 614 4 2 2" xfId="18174"/>
    <cellStyle name="Normal 614 4 2 2 2" xfId="35797"/>
    <cellStyle name="Normal 614 4 2 3" xfId="28740"/>
    <cellStyle name="Normal 614 4 3" xfId="15184"/>
    <cellStyle name="Normal 614 4 3 2" xfId="32805"/>
    <cellStyle name="Normal 614 4 4" xfId="25880"/>
    <cellStyle name="Normal 614 5" xfId="8740"/>
    <cellStyle name="Normal 614 5 2" xfId="16530"/>
    <cellStyle name="Normal 614 5 2 2" xfId="34151"/>
    <cellStyle name="Normal 614 5 3" xfId="27127"/>
    <cellStyle name="Normal 614 6" xfId="13197"/>
    <cellStyle name="Normal 614 6 2" xfId="30828"/>
    <cellStyle name="Normal 614 7" xfId="24266"/>
    <cellStyle name="Normal 615" xfId="5206"/>
    <cellStyle name="Normal 615 2" xfId="5998"/>
    <cellStyle name="Normal 615 2 2" xfId="9295"/>
    <cellStyle name="Normal 615 2 2 2" xfId="17084"/>
    <cellStyle name="Normal 615 2 2 2 2" xfId="34706"/>
    <cellStyle name="Normal 615 2 2 3" xfId="27669"/>
    <cellStyle name="Normal 615 2 3" xfId="13848"/>
    <cellStyle name="Normal 615 2 3 2" xfId="31474"/>
    <cellStyle name="Normal 615 2 4" xfId="24808"/>
    <cellStyle name="Normal 615 3" xfId="6628"/>
    <cellStyle name="Normal 615 3 2" xfId="9835"/>
    <cellStyle name="Normal 615 3 2 2" xfId="17623"/>
    <cellStyle name="Normal 615 3 2 2 2" xfId="35246"/>
    <cellStyle name="Normal 615 3 2 3" xfId="28205"/>
    <cellStyle name="Normal 615 3 3" xfId="14411"/>
    <cellStyle name="Normal 615 3 3 2" xfId="32032"/>
    <cellStyle name="Normal 615 3 4" xfId="25344"/>
    <cellStyle name="Normal 615 4" xfId="7403"/>
    <cellStyle name="Normal 615 4 2" xfId="10388"/>
    <cellStyle name="Normal 615 4 2 2" xfId="18175"/>
    <cellStyle name="Normal 615 4 2 2 2" xfId="35798"/>
    <cellStyle name="Normal 615 4 2 3" xfId="28741"/>
    <cellStyle name="Normal 615 4 3" xfId="15185"/>
    <cellStyle name="Normal 615 4 3 2" xfId="32806"/>
    <cellStyle name="Normal 615 4 4" xfId="25881"/>
    <cellStyle name="Normal 615 5" xfId="8741"/>
    <cellStyle name="Normal 615 5 2" xfId="16531"/>
    <cellStyle name="Normal 615 5 2 2" xfId="34152"/>
    <cellStyle name="Normal 615 5 3" xfId="27128"/>
    <cellStyle name="Normal 615 6" xfId="13198"/>
    <cellStyle name="Normal 615 6 2" xfId="30829"/>
    <cellStyle name="Normal 615 7" xfId="24267"/>
    <cellStyle name="Normal 616" xfId="5207"/>
    <cellStyle name="Normal 616 2" xfId="5999"/>
    <cellStyle name="Normal 616 2 2" xfId="9296"/>
    <cellStyle name="Normal 616 2 2 2" xfId="17085"/>
    <cellStyle name="Normal 616 2 2 2 2" xfId="34707"/>
    <cellStyle name="Normal 616 2 2 3" xfId="27670"/>
    <cellStyle name="Normal 616 2 3" xfId="13849"/>
    <cellStyle name="Normal 616 2 3 2" xfId="31475"/>
    <cellStyle name="Normal 616 2 4" xfId="24809"/>
    <cellStyle name="Normal 616 3" xfId="6629"/>
    <cellStyle name="Normal 616 3 2" xfId="9836"/>
    <cellStyle name="Normal 616 3 2 2" xfId="17624"/>
    <cellStyle name="Normal 616 3 2 2 2" xfId="35247"/>
    <cellStyle name="Normal 616 3 2 3" xfId="28206"/>
    <cellStyle name="Normal 616 3 3" xfId="14412"/>
    <cellStyle name="Normal 616 3 3 2" xfId="32033"/>
    <cellStyle name="Normal 616 3 4" xfId="25345"/>
    <cellStyle name="Normal 616 4" xfId="7404"/>
    <cellStyle name="Normal 616 4 2" xfId="10389"/>
    <cellStyle name="Normal 616 4 2 2" xfId="18176"/>
    <cellStyle name="Normal 616 4 2 2 2" xfId="35799"/>
    <cellStyle name="Normal 616 4 2 3" xfId="28742"/>
    <cellStyle name="Normal 616 4 3" xfId="15186"/>
    <cellStyle name="Normal 616 4 3 2" xfId="32807"/>
    <cellStyle name="Normal 616 4 4" xfId="25882"/>
    <cellStyle name="Normal 616 5" xfId="8742"/>
    <cellStyle name="Normal 616 5 2" xfId="16532"/>
    <cellStyle name="Normal 616 5 2 2" xfId="34153"/>
    <cellStyle name="Normal 616 5 3" xfId="27129"/>
    <cellStyle name="Normal 616 6" xfId="13199"/>
    <cellStyle name="Normal 616 6 2" xfId="30830"/>
    <cellStyle name="Normal 616 7" xfId="24268"/>
    <cellStyle name="Normal 617" xfId="5208"/>
    <cellStyle name="Normal 617 2" xfId="6000"/>
    <cellStyle name="Normal 617 2 2" xfId="9297"/>
    <cellStyle name="Normal 617 2 2 2" xfId="17086"/>
    <cellStyle name="Normal 617 2 2 2 2" xfId="34708"/>
    <cellStyle name="Normal 617 2 2 3" xfId="27671"/>
    <cellStyle name="Normal 617 2 3" xfId="13850"/>
    <cellStyle name="Normal 617 2 3 2" xfId="31476"/>
    <cellStyle name="Normal 617 2 4" xfId="24810"/>
    <cellStyle name="Normal 617 3" xfId="6630"/>
    <cellStyle name="Normal 617 3 2" xfId="9837"/>
    <cellStyle name="Normal 617 3 2 2" xfId="17625"/>
    <cellStyle name="Normal 617 3 2 2 2" xfId="35248"/>
    <cellStyle name="Normal 617 3 2 3" xfId="28207"/>
    <cellStyle name="Normal 617 3 3" xfId="14413"/>
    <cellStyle name="Normal 617 3 3 2" xfId="32034"/>
    <cellStyle name="Normal 617 3 4" xfId="25346"/>
    <cellStyle name="Normal 617 4" xfId="7405"/>
    <cellStyle name="Normal 617 4 2" xfId="10390"/>
    <cellStyle name="Normal 617 4 2 2" xfId="18177"/>
    <cellStyle name="Normal 617 4 2 2 2" xfId="35800"/>
    <cellStyle name="Normal 617 4 2 3" xfId="28743"/>
    <cellStyle name="Normal 617 4 3" xfId="15187"/>
    <cellStyle name="Normal 617 4 3 2" xfId="32808"/>
    <cellStyle name="Normal 617 4 4" xfId="25883"/>
    <cellStyle name="Normal 617 5" xfId="8743"/>
    <cellStyle name="Normal 617 5 2" xfId="16533"/>
    <cellStyle name="Normal 617 5 2 2" xfId="34154"/>
    <cellStyle name="Normal 617 5 3" xfId="27130"/>
    <cellStyle name="Normal 617 6" xfId="13200"/>
    <cellStyle name="Normal 617 6 2" xfId="30831"/>
    <cellStyle name="Normal 617 7" xfId="24269"/>
    <cellStyle name="Normal 618" xfId="5209"/>
    <cellStyle name="Normal 618 2" xfId="6001"/>
    <cellStyle name="Normal 618 2 2" xfId="9298"/>
    <cellStyle name="Normal 618 2 2 2" xfId="17087"/>
    <cellStyle name="Normal 618 2 2 2 2" xfId="34709"/>
    <cellStyle name="Normal 618 2 2 3" xfId="27672"/>
    <cellStyle name="Normal 618 2 3" xfId="13851"/>
    <cellStyle name="Normal 618 2 3 2" xfId="31477"/>
    <cellStyle name="Normal 618 2 4" xfId="24811"/>
    <cellStyle name="Normal 618 3" xfId="6631"/>
    <cellStyle name="Normal 618 3 2" xfId="9838"/>
    <cellStyle name="Normal 618 3 2 2" xfId="17626"/>
    <cellStyle name="Normal 618 3 2 2 2" xfId="35249"/>
    <cellStyle name="Normal 618 3 2 3" xfId="28208"/>
    <cellStyle name="Normal 618 3 3" xfId="14414"/>
    <cellStyle name="Normal 618 3 3 2" xfId="32035"/>
    <cellStyle name="Normal 618 3 4" xfId="25347"/>
    <cellStyle name="Normal 618 4" xfId="7406"/>
    <cellStyle name="Normal 618 4 2" xfId="10391"/>
    <cellStyle name="Normal 618 4 2 2" xfId="18178"/>
    <cellStyle name="Normal 618 4 2 2 2" xfId="35801"/>
    <cellStyle name="Normal 618 4 2 3" xfId="28744"/>
    <cellStyle name="Normal 618 4 3" xfId="15188"/>
    <cellStyle name="Normal 618 4 3 2" xfId="32809"/>
    <cellStyle name="Normal 618 4 4" xfId="25884"/>
    <cellStyle name="Normal 618 5" xfId="8744"/>
    <cellStyle name="Normal 618 5 2" xfId="16534"/>
    <cellStyle name="Normal 618 5 2 2" xfId="34155"/>
    <cellStyle name="Normal 618 5 3" xfId="27131"/>
    <cellStyle name="Normal 618 6" xfId="13201"/>
    <cellStyle name="Normal 618 6 2" xfId="30832"/>
    <cellStyle name="Normal 618 7" xfId="24270"/>
    <cellStyle name="Normal 619" xfId="5210"/>
    <cellStyle name="Normal 619 2" xfId="6002"/>
    <cellStyle name="Normal 619 2 2" xfId="9299"/>
    <cellStyle name="Normal 619 2 2 2" xfId="17088"/>
    <cellStyle name="Normal 619 2 2 2 2" xfId="34710"/>
    <cellStyle name="Normal 619 2 2 3" xfId="27673"/>
    <cellStyle name="Normal 619 2 3" xfId="13852"/>
    <cellStyle name="Normal 619 2 3 2" xfId="31478"/>
    <cellStyle name="Normal 619 2 4" xfId="24812"/>
    <cellStyle name="Normal 619 3" xfId="6632"/>
    <cellStyle name="Normal 619 3 2" xfId="9839"/>
    <cellStyle name="Normal 619 3 2 2" xfId="17627"/>
    <cellStyle name="Normal 619 3 2 2 2" xfId="35250"/>
    <cellStyle name="Normal 619 3 2 3" xfId="28209"/>
    <cellStyle name="Normal 619 3 3" xfId="14415"/>
    <cellStyle name="Normal 619 3 3 2" xfId="32036"/>
    <cellStyle name="Normal 619 3 4" xfId="25348"/>
    <cellStyle name="Normal 619 4" xfId="7407"/>
    <cellStyle name="Normal 619 4 2" xfId="10392"/>
    <cellStyle name="Normal 619 4 2 2" xfId="18179"/>
    <cellStyle name="Normal 619 4 2 2 2" xfId="35802"/>
    <cellStyle name="Normal 619 4 2 3" xfId="28745"/>
    <cellStyle name="Normal 619 4 3" xfId="15189"/>
    <cellStyle name="Normal 619 4 3 2" xfId="32810"/>
    <cellStyle name="Normal 619 4 4" xfId="25885"/>
    <cellStyle name="Normal 619 5" xfId="8745"/>
    <cellStyle name="Normal 619 5 2" xfId="16535"/>
    <cellStyle name="Normal 619 5 2 2" xfId="34156"/>
    <cellStyle name="Normal 619 5 3" xfId="27132"/>
    <cellStyle name="Normal 619 6" xfId="13202"/>
    <cellStyle name="Normal 619 6 2" xfId="30833"/>
    <cellStyle name="Normal 619 7" xfId="24271"/>
    <cellStyle name="Normal 62" xfId="3001"/>
    <cellStyle name="Normal 62 2" xfId="5211"/>
    <cellStyle name="Normal 62 3" xfId="52583"/>
    <cellStyle name="Normal 620" xfId="5212"/>
    <cellStyle name="Normal 620 2" xfId="6003"/>
    <cellStyle name="Normal 620 2 2" xfId="9300"/>
    <cellStyle name="Normal 620 2 2 2" xfId="17089"/>
    <cellStyle name="Normal 620 2 2 2 2" xfId="34711"/>
    <cellStyle name="Normal 620 2 2 3" xfId="27674"/>
    <cellStyle name="Normal 620 2 3" xfId="13853"/>
    <cellStyle name="Normal 620 2 3 2" xfId="31479"/>
    <cellStyle name="Normal 620 2 4" xfId="24813"/>
    <cellStyle name="Normal 620 3" xfId="6633"/>
    <cellStyle name="Normal 620 3 2" xfId="9840"/>
    <cellStyle name="Normal 620 3 2 2" xfId="17628"/>
    <cellStyle name="Normal 620 3 2 2 2" xfId="35251"/>
    <cellStyle name="Normal 620 3 2 3" xfId="28210"/>
    <cellStyle name="Normal 620 3 3" xfId="14416"/>
    <cellStyle name="Normal 620 3 3 2" xfId="32037"/>
    <cellStyle name="Normal 620 3 4" xfId="25349"/>
    <cellStyle name="Normal 620 4" xfId="7408"/>
    <cellStyle name="Normal 620 4 2" xfId="10393"/>
    <cellStyle name="Normal 620 4 2 2" xfId="18180"/>
    <cellStyle name="Normal 620 4 2 2 2" xfId="35803"/>
    <cellStyle name="Normal 620 4 2 3" xfId="28746"/>
    <cellStyle name="Normal 620 4 3" xfId="15190"/>
    <cellStyle name="Normal 620 4 3 2" xfId="32811"/>
    <cellStyle name="Normal 620 4 4" xfId="25886"/>
    <cellStyle name="Normal 620 5" xfId="8746"/>
    <cellStyle name="Normal 620 5 2" xfId="16536"/>
    <cellStyle name="Normal 620 5 2 2" xfId="34157"/>
    <cellStyle name="Normal 620 5 3" xfId="27133"/>
    <cellStyle name="Normal 620 6" xfId="13203"/>
    <cellStyle name="Normal 620 6 2" xfId="30834"/>
    <cellStyle name="Normal 620 7" xfId="24272"/>
    <cellStyle name="Normal 621" xfId="5213"/>
    <cellStyle name="Normal 621 2" xfId="6004"/>
    <cellStyle name="Normal 621 2 2" xfId="9301"/>
    <cellStyle name="Normal 621 2 2 2" xfId="17090"/>
    <cellStyle name="Normal 621 2 2 2 2" xfId="34712"/>
    <cellStyle name="Normal 621 2 2 3" xfId="27675"/>
    <cellStyle name="Normal 621 2 3" xfId="13854"/>
    <cellStyle name="Normal 621 2 3 2" xfId="31480"/>
    <cellStyle name="Normal 621 2 4" xfId="24814"/>
    <cellStyle name="Normal 621 3" xfId="6634"/>
    <cellStyle name="Normal 621 3 2" xfId="9841"/>
    <cellStyle name="Normal 621 3 2 2" xfId="17629"/>
    <cellStyle name="Normal 621 3 2 2 2" xfId="35252"/>
    <cellStyle name="Normal 621 3 2 3" xfId="28211"/>
    <cellStyle name="Normal 621 3 3" xfId="14417"/>
    <cellStyle name="Normal 621 3 3 2" xfId="32038"/>
    <cellStyle name="Normal 621 3 4" xfId="25350"/>
    <cellStyle name="Normal 621 4" xfId="7409"/>
    <cellStyle name="Normal 621 4 2" xfId="10394"/>
    <cellStyle name="Normal 621 4 2 2" xfId="18181"/>
    <cellStyle name="Normal 621 4 2 2 2" xfId="35804"/>
    <cellStyle name="Normal 621 4 2 3" xfId="28747"/>
    <cellStyle name="Normal 621 4 3" xfId="15191"/>
    <cellStyle name="Normal 621 4 3 2" xfId="32812"/>
    <cellStyle name="Normal 621 4 4" xfId="25887"/>
    <cellStyle name="Normal 621 5" xfId="8747"/>
    <cellStyle name="Normal 621 5 2" xfId="16537"/>
    <cellStyle name="Normal 621 5 2 2" xfId="34158"/>
    <cellStyle name="Normal 621 5 3" xfId="27134"/>
    <cellStyle name="Normal 621 6" xfId="13204"/>
    <cellStyle name="Normal 621 6 2" xfId="30835"/>
    <cellStyle name="Normal 621 7" xfId="24273"/>
    <cellStyle name="Normal 622" xfId="5214"/>
    <cellStyle name="Normal 622 2" xfId="6005"/>
    <cellStyle name="Normal 622 2 2" xfId="9302"/>
    <cellStyle name="Normal 622 2 2 2" xfId="17091"/>
    <cellStyle name="Normal 622 2 2 2 2" xfId="34713"/>
    <cellStyle name="Normal 622 2 2 3" xfId="27676"/>
    <cellStyle name="Normal 622 2 3" xfId="13855"/>
    <cellStyle name="Normal 622 2 3 2" xfId="31481"/>
    <cellStyle name="Normal 622 2 4" xfId="24815"/>
    <cellStyle name="Normal 622 3" xfId="6635"/>
    <cellStyle name="Normal 622 3 2" xfId="9842"/>
    <cellStyle name="Normal 622 3 2 2" xfId="17630"/>
    <cellStyle name="Normal 622 3 2 2 2" xfId="35253"/>
    <cellStyle name="Normal 622 3 2 3" xfId="28212"/>
    <cellStyle name="Normal 622 3 3" xfId="14418"/>
    <cellStyle name="Normal 622 3 3 2" xfId="32039"/>
    <cellStyle name="Normal 622 3 4" xfId="25351"/>
    <cellStyle name="Normal 622 4" xfId="7410"/>
    <cellStyle name="Normal 622 4 2" xfId="10395"/>
    <cellStyle name="Normal 622 4 2 2" xfId="18182"/>
    <cellStyle name="Normal 622 4 2 2 2" xfId="35805"/>
    <cellStyle name="Normal 622 4 2 3" xfId="28748"/>
    <cellStyle name="Normal 622 4 3" xfId="15192"/>
    <cellStyle name="Normal 622 4 3 2" xfId="32813"/>
    <cellStyle name="Normal 622 4 4" xfId="25888"/>
    <cellStyle name="Normal 622 5" xfId="8748"/>
    <cellStyle name="Normal 622 5 2" xfId="16538"/>
    <cellStyle name="Normal 622 5 2 2" xfId="34159"/>
    <cellStyle name="Normal 622 5 3" xfId="27135"/>
    <cellStyle name="Normal 622 6" xfId="13205"/>
    <cellStyle name="Normal 622 6 2" xfId="30836"/>
    <cellStyle name="Normal 622 7" xfId="24274"/>
    <cellStyle name="Normal 623" xfId="5215"/>
    <cellStyle name="Normal 623 2" xfId="6006"/>
    <cellStyle name="Normal 623 2 2" xfId="9303"/>
    <cellStyle name="Normal 623 2 2 2" xfId="17092"/>
    <cellStyle name="Normal 623 2 2 2 2" xfId="34714"/>
    <cellStyle name="Normal 623 2 2 3" xfId="27677"/>
    <cellStyle name="Normal 623 2 3" xfId="13856"/>
    <cellStyle name="Normal 623 2 3 2" xfId="31482"/>
    <cellStyle name="Normal 623 2 4" xfId="24816"/>
    <cellStyle name="Normal 623 3" xfId="6636"/>
    <cellStyle name="Normal 623 3 2" xfId="9843"/>
    <cellStyle name="Normal 623 3 2 2" xfId="17631"/>
    <cellStyle name="Normal 623 3 2 2 2" xfId="35254"/>
    <cellStyle name="Normal 623 3 2 3" xfId="28213"/>
    <cellStyle name="Normal 623 3 3" xfId="14419"/>
    <cellStyle name="Normal 623 3 3 2" xfId="32040"/>
    <cellStyle name="Normal 623 3 4" xfId="25352"/>
    <cellStyle name="Normal 623 4" xfId="7411"/>
    <cellStyle name="Normal 623 4 2" xfId="10396"/>
    <cellStyle name="Normal 623 4 2 2" xfId="18183"/>
    <cellStyle name="Normal 623 4 2 2 2" xfId="35806"/>
    <cellStyle name="Normal 623 4 2 3" xfId="28749"/>
    <cellStyle name="Normal 623 4 3" xfId="15193"/>
    <cellStyle name="Normal 623 4 3 2" xfId="32814"/>
    <cellStyle name="Normal 623 4 4" xfId="25889"/>
    <cellStyle name="Normal 623 5" xfId="8749"/>
    <cellStyle name="Normal 623 5 2" xfId="16539"/>
    <cellStyle name="Normal 623 5 2 2" xfId="34160"/>
    <cellStyle name="Normal 623 5 3" xfId="27136"/>
    <cellStyle name="Normal 623 6" xfId="13206"/>
    <cellStyle name="Normal 623 6 2" xfId="30837"/>
    <cellStyle name="Normal 623 7" xfId="24275"/>
    <cellStyle name="Normal 624" xfId="5216"/>
    <cellStyle name="Normal 624 2" xfId="6007"/>
    <cellStyle name="Normal 624 2 2" xfId="9304"/>
    <cellStyle name="Normal 624 2 2 2" xfId="17093"/>
    <cellStyle name="Normal 624 2 2 2 2" xfId="34715"/>
    <cellStyle name="Normal 624 2 2 3" xfId="27678"/>
    <cellStyle name="Normal 624 2 3" xfId="13857"/>
    <cellStyle name="Normal 624 2 3 2" xfId="31483"/>
    <cellStyle name="Normal 624 2 4" xfId="24817"/>
    <cellStyle name="Normal 624 3" xfId="6637"/>
    <cellStyle name="Normal 624 3 2" xfId="9844"/>
    <cellStyle name="Normal 624 3 2 2" xfId="17632"/>
    <cellStyle name="Normal 624 3 2 2 2" xfId="35255"/>
    <cellStyle name="Normal 624 3 2 3" xfId="28214"/>
    <cellStyle name="Normal 624 3 3" xfId="14420"/>
    <cellStyle name="Normal 624 3 3 2" xfId="32041"/>
    <cellStyle name="Normal 624 3 4" xfId="25353"/>
    <cellStyle name="Normal 624 4" xfId="7412"/>
    <cellStyle name="Normal 624 4 2" xfId="10397"/>
    <cellStyle name="Normal 624 4 2 2" xfId="18184"/>
    <cellStyle name="Normal 624 4 2 2 2" xfId="35807"/>
    <cellStyle name="Normal 624 4 2 3" xfId="28750"/>
    <cellStyle name="Normal 624 4 3" xfId="15194"/>
    <cellStyle name="Normal 624 4 3 2" xfId="32815"/>
    <cellStyle name="Normal 624 4 4" xfId="25890"/>
    <cellStyle name="Normal 624 5" xfId="8750"/>
    <cellStyle name="Normal 624 5 2" xfId="16540"/>
    <cellStyle name="Normal 624 5 2 2" xfId="34161"/>
    <cellStyle name="Normal 624 5 3" xfId="27137"/>
    <cellStyle name="Normal 624 6" xfId="13207"/>
    <cellStyle name="Normal 624 6 2" xfId="30838"/>
    <cellStyle name="Normal 624 7" xfId="24276"/>
    <cellStyle name="Normal 625" xfId="5217"/>
    <cellStyle name="Normal 625 2" xfId="6008"/>
    <cellStyle name="Normal 625 2 2" xfId="9305"/>
    <cellStyle name="Normal 625 2 2 2" xfId="17094"/>
    <cellStyle name="Normal 625 2 2 2 2" xfId="34716"/>
    <cellStyle name="Normal 625 2 2 3" xfId="27679"/>
    <cellStyle name="Normal 625 2 3" xfId="13858"/>
    <cellStyle name="Normal 625 2 3 2" xfId="31484"/>
    <cellStyle name="Normal 625 2 4" xfId="24818"/>
    <cellStyle name="Normal 625 3" xfId="6638"/>
    <cellStyle name="Normal 625 3 2" xfId="9845"/>
    <cellStyle name="Normal 625 3 2 2" xfId="17633"/>
    <cellStyle name="Normal 625 3 2 2 2" xfId="35256"/>
    <cellStyle name="Normal 625 3 2 3" xfId="28215"/>
    <cellStyle name="Normal 625 3 3" xfId="14421"/>
    <cellStyle name="Normal 625 3 3 2" xfId="32042"/>
    <cellStyle name="Normal 625 3 4" xfId="25354"/>
    <cellStyle name="Normal 625 4" xfId="7413"/>
    <cellStyle name="Normal 625 4 2" xfId="10398"/>
    <cellStyle name="Normal 625 4 2 2" xfId="18185"/>
    <cellStyle name="Normal 625 4 2 2 2" xfId="35808"/>
    <cellStyle name="Normal 625 4 2 3" xfId="28751"/>
    <cellStyle name="Normal 625 4 3" xfId="15195"/>
    <cellStyle name="Normal 625 4 3 2" xfId="32816"/>
    <cellStyle name="Normal 625 4 4" xfId="25891"/>
    <cellStyle name="Normal 625 5" xfId="8751"/>
    <cellStyle name="Normal 625 5 2" xfId="16541"/>
    <cellStyle name="Normal 625 5 2 2" xfId="34162"/>
    <cellStyle name="Normal 625 5 3" xfId="27138"/>
    <cellStyle name="Normal 625 6" xfId="13208"/>
    <cellStyle name="Normal 625 6 2" xfId="30839"/>
    <cellStyle name="Normal 625 7" xfId="24277"/>
    <cellStyle name="Normal 626" xfId="5218"/>
    <cellStyle name="Normal 626 2" xfId="6009"/>
    <cellStyle name="Normal 626 2 2" xfId="9306"/>
    <cellStyle name="Normal 626 2 2 2" xfId="17095"/>
    <cellStyle name="Normal 626 2 2 2 2" xfId="34717"/>
    <cellStyle name="Normal 626 2 2 3" xfId="27680"/>
    <cellStyle name="Normal 626 2 3" xfId="13859"/>
    <cellStyle name="Normal 626 2 3 2" xfId="31485"/>
    <cellStyle name="Normal 626 2 4" xfId="24819"/>
    <cellStyle name="Normal 626 3" xfId="6639"/>
    <cellStyle name="Normal 626 3 2" xfId="9846"/>
    <cellStyle name="Normal 626 3 2 2" xfId="17634"/>
    <cellStyle name="Normal 626 3 2 2 2" xfId="35257"/>
    <cellStyle name="Normal 626 3 2 3" xfId="28216"/>
    <cellStyle name="Normal 626 3 3" xfId="14422"/>
    <cellStyle name="Normal 626 3 3 2" xfId="32043"/>
    <cellStyle name="Normal 626 3 4" xfId="25355"/>
    <cellStyle name="Normal 626 4" xfId="7414"/>
    <cellStyle name="Normal 626 4 2" xfId="10399"/>
    <cellStyle name="Normal 626 4 2 2" xfId="18186"/>
    <cellStyle name="Normal 626 4 2 2 2" xfId="35809"/>
    <cellStyle name="Normal 626 4 2 3" xfId="28752"/>
    <cellStyle name="Normal 626 4 3" xfId="15196"/>
    <cellStyle name="Normal 626 4 3 2" xfId="32817"/>
    <cellStyle name="Normal 626 4 4" xfId="25892"/>
    <cellStyle name="Normal 626 5" xfId="8752"/>
    <cellStyle name="Normal 626 5 2" xfId="16542"/>
    <cellStyle name="Normal 626 5 2 2" xfId="34163"/>
    <cellStyle name="Normal 626 5 3" xfId="27139"/>
    <cellStyle name="Normal 626 6" xfId="13209"/>
    <cellStyle name="Normal 626 6 2" xfId="30840"/>
    <cellStyle name="Normal 626 7" xfId="24278"/>
    <cellStyle name="Normal 627" xfId="5219"/>
    <cellStyle name="Normal 627 2" xfId="6010"/>
    <cellStyle name="Normal 627 2 2" xfId="9307"/>
    <cellStyle name="Normal 627 2 2 2" xfId="17096"/>
    <cellStyle name="Normal 627 2 2 2 2" xfId="34718"/>
    <cellStyle name="Normal 627 2 2 3" xfId="27681"/>
    <cellStyle name="Normal 627 2 3" xfId="13860"/>
    <cellStyle name="Normal 627 2 3 2" xfId="31486"/>
    <cellStyle name="Normal 627 2 4" xfId="24820"/>
    <cellStyle name="Normal 627 3" xfId="6640"/>
    <cellStyle name="Normal 627 3 2" xfId="9847"/>
    <cellStyle name="Normal 627 3 2 2" xfId="17635"/>
    <cellStyle name="Normal 627 3 2 2 2" xfId="35258"/>
    <cellStyle name="Normal 627 3 2 3" xfId="28217"/>
    <cellStyle name="Normal 627 3 3" xfId="14423"/>
    <cellStyle name="Normal 627 3 3 2" xfId="32044"/>
    <cellStyle name="Normal 627 3 4" xfId="25356"/>
    <cellStyle name="Normal 627 4" xfId="7415"/>
    <cellStyle name="Normal 627 4 2" xfId="10400"/>
    <cellStyle name="Normal 627 4 2 2" xfId="18187"/>
    <cellStyle name="Normal 627 4 2 2 2" xfId="35810"/>
    <cellStyle name="Normal 627 4 2 3" xfId="28753"/>
    <cellStyle name="Normal 627 4 3" xfId="15197"/>
    <cellStyle name="Normal 627 4 3 2" xfId="32818"/>
    <cellStyle name="Normal 627 4 4" xfId="25893"/>
    <cellStyle name="Normal 627 5" xfId="8753"/>
    <cellStyle name="Normal 627 5 2" xfId="16543"/>
    <cellStyle name="Normal 627 5 2 2" xfId="34164"/>
    <cellStyle name="Normal 627 5 3" xfId="27140"/>
    <cellStyle name="Normal 627 6" xfId="13210"/>
    <cellStyle name="Normal 627 6 2" xfId="30841"/>
    <cellStyle name="Normal 627 7" xfId="24279"/>
    <cellStyle name="Normal 628" xfId="5220"/>
    <cellStyle name="Normal 628 2" xfId="6011"/>
    <cellStyle name="Normal 628 2 2" xfId="9308"/>
    <cellStyle name="Normal 628 2 2 2" xfId="17097"/>
    <cellStyle name="Normal 628 2 2 2 2" xfId="34719"/>
    <cellStyle name="Normal 628 2 2 3" xfId="27682"/>
    <cellStyle name="Normal 628 2 3" xfId="13861"/>
    <cellStyle name="Normal 628 2 3 2" xfId="31487"/>
    <cellStyle name="Normal 628 2 4" xfId="24821"/>
    <cellStyle name="Normal 628 3" xfId="6641"/>
    <cellStyle name="Normal 628 3 2" xfId="9848"/>
    <cellStyle name="Normal 628 3 2 2" xfId="17636"/>
    <cellStyle name="Normal 628 3 2 2 2" xfId="35259"/>
    <cellStyle name="Normal 628 3 2 3" xfId="28218"/>
    <cellStyle name="Normal 628 3 3" xfId="14424"/>
    <cellStyle name="Normal 628 3 3 2" xfId="32045"/>
    <cellStyle name="Normal 628 3 4" xfId="25357"/>
    <cellStyle name="Normal 628 4" xfId="7416"/>
    <cellStyle name="Normal 628 4 2" xfId="10401"/>
    <cellStyle name="Normal 628 4 2 2" xfId="18188"/>
    <cellStyle name="Normal 628 4 2 2 2" xfId="35811"/>
    <cellStyle name="Normal 628 4 2 3" xfId="28754"/>
    <cellStyle name="Normal 628 4 3" xfId="15198"/>
    <cellStyle name="Normal 628 4 3 2" xfId="32819"/>
    <cellStyle name="Normal 628 4 4" xfId="25894"/>
    <cellStyle name="Normal 628 5" xfId="8754"/>
    <cellStyle name="Normal 628 5 2" xfId="16544"/>
    <cellStyle name="Normal 628 5 2 2" xfId="34165"/>
    <cellStyle name="Normal 628 5 3" xfId="27141"/>
    <cellStyle name="Normal 628 6" xfId="13211"/>
    <cellStyle name="Normal 628 6 2" xfId="30842"/>
    <cellStyle name="Normal 628 7" xfId="24280"/>
    <cellStyle name="Normal 629" xfId="5221"/>
    <cellStyle name="Normal 629 2" xfId="6012"/>
    <cellStyle name="Normal 629 2 2" xfId="9309"/>
    <cellStyle name="Normal 629 2 2 2" xfId="17098"/>
    <cellStyle name="Normal 629 2 2 2 2" xfId="34720"/>
    <cellStyle name="Normal 629 2 2 3" xfId="27683"/>
    <cellStyle name="Normal 629 2 3" xfId="13862"/>
    <cellStyle name="Normal 629 2 3 2" xfId="31488"/>
    <cellStyle name="Normal 629 2 4" xfId="24822"/>
    <cellStyle name="Normal 629 3" xfId="6642"/>
    <cellStyle name="Normal 629 3 2" xfId="9849"/>
    <cellStyle name="Normal 629 3 2 2" xfId="17637"/>
    <cellStyle name="Normal 629 3 2 2 2" xfId="35260"/>
    <cellStyle name="Normal 629 3 2 3" xfId="28219"/>
    <cellStyle name="Normal 629 3 3" xfId="14425"/>
    <cellStyle name="Normal 629 3 3 2" xfId="32046"/>
    <cellStyle name="Normal 629 3 4" xfId="25358"/>
    <cellStyle name="Normal 629 4" xfId="7417"/>
    <cellStyle name="Normal 629 4 2" xfId="10402"/>
    <cellStyle name="Normal 629 4 2 2" xfId="18189"/>
    <cellStyle name="Normal 629 4 2 2 2" xfId="35812"/>
    <cellStyle name="Normal 629 4 2 3" xfId="28755"/>
    <cellStyle name="Normal 629 4 3" xfId="15199"/>
    <cellStyle name="Normal 629 4 3 2" xfId="32820"/>
    <cellStyle name="Normal 629 4 4" xfId="25895"/>
    <cellStyle name="Normal 629 5" xfId="8755"/>
    <cellStyle name="Normal 629 5 2" xfId="16545"/>
    <cellStyle name="Normal 629 5 2 2" xfId="34166"/>
    <cellStyle name="Normal 629 5 3" xfId="27142"/>
    <cellStyle name="Normal 629 6" xfId="13212"/>
    <cellStyle name="Normal 629 6 2" xfId="30843"/>
    <cellStyle name="Normal 629 7" xfId="24281"/>
    <cellStyle name="Normal 63" xfId="3002"/>
    <cellStyle name="Normal 63 2" xfId="5222"/>
    <cellStyle name="Normal 63 3" xfId="52584"/>
    <cellStyle name="Normal 630" xfId="5223"/>
    <cellStyle name="Normal 630 2" xfId="6013"/>
    <cellStyle name="Normal 630 2 2" xfId="9310"/>
    <cellStyle name="Normal 630 2 2 2" xfId="17099"/>
    <cellStyle name="Normal 630 2 2 2 2" xfId="34721"/>
    <cellStyle name="Normal 630 2 2 3" xfId="27684"/>
    <cellStyle name="Normal 630 2 3" xfId="13863"/>
    <cellStyle name="Normal 630 2 3 2" xfId="31489"/>
    <cellStyle name="Normal 630 2 4" xfId="24823"/>
    <cellStyle name="Normal 630 3" xfId="6643"/>
    <cellStyle name="Normal 630 3 2" xfId="9850"/>
    <cellStyle name="Normal 630 3 2 2" xfId="17638"/>
    <cellStyle name="Normal 630 3 2 2 2" xfId="35261"/>
    <cellStyle name="Normal 630 3 2 3" xfId="28220"/>
    <cellStyle name="Normal 630 3 3" xfId="14426"/>
    <cellStyle name="Normal 630 3 3 2" xfId="32047"/>
    <cellStyle name="Normal 630 3 4" xfId="25359"/>
    <cellStyle name="Normal 630 4" xfId="7418"/>
    <cellStyle name="Normal 630 4 2" xfId="10403"/>
    <cellStyle name="Normal 630 4 2 2" xfId="18190"/>
    <cellStyle name="Normal 630 4 2 2 2" xfId="35813"/>
    <cellStyle name="Normal 630 4 2 3" xfId="28756"/>
    <cellStyle name="Normal 630 4 3" xfId="15200"/>
    <cellStyle name="Normal 630 4 3 2" xfId="32821"/>
    <cellStyle name="Normal 630 4 4" xfId="25896"/>
    <cellStyle name="Normal 630 5" xfId="8756"/>
    <cellStyle name="Normal 630 5 2" xfId="16546"/>
    <cellStyle name="Normal 630 5 2 2" xfId="34167"/>
    <cellStyle name="Normal 630 5 3" xfId="27143"/>
    <cellStyle name="Normal 630 6" xfId="13213"/>
    <cellStyle name="Normal 630 6 2" xfId="30844"/>
    <cellStyle name="Normal 630 7" xfId="24282"/>
    <cellStyle name="Normal 631" xfId="5224"/>
    <cellStyle name="Normal 631 2" xfId="6014"/>
    <cellStyle name="Normal 631 2 2" xfId="9311"/>
    <cellStyle name="Normal 631 2 2 2" xfId="17100"/>
    <cellStyle name="Normal 631 2 2 2 2" xfId="34722"/>
    <cellStyle name="Normal 631 2 2 3" xfId="27685"/>
    <cellStyle name="Normal 631 2 3" xfId="13864"/>
    <cellStyle name="Normal 631 2 3 2" xfId="31490"/>
    <cellStyle name="Normal 631 2 4" xfId="24824"/>
    <cellStyle name="Normal 631 3" xfId="6644"/>
    <cellStyle name="Normal 631 3 2" xfId="9851"/>
    <cellStyle name="Normal 631 3 2 2" xfId="17639"/>
    <cellStyle name="Normal 631 3 2 2 2" xfId="35262"/>
    <cellStyle name="Normal 631 3 2 3" xfId="28221"/>
    <cellStyle name="Normal 631 3 3" xfId="14427"/>
    <cellStyle name="Normal 631 3 3 2" xfId="32048"/>
    <cellStyle name="Normal 631 3 4" xfId="25360"/>
    <cellStyle name="Normal 631 4" xfId="7419"/>
    <cellStyle name="Normal 631 4 2" xfId="10404"/>
    <cellStyle name="Normal 631 4 2 2" xfId="18191"/>
    <cellStyle name="Normal 631 4 2 2 2" xfId="35814"/>
    <cellStyle name="Normal 631 4 2 3" xfId="28757"/>
    <cellStyle name="Normal 631 4 3" xfId="15201"/>
    <cellStyle name="Normal 631 4 3 2" xfId="32822"/>
    <cellStyle name="Normal 631 4 4" xfId="25897"/>
    <cellStyle name="Normal 631 5" xfId="8757"/>
    <cellStyle name="Normal 631 5 2" xfId="16547"/>
    <cellStyle name="Normal 631 5 2 2" xfId="34168"/>
    <cellStyle name="Normal 631 5 3" xfId="27144"/>
    <cellStyle name="Normal 631 6" xfId="13214"/>
    <cellStyle name="Normal 631 6 2" xfId="30845"/>
    <cellStyle name="Normal 631 7" xfId="24283"/>
    <cellStyle name="Normal 632" xfId="5225"/>
    <cellStyle name="Normal 632 2" xfId="6015"/>
    <cellStyle name="Normal 632 2 2" xfId="9312"/>
    <cellStyle name="Normal 632 2 2 2" xfId="17101"/>
    <cellStyle name="Normal 632 2 2 2 2" xfId="34723"/>
    <cellStyle name="Normal 632 2 2 3" xfId="27686"/>
    <cellStyle name="Normal 632 2 3" xfId="13865"/>
    <cellStyle name="Normal 632 2 3 2" xfId="31491"/>
    <cellStyle name="Normal 632 2 4" xfId="24825"/>
    <cellStyle name="Normal 632 3" xfId="6645"/>
    <cellStyle name="Normal 632 3 2" xfId="9852"/>
    <cellStyle name="Normal 632 3 2 2" xfId="17640"/>
    <cellStyle name="Normal 632 3 2 2 2" xfId="35263"/>
    <cellStyle name="Normal 632 3 2 3" xfId="28222"/>
    <cellStyle name="Normal 632 3 3" xfId="14428"/>
    <cellStyle name="Normal 632 3 3 2" xfId="32049"/>
    <cellStyle name="Normal 632 3 4" xfId="25361"/>
    <cellStyle name="Normal 632 4" xfId="7420"/>
    <cellStyle name="Normal 632 4 2" xfId="10405"/>
    <cellStyle name="Normal 632 4 2 2" xfId="18192"/>
    <cellStyle name="Normal 632 4 2 2 2" xfId="35815"/>
    <cellStyle name="Normal 632 4 2 3" xfId="28758"/>
    <cellStyle name="Normal 632 4 3" xfId="15202"/>
    <cellStyle name="Normal 632 4 3 2" xfId="32823"/>
    <cellStyle name="Normal 632 4 4" xfId="25898"/>
    <cellStyle name="Normal 632 5" xfId="8758"/>
    <cellStyle name="Normal 632 5 2" xfId="16548"/>
    <cellStyle name="Normal 632 5 2 2" xfId="34169"/>
    <cellStyle name="Normal 632 5 3" xfId="27145"/>
    <cellStyle name="Normal 632 6" xfId="13215"/>
    <cellStyle name="Normal 632 6 2" xfId="30846"/>
    <cellStyle name="Normal 632 7" xfId="24284"/>
    <cellStyle name="Normal 633" xfId="5226"/>
    <cellStyle name="Normal 633 2" xfId="6016"/>
    <cellStyle name="Normal 633 2 2" xfId="9313"/>
    <cellStyle name="Normal 633 2 2 2" xfId="17102"/>
    <cellStyle name="Normal 633 2 2 2 2" xfId="34724"/>
    <cellStyle name="Normal 633 2 2 3" xfId="27687"/>
    <cellStyle name="Normal 633 2 3" xfId="13866"/>
    <cellStyle name="Normal 633 2 3 2" xfId="31492"/>
    <cellStyle name="Normal 633 2 4" xfId="24826"/>
    <cellStyle name="Normal 633 3" xfId="6646"/>
    <cellStyle name="Normal 633 3 2" xfId="9853"/>
    <cellStyle name="Normal 633 3 2 2" xfId="17641"/>
    <cellStyle name="Normal 633 3 2 2 2" xfId="35264"/>
    <cellStyle name="Normal 633 3 2 3" xfId="28223"/>
    <cellStyle name="Normal 633 3 3" xfId="14429"/>
    <cellStyle name="Normal 633 3 3 2" xfId="32050"/>
    <cellStyle name="Normal 633 3 4" xfId="25362"/>
    <cellStyle name="Normal 633 4" xfId="7421"/>
    <cellStyle name="Normal 633 4 2" xfId="10406"/>
    <cellStyle name="Normal 633 4 2 2" xfId="18193"/>
    <cellStyle name="Normal 633 4 2 2 2" xfId="35816"/>
    <cellStyle name="Normal 633 4 2 3" xfId="28759"/>
    <cellStyle name="Normal 633 4 3" xfId="15203"/>
    <cellStyle name="Normal 633 4 3 2" xfId="32824"/>
    <cellStyle name="Normal 633 4 4" xfId="25899"/>
    <cellStyle name="Normal 633 5" xfId="8759"/>
    <cellStyle name="Normal 633 5 2" xfId="16549"/>
    <cellStyle name="Normal 633 5 2 2" xfId="34170"/>
    <cellStyle name="Normal 633 5 3" xfId="27146"/>
    <cellStyle name="Normal 633 6" xfId="13216"/>
    <cellStyle name="Normal 633 6 2" xfId="30847"/>
    <cellStyle name="Normal 633 7" xfId="24285"/>
    <cellStyle name="Normal 634" xfId="5227"/>
    <cellStyle name="Normal 634 2" xfId="6017"/>
    <cellStyle name="Normal 634 2 2" xfId="9314"/>
    <cellStyle name="Normal 634 2 2 2" xfId="17103"/>
    <cellStyle name="Normal 634 2 2 2 2" xfId="34725"/>
    <cellStyle name="Normal 634 2 2 3" xfId="27688"/>
    <cellStyle name="Normal 634 2 3" xfId="13867"/>
    <cellStyle name="Normal 634 2 3 2" xfId="31493"/>
    <cellStyle name="Normal 634 2 4" xfId="24827"/>
    <cellStyle name="Normal 634 3" xfId="6647"/>
    <cellStyle name="Normal 634 3 2" xfId="9854"/>
    <cellStyle name="Normal 634 3 2 2" xfId="17642"/>
    <cellStyle name="Normal 634 3 2 2 2" xfId="35265"/>
    <cellStyle name="Normal 634 3 2 3" xfId="28224"/>
    <cellStyle name="Normal 634 3 3" xfId="14430"/>
    <cellStyle name="Normal 634 3 3 2" xfId="32051"/>
    <cellStyle name="Normal 634 3 4" xfId="25363"/>
    <cellStyle name="Normal 634 4" xfId="7422"/>
    <cellStyle name="Normal 634 4 2" xfId="10407"/>
    <cellStyle name="Normal 634 4 2 2" xfId="18194"/>
    <cellStyle name="Normal 634 4 2 2 2" xfId="35817"/>
    <cellStyle name="Normal 634 4 2 3" xfId="28760"/>
    <cellStyle name="Normal 634 4 3" xfId="15204"/>
    <cellStyle name="Normal 634 4 3 2" xfId="32825"/>
    <cellStyle name="Normal 634 4 4" xfId="25900"/>
    <cellStyle name="Normal 634 5" xfId="8760"/>
    <cellStyle name="Normal 634 5 2" xfId="16550"/>
    <cellStyle name="Normal 634 5 2 2" xfId="34171"/>
    <cellStyle name="Normal 634 5 3" xfId="27147"/>
    <cellStyle name="Normal 634 6" xfId="13217"/>
    <cellStyle name="Normal 634 6 2" xfId="30848"/>
    <cellStyle name="Normal 634 7" xfId="24286"/>
    <cellStyle name="Normal 635" xfId="5228"/>
    <cellStyle name="Normal 635 2" xfId="6018"/>
    <cellStyle name="Normal 635 2 2" xfId="9315"/>
    <cellStyle name="Normal 635 2 2 2" xfId="17104"/>
    <cellStyle name="Normal 635 2 2 2 2" xfId="34726"/>
    <cellStyle name="Normal 635 2 2 3" xfId="27689"/>
    <cellStyle name="Normal 635 2 3" xfId="13868"/>
    <cellStyle name="Normal 635 2 3 2" xfId="31494"/>
    <cellStyle name="Normal 635 2 4" xfId="24828"/>
    <cellStyle name="Normal 635 3" xfId="6648"/>
    <cellStyle name="Normal 635 3 2" xfId="9855"/>
    <cellStyle name="Normal 635 3 2 2" xfId="17643"/>
    <cellStyle name="Normal 635 3 2 2 2" xfId="35266"/>
    <cellStyle name="Normal 635 3 2 3" xfId="28225"/>
    <cellStyle name="Normal 635 3 3" xfId="14431"/>
    <cellStyle name="Normal 635 3 3 2" xfId="32052"/>
    <cellStyle name="Normal 635 3 4" xfId="25364"/>
    <cellStyle name="Normal 635 4" xfId="7423"/>
    <cellStyle name="Normal 635 4 2" xfId="10408"/>
    <cellStyle name="Normal 635 4 2 2" xfId="18195"/>
    <cellStyle name="Normal 635 4 2 2 2" xfId="35818"/>
    <cellStyle name="Normal 635 4 2 3" xfId="28761"/>
    <cellStyle name="Normal 635 4 3" xfId="15205"/>
    <cellStyle name="Normal 635 4 3 2" xfId="32826"/>
    <cellStyle name="Normal 635 4 4" xfId="25901"/>
    <cellStyle name="Normal 635 5" xfId="8761"/>
    <cellStyle name="Normal 635 5 2" xfId="16551"/>
    <cellStyle name="Normal 635 5 2 2" xfId="34172"/>
    <cellStyle name="Normal 635 5 3" xfId="27148"/>
    <cellStyle name="Normal 635 6" xfId="13218"/>
    <cellStyle name="Normal 635 6 2" xfId="30849"/>
    <cellStyle name="Normal 635 7" xfId="24287"/>
    <cellStyle name="Normal 636" xfId="5229"/>
    <cellStyle name="Normal 636 2" xfId="6019"/>
    <cellStyle name="Normal 636 2 2" xfId="9316"/>
    <cellStyle name="Normal 636 2 2 2" xfId="17105"/>
    <cellStyle name="Normal 636 2 2 2 2" xfId="34727"/>
    <cellStyle name="Normal 636 2 2 3" xfId="27690"/>
    <cellStyle name="Normal 636 2 3" xfId="13869"/>
    <cellStyle name="Normal 636 2 3 2" xfId="31495"/>
    <cellStyle name="Normal 636 2 4" xfId="24829"/>
    <cellStyle name="Normal 636 3" xfId="6649"/>
    <cellStyle name="Normal 636 3 2" xfId="9856"/>
    <cellStyle name="Normal 636 3 2 2" xfId="17644"/>
    <cellStyle name="Normal 636 3 2 2 2" xfId="35267"/>
    <cellStyle name="Normal 636 3 2 3" xfId="28226"/>
    <cellStyle name="Normal 636 3 3" xfId="14432"/>
    <cellStyle name="Normal 636 3 3 2" xfId="32053"/>
    <cellStyle name="Normal 636 3 4" xfId="25365"/>
    <cellStyle name="Normal 636 4" xfId="7424"/>
    <cellStyle name="Normal 636 4 2" xfId="10409"/>
    <cellStyle name="Normal 636 4 2 2" xfId="18196"/>
    <cellStyle name="Normal 636 4 2 2 2" xfId="35819"/>
    <cellStyle name="Normal 636 4 2 3" xfId="28762"/>
    <cellStyle name="Normal 636 4 3" xfId="15206"/>
    <cellStyle name="Normal 636 4 3 2" xfId="32827"/>
    <cellStyle name="Normal 636 4 4" xfId="25902"/>
    <cellStyle name="Normal 636 5" xfId="8762"/>
    <cellStyle name="Normal 636 5 2" xfId="16552"/>
    <cellStyle name="Normal 636 5 2 2" xfId="34173"/>
    <cellStyle name="Normal 636 5 3" xfId="27149"/>
    <cellStyle name="Normal 636 6" xfId="13219"/>
    <cellStyle name="Normal 636 6 2" xfId="30850"/>
    <cellStyle name="Normal 636 7" xfId="24288"/>
    <cellStyle name="Normal 637" xfId="5230"/>
    <cellStyle name="Normal 637 2" xfId="6020"/>
    <cellStyle name="Normal 637 2 2" xfId="9317"/>
    <cellStyle name="Normal 637 2 2 2" xfId="17106"/>
    <cellStyle name="Normal 637 2 2 2 2" xfId="34728"/>
    <cellStyle name="Normal 637 2 2 3" xfId="27691"/>
    <cellStyle name="Normal 637 2 3" xfId="13870"/>
    <cellStyle name="Normal 637 2 3 2" xfId="31496"/>
    <cellStyle name="Normal 637 2 4" xfId="24830"/>
    <cellStyle name="Normal 637 3" xfId="6650"/>
    <cellStyle name="Normal 637 3 2" xfId="9857"/>
    <cellStyle name="Normal 637 3 2 2" xfId="17645"/>
    <cellStyle name="Normal 637 3 2 2 2" xfId="35268"/>
    <cellStyle name="Normal 637 3 2 3" xfId="28227"/>
    <cellStyle name="Normal 637 3 3" xfId="14433"/>
    <cellStyle name="Normal 637 3 3 2" xfId="32054"/>
    <cellStyle name="Normal 637 3 4" xfId="25366"/>
    <cellStyle name="Normal 637 4" xfId="7425"/>
    <cellStyle name="Normal 637 4 2" xfId="10410"/>
    <cellStyle name="Normal 637 4 2 2" xfId="18197"/>
    <cellStyle name="Normal 637 4 2 2 2" xfId="35820"/>
    <cellStyle name="Normal 637 4 2 3" xfId="28763"/>
    <cellStyle name="Normal 637 4 3" xfId="15207"/>
    <cellStyle name="Normal 637 4 3 2" xfId="32828"/>
    <cellStyle name="Normal 637 4 4" xfId="25903"/>
    <cellStyle name="Normal 637 5" xfId="8763"/>
    <cellStyle name="Normal 637 5 2" xfId="16553"/>
    <cellStyle name="Normal 637 5 2 2" xfId="34174"/>
    <cellStyle name="Normal 637 5 3" xfId="27150"/>
    <cellStyle name="Normal 637 6" xfId="13220"/>
    <cellStyle name="Normal 637 6 2" xfId="30851"/>
    <cellStyle name="Normal 637 7" xfId="24289"/>
    <cellStyle name="Normal 638" xfId="5231"/>
    <cellStyle name="Normal 638 2" xfId="6021"/>
    <cellStyle name="Normal 638 2 2" xfId="9318"/>
    <cellStyle name="Normal 638 2 2 2" xfId="17107"/>
    <cellStyle name="Normal 638 2 2 2 2" xfId="34729"/>
    <cellStyle name="Normal 638 2 2 3" xfId="27692"/>
    <cellStyle name="Normal 638 2 3" xfId="13871"/>
    <cellStyle name="Normal 638 2 3 2" xfId="31497"/>
    <cellStyle name="Normal 638 2 4" xfId="24831"/>
    <cellStyle name="Normal 638 3" xfId="6651"/>
    <cellStyle name="Normal 638 3 2" xfId="9858"/>
    <cellStyle name="Normal 638 3 2 2" xfId="17646"/>
    <cellStyle name="Normal 638 3 2 2 2" xfId="35269"/>
    <cellStyle name="Normal 638 3 2 3" xfId="28228"/>
    <cellStyle name="Normal 638 3 3" xfId="14434"/>
    <cellStyle name="Normal 638 3 3 2" xfId="32055"/>
    <cellStyle name="Normal 638 3 4" xfId="25367"/>
    <cellStyle name="Normal 638 4" xfId="7426"/>
    <cellStyle name="Normal 638 4 2" xfId="10411"/>
    <cellStyle name="Normal 638 4 2 2" xfId="18198"/>
    <cellStyle name="Normal 638 4 2 2 2" xfId="35821"/>
    <cellStyle name="Normal 638 4 2 3" xfId="28764"/>
    <cellStyle name="Normal 638 4 3" xfId="15208"/>
    <cellStyle name="Normal 638 4 3 2" xfId="32829"/>
    <cellStyle name="Normal 638 4 4" xfId="25904"/>
    <cellStyle name="Normal 638 5" xfId="8764"/>
    <cellStyle name="Normal 638 5 2" xfId="16554"/>
    <cellStyle name="Normal 638 5 2 2" xfId="34175"/>
    <cellStyle name="Normal 638 5 3" xfId="27151"/>
    <cellStyle name="Normal 638 6" xfId="13221"/>
    <cellStyle name="Normal 638 6 2" xfId="30852"/>
    <cellStyle name="Normal 638 7" xfId="24290"/>
    <cellStyle name="Normal 639" xfId="5232"/>
    <cellStyle name="Normal 639 2" xfId="6022"/>
    <cellStyle name="Normal 639 2 2" xfId="9319"/>
    <cellStyle name="Normal 639 2 2 2" xfId="17108"/>
    <cellStyle name="Normal 639 2 2 2 2" xfId="34730"/>
    <cellStyle name="Normal 639 2 2 3" xfId="27693"/>
    <cellStyle name="Normal 639 2 3" xfId="13872"/>
    <cellStyle name="Normal 639 2 3 2" xfId="31498"/>
    <cellStyle name="Normal 639 2 4" xfId="24832"/>
    <cellStyle name="Normal 639 3" xfId="6652"/>
    <cellStyle name="Normal 639 3 2" xfId="9859"/>
    <cellStyle name="Normal 639 3 2 2" xfId="17647"/>
    <cellStyle name="Normal 639 3 2 2 2" xfId="35270"/>
    <cellStyle name="Normal 639 3 2 3" xfId="28229"/>
    <cellStyle name="Normal 639 3 3" xfId="14435"/>
    <cellStyle name="Normal 639 3 3 2" xfId="32056"/>
    <cellStyle name="Normal 639 3 4" xfId="25368"/>
    <cellStyle name="Normal 639 4" xfId="7427"/>
    <cellStyle name="Normal 639 4 2" xfId="10412"/>
    <cellStyle name="Normal 639 4 2 2" xfId="18199"/>
    <cellStyle name="Normal 639 4 2 2 2" xfId="35822"/>
    <cellStyle name="Normal 639 4 2 3" xfId="28765"/>
    <cellStyle name="Normal 639 4 3" xfId="15209"/>
    <cellStyle name="Normal 639 4 3 2" xfId="32830"/>
    <cellStyle name="Normal 639 4 4" xfId="25905"/>
    <cellStyle name="Normal 639 5" xfId="8765"/>
    <cellStyle name="Normal 639 5 2" xfId="16555"/>
    <cellStyle name="Normal 639 5 2 2" xfId="34176"/>
    <cellStyle name="Normal 639 5 3" xfId="27152"/>
    <cellStyle name="Normal 639 6" xfId="13222"/>
    <cellStyle name="Normal 639 6 2" xfId="30853"/>
    <cellStyle name="Normal 639 7" xfId="24291"/>
    <cellStyle name="Normal 64" xfId="3003"/>
    <cellStyle name="Normal 64 2" xfId="3004"/>
    <cellStyle name="Normal 64 2 10" xfId="52585"/>
    <cellStyle name="Normal 64 2 2" xfId="5233"/>
    <cellStyle name="Normal 64 2 2 2" xfId="8766"/>
    <cellStyle name="Normal 64 2 2 2 2" xfId="16556"/>
    <cellStyle name="Normal 64 2 2 2 2 2" xfId="34177"/>
    <cellStyle name="Normal 64 2 2 2 3" xfId="27153"/>
    <cellStyle name="Normal 64 2 2 3" xfId="13223"/>
    <cellStyle name="Normal 64 2 2 3 2" xfId="30854"/>
    <cellStyle name="Normal 64 2 2 4" xfId="24292"/>
    <cellStyle name="Normal 64 2 3" xfId="6023"/>
    <cellStyle name="Normal 64 2 3 2" xfId="9320"/>
    <cellStyle name="Normal 64 2 3 2 2" xfId="17109"/>
    <cellStyle name="Normal 64 2 3 2 2 2" xfId="34731"/>
    <cellStyle name="Normal 64 2 3 2 3" xfId="27694"/>
    <cellStyle name="Normal 64 2 3 3" xfId="13873"/>
    <cellStyle name="Normal 64 2 3 3 2" xfId="31499"/>
    <cellStyle name="Normal 64 2 3 4" xfId="24833"/>
    <cellStyle name="Normal 64 2 4" xfId="6653"/>
    <cellStyle name="Normal 64 2 4 2" xfId="9860"/>
    <cellStyle name="Normal 64 2 4 2 2" xfId="17648"/>
    <cellStyle name="Normal 64 2 4 2 2 2" xfId="35271"/>
    <cellStyle name="Normal 64 2 4 2 3" xfId="28230"/>
    <cellStyle name="Normal 64 2 4 3" xfId="14436"/>
    <cellStyle name="Normal 64 2 4 3 2" xfId="32057"/>
    <cellStyle name="Normal 64 2 4 4" xfId="25369"/>
    <cellStyle name="Normal 64 2 5" xfId="7428"/>
    <cellStyle name="Normal 64 2 5 2" xfId="10413"/>
    <cellStyle name="Normal 64 2 5 2 2" xfId="18200"/>
    <cellStyle name="Normal 64 2 5 2 2 2" xfId="35823"/>
    <cellStyle name="Normal 64 2 5 2 3" xfId="28766"/>
    <cellStyle name="Normal 64 2 5 3" xfId="15210"/>
    <cellStyle name="Normal 64 2 5 3 2" xfId="32831"/>
    <cellStyle name="Normal 64 2 5 4" xfId="25906"/>
    <cellStyle name="Normal 64 2 6" xfId="8055"/>
    <cellStyle name="Normal 64 2 6 2" xfId="15846"/>
    <cellStyle name="Normal 64 2 6 2 2" xfId="33467"/>
    <cellStyle name="Normal 64 2 6 3" xfId="26457"/>
    <cellStyle name="Normal 64 2 7" xfId="12026"/>
    <cellStyle name="Normal 64 2 7 2" xfId="29691"/>
    <cellStyle name="Normal 64 2 8" xfId="21980"/>
    <cellStyle name="Normal 64 2 8 2" xfId="38710"/>
    <cellStyle name="Normal 64 2 9" xfId="23596"/>
    <cellStyle name="Normal 64 3" xfId="3005"/>
    <cellStyle name="Normal 64 3 2" xfId="3006"/>
    <cellStyle name="Normal 64 3_Sheet1" xfId="3007"/>
    <cellStyle name="Normal 64 4" xfId="3008"/>
    <cellStyle name="Normal 64 5" xfId="22993"/>
    <cellStyle name="Normal 64 6" xfId="22566"/>
    <cellStyle name="Normal 64 7" xfId="22882"/>
    <cellStyle name="Normal 64_Sheet1" xfId="3009"/>
    <cellStyle name="Normal 640" xfId="5234"/>
    <cellStyle name="Normal 640 2" xfId="6024"/>
    <cellStyle name="Normal 640 2 2" xfId="9321"/>
    <cellStyle name="Normal 640 2 2 2" xfId="17110"/>
    <cellStyle name="Normal 640 2 2 2 2" xfId="34732"/>
    <cellStyle name="Normal 640 2 2 3" xfId="27695"/>
    <cellStyle name="Normal 640 2 3" xfId="13874"/>
    <cellStyle name="Normal 640 2 3 2" xfId="31500"/>
    <cellStyle name="Normal 640 2 4" xfId="24834"/>
    <cellStyle name="Normal 640 3" xfId="6654"/>
    <cellStyle name="Normal 640 3 2" xfId="9861"/>
    <cellStyle name="Normal 640 3 2 2" xfId="17649"/>
    <cellStyle name="Normal 640 3 2 2 2" xfId="35272"/>
    <cellStyle name="Normal 640 3 2 3" xfId="28231"/>
    <cellStyle name="Normal 640 3 3" xfId="14437"/>
    <cellStyle name="Normal 640 3 3 2" xfId="32058"/>
    <cellStyle name="Normal 640 3 4" xfId="25370"/>
    <cellStyle name="Normal 640 4" xfId="7429"/>
    <cellStyle name="Normal 640 4 2" xfId="10414"/>
    <cellStyle name="Normal 640 4 2 2" xfId="18201"/>
    <cellStyle name="Normal 640 4 2 2 2" xfId="35824"/>
    <cellStyle name="Normal 640 4 2 3" xfId="28767"/>
    <cellStyle name="Normal 640 4 3" xfId="15211"/>
    <cellStyle name="Normal 640 4 3 2" xfId="32832"/>
    <cellStyle name="Normal 640 4 4" xfId="25907"/>
    <cellStyle name="Normal 640 5" xfId="8767"/>
    <cellStyle name="Normal 640 5 2" xfId="16557"/>
    <cellStyle name="Normal 640 5 2 2" xfId="34178"/>
    <cellStyle name="Normal 640 5 3" xfId="27154"/>
    <cellStyle name="Normal 640 6" xfId="13224"/>
    <cellStyle name="Normal 640 6 2" xfId="30855"/>
    <cellStyle name="Normal 640 7" xfId="24293"/>
    <cellStyle name="Normal 641" xfId="5235"/>
    <cellStyle name="Normal 641 2" xfId="6025"/>
    <cellStyle name="Normal 641 2 2" xfId="9322"/>
    <cellStyle name="Normal 641 2 2 2" xfId="17111"/>
    <cellStyle name="Normal 641 2 2 2 2" xfId="34733"/>
    <cellStyle name="Normal 641 2 2 3" xfId="27696"/>
    <cellStyle name="Normal 641 2 3" xfId="13875"/>
    <cellStyle name="Normal 641 2 3 2" xfId="31501"/>
    <cellStyle name="Normal 641 2 4" xfId="24835"/>
    <cellStyle name="Normal 641 3" xfId="6655"/>
    <cellStyle name="Normal 641 3 2" xfId="9862"/>
    <cellStyle name="Normal 641 3 2 2" xfId="17650"/>
    <cellStyle name="Normal 641 3 2 2 2" xfId="35273"/>
    <cellStyle name="Normal 641 3 2 3" xfId="28232"/>
    <cellStyle name="Normal 641 3 3" xfId="14438"/>
    <cellStyle name="Normal 641 3 3 2" xfId="32059"/>
    <cellStyle name="Normal 641 3 4" xfId="25371"/>
    <cellStyle name="Normal 641 4" xfId="7430"/>
    <cellStyle name="Normal 641 4 2" xfId="10415"/>
    <cellStyle name="Normal 641 4 2 2" xfId="18202"/>
    <cellStyle name="Normal 641 4 2 2 2" xfId="35825"/>
    <cellStyle name="Normal 641 4 2 3" xfId="28768"/>
    <cellStyle name="Normal 641 4 3" xfId="15212"/>
    <cellStyle name="Normal 641 4 3 2" xfId="32833"/>
    <cellStyle name="Normal 641 4 4" xfId="25908"/>
    <cellStyle name="Normal 641 5" xfId="8768"/>
    <cellStyle name="Normal 641 5 2" xfId="16558"/>
    <cellStyle name="Normal 641 5 2 2" xfId="34179"/>
    <cellStyle name="Normal 641 5 3" xfId="27155"/>
    <cellStyle name="Normal 641 6" xfId="13225"/>
    <cellStyle name="Normal 641 6 2" xfId="30856"/>
    <cellStyle name="Normal 641 7" xfId="24294"/>
    <cellStyle name="Normal 642" xfId="5236"/>
    <cellStyle name="Normal 642 2" xfId="6026"/>
    <cellStyle name="Normal 642 2 2" xfId="9323"/>
    <cellStyle name="Normal 642 2 2 2" xfId="17112"/>
    <cellStyle name="Normal 642 2 2 2 2" xfId="34734"/>
    <cellStyle name="Normal 642 2 2 3" xfId="27697"/>
    <cellStyle name="Normal 642 2 3" xfId="13876"/>
    <cellStyle name="Normal 642 2 3 2" xfId="31502"/>
    <cellStyle name="Normal 642 2 4" xfId="24836"/>
    <cellStyle name="Normal 642 3" xfId="6656"/>
    <cellStyle name="Normal 642 3 2" xfId="9863"/>
    <cellStyle name="Normal 642 3 2 2" xfId="17651"/>
    <cellStyle name="Normal 642 3 2 2 2" xfId="35274"/>
    <cellStyle name="Normal 642 3 2 3" xfId="28233"/>
    <cellStyle name="Normal 642 3 3" xfId="14439"/>
    <cellStyle name="Normal 642 3 3 2" xfId="32060"/>
    <cellStyle name="Normal 642 3 4" xfId="25372"/>
    <cellStyle name="Normal 642 4" xfId="7431"/>
    <cellStyle name="Normal 642 4 2" xfId="10416"/>
    <cellStyle name="Normal 642 4 2 2" xfId="18203"/>
    <cellStyle name="Normal 642 4 2 2 2" xfId="35826"/>
    <cellStyle name="Normal 642 4 2 3" xfId="28769"/>
    <cellStyle name="Normal 642 4 3" xfId="15213"/>
    <cellStyle name="Normal 642 4 3 2" xfId="32834"/>
    <cellStyle name="Normal 642 4 4" xfId="25909"/>
    <cellStyle name="Normal 642 5" xfId="8769"/>
    <cellStyle name="Normal 642 5 2" xfId="16559"/>
    <cellStyle name="Normal 642 5 2 2" xfId="34180"/>
    <cellStyle name="Normal 642 5 3" xfId="27156"/>
    <cellStyle name="Normal 642 6" xfId="13226"/>
    <cellStyle name="Normal 642 6 2" xfId="30857"/>
    <cellStyle name="Normal 642 7" xfId="24295"/>
    <cellStyle name="Normal 643" xfId="5237"/>
    <cellStyle name="Normal 643 2" xfId="6027"/>
    <cellStyle name="Normal 643 2 2" xfId="9324"/>
    <cellStyle name="Normal 643 2 2 2" xfId="17113"/>
    <cellStyle name="Normal 643 2 2 2 2" xfId="34735"/>
    <cellStyle name="Normal 643 2 2 3" xfId="27698"/>
    <cellStyle name="Normal 643 2 3" xfId="13877"/>
    <cellStyle name="Normal 643 2 3 2" xfId="31503"/>
    <cellStyle name="Normal 643 2 4" xfId="24837"/>
    <cellStyle name="Normal 643 3" xfId="6657"/>
    <cellStyle name="Normal 643 3 2" xfId="9864"/>
    <cellStyle name="Normal 643 3 2 2" xfId="17652"/>
    <cellStyle name="Normal 643 3 2 2 2" xfId="35275"/>
    <cellStyle name="Normal 643 3 2 3" xfId="28234"/>
    <cellStyle name="Normal 643 3 3" xfId="14440"/>
    <cellStyle name="Normal 643 3 3 2" xfId="32061"/>
    <cellStyle name="Normal 643 3 4" xfId="25373"/>
    <cellStyle name="Normal 643 4" xfId="7432"/>
    <cellStyle name="Normal 643 4 2" xfId="10417"/>
    <cellStyle name="Normal 643 4 2 2" xfId="18204"/>
    <cellStyle name="Normal 643 4 2 2 2" xfId="35827"/>
    <cellStyle name="Normal 643 4 2 3" xfId="28770"/>
    <cellStyle name="Normal 643 4 3" xfId="15214"/>
    <cellStyle name="Normal 643 4 3 2" xfId="32835"/>
    <cellStyle name="Normal 643 4 4" xfId="25910"/>
    <cellStyle name="Normal 643 5" xfId="8770"/>
    <cellStyle name="Normal 643 5 2" xfId="16560"/>
    <cellStyle name="Normal 643 5 2 2" xfId="34181"/>
    <cellStyle name="Normal 643 5 3" xfId="27157"/>
    <cellStyle name="Normal 643 6" xfId="13227"/>
    <cellStyle name="Normal 643 6 2" xfId="30858"/>
    <cellStyle name="Normal 643 7" xfId="24296"/>
    <cellStyle name="Normal 644" xfId="5238"/>
    <cellStyle name="Normal 644 2" xfId="6028"/>
    <cellStyle name="Normal 644 2 2" xfId="9325"/>
    <cellStyle name="Normal 644 2 2 2" xfId="17114"/>
    <cellStyle name="Normal 644 2 2 2 2" xfId="34736"/>
    <cellStyle name="Normal 644 2 2 3" xfId="27699"/>
    <cellStyle name="Normal 644 2 3" xfId="13878"/>
    <cellStyle name="Normal 644 2 3 2" xfId="31504"/>
    <cellStyle name="Normal 644 2 4" xfId="24838"/>
    <cellStyle name="Normal 644 3" xfId="6658"/>
    <cellStyle name="Normal 644 3 2" xfId="9865"/>
    <cellStyle name="Normal 644 3 2 2" xfId="17653"/>
    <cellStyle name="Normal 644 3 2 2 2" xfId="35276"/>
    <cellStyle name="Normal 644 3 2 3" xfId="28235"/>
    <cellStyle name="Normal 644 3 3" xfId="14441"/>
    <cellStyle name="Normal 644 3 3 2" xfId="32062"/>
    <cellStyle name="Normal 644 3 4" xfId="25374"/>
    <cellStyle name="Normal 644 4" xfId="7433"/>
    <cellStyle name="Normal 644 4 2" xfId="10418"/>
    <cellStyle name="Normal 644 4 2 2" xfId="18205"/>
    <cellStyle name="Normal 644 4 2 2 2" xfId="35828"/>
    <cellStyle name="Normal 644 4 2 3" xfId="28771"/>
    <cellStyle name="Normal 644 4 3" xfId="15215"/>
    <cellStyle name="Normal 644 4 3 2" xfId="32836"/>
    <cellStyle name="Normal 644 4 4" xfId="25911"/>
    <cellStyle name="Normal 644 5" xfId="8771"/>
    <cellStyle name="Normal 644 5 2" xfId="16561"/>
    <cellStyle name="Normal 644 5 2 2" xfId="34182"/>
    <cellStyle name="Normal 644 5 3" xfId="27158"/>
    <cellStyle name="Normal 644 6" xfId="13228"/>
    <cellStyle name="Normal 644 6 2" xfId="30859"/>
    <cellStyle name="Normal 644 7" xfId="24297"/>
    <cellStyle name="Normal 645" xfId="5239"/>
    <cellStyle name="Normal 645 2" xfId="6029"/>
    <cellStyle name="Normal 645 2 2" xfId="9326"/>
    <cellStyle name="Normal 645 2 2 2" xfId="17115"/>
    <cellStyle name="Normal 645 2 2 2 2" xfId="34737"/>
    <cellStyle name="Normal 645 2 2 3" xfId="27700"/>
    <cellStyle name="Normal 645 2 3" xfId="13879"/>
    <cellStyle name="Normal 645 2 3 2" xfId="31505"/>
    <cellStyle name="Normal 645 2 4" xfId="24839"/>
    <cellStyle name="Normal 645 3" xfId="6659"/>
    <cellStyle name="Normal 645 3 2" xfId="9866"/>
    <cellStyle name="Normal 645 3 2 2" xfId="17654"/>
    <cellStyle name="Normal 645 3 2 2 2" xfId="35277"/>
    <cellStyle name="Normal 645 3 2 3" xfId="28236"/>
    <cellStyle name="Normal 645 3 3" xfId="14442"/>
    <cellStyle name="Normal 645 3 3 2" xfId="32063"/>
    <cellStyle name="Normal 645 3 4" xfId="25375"/>
    <cellStyle name="Normal 645 4" xfId="7434"/>
    <cellStyle name="Normal 645 4 2" xfId="10419"/>
    <cellStyle name="Normal 645 4 2 2" xfId="18206"/>
    <cellStyle name="Normal 645 4 2 2 2" xfId="35829"/>
    <cellStyle name="Normal 645 4 2 3" xfId="28772"/>
    <cellStyle name="Normal 645 4 3" xfId="15216"/>
    <cellStyle name="Normal 645 4 3 2" xfId="32837"/>
    <cellStyle name="Normal 645 4 4" xfId="25912"/>
    <cellStyle name="Normal 645 5" xfId="8772"/>
    <cellStyle name="Normal 645 5 2" xfId="16562"/>
    <cellStyle name="Normal 645 5 2 2" xfId="34183"/>
    <cellStyle name="Normal 645 5 3" xfId="27159"/>
    <cellStyle name="Normal 645 6" xfId="13229"/>
    <cellStyle name="Normal 645 6 2" xfId="30860"/>
    <cellStyle name="Normal 645 7" xfId="24298"/>
    <cellStyle name="Normal 646" xfId="5240"/>
    <cellStyle name="Normal 646 2" xfId="5241"/>
    <cellStyle name="Normal 646 3" xfId="5242"/>
    <cellStyle name="Normal 646 4" xfId="8773"/>
    <cellStyle name="Normal 646 4 2" xfId="16563"/>
    <cellStyle name="Normal 646 4 2 2" xfId="34184"/>
    <cellStyle name="Normal 646 4 3" xfId="27160"/>
    <cellStyle name="Normal 646 5" xfId="13230"/>
    <cellStyle name="Normal 646 5 2" xfId="30861"/>
    <cellStyle name="Normal 646 6" xfId="24299"/>
    <cellStyle name="Normal 647" xfId="5243"/>
    <cellStyle name="Normal 647 2" xfId="8774"/>
    <cellStyle name="Normal 647 2 2" xfId="16564"/>
    <cellStyle name="Normal 647 2 2 2" xfId="34185"/>
    <cellStyle name="Normal 647 2 3" xfId="27161"/>
    <cellStyle name="Normal 647 3" xfId="13231"/>
    <cellStyle name="Normal 647 3 2" xfId="30862"/>
    <cellStyle name="Normal 647 4" xfId="24300"/>
    <cellStyle name="Normal 648" xfId="5244"/>
    <cellStyle name="Normal 648 2" xfId="8775"/>
    <cellStyle name="Normal 648 2 2" xfId="16565"/>
    <cellStyle name="Normal 648 2 2 2" xfId="34186"/>
    <cellStyle name="Normal 648 2 3" xfId="27162"/>
    <cellStyle name="Normal 648 3" xfId="13232"/>
    <cellStyle name="Normal 648 3 2" xfId="30863"/>
    <cellStyle name="Normal 648 4" xfId="24301"/>
    <cellStyle name="Normal 649" xfId="5245"/>
    <cellStyle name="Normal 65" xfId="3010"/>
    <cellStyle name="Normal 65 2" xfId="5246"/>
    <cellStyle name="Normal 65 3" xfId="52586"/>
    <cellStyle name="Normal 650" xfId="5247"/>
    <cellStyle name="Normal 650 2" xfId="8776"/>
    <cellStyle name="Normal 650 2 2" xfId="16566"/>
    <cellStyle name="Normal 650 2 2 2" xfId="34187"/>
    <cellStyle name="Normal 650 2 3" xfId="27163"/>
    <cellStyle name="Normal 650 3" xfId="13233"/>
    <cellStyle name="Normal 650 3 2" xfId="30864"/>
    <cellStyle name="Normal 650 4" xfId="24302"/>
    <cellStyle name="Normal 651" xfId="3451"/>
    <cellStyle name="Normal 652" xfId="3447"/>
    <cellStyle name="Normal 652 2" xfId="8069"/>
    <cellStyle name="Normal 652 2 2" xfId="15859"/>
    <cellStyle name="Normal 652 2 2 2" xfId="33480"/>
    <cellStyle name="Normal 652 2 3" xfId="26469"/>
    <cellStyle name="Normal 652 3" xfId="12174"/>
    <cellStyle name="Normal 652 3 2" xfId="29832"/>
    <cellStyle name="Normal 652 4" xfId="23608"/>
    <cellStyle name="Normal 653" xfId="5505"/>
    <cellStyle name="Normal 654" xfId="6133"/>
    <cellStyle name="Normal 655" xfId="6671"/>
    <cellStyle name="Normal 656" xfId="7509"/>
    <cellStyle name="Normal 657" xfId="8068"/>
    <cellStyle name="Normal 658" xfId="7508"/>
    <cellStyle name="Normal 659" xfId="7503"/>
    <cellStyle name="Normal 659 2" xfId="15296"/>
    <cellStyle name="Normal 659 2 2" xfId="32917"/>
    <cellStyle name="Normal 659 3" xfId="25924"/>
    <cellStyle name="Normal 66" xfId="3011"/>
    <cellStyle name="Normal 66 2" xfId="5248"/>
    <cellStyle name="Normal 66 3" xfId="52587"/>
    <cellStyle name="Normal 660" xfId="18855"/>
    <cellStyle name="Normal 660 2" xfId="36478"/>
    <cellStyle name="Normal 661" xfId="21921"/>
    <cellStyle name="Normal 661 2" xfId="38660"/>
    <cellStyle name="Normal 662" xfId="22648"/>
    <cellStyle name="Normal 662 2" xfId="38871"/>
    <cellStyle name="Normal 663" xfId="21931"/>
    <cellStyle name="Normal 663 2" xfId="38670"/>
    <cellStyle name="Normal 664" xfId="23042"/>
    <cellStyle name="Normal 664 2" xfId="39025"/>
    <cellStyle name="Normal 665" xfId="22863"/>
    <cellStyle name="Normal 665 2" xfId="39002"/>
    <cellStyle name="Normal 666" xfId="23067"/>
    <cellStyle name="Normal 667" xfId="23066"/>
    <cellStyle name="Normal 668" xfId="22011"/>
    <cellStyle name="Normal 669" xfId="47451"/>
    <cellStyle name="Normal 67" xfId="3012"/>
    <cellStyle name="Normal 67 2" xfId="5249"/>
    <cellStyle name="Normal 67 3" xfId="52588"/>
    <cellStyle name="Normal 670" xfId="23054"/>
    <cellStyle name="Normal 671" xfId="51451"/>
    <cellStyle name="Normal 672" xfId="51464"/>
    <cellStyle name="Normal 673" xfId="51477"/>
    <cellStyle name="Normal 674" xfId="51490"/>
    <cellStyle name="Normal 675" xfId="51491"/>
    <cellStyle name="Normal 676" xfId="51492"/>
    <cellStyle name="Normal 677" xfId="51493"/>
    <cellStyle name="Normal 678" xfId="51494"/>
    <cellStyle name="Normal 679" xfId="51495"/>
    <cellStyle name="Normal 68" xfId="3013"/>
    <cellStyle name="Normal 68 2" xfId="5250"/>
    <cellStyle name="Normal 68 3" xfId="52589"/>
    <cellStyle name="Normal 680" xfId="51496"/>
    <cellStyle name="Normal 681" xfId="51497"/>
    <cellStyle name="Normal 682" xfId="51498"/>
    <cellStyle name="Normal 683" xfId="51499"/>
    <cellStyle name="Normal 684" xfId="51500"/>
    <cellStyle name="Normal 685" xfId="51501"/>
    <cellStyle name="Normal 686" xfId="51502"/>
    <cellStyle name="Normal 687" xfId="51503"/>
    <cellStyle name="Normal 688" xfId="51504"/>
    <cellStyle name="Normal 689" xfId="51505"/>
    <cellStyle name="Normal 69" xfId="3014"/>
    <cellStyle name="Normal 69 2" xfId="3015"/>
    <cellStyle name="Normal 69 2 2" xfId="5251"/>
    <cellStyle name="Normal 69 2 3" xfId="52590"/>
    <cellStyle name="Normal 69 3" xfId="3016"/>
    <cellStyle name="Normal 69 3 2" xfId="3017"/>
    <cellStyle name="Normal 69 3_Sheet1" xfId="3018"/>
    <cellStyle name="Normal 69 4" xfId="3019"/>
    <cellStyle name="Normal 69 5" xfId="22994"/>
    <cellStyle name="Normal 69_Sheet1" xfId="3020"/>
    <cellStyle name="Normal 690" xfId="51506"/>
    <cellStyle name="Normal 691" xfId="51507"/>
    <cellStyle name="Normal 692" xfId="51508"/>
    <cellStyle name="Normal 693" xfId="51509"/>
    <cellStyle name="Normal 694" xfId="51510"/>
    <cellStyle name="Normal 695" xfId="51511"/>
    <cellStyle name="Normal 696" xfId="51512"/>
    <cellStyle name="Normal 697" xfId="51513"/>
    <cellStyle name="Normal 698" xfId="51514"/>
    <cellStyle name="Normal 699" xfId="51515"/>
    <cellStyle name="Normal 7" xfId="131"/>
    <cellStyle name="Normal 7 2" xfId="3022"/>
    <cellStyle name="Normal 7 2 2" xfId="3023"/>
    <cellStyle name="Normal 7 2_Sheet1" xfId="3024"/>
    <cellStyle name="Normal 7 3" xfId="3025"/>
    <cellStyle name="Normal 7 4" xfId="22567"/>
    <cellStyle name="Normal 7 5" xfId="22881"/>
    <cellStyle name="Normal 7 6" xfId="3021"/>
    <cellStyle name="Normal 7_Sheet1" xfId="3026"/>
    <cellStyle name="Normal 70" xfId="3027"/>
    <cellStyle name="Normal 70 2" xfId="5252"/>
    <cellStyle name="Normal 70 3" xfId="52591"/>
    <cellStyle name="Normal 700" xfId="51516"/>
    <cellStyle name="Normal 701" xfId="51517"/>
    <cellStyle name="Normal 702" xfId="51518"/>
    <cellStyle name="Normal 703" xfId="51519"/>
    <cellStyle name="Normal 704" xfId="51520"/>
    <cellStyle name="Normal 705" xfId="51521"/>
    <cellStyle name="Normal 706" xfId="51522"/>
    <cellStyle name="Normal 707" xfId="51523"/>
    <cellStyle name="Normal 708" xfId="51524"/>
    <cellStyle name="Normal 709" xfId="51525"/>
    <cellStyle name="Normal 71" xfId="3028"/>
    <cellStyle name="Normal 71 2" xfId="5253"/>
    <cellStyle name="Normal 71 3" xfId="52592"/>
    <cellStyle name="Normal 710" xfId="51526"/>
    <cellStyle name="Normal 711" xfId="51527"/>
    <cellStyle name="Normal 712" xfId="51528"/>
    <cellStyle name="Normal 713" xfId="51529"/>
    <cellStyle name="Normal 714" xfId="51530"/>
    <cellStyle name="Normal 715" xfId="51531"/>
    <cellStyle name="Normal 716" xfId="51532"/>
    <cellStyle name="Normal 717" xfId="51533"/>
    <cellStyle name="Normal 718" xfId="51534"/>
    <cellStyle name="Normal 719" xfId="51535"/>
    <cellStyle name="Normal 72" xfId="3029"/>
    <cellStyle name="Normal 72 10" xfId="52593"/>
    <cellStyle name="Normal 72 2" xfId="5254"/>
    <cellStyle name="Normal 72 2 2" xfId="8777"/>
    <cellStyle name="Normal 72 2 2 2" xfId="16567"/>
    <cellStyle name="Normal 72 2 2 2 2" xfId="34188"/>
    <cellStyle name="Normal 72 2 2 3" xfId="27164"/>
    <cellStyle name="Normal 72 2 3" xfId="13238"/>
    <cellStyle name="Normal 72 2 3 2" xfId="30869"/>
    <cellStyle name="Normal 72 2 4" xfId="22995"/>
    <cellStyle name="Normal 72 2 4 2" xfId="39024"/>
    <cellStyle name="Normal 72 2 5" xfId="24303"/>
    <cellStyle name="Normal 72 3" xfId="6030"/>
    <cellStyle name="Normal 72 3 2" xfId="9327"/>
    <cellStyle name="Normal 72 3 2 2" xfId="17116"/>
    <cellStyle name="Normal 72 3 2 2 2" xfId="34738"/>
    <cellStyle name="Normal 72 3 2 3" xfId="27701"/>
    <cellStyle name="Normal 72 3 3" xfId="13880"/>
    <cellStyle name="Normal 72 3 3 2" xfId="31506"/>
    <cellStyle name="Normal 72 3 4" xfId="22568"/>
    <cellStyle name="Normal 72 3 5" xfId="24840"/>
    <cellStyle name="Normal 72 4" xfId="6660"/>
    <cellStyle name="Normal 72 4 2" xfId="9867"/>
    <cellStyle name="Normal 72 4 2 2" xfId="17655"/>
    <cellStyle name="Normal 72 4 2 2 2" xfId="35278"/>
    <cellStyle name="Normal 72 4 2 3" xfId="28237"/>
    <cellStyle name="Normal 72 4 3" xfId="14443"/>
    <cellStyle name="Normal 72 4 3 2" xfId="32064"/>
    <cellStyle name="Normal 72 4 4" xfId="25376"/>
    <cellStyle name="Normal 72 5" xfId="7435"/>
    <cellStyle name="Normal 72 5 2" xfId="10420"/>
    <cellStyle name="Normal 72 5 2 2" xfId="18207"/>
    <cellStyle name="Normal 72 5 2 2 2" xfId="35830"/>
    <cellStyle name="Normal 72 5 2 3" xfId="28773"/>
    <cellStyle name="Normal 72 5 3" xfId="15217"/>
    <cellStyle name="Normal 72 5 3 2" xfId="32838"/>
    <cellStyle name="Normal 72 5 4" xfId="25913"/>
    <cellStyle name="Normal 72 6" xfId="8056"/>
    <cellStyle name="Normal 72 6 2" xfId="15847"/>
    <cellStyle name="Normal 72 6 2 2" xfId="33468"/>
    <cellStyle name="Normal 72 6 3" xfId="26458"/>
    <cellStyle name="Normal 72 7" xfId="12040"/>
    <cellStyle name="Normal 72 7 2" xfId="29705"/>
    <cellStyle name="Normal 72 8" xfId="21981"/>
    <cellStyle name="Normal 72 8 2" xfId="38711"/>
    <cellStyle name="Normal 72 9" xfId="23597"/>
    <cellStyle name="Normal 720" xfId="51536"/>
    <cellStyle name="Normal 721" xfId="51537"/>
    <cellStyle name="Normal 722" xfId="51538"/>
    <cellStyle name="Normal 723" xfId="51539"/>
    <cellStyle name="Normal 724" xfId="51540"/>
    <cellStyle name="Normal 725" xfId="51541"/>
    <cellStyle name="Normal 726" xfId="51542"/>
    <cellStyle name="Normal 727" xfId="51543"/>
    <cellStyle name="Normal 728" xfId="51544"/>
    <cellStyle name="Normal 729" xfId="51545"/>
    <cellStyle name="Normal 73" xfId="3030"/>
    <cellStyle name="Normal 73 2" xfId="5255"/>
    <cellStyle name="Normal 73 3" xfId="52594"/>
    <cellStyle name="Normal 730" xfId="51546"/>
    <cellStyle name="Normal 731" xfId="51547"/>
    <cellStyle name="Normal 732" xfId="51548"/>
    <cellStyle name="Normal 733" xfId="51549"/>
    <cellStyle name="Normal 734" xfId="51550"/>
    <cellStyle name="Normal 735" xfId="51551"/>
    <cellStyle name="Normal 736" xfId="51552"/>
    <cellStyle name="Normal 737" xfId="51553"/>
    <cellStyle name="Normal 738" xfId="51554"/>
    <cellStyle name="Normal 739" xfId="51555"/>
    <cellStyle name="Normal 74" xfId="3031"/>
    <cellStyle name="Normal 74 2" xfId="5256"/>
    <cellStyle name="Normal 74 3" xfId="52595"/>
    <cellStyle name="Normal 740" xfId="51556"/>
    <cellStyle name="Normal 741" xfId="51557"/>
    <cellStyle name="Normal 742" xfId="51558"/>
    <cellStyle name="Normal 743" xfId="51559"/>
    <cellStyle name="Normal 744" xfId="51560"/>
    <cellStyle name="Normal 745" xfId="51561"/>
    <cellStyle name="Normal 746" xfId="51562"/>
    <cellStyle name="Normal 747" xfId="51563"/>
    <cellStyle name="Normal 748" xfId="51564"/>
    <cellStyle name="Normal 749" xfId="51565"/>
    <cellStyle name="Normal 75" xfId="3032"/>
    <cellStyle name="Normal 75 2" xfId="3033"/>
    <cellStyle name="Normal 75 2 2" xfId="3034"/>
    <cellStyle name="Normal 75 2 2 2" xfId="5259"/>
    <cellStyle name="Normal 75 2 2 3" xfId="52598"/>
    <cellStyle name="Normal 75 2 3" xfId="5258"/>
    <cellStyle name="Normal 75 2 4" xfId="52597"/>
    <cellStyle name="Normal 75 2_BallGrid" xfId="3035"/>
    <cellStyle name="Normal 75 3" xfId="5257"/>
    <cellStyle name="Normal 75 4" xfId="52596"/>
    <cellStyle name="Normal 75_BallGrid" xfId="3036"/>
    <cellStyle name="Normal 750" xfId="51566"/>
    <cellStyle name="Normal 751" xfId="51567"/>
    <cellStyle name="Normal 752" xfId="51568"/>
    <cellStyle name="Normal 753" xfId="51569"/>
    <cellStyle name="Normal 754" xfId="51570"/>
    <cellStyle name="Normal 755" xfId="51571"/>
    <cellStyle name="Normal 756" xfId="51572"/>
    <cellStyle name="Normal 757" xfId="51573"/>
    <cellStyle name="Normal 758" xfId="51574"/>
    <cellStyle name="Normal 759" xfId="51575"/>
    <cellStyle name="Normal 76" xfId="3037"/>
    <cellStyle name="Normal 76 2" xfId="3038"/>
    <cellStyle name="Normal 76 2 10" xfId="52599"/>
    <cellStyle name="Normal 76 2 2" xfId="5260"/>
    <cellStyle name="Normal 76 2 2 2" xfId="8778"/>
    <cellStyle name="Normal 76 2 2 2 2" xfId="16568"/>
    <cellStyle name="Normal 76 2 2 2 2 2" xfId="34189"/>
    <cellStyle name="Normal 76 2 2 2 3" xfId="27165"/>
    <cellStyle name="Normal 76 2 2 3" xfId="13243"/>
    <cellStyle name="Normal 76 2 2 3 2" xfId="30874"/>
    <cellStyle name="Normal 76 2 2 4" xfId="24304"/>
    <cellStyle name="Normal 76 2 3" xfId="6031"/>
    <cellStyle name="Normal 76 2 3 2" xfId="9328"/>
    <cellStyle name="Normal 76 2 3 2 2" xfId="17117"/>
    <cellStyle name="Normal 76 2 3 2 2 2" xfId="34739"/>
    <cellStyle name="Normal 76 2 3 2 3" xfId="27702"/>
    <cellStyle name="Normal 76 2 3 3" xfId="13881"/>
    <cellStyle name="Normal 76 2 3 3 2" xfId="31507"/>
    <cellStyle name="Normal 76 2 3 4" xfId="24841"/>
    <cellStyle name="Normal 76 2 4" xfId="6661"/>
    <cellStyle name="Normal 76 2 4 2" xfId="9868"/>
    <cellStyle name="Normal 76 2 4 2 2" xfId="17656"/>
    <cellStyle name="Normal 76 2 4 2 2 2" xfId="35279"/>
    <cellStyle name="Normal 76 2 4 2 3" xfId="28238"/>
    <cellStyle name="Normal 76 2 4 3" xfId="14444"/>
    <cellStyle name="Normal 76 2 4 3 2" xfId="32065"/>
    <cellStyle name="Normal 76 2 4 4" xfId="25377"/>
    <cellStyle name="Normal 76 2 5" xfId="7436"/>
    <cellStyle name="Normal 76 2 5 2" xfId="10421"/>
    <cellStyle name="Normal 76 2 5 2 2" xfId="18208"/>
    <cellStyle name="Normal 76 2 5 2 2 2" xfId="35831"/>
    <cellStyle name="Normal 76 2 5 2 3" xfId="28774"/>
    <cellStyle name="Normal 76 2 5 3" xfId="15218"/>
    <cellStyle name="Normal 76 2 5 3 2" xfId="32839"/>
    <cellStyle name="Normal 76 2 5 4" xfId="25914"/>
    <cellStyle name="Normal 76 2 6" xfId="8057"/>
    <cellStyle name="Normal 76 2 6 2" xfId="15848"/>
    <cellStyle name="Normal 76 2 6 2 2" xfId="33469"/>
    <cellStyle name="Normal 76 2 6 3" xfId="26459"/>
    <cellStyle name="Normal 76 2 7" xfId="12048"/>
    <cellStyle name="Normal 76 2 7 2" xfId="29713"/>
    <cellStyle name="Normal 76 2 8" xfId="21982"/>
    <cellStyle name="Normal 76 2 8 2" xfId="38712"/>
    <cellStyle name="Normal 76 2 9" xfId="23598"/>
    <cellStyle name="Normal 76 3" xfId="3039"/>
    <cellStyle name="Normal 76 3 2" xfId="3040"/>
    <cellStyle name="Normal 76 3_Sheet1" xfId="3041"/>
    <cellStyle name="Normal 76 4" xfId="3042"/>
    <cellStyle name="Normal 76 5" xfId="22996"/>
    <cellStyle name="Normal 76 6" xfId="22569"/>
    <cellStyle name="Normal 76 7" xfId="22280"/>
    <cellStyle name="Normal 76_Sheet1" xfId="3043"/>
    <cellStyle name="Normal 760" xfId="51576"/>
    <cellStyle name="Normal 761" xfId="51577"/>
    <cellStyle name="Normal 762" xfId="51578"/>
    <cellStyle name="Normal 763" xfId="51579"/>
    <cellStyle name="Normal 764" xfId="51580"/>
    <cellStyle name="Normal 765" xfId="51581"/>
    <cellStyle name="Normal 766" xfId="51582"/>
    <cellStyle name="Normal 767" xfId="51583"/>
    <cellStyle name="Normal 768" xfId="51584"/>
    <cellStyle name="Normal 769" xfId="51585"/>
    <cellStyle name="Normal 77" xfId="132"/>
    <cellStyle name="Normal 77 2" xfId="3044"/>
    <cellStyle name="Normal 77 2 2" xfId="3045"/>
    <cellStyle name="Normal 77 2 2 2" xfId="5263"/>
    <cellStyle name="Normal 77 2 2 3" xfId="52602"/>
    <cellStyle name="Normal 77 2 3" xfId="5262"/>
    <cellStyle name="Normal 77 2 4" xfId="52601"/>
    <cellStyle name="Normal 77 2_BallGrid" xfId="3046"/>
    <cellStyle name="Normal 77 3" xfId="5261"/>
    <cellStyle name="Normal 77 4" xfId="52600"/>
    <cellStyle name="Normal 77_BallGrid" xfId="3047"/>
    <cellStyle name="Normal 770" xfId="51586"/>
    <cellStyle name="Normal 771" xfId="51587"/>
    <cellStyle name="Normal 772" xfId="51588"/>
    <cellStyle name="Normal 773" xfId="51589"/>
    <cellStyle name="Normal 774" xfId="51590"/>
    <cellStyle name="Normal 775" xfId="51591"/>
    <cellStyle name="Normal 776" xfId="51592"/>
    <cellStyle name="Normal 777" xfId="51593"/>
    <cellStyle name="Normal 778" xfId="51594"/>
    <cellStyle name="Normal 779" xfId="51595"/>
    <cellStyle name="Normal 78" xfId="3048"/>
    <cellStyle name="Normal 78 2" xfId="3049"/>
    <cellStyle name="Normal 78 2 10" xfId="52603"/>
    <cellStyle name="Normal 78 2 2" xfId="5264"/>
    <cellStyle name="Normal 78 2 2 2" xfId="8779"/>
    <cellStyle name="Normal 78 2 2 2 2" xfId="16569"/>
    <cellStyle name="Normal 78 2 2 2 2 2" xfId="34190"/>
    <cellStyle name="Normal 78 2 2 2 3" xfId="27166"/>
    <cellStyle name="Normal 78 2 2 3" xfId="13244"/>
    <cellStyle name="Normal 78 2 2 3 2" xfId="30875"/>
    <cellStyle name="Normal 78 2 2 4" xfId="24305"/>
    <cellStyle name="Normal 78 2 3" xfId="6032"/>
    <cellStyle name="Normal 78 2 3 2" xfId="9329"/>
    <cellStyle name="Normal 78 2 3 2 2" xfId="17118"/>
    <cellStyle name="Normal 78 2 3 2 2 2" xfId="34740"/>
    <cellStyle name="Normal 78 2 3 2 3" xfId="27703"/>
    <cellStyle name="Normal 78 2 3 3" xfId="13882"/>
    <cellStyle name="Normal 78 2 3 3 2" xfId="31508"/>
    <cellStyle name="Normal 78 2 3 4" xfId="24842"/>
    <cellStyle name="Normal 78 2 4" xfId="6662"/>
    <cellStyle name="Normal 78 2 4 2" xfId="9869"/>
    <cellStyle name="Normal 78 2 4 2 2" xfId="17657"/>
    <cellStyle name="Normal 78 2 4 2 2 2" xfId="35280"/>
    <cellStyle name="Normal 78 2 4 2 3" xfId="28239"/>
    <cellStyle name="Normal 78 2 4 3" xfId="14445"/>
    <cellStyle name="Normal 78 2 4 3 2" xfId="32066"/>
    <cellStyle name="Normal 78 2 4 4" xfId="25378"/>
    <cellStyle name="Normal 78 2 5" xfId="7437"/>
    <cellStyle name="Normal 78 2 5 2" xfId="10422"/>
    <cellStyle name="Normal 78 2 5 2 2" xfId="18209"/>
    <cellStyle name="Normal 78 2 5 2 2 2" xfId="35832"/>
    <cellStyle name="Normal 78 2 5 2 3" xfId="28775"/>
    <cellStyle name="Normal 78 2 5 3" xfId="15219"/>
    <cellStyle name="Normal 78 2 5 3 2" xfId="32840"/>
    <cellStyle name="Normal 78 2 5 4" xfId="25915"/>
    <cellStyle name="Normal 78 2 6" xfId="8058"/>
    <cellStyle name="Normal 78 2 6 2" xfId="15849"/>
    <cellStyle name="Normal 78 2 6 2 2" xfId="33470"/>
    <cellStyle name="Normal 78 2 6 3" xfId="26460"/>
    <cellStyle name="Normal 78 2 7" xfId="12053"/>
    <cellStyle name="Normal 78 2 7 2" xfId="29718"/>
    <cellStyle name="Normal 78 2 8" xfId="21983"/>
    <cellStyle name="Normal 78 2 8 2" xfId="38713"/>
    <cellStyle name="Normal 78 2 9" xfId="23599"/>
    <cellStyle name="Normal 78 3" xfId="3050"/>
    <cellStyle name="Normal 78 3 2" xfId="3051"/>
    <cellStyle name="Normal 78 3_Sheet1" xfId="3052"/>
    <cellStyle name="Normal 78 4" xfId="3053"/>
    <cellStyle name="Normal 78 5" xfId="22997"/>
    <cellStyle name="Normal 78 6" xfId="22570"/>
    <cellStyle name="Normal 78 7" xfId="22878"/>
    <cellStyle name="Normal 78_Sheet1" xfId="3054"/>
    <cellStyle name="Normal 780" xfId="51596"/>
    <cellStyle name="Normal 781" xfId="51597"/>
    <cellStyle name="Normal 782" xfId="51598"/>
    <cellStyle name="Normal 783" xfId="51599"/>
    <cellStyle name="Normal 784" xfId="51600"/>
    <cellStyle name="Normal 785" xfId="51601"/>
    <cellStyle name="Normal 786" xfId="51602"/>
    <cellStyle name="Normal 787" xfId="51603"/>
    <cellStyle name="Normal 788" xfId="51604"/>
    <cellStyle name="Normal 789" xfId="51605"/>
    <cellStyle name="Normal 79" xfId="3055"/>
    <cellStyle name="Normal 79 2" xfId="3056"/>
    <cellStyle name="Normal 79 2 2" xfId="5266"/>
    <cellStyle name="Normal 79 2 3" xfId="52605"/>
    <cellStyle name="Normal 79 3" xfId="5265"/>
    <cellStyle name="Normal 79 4" xfId="52604"/>
    <cellStyle name="Normal 79_BallGrid" xfId="3057"/>
    <cellStyle name="Normal 790" xfId="51606"/>
    <cellStyle name="Normal 791" xfId="3446"/>
    <cellStyle name="Normal 792" xfId="51607"/>
    <cellStyle name="Normal 793" xfId="214"/>
    <cellStyle name="Normal 794" xfId="52876"/>
    <cellStyle name="Normal 8" xfId="189"/>
    <cellStyle name="Normal 8 2" xfId="207"/>
    <cellStyle name="Normal 8 2 2" xfId="3060"/>
    <cellStyle name="Normal 8 2 3" xfId="3059"/>
    <cellStyle name="Normal 8 2_Sheet1" xfId="3061"/>
    <cellStyle name="Normal 8 3" xfId="200"/>
    <cellStyle name="Normal 8 3 2" xfId="3062"/>
    <cellStyle name="Normal 8 4" xfId="22998"/>
    <cellStyle name="Normal 8 5" xfId="22571"/>
    <cellStyle name="Normal 8 6" xfId="22877"/>
    <cellStyle name="Normal 8 7" xfId="3058"/>
    <cellStyle name="Normal 8 8" xfId="53229"/>
    <cellStyle name="Normal 8 9" xfId="53338"/>
    <cellStyle name="Normal 8_Sheet1" xfId="3063"/>
    <cellStyle name="Normal 80" xfId="3064"/>
    <cellStyle name="Normal 80 2" xfId="3065"/>
    <cellStyle name="Normal 80 2 2" xfId="5268"/>
    <cellStyle name="Normal 80 2 3" xfId="52607"/>
    <cellStyle name="Normal 80 3" xfId="5267"/>
    <cellStyle name="Normal 80 4" xfId="52606"/>
    <cellStyle name="Normal 80_BallGrid" xfId="3066"/>
    <cellStyle name="Normal 81" xfId="3067"/>
    <cellStyle name="Normal 81 2" xfId="3068"/>
    <cellStyle name="Normal 81 2 2" xfId="5270"/>
    <cellStyle name="Normal 81 2 3" xfId="52609"/>
    <cellStyle name="Normal 81 3" xfId="5269"/>
    <cellStyle name="Normal 81 4" xfId="52608"/>
    <cellStyle name="Normal 81_BallGrid" xfId="3069"/>
    <cellStyle name="Normal 82" xfId="3070"/>
    <cellStyle name="Normal 82 2" xfId="3071"/>
    <cellStyle name="Normal 82 2 10" xfId="52610"/>
    <cellStyle name="Normal 82 2 2" xfId="5271"/>
    <cellStyle name="Normal 82 2 2 2" xfId="8780"/>
    <cellStyle name="Normal 82 2 2 2 2" xfId="16570"/>
    <cellStyle name="Normal 82 2 2 2 2 2" xfId="34191"/>
    <cellStyle name="Normal 82 2 2 2 3" xfId="27167"/>
    <cellStyle name="Normal 82 2 2 3" xfId="13246"/>
    <cellStyle name="Normal 82 2 2 3 2" xfId="30877"/>
    <cellStyle name="Normal 82 2 2 4" xfId="24306"/>
    <cellStyle name="Normal 82 2 3" xfId="6033"/>
    <cellStyle name="Normal 82 2 3 2" xfId="9330"/>
    <cellStyle name="Normal 82 2 3 2 2" xfId="17119"/>
    <cellStyle name="Normal 82 2 3 2 2 2" xfId="34741"/>
    <cellStyle name="Normal 82 2 3 2 3" xfId="27704"/>
    <cellStyle name="Normal 82 2 3 3" xfId="13883"/>
    <cellStyle name="Normal 82 2 3 3 2" xfId="31509"/>
    <cellStyle name="Normal 82 2 3 4" xfId="24843"/>
    <cellStyle name="Normal 82 2 4" xfId="6663"/>
    <cellStyle name="Normal 82 2 4 2" xfId="9870"/>
    <cellStyle name="Normal 82 2 4 2 2" xfId="17658"/>
    <cellStyle name="Normal 82 2 4 2 2 2" xfId="35281"/>
    <cellStyle name="Normal 82 2 4 2 3" xfId="28240"/>
    <cellStyle name="Normal 82 2 4 3" xfId="14446"/>
    <cellStyle name="Normal 82 2 4 3 2" xfId="32067"/>
    <cellStyle name="Normal 82 2 4 4" xfId="25379"/>
    <cellStyle name="Normal 82 2 5" xfId="7438"/>
    <cellStyle name="Normal 82 2 5 2" xfId="10423"/>
    <cellStyle name="Normal 82 2 5 2 2" xfId="18210"/>
    <cellStyle name="Normal 82 2 5 2 2 2" xfId="35833"/>
    <cellStyle name="Normal 82 2 5 2 3" xfId="28776"/>
    <cellStyle name="Normal 82 2 5 3" xfId="15220"/>
    <cellStyle name="Normal 82 2 5 3 2" xfId="32841"/>
    <cellStyle name="Normal 82 2 5 4" xfId="25916"/>
    <cellStyle name="Normal 82 2 6" xfId="8059"/>
    <cellStyle name="Normal 82 2 6 2" xfId="15850"/>
    <cellStyle name="Normal 82 2 6 2 2" xfId="33471"/>
    <cellStyle name="Normal 82 2 6 3" xfId="26461"/>
    <cellStyle name="Normal 82 2 7" xfId="12057"/>
    <cellStyle name="Normal 82 2 7 2" xfId="29721"/>
    <cellStyle name="Normal 82 2 8" xfId="21984"/>
    <cellStyle name="Normal 82 2 8 2" xfId="38714"/>
    <cellStyle name="Normal 82 2 9" xfId="23600"/>
    <cellStyle name="Normal 82 3" xfId="3072"/>
    <cellStyle name="Normal 82 3 2" xfId="3073"/>
    <cellStyle name="Normal 82 3_Sheet1" xfId="3074"/>
    <cellStyle name="Normal 82 4" xfId="3075"/>
    <cellStyle name="Normal 82 5" xfId="22999"/>
    <cellStyle name="Normal 82 6" xfId="22572"/>
    <cellStyle name="Normal 82 7" xfId="22876"/>
    <cellStyle name="Normal 82_Sheet1" xfId="3076"/>
    <cellStyle name="Normal 83" xfId="3077"/>
    <cellStyle name="Normal 83 2" xfId="3078"/>
    <cellStyle name="Normal 83 2 10" xfId="52611"/>
    <cellStyle name="Normal 83 2 2" xfId="5272"/>
    <cellStyle name="Normal 83 2 2 2" xfId="8781"/>
    <cellStyle name="Normal 83 2 2 2 2" xfId="16571"/>
    <cellStyle name="Normal 83 2 2 2 2 2" xfId="34192"/>
    <cellStyle name="Normal 83 2 2 2 3" xfId="27168"/>
    <cellStyle name="Normal 83 2 2 3" xfId="13247"/>
    <cellStyle name="Normal 83 2 2 3 2" xfId="30878"/>
    <cellStyle name="Normal 83 2 2 4" xfId="24307"/>
    <cellStyle name="Normal 83 2 3" xfId="6034"/>
    <cellStyle name="Normal 83 2 3 2" xfId="9331"/>
    <cellStyle name="Normal 83 2 3 2 2" xfId="17120"/>
    <cellStyle name="Normal 83 2 3 2 2 2" xfId="34742"/>
    <cellStyle name="Normal 83 2 3 2 3" xfId="27705"/>
    <cellStyle name="Normal 83 2 3 3" xfId="13884"/>
    <cellStyle name="Normal 83 2 3 3 2" xfId="31510"/>
    <cellStyle name="Normal 83 2 3 4" xfId="24844"/>
    <cellStyle name="Normal 83 2 4" xfId="6664"/>
    <cellStyle name="Normal 83 2 4 2" xfId="9871"/>
    <cellStyle name="Normal 83 2 4 2 2" xfId="17659"/>
    <cellStyle name="Normal 83 2 4 2 2 2" xfId="35282"/>
    <cellStyle name="Normal 83 2 4 2 3" xfId="28241"/>
    <cellStyle name="Normal 83 2 4 3" xfId="14447"/>
    <cellStyle name="Normal 83 2 4 3 2" xfId="32068"/>
    <cellStyle name="Normal 83 2 4 4" xfId="25380"/>
    <cellStyle name="Normal 83 2 5" xfId="7439"/>
    <cellStyle name="Normal 83 2 5 2" xfId="10424"/>
    <cellStyle name="Normal 83 2 5 2 2" xfId="18211"/>
    <cellStyle name="Normal 83 2 5 2 2 2" xfId="35834"/>
    <cellStyle name="Normal 83 2 5 2 3" xfId="28777"/>
    <cellStyle name="Normal 83 2 5 3" xfId="15221"/>
    <cellStyle name="Normal 83 2 5 3 2" xfId="32842"/>
    <cellStyle name="Normal 83 2 5 4" xfId="25917"/>
    <cellStyle name="Normal 83 2 6" xfId="8060"/>
    <cellStyle name="Normal 83 2 6 2" xfId="15851"/>
    <cellStyle name="Normal 83 2 6 2 2" xfId="33472"/>
    <cellStyle name="Normal 83 2 6 3" xfId="26462"/>
    <cellStyle name="Normal 83 2 7" xfId="12058"/>
    <cellStyle name="Normal 83 2 7 2" xfId="29722"/>
    <cellStyle name="Normal 83 2 8" xfId="21985"/>
    <cellStyle name="Normal 83 2 8 2" xfId="38715"/>
    <cellStyle name="Normal 83 2 9" xfId="23601"/>
    <cellStyle name="Normal 83 3" xfId="3079"/>
    <cellStyle name="Normal 83 3 2" xfId="3080"/>
    <cellStyle name="Normal 83 3_Sheet1" xfId="3081"/>
    <cellStyle name="Normal 83 4" xfId="3082"/>
    <cellStyle name="Normal 83 5" xfId="23000"/>
    <cellStyle name="Normal 83 6" xfId="22573"/>
    <cellStyle name="Normal 83 7" xfId="22875"/>
    <cellStyle name="Normal 83_Sheet1" xfId="3083"/>
    <cellStyle name="Normal 84" xfId="3084"/>
    <cellStyle name="Normal 84 2" xfId="3085"/>
    <cellStyle name="Normal 84 2 10" xfId="52612"/>
    <cellStyle name="Normal 84 2 2" xfId="5273"/>
    <cellStyle name="Normal 84 2 2 2" xfId="8782"/>
    <cellStyle name="Normal 84 2 2 2 2" xfId="16572"/>
    <cellStyle name="Normal 84 2 2 2 2 2" xfId="34193"/>
    <cellStyle name="Normal 84 2 2 2 3" xfId="27169"/>
    <cellStyle name="Normal 84 2 2 3" xfId="13248"/>
    <cellStyle name="Normal 84 2 2 3 2" xfId="30879"/>
    <cellStyle name="Normal 84 2 2 4" xfId="24308"/>
    <cellStyle name="Normal 84 2 3" xfId="6035"/>
    <cellStyle name="Normal 84 2 3 2" xfId="9332"/>
    <cellStyle name="Normal 84 2 3 2 2" xfId="17121"/>
    <cellStyle name="Normal 84 2 3 2 2 2" xfId="34743"/>
    <cellStyle name="Normal 84 2 3 2 3" xfId="27706"/>
    <cellStyle name="Normal 84 2 3 3" xfId="13885"/>
    <cellStyle name="Normal 84 2 3 3 2" xfId="31511"/>
    <cellStyle name="Normal 84 2 3 4" xfId="24845"/>
    <cellStyle name="Normal 84 2 4" xfId="6665"/>
    <cellStyle name="Normal 84 2 4 2" xfId="9872"/>
    <cellStyle name="Normal 84 2 4 2 2" xfId="17660"/>
    <cellStyle name="Normal 84 2 4 2 2 2" xfId="35283"/>
    <cellStyle name="Normal 84 2 4 2 3" xfId="28242"/>
    <cellStyle name="Normal 84 2 4 3" xfId="14448"/>
    <cellStyle name="Normal 84 2 4 3 2" xfId="32069"/>
    <cellStyle name="Normal 84 2 4 4" xfId="25381"/>
    <cellStyle name="Normal 84 2 5" xfId="7440"/>
    <cellStyle name="Normal 84 2 5 2" xfId="10425"/>
    <cellStyle name="Normal 84 2 5 2 2" xfId="18212"/>
    <cellStyle name="Normal 84 2 5 2 2 2" xfId="35835"/>
    <cellStyle name="Normal 84 2 5 2 3" xfId="28778"/>
    <cellStyle name="Normal 84 2 5 3" xfId="15222"/>
    <cellStyle name="Normal 84 2 5 3 2" xfId="32843"/>
    <cellStyle name="Normal 84 2 5 4" xfId="25918"/>
    <cellStyle name="Normal 84 2 6" xfId="8061"/>
    <cellStyle name="Normal 84 2 6 2" xfId="15852"/>
    <cellStyle name="Normal 84 2 6 2 2" xfId="33473"/>
    <cellStyle name="Normal 84 2 6 3" xfId="26463"/>
    <cellStyle name="Normal 84 2 7" xfId="12060"/>
    <cellStyle name="Normal 84 2 7 2" xfId="29724"/>
    <cellStyle name="Normal 84 2 8" xfId="21986"/>
    <cellStyle name="Normal 84 2 8 2" xfId="38716"/>
    <cellStyle name="Normal 84 2 9" xfId="23602"/>
    <cellStyle name="Normal 84 3" xfId="3086"/>
    <cellStyle name="Normal 84 3 2" xfId="3087"/>
    <cellStyle name="Normal 84 3_Sheet1" xfId="3088"/>
    <cellStyle name="Normal 84 4" xfId="3089"/>
    <cellStyle name="Normal 84 5" xfId="23001"/>
    <cellStyle name="Normal 84 6" xfId="22574"/>
    <cellStyle name="Normal 84 7" xfId="22874"/>
    <cellStyle name="Normal 84_Sheet1" xfId="3090"/>
    <cellStyle name="Normal 85" xfId="3091"/>
    <cellStyle name="Normal 85 2" xfId="3092"/>
    <cellStyle name="Normal 85 2 10" xfId="52613"/>
    <cellStyle name="Normal 85 2 2" xfId="5274"/>
    <cellStyle name="Normal 85 2 2 2" xfId="8783"/>
    <cellStyle name="Normal 85 2 2 2 2" xfId="16573"/>
    <cellStyle name="Normal 85 2 2 2 2 2" xfId="34194"/>
    <cellStyle name="Normal 85 2 2 2 3" xfId="27170"/>
    <cellStyle name="Normal 85 2 2 3" xfId="13249"/>
    <cellStyle name="Normal 85 2 2 3 2" xfId="30880"/>
    <cellStyle name="Normal 85 2 2 4" xfId="24309"/>
    <cellStyle name="Normal 85 2 3" xfId="6036"/>
    <cellStyle name="Normal 85 2 3 2" xfId="9333"/>
    <cellStyle name="Normal 85 2 3 2 2" xfId="17122"/>
    <cellStyle name="Normal 85 2 3 2 2 2" xfId="34744"/>
    <cellStyle name="Normal 85 2 3 2 3" xfId="27707"/>
    <cellStyle name="Normal 85 2 3 3" xfId="13886"/>
    <cellStyle name="Normal 85 2 3 3 2" xfId="31512"/>
    <cellStyle name="Normal 85 2 3 4" xfId="24846"/>
    <cellStyle name="Normal 85 2 4" xfId="6666"/>
    <cellStyle name="Normal 85 2 4 2" xfId="9873"/>
    <cellStyle name="Normal 85 2 4 2 2" xfId="17661"/>
    <cellStyle name="Normal 85 2 4 2 2 2" xfId="35284"/>
    <cellStyle name="Normal 85 2 4 2 3" xfId="28243"/>
    <cellStyle name="Normal 85 2 4 3" xfId="14449"/>
    <cellStyle name="Normal 85 2 4 3 2" xfId="32070"/>
    <cellStyle name="Normal 85 2 4 4" xfId="25382"/>
    <cellStyle name="Normal 85 2 5" xfId="7441"/>
    <cellStyle name="Normal 85 2 5 2" xfId="10426"/>
    <cellStyle name="Normal 85 2 5 2 2" xfId="18213"/>
    <cellStyle name="Normal 85 2 5 2 2 2" xfId="35836"/>
    <cellStyle name="Normal 85 2 5 2 3" xfId="28779"/>
    <cellStyle name="Normal 85 2 5 3" xfId="15223"/>
    <cellStyle name="Normal 85 2 5 3 2" xfId="32844"/>
    <cellStyle name="Normal 85 2 5 4" xfId="25919"/>
    <cellStyle name="Normal 85 2 6" xfId="8062"/>
    <cellStyle name="Normal 85 2 6 2" xfId="15853"/>
    <cellStyle name="Normal 85 2 6 2 2" xfId="33474"/>
    <cellStyle name="Normal 85 2 6 3" xfId="26464"/>
    <cellStyle name="Normal 85 2 7" xfId="12062"/>
    <cellStyle name="Normal 85 2 7 2" xfId="29726"/>
    <cellStyle name="Normal 85 2 8" xfId="21987"/>
    <cellStyle name="Normal 85 2 8 2" xfId="38717"/>
    <cellStyle name="Normal 85 2 9" xfId="23603"/>
    <cellStyle name="Normal 85 3" xfId="3093"/>
    <cellStyle name="Normal 85 3 2" xfId="3094"/>
    <cellStyle name="Normal 85 3_Sheet1" xfId="3095"/>
    <cellStyle name="Normal 85 4" xfId="3096"/>
    <cellStyle name="Normal 85 5" xfId="23002"/>
    <cellStyle name="Normal 85 6" xfId="22575"/>
    <cellStyle name="Normal 85 7" xfId="22873"/>
    <cellStyle name="Normal 85_Sheet1" xfId="3097"/>
    <cellStyle name="Normal 86" xfId="3098"/>
    <cellStyle name="Normal 86 2" xfId="3099"/>
    <cellStyle name="Normal 86 2 10" xfId="52614"/>
    <cellStyle name="Normal 86 2 2" xfId="5275"/>
    <cellStyle name="Normal 86 2 2 2" xfId="8784"/>
    <cellStyle name="Normal 86 2 2 2 2" xfId="16574"/>
    <cellStyle name="Normal 86 2 2 2 2 2" xfId="34195"/>
    <cellStyle name="Normal 86 2 2 2 3" xfId="27171"/>
    <cellStyle name="Normal 86 2 2 3" xfId="13250"/>
    <cellStyle name="Normal 86 2 2 3 2" xfId="30881"/>
    <cellStyle name="Normal 86 2 2 4" xfId="24310"/>
    <cellStyle name="Normal 86 2 3" xfId="6037"/>
    <cellStyle name="Normal 86 2 3 2" xfId="9334"/>
    <cellStyle name="Normal 86 2 3 2 2" xfId="17123"/>
    <cellStyle name="Normal 86 2 3 2 2 2" xfId="34745"/>
    <cellStyle name="Normal 86 2 3 2 3" xfId="27708"/>
    <cellStyle name="Normal 86 2 3 3" xfId="13887"/>
    <cellStyle name="Normal 86 2 3 3 2" xfId="31513"/>
    <cellStyle name="Normal 86 2 3 4" xfId="24847"/>
    <cellStyle name="Normal 86 2 4" xfId="6667"/>
    <cellStyle name="Normal 86 2 4 2" xfId="9874"/>
    <cellStyle name="Normal 86 2 4 2 2" xfId="17662"/>
    <cellStyle name="Normal 86 2 4 2 2 2" xfId="35285"/>
    <cellStyle name="Normal 86 2 4 2 3" xfId="28244"/>
    <cellStyle name="Normal 86 2 4 3" xfId="14450"/>
    <cellStyle name="Normal 86 2 4 3 2" xfId="32071"/>
    <cellStyle name="Normal 86 2 4 4" xfId="25383"/>
    <cellStyle name="Normal 86 2 5" xfId="7442"/>
    <cellStyle name="Normal 86 2 5 2" xfId="10427"/>
    <cellStyle name="Normal 86 2 5 2 2" xfId="18214"/>
    <cellStyle name="Normal 86 2 5 2 2 2" xfId="35837"/>
    <cellStyle name="Normal 86 2 5 2 3" xfId="28780"/>
    <cellStyle name="Normal 86 2 5 3" xfId="15224"/>
    <cellStyle name="Normal 86 2 5 3 2" xfId="32845"/>
    <cellStyle name="Normal 86 2 5 4" xfId="25920"/>
    <cellStyle name="Normal 86 2 6" xfId="8063"/>
    <cellStyle name="Normal 86 2 6 2" xfId="15854"/>
    <cellStyle name="Normal 86 2 6 2 2" xfId="33475"/>
    <cellStyle name="Normal 86 2 6 3" xfId="26465"/>
    <cellStyle name="Normal 86 2 7" xfId="12064"/>
    <cellStyle name="Normal 86 2 7 2" xfId="29728"/>
    <cellStyle name="Normal 86 2 8" xfId="21988"/>
    <cellStyle name="Normal 86 2 8 2" xfId="38718"/>
    <cellStyle name="Normal 86 2 9" xfId="23604"/>
    <cellStyle name="Normal 86 3" xfId="3100"/>
    <cellStyle name="Normal 86 3 2" xfId="3101"/>
    <cellStyle name="Normal 86 3_Sheet1" xfId="3102"/>
    <cellStyle name="Normal 86 4" xfId="3103"/>
    <cellStyle name="Normal 86 5" xfId="23003"/>
    <cellStyle name="Normal 86_Sheet1" xfId="3104"/>
    <cellStyle name="Normal 87" xfId="3105"/>
    <cellStyle name="Normal 87 2" xfId="3106"/>
    <cellStyle name="Normal 87 2 10" xfId="52615"/>
    <cellStyle name="Normal 87 2 2" xfId="5276"/>
    <cellStyle name="Normal 87 2 2 2" xfId="8785"/>
    <cellStyle name="Normal 87 2 2 2 2" xfId="16575"/>
    <cellStyle name="Normal 87 2 2 2 2 2" xfId="34196"/>
    <cellStyle name="Normal 87 2 2 2 3" xfId="27172"/>
    <cellStyle name="Normal 87 2 2 3" xfId="13251"/>
    <cellStyle name="Normal 87 2 2 3 2" xfId="30882"/>
    <cellStyle name="Normal 87 2 2 4" xfId="24311"/>
    <cellStyle name="Normal 87 2 3" xfId="6038"/>
    <cellStyle name="Normal 87 2 3 2" xfId="9335"/>
    <cellStyle name="Normal 87 2 3 2 2" xfId="17124"/>
    <cellStyle name="Normal 87 2 3 2 2 2" xfId="34746"/>
    <cellStyle name="Normal 87 2 3 2 3" xfId="27709"/>
    <cellStyle name="Normal 87 2 3 3" xfId="13888"/>
    <cellStyle name="Normal 87 2 3 3 2" xfId="31514"/>
    <cellStyle name="Normal 87 2 3 4" xfId="24848"/>
    <cellStyle name="Normal 87 2 4" xfId="6668"/>
    <cellStyle name="Normal 87 2 4 2" xfId="9875"/>
    <cellStyle name="Normal 87 2 4 2 2" xfId="17663"/>
    <cellStyle name="Normal 87 2 4 2 2 2" xfId="35286"/>
    <cellStyle name="Normal 87 2 4 2 3" xfId="28245"/>
    <cellStyle name="Normal 87 2 4 3" xfId="14451"/>
    <cellStyle name="Normal 87 2 4 3 2" xfId="32072"/>
    <cellStyle name="Normal 87 2 4 4" xfId="25384"/>
    <cellStyle name="Normal 87 2 5" xfId="7443"/>
    <cellStyle name="Normal 87 2 5 2" xfId="10428"/>
    <cellStyle name="Normal 87 2 5 2 2" xfId="18215"/>
    <cellStyle name="Normal 87 2 5 2 2 2" xfId="35838"/>
    <cellStyle name="Normal 87 2 5 2 3" xfId="28781"/>
    <cellStyle name="Normal 87 2 5 3" xfId="15225"/>
    <cellStyle name="Normal 87 2 5 3 2" xfId="32846"/>
    <cellStyle name="Normal 87 2 5 4" xfId="25921"/>
    <cellStyle name="Normal 87 2 6" xfId="8064"/>
    <cellStyle name="Normal 87 2 6 2" xfId="15855"/>
    <cellStyle name="Normal 87 2 6 2 2" xfId="33476"/>
    <cellStyle name="Normal 87 2 6 3" xfId="26466"/>
    <cellStyle name="Normal 87 2 7" xfId="12066"/>
    <cellStyle name="Normal 87 2 7 2" xfId="29730"/>
    <cellStyle name="Normal 87 2 8" xfId="21989"/>
    <cellStyle name="Normal 87 2 8 2" xfId="38719"/>
    <cellStyle name="Normal 87 2 9" xfId="23605"/>
    <cellStyle name="Normal 87 3" xfId="3107"/>
    <cellStyle name="Normal 87 3 2" xfId="3108"/>
    <cellStyle name="Normal 87 3_Sheet1" xfId="3109"/>
    <cellStyle name="Normal 87 4" xfId="3110"/>
    <cellStyle name="Normal 87 5" xfId="23004"/>
    <cellStyle name="Normal 87_Sheet1" xfId="3111"/>
    <cellStyle name="Normal 88" xfId="3112"/>
    <cellStyle name="Normal 88 2" xfId="3113"/>
    <cellStyle name="Normal 88 2 2" xfId="5278"/>
    <cellStyle name="Normal 88 2 3" xfId="22775"/>
    <cellStyle name="Normal 88 2 3 2" xfId="38968"/>
    <cellStyle name="Normal 88 2 4" xfId="52617"/>
    <cellStyle name="Normal 88 3" xfId="5277"/>
    <cellStyle name="Normal 88 4" xfId="22576"/>
    <cellStyle name="Normal 88 4 2" xfId="38863"/>
    <cellStyle name="Normal 88 5" xfId="52616"/>
    <cellStyle name="Normal 88_BallGrid" xfId="3114"/>
    <cellStyle name="Normal 89" xfId="3115"/>
    <cellStyle name="Normal 89 2" xfId="3116"/>
    <cellStyle name="Normal 89 2 10" xfId="52618"/>
    <cellStyle name="Normal 89 2 2" xfId="5279"/>
    <cellStyle name="Normal 89 2 2 2" xfId="8786"/>
    <cellStyle name="Normal 89 2 2 2 2" xfId="16576"/>
    <cellStyle name="Normal 89 2 2 2 2 2" xfId="34197"/>
    <cellStyle name="Normal 89 2 2 2 3" xfId="27173"/>
    <cellStyle name="Normal 89 2 2 3" xfId="13253"/>
    <cellStyle name="Normal 89 2 2 3 2" xfId="30884"/>
    <cellStyle name="Normal 89 2 2 4" xfId="24312"/>
    <cellStyle name="Normal 89 2 3" xfId="6039"/>
    <cellStyle name="Normal 89 2 3 2" xfId="9336"/>
    <cellStyle name="Normal 89 2 3 2 2" xfId="17125"/>
    <cellStyle name="Normal 89 2 3 2 2 2" xfId="34747"/>
    <cellStyle name="Normal 89 2 3 2 3" xfId="27710"/>
    <cellStyle name="Normal 89 2 3 3" xfId="13889"/>
    <cellStyle name="Normal 89 2 3 3 2" xfId="31515"/>
    <cellStyle name="Normal 89 2 3 4" xfId="24849"/>
    <cellStyle name="Normal 89 2 4" xfId="6669"/>
    <cellStyle name="Normal 89 2 4 2" xfId="9876"/>
    <cellStyle name="Normal 89 2 4 2 2" xfId="17664"/>
    <cellStyle name="Normal 89 2 4 2 2 2" xfId="35287"/>
    <cellStyle name="Normal 89 2 4 2 3" xfId="28246"/>
    <cellStyle name="Normal 89 2 4 3" xfId="14452"/>
    <cellStyle name="Normal 89 2 4 3 2" xfId="32073"/>
    <cellStyle name="Normal 89 2 4 4" xfId="25385"/>
    <cellStyle name="Normal 89 2 5" xfId="7444"/>
    <cellStyle name="Normal 89 2 5 2" xfId="10429"/>
    <cellStyle name="Normal 89 2 5 2 2" xfId="18216"/>
    <cellStyle name="Normal 89 2 5 2 2 2" xfId="35839"/>
    <cellStyle name="Normal 89 2 5 2 3" xfId="28782"/>
    <cellStyle name="Normal 89 2 5 3" xfId="15226"/>
    <cellStyle name="Normal 89 2 5 3 2" xfId="32847"/>
    <cellStyle name="Normal 89 2 5 4" xfId="25922"/>
    <cellStyle name="Normal 89 2 6" xfId="8065"/>
    <cellStyle name="Normal 89 2 6 2" xfId="15856"/>
    <cellStyle name="Normal 89 2 6 2 2" xfId="33477"/>
    <cellStyle name="Normal 89 2 6 3" xfId="26467"/>
    <cellStyle name="Normal 89 2 7" xfId="12067"/>
    <cellStyle name="Normal 89 2 7 2" xfId="29731"/>
    <cellStyle name="Normal 89 2 8" xfId="21990"/>
    <cellStyle name="Normal 89 2 8 2" xfId="38720"/>
    <cellStyle name="Normal 89 2 9" xfId="23606"/>
    <cellStyle name="Normal 89 3" xfId="3117"/>
    <cellStyle name="Normal 89 3 2" xfId="3118"/>
    <cellStyle name="Normal 89 3_Sheet1" xfId="3119"/>
    <cellStyle name="Normal 89 4" xfId="3120"/>
    <cellStyle name="Normal 89 5" xfId="23005"/>
    <cellStyle name="Normal 89_Sheet1" xfId="3121"/>
    <cellStyle name="Normal 9" xfId="190"/>
    <cellStyle name="Normal 9 2" xfId="208"/>
    <cellStyle name="Normal 9 2 2" xfId="3124"/>
    <cellStyle name="Normal 9 2 3" xfId="3123"/>
    <cellStyle name="Normal 9 2_Sheet1" xfId="3125"/>
    <cellStyle name="Normal 9 3" xfId="201"/>
    <cellStyle name="Normal 9 3 2" xfId="3126"/>
    <cellStyle name="Normal 9 4" xfId="23006"/>
    <cellStyle name="Normal 9 5" xfId="22577"/>
    <cellStyle name="Normal 9 6" xfId="22265"/>
    <cellStyle name="Normal 9 7" xfId="3122"/>
    <cellStyle name="Normal 9 8" xfId="53230"/>
    <cellStyle name="Normal 9 9" xfId="53339"/>
    <cellStyle name="Normal 9_Sheet1" xfId="3127"/>
    <cellStyle name="Normal 90" xfId="3128"/>
    <cellStyle name="Normal 90 10" xfId="52619"/>
    <cellStyle name="Normal 90 2" xfId="5280"/>
    <cellStyle name="Normal 90 2 2" xfId="8787"/>
    <cellStyle name="Normal 90 2 2 2" xfId="16577"/>
    <cellStyle name="Normal 90 2 2 2 2" xfId="34198"/>
    <cellStyle name="Normal 90 2 2 3" xfId="27174"/>
    <cellStyle name="Normal 90 2 3" xfId="13254"/>
    <cellStyle name="Normal 90 2 3 2" xfId="30885"/>
    <cellStyle name="Normal 90 2 4" xfId="22776"/>
    <cellStyle name="Normal 90 2 4 2" xfId="38969"/>
    <cellStyle name="Normal 90 2 5" xfId="24313"/>
    <cellStyle name="Normal 90 3" xfId="6040"/>
    <cellStyle name="Normal 90 3 2" xfId="9337"/>
    <cellStyle name="Normal 90 3 2 2" xfId="17126"/>
    <cellStyle name="Normal 90 3 2 2 2" xfId="34748"/>
    <cellStyle name="Normal 90 3 2 3" xfId="27711"/>
    <cellStyle name="Normal 90 3 3" xfId="13890"/>
    <cellStyle name="Normal 90 3 3 2" xfId="31516"/>
    <cellStyle name="Normal 90 3 4" xfId="24850"/>
    <cellStyle name="Normal 90 4" xfId="6670"/>
    <cellStyle name="Normal 90 4 2" xfId="9877"/>
    <cellStyle name="Normal 90 4 2 2" xfId="17665"/>
    <cellStyle name="Normal 90 4 2 2 2" xfId="35288"/>
    <cellStyle name="Normal 90 4 2 3" xfId="28247"/>
    <cellStyle name="Normal 90 4 3" xfId="14453"/>
    <cellStyle name="Normal 90 4 3 2" xfId="32074"/>
    <cellStyle name="Normal 90 4 4" xfId="25386"/>
    <cellStyle name="Normal 90 5" xfId="7445"/>
    <cellStyle name="Normal 90 5 2" xfId="10430"/>
    <cellStyle name="Normal 90 5 2 2" xfId="18217"/>
    <cellStyle name="Normal 90 5 2 2 2" xfId="35840"/>
    <cellStyle name="Normal 90 5 2 3" xfId="28783"/>
    <cellStyle name="Normal 90 5 3" xfId="15227"/>
    <cellStyle name="Normal 90 5 3 2" xfId="32848"/>
    <cellStyle name="Normal 90 5 4" xfId="25923"/>
    <cellStyle name="Normal 90 6" xfId="8066"/>
    <cellStyle name="Normal 90 6 2" xfId="15857"/>
    <cellStyle name="Normal 90 6 2 2" xfId="33478"/>
    <cellStyle name="Normal 90 6 3" xfId="26468"/>
    <cellStyle name="Normal 90 7" xfId="12069"/>
    <cellStyle name="Normal 90 7 2" xfId="29732"/>
    <cellStyle name="Normal 90 8" xfId="21991"/>
    <cellStyle name="Normal 90 8 2" xfId="38721"/>
    <cellStyle name="Normal 90 9" xfId="23607"/>
    <cellStyle name="Normal 91" xfId="3129"/>
    <cellStyle name="Normal 91 2" xfId="5281"/>
    <cellStyle name="Normal 91 3" xfId="52620"/>
    <cellStyle name="Normal 92" xfId="3130"/>
    <cellStyle name="Normal 92 2" xfId="5282"/>
    <cellStyle name="Normal 92 3" xfId="52621"/>
    <cellStyle name="Normal 93" xfId="3131"/>
    <cellStyle name="Normal 93 2" xfId="5283"/>
    <cellStyle name="Normal 93 3" xfId="52622"/>
    <cellStyle name="Normal 94" xfId="3132"/>
    <cellStyle name="Normal 94 2" xfId="5284"/>
    <cellStyle name="Normal 94 3" xfId="52623"/>
    <cellStyle name="Normal 95" xfId="3133"/>
    <cellStyle name="Normal 95 2" xfId="5285"/>
    <cellStyle name="Normal 95 3" xfId="52624"/>
    <cellStyle name="Normal 96" xfId="3134"/>
    <cellStyle name="Normal 96 2" xfId="5286"/>
    <cellStyle name="Normal 96 3" xfId="52625"/>
    <cellStyle name="Normal 97" xfId="3135"/>
    <cellStyle name="Normal 97 2" xfId="5287"/>
    <cellStyle name="Normal 97 3" xfId="52626"/>
    <cellStyle name="Normal 98" xfId="3136"/>
    <cellStyle name="Normal 98 2" xfId="5288"/>
    <cellStyle name="Normal 98 2 2" xfId="22777"/>
    <cellStyle name="Normal 98 2 2 2" xfId="38970"/>
    <cellStyle name="Normal 98 3" xfId="23007"/>
    <cellStyle name="Normal 98 4" xfId="22578"/>
    <cellStyle name="Normal 98 4 2" xfId="38864"/>
    <cellStyle name="Normal 98 5" xfId="52627"/>
    <cellStyle name="Normal 99" xfId="3137"/>
    <cellStyle name="Normal 99 2" xfId="5289"/>
    <cellStyle name="Normal 99 3" xfId="22579"/>
    <cellStyle name="Normal 99 3 2" xfId="38865"/>
    <cellStyle name="Normal 99 4" xfId="52628"/>
    <cellStyle name="Note 10" xfId="3138"/>
    <cellStyle name="Note 10 10" xfId="3139"/>
    <cellStyle name="Note 10 11" xfId="5290"/>
    <cellStyle name="Note 10 2" xfId="3140"/>
    <cellStyle name="Note 10 2 2" xfId="3141"/>
    <cellStyle name="Note 10 3" xfId="3142"/>
    <cellStyle name="Note 10 3 2" xfId="3143"/>
    <cellStyle name="Note 10 4" xfId="3144"/>
    <cellStyle name="Note 10 5" xfId="3145"/>
    <cellStyle name="Note 10 5 2" xfId="3146"/>
    <cellStyle name="Note 10 6" xfId="3147"/>
    <cellStyle name="Note 10 7" xfId="3148"/>
    <cellStyle name="Note 10 8" xfId="3149"/>
    <cellStyle name="Note 10 9" xfId="3150"/>
    <cellStyle name="Note 11" xfId="3151"/>
    <cellStyle name="Note 11 2" xfId="3152"/>
    <cellStyle name="Note 12" xfId="3153"/>
    <cellStyle name="Note 12 2" xfId="5291"/>
    <cellStyle name="Note 12 2 2" xfId="22581"/>
    <cellStyle name="Note 12 3" xfId="22582"/>
    <cellStyle name="Note 13" xfId="3154"/>
    <cellStyle name="Note 13 2" xfId="3155"/>
    <cellStyle name="Note 14" xfId="3156"/>
    <cellStyle name="Note 14 2" xfId="3157"/>
    <cellStyle name="Note 14 2 2" xfId="53232"/>
    <cellStyle name="Note 14 3" xfId="5292"/>
    <cellStyle name="Note 14 3 2" xfId="53340"/>
    <cellStyle name="Note 14 4" xfId="5293"/>
    <cellStyle name="Note 14 5" xfId="5294"/>
    <cellStyle name="Note 14 6" xfId="22583"/>
    <cellStyle name="Note 14 6 2" xfId="47526"/>
    <cellStyle name="Note 14 6 3" xfId="51375"/>
    <cellStyle name="Note 14 6 4" xfId="38867"/>
    <cellStyle name="Note 14 7" xfId="53231"/>
    <cellStyle name="Note 15" xfId="3158"/>
    <cellStyle name="Note 15 2" xfId="3159"/>
    <cellStyle name="Note 15 2 2" xfId="38873"/>
    <cellStyle name="Note 15 2 3" xfId="22662"/>
    <cellStyle name="Note 16" xfId="3160"/>
    <cellStyle name="Note 16 2" xfId="3161"/>
    <cellStyle name="Note 16 2 2" xfId="32918"/>
    <cellStyle name="Note 16 2 2 2" xfId="53342"/>
    <cellStyle name="Note 16 2 3" xfId="15297"/>
    <cellStyle name="Note 16 2 4" xfId="53234"/>
    <cellStyle name="Note 16 3" xfId="22580"/>
    <cellStyle name="Note 16 3 2" xfId="47525"/>
    <cellStyle name="Note 16 3 3" xfId="51374"/>
    <cellStyle name="Note 16 3 4" xfId="38866"/>
    <cellStyle name="Note 16 3 5" xfId="53341"/>
    <cellStyle name="Note 16 4" xfId="25925"/>
    <cellStyle name="Note 16 5" xfId="7504"/>
    <cellStyle name="Note 16 6" xfId="53233"/>
    <cellStyle name="Note 17" xfId="3162"/>
    <cellStyle name="Note 17 2" xfId="36479"/>
    <cellStyle name="Note 17 2 2" xfId="53343"/>
    <cellStyle name="Note 17 3" xfId="18856"/>
    <cellStyle name="Note 18" xfId="3163"/>
    <cellStyle name="Note 19" xfId="51452"/>
    <cellStyle name="Note 2" xfId="133"/>
    <cellStyle name="Note 2 10" xfId="12072"/>
    <cellStyle name="Note 2 10 2" xfId="41797"/>
    <cellStyle name="Note 2 10 3" xfId="39306"/>
    <cellStyle name="Note 2 10 4" xfId="29734"/>
    <cellStyle name="Note 2 11" xfId="19833"/>
    <cellStyle name="Note 2 11 2" xfId="45355"/>
    <cellStyle name="Note 2 11 3" xfId="49261"/>
    <cellStyle name="Note 2 11 4" xfId="37335"/>
    <cellStyle name="Note 2 12" xfId="52629"/>
    <cellStyle name="Note 2 13" xfId="3164"/>
    <cellStyle name="Note 2 14" xfId="52734"/>
    <cellStyle name="Note 2 2" xfId="3165"/>
    <cellStyle name="Note 2 2 2" xfId="5296"/>
    <cellStyle name="Note 2 2 2 2" xfId="10463"/>
    <cellStyle name="Note 2 2 2 2 2" xfId="18250"/>
    <cellStyle name="Note 2 2 2 2 2 2" xfId="43782"/>
    <cellStyle name="Note 2 2 2 2 2 3" xfId="47691"/>
    <cellStyle name="Note 2 2 2 2 2 4" xfId="35873"/>
    <cellStyle name="Note 2 2 2 2 3" xfId="19131"/>
    <cellStyle name="Note 2 2 2 2 3 2" xfId="44653"/>
    <cellStyle name="Note 2 2 2 2 3 3" xfId="48559"/>
    <cellStyle name="Note 2 2 2 2 3 4" xfId="36712"/>
    <cellStyle name="Note 2 2 2 2 4" xfId="12663"/>
    <cellStyle name="Note 2 2 2 2 4 2" xfId="42123"/>
    <cellStyle name="Note 2 2 2 2 4 3" xfId="42666"/>
    <cellStyle name="Note 2 2 2 2 4 4" xfId="30313"/>
    <cellStyle name="Note 2 2 2 2 5" xfId="20663"/>
    <cellStyle name="Note 2 2 2 2 5 2" xfId="46185"/>
    <cellStyle name="Note 2 2 2 2 5 3" xfId="50091"/>
    <cellStyle name="Note 2 2 2 2 5 4" xfId="38055"/>
    <cellStyle name="Note 2 2 2 2 6" xfId="21316"/>
    <cellStyle name="Note 2 2 2 2 6 2" xfId="46838"/>
    <cellStyle name="Note 2 2 2 2 6 3" xfId="50744"/>
    <cellStyle name="Note 2 2 2 2 7" xfId="40641"/>
    <cellStyle name="Note 2 2 2 2 8" xfId="40367"/>
    <cellStyle name="Note 2 2 2 2 9" xfId="53346"/>
    <cellStyle name="Note 2 2 2 3" xfId="8789"/>
    <cellStyle name="Note 2 2 2 3 2" xfId="16579"/>
    <cellStyle name="Note 2 2 2 3 2 2" xfId="43404"/>
    <cellStyle name="Note 2 2 2 3 2 3" xfId="43258"/>
    <cellStyle name="Note 2 2 2 3 2 4" xfId="34200"/>
    <cellStyle name="Note 2 2 2 3 3" xfId="19933"/>
    <cellStyle name="Note 2 2 2 3 3 2" xfId="45455"/>
    <cellStyle name="Note 2 2 2 3 3 3" xfId="49361"/>
    <cellStyle name="Note 2 2 2 3 3 4" xfId="37427"/>
    <cellStyle name="Note 2 2 2 3 4" xfId="12802"/>
    <cellStyle name="Note 2 2 2 3 4 2" xfId="42197"/>
    <cellStyle name="Note 2 2 2 3 4 3" xfId="43297"/>
    <cellStyle name="Note 2 2 2 3 4 4" xfId="30444"/>
    <cellStyle name="Note 2 2 2 3 5" xfId="11577"/>
    <cellStyle name="Note 2 2 2 3 5 2" xfId="41568"/>
    <cellStyle name="Note 2 2 2 3 5 3" xfId="41997"/>
    <cellStyle name="Note 2 2 2 3 5 4" xfId="29272"/>
    <cellStyle name="Note 2 2 2 3 6" xfId="20448"/>
    <cellStyle name="Note 2 2 2 3 6 2" xfId="45970"/>
    <cellStyle name="Note 2 2 2 3 6 3" xfId="49876"/>
    <cellStyle name="Note 2 2 2 3 7" xfId="40266"/>
    <cellStyle name="Note 2 2 2 3 8" xfId="39193"/>
    <cellStyle name="Note 2 2 2 4" xfId="13261"/>
    <cellStyle name="Note 2 2 2 4 2" xfId="42412"/>
    <cellStyle name="Note 2 2 2 4 3" xfId="40297"/>
    <cellStyle name="Note 2 2 2 4 4" xfId="30892"/>
    <cellStyle name="Note 2 2 2 5" xfId="19513"/>
    <cellStyle name="Note 2 2 2 5 2" xfId="45035"/>
    <cellStyle name="Note 2 2 2 5 3" xfId="48941"/>
    <cellStyle name="Note 2 2 2 5 4" xfId="37047"/>
    <cellStyle name="Note 2 2 2 6" xfId="53236"/>
    <cellStyle name="Note 2 2 3" xfId="7447"/>
    <cellStyle name="Note 2 2 3 10" xfId="41680"/>
    <cellStyle name="Note 2 2 3 11" xfId="53345"/>
    <cellStyle name="Note 2 2 3 2" xfId="10717"/>
    <cellStyle name="Note 2 2 3 2 2" xfId="18504"/>
    <cellStyle name="Note 2 2 3 2 2 2" xfId="44036"/>
    <cellStyle name="Note 2 2 3 2 2 3" xfId="47945"/>
    <cellStyle name="Note 2 2 3 2 2 4" xfId="36127"/>
    <cellStyle name="Note 2 2 3 2 3" xfId="19105"/>
    <cellStyle name="Note 2 2 3 2 3 2" xfId="44627"/>
    <cellStyle name="Note 2 2 3 2 3 3" xfId="48533"/>
    <cellStyle name="Note 2 2 3 2 3 4" xfId="36686"/>
    <cellStyle name="Note 2 2 3 2 4" xfId="19371"/>
    <cellStyle name="Note 2 2 3 2 4 2" xfId="44893"/>
    <cellStyle name="Note 2 2 3 2 4 3" xfId="48799"/>
    <cellStyle name="Note 2 2 3 2 4 4" xfId="36923"/>
    <cellStyle name="Note 2 2 3 2 5" xfId="20917"/>
    <cellStyle name="Note 2 2 3 2 5 2" xfId="46439"/>
    <cellStyle name="Note 2 2 3 2 5 3" xfId="50345"/>
    <cellStyle name="Note 2 2 3 2 5 4" xfId="38309"/>
    <cellStyle name="Note 2 2 3 2 6" xfId="21570"/>
    <cellStyle name="Note 2 2 3 2 6 2" xfId="47092"/>
    <cellStyle name="Note 2 2 3 2 6 3" xfId="50998"/>
    <cellStyle name="Note 2 2 3 2 7" xfId="40895"/>
    <cellStyle name="Note 2 2 3 2 8" xfId="40355"/>
    <cellStyle name="Note 2 2 3 3" xfId="11012"/>
    <cellStyle name="Note 2 2 3 3 2" xfId="18799"/>
    <cellStyle name="Note 2 2 3 3 2 2" xfId="44331"/>
    <cellStyle name="Note 2 2 3 3 2 3" xfId="48240"/>
    <cellStyle name="Note 2 2 3 3 2 4" xfId="36422"/>
    <cellStyle name="Note 2 2 3 3 3" xfId="20392"/>
    <cellStyle name="Note 2 2 3 3 3 2" xfId="45914"/>
    <cellStyle name="Note 2 2 3 3 3 3" xfId="49820"/>
    <cellStyle name="Note 2 2 3 3 3 4" xfId="37832"/>
    <cellStyle name="Note 2 2 3 3 4" xfId="20536"/>
    <cellStyle name="Note 2 2 3 3 4 2" xfId="46058"/>
    <cellStyle name="Note 2 2 3 3 4 3" xfId="49964"/>
    <cellStyle name="Note 2 2 3 3 4 4" xfId="37949"/>
    <cellStyle name="Note 2 2 3 3 5" xfId="21212"/>
    <cellStyle name="Note 2 2 3 3 5 2" xfId="46734"/>
    <cellStyle name="Note 2 2 3 3 5 3" xfId="50640"/>
    <cellStyle name="Note 2 2 3 3 5 4" xfId="38604"/>
    <cellStyle name="Note 2 2 3 3 6" xfId="21865"/>
    <cellStyle name="Note 2 2 3 3 6 2" xfId="47387"/>
    <cellStyle name="Note 2 2 3 3 6 3" xfId="51293"/>
    <cellStyle name="Note 2 2 3 3 7" xfId="41190"/>
    <cellStyle name="Note 2 2 3 3 8" xfId="39342"/>
    <cellStyle name="Note 2 2 3 4" xfId="15229"/>
    <cellStyle name="Note 2 2 3 4 2" xfId="43084"/>
    <cellStyle name="Note 2 2 3 4 3" xfId="40121"/>
    <cellStyle name="Note 2 2 3 4 4" xfId="32850"/>
    <cellStyle name="Note 2 2 3 5" xfId="19806"/>
    <cellStyle name="Note 2 2 3 5 2" xfId="45328"/>
    <cellStyle name="Note 2 2 3 5 3" xfId="49234"/>
    <cellStyle name="Note 2 2 3 5 4" xfId="37313"/>
    <cellStyle name="Note 2 2 3 6" xfId="20066"/>
    <cellStyle name="Note 2 2 3 6 2" xfId="45588"/>
    <cellStyle name="Note 2 2 3 6 3" xfId="49494"/>
    <cellStyle name="Note 2 2 3 6 4" xfId="37546"/>
    <cellStyle name="Note 2 2 3 7" xfId="11464"/>
    <cellStyle name="Note 2 2 3 7 2" xfId="41455"/>
    <cellStyle name="Note 2 2 3 7 3" xfId="40189"/>
    <cellStyle name="Note 2 2 3 7 4" xfId="29166"/>
    <cellStyle name="Note 2 2 3 8" xfId="19525"/>
    <cellStyle name="Note 2 2 3 8 2" xfId="45047"/>
    <cellStyle name="Note 2 2 3 8 3" xfId="48953"/>
    <cellStyle name="Note 2 2 3 9" xfId="39944"/>
    <cellStyle name="Note 2 2 4" xfId="12073"/>
    <cellStyle name="Note 2 2 4 2" xfId="41798"/>
    <cellStyle name="Note 2 2 4 3" xfId="41972"/>
    <cellStyle name="Note 2 2 4 4" xfId="29735"/>
    <cellStyle name="Note 2 2 5" xfId="18964"/>
    <cellStyle name="Note 2 2 5 2" xfId="44486"/>
    <cellStyle name="Note 2 2 5 3" xfId="48392"/>
    <cellStyle name="Note 2 2 5 4" xfId="36574"/>
    <cellStyle name="Note 2 2 6" xfId="52630"/>
    <cellStyle name="Note 2 2 7" xfId="53235"/>
    <cellStyle name="Note 2 3" xfId="3166"/>
    <cellStyle name="Note 2 3 2" xfId="5297"/>
    <cellStyle name="Note 2 3 2 2" xfId="10464"/>
    <cellStyle name="Note 2 3 2 2 2" xfId="18251"/>
    <cellStyle name="Note 2 3 2 2 2 2" xfId="43783"/>
    <cellStyle name="Note 2 3 2 2 2 3" xfId="47692"/>
    <cellStyle name="Note 2 3 2 2 2 4" xfId="35874"/>
    <cellStyle name="Note 2 3 2 2 3" xfId="19756"/>
    <cellStyle name="Note 2 3 2 2 3 2" xfId="45278"/>
    <cellStyle name="Note 2 3 2 2 3 3" xfId="49184"/>
    <cellStyle name="Note 2 3 2 2 3 4" xfId="37269"/>
    <cellStyle name="Note 2 3 2 2 4" xfId="19352"/>
    <cellStyle name="Note 2 3 2 2 4 2" xfId="44874"/>
    <cellStyle name="Note 2 3 2 2 4 3" xfId="48780"/>
    <cellStyle name="Note 2 3 2 2 4 4" xfId="36906"/>
    <cellStyle name="Note 2 3 2 2 5" xfId="20664"/>
    <cellStyle name="Note 2 3 2 2 5 2" xfId="46186"/>
    <cellStyle name="Note 2 3 2 2 5 3" xfId="50092"/>
    <cellStyle name="Note 2 3 2 2 5 4" xfId="38056"/>
    <cellStyle name="Note 2 3 2 2 6" xfId="21317"/>
    <cellStyle name="Note 2 3 2 2 6 2" xfId="46839"/>
    <cellStyle name="Note 2 3 2 2 6 3" xfId="50745"/>
    <cellStyle name="Note 2 3 2 2 7" xfId="40642"/>
    <cellStyle name="Note 2 3 2 2 8" xfId="39479"/>
    <cellStyle name="Note 2 3 2 2 9" xfId="53348"/>
    <cellStyle name="Note 2 3 2 3" xfId="8790"/>
    <cellStyle name="Note 2 3 2 3 2" xfId="16580"/>
    <cellStyle name="Note 2 3 2 3 2 2" xfId="43405"/>
    <cellStyle name="Note 2 3 2 3 2 3" xfId="40117"/>
    <cellStyle name="Note 2 3 2 3 2 4" xfId="34201"/>
    <cellStyle name="Note 2 3 2 3 3" xfId="19161"/>
    <cellStyle name="Note 2 3 2 3 3 2" xfId="44683"/>
    <cellStyle name="Note 2 3 2 3 3 3" xfId="48589"/>
    <cellStyle name="Note 2 3 2 3 3 4" xfId="36738"/>
    <cellStyle name="Note 2 3 2 3 4" xfId="11656"/>
    <cellStyle name="Note 2 3 2 3 4 2" xfId="41647"/>
    <cellStyle name="Note 2 3 2 3 4 3" xfId="47481"/>
    <cellStyle name="Note 2 3 2 3 4 4" xfId="29340"/>
    <cellStyle name="Note 2 3 2 3 5" xfId="18967"/>
    <cellStyle name="Note 2 3 2 3 5 2" xfId="44489"/>
    <cellStyle name="Note 2 3 2 3 5 3" xfId="48395"/>
    <cellStyle name="Note 2 3 2 3 5 4" xfId="36577"/>
    <cellStyle name="Note 2 3 2 3 6" xfId="20092"/>
    <cellStyle name="Note 2 3 2 3 6 2" xfId="45614"/>
    <cellStyle name="Note 2 3 2 3 6 3" xfId="49520"/>
    <cellStyle name="Note 2 3 2 3 7" xfId="40267"/>
    <cellStyle name="Note 2 3 2 3 8" xfId="39192"/>
    <cellStyle name="Note 2 3 2 4" xfId="13262"/>
    <cellStyle name="Note 2 3 2 4 2" xfId="42413"/>
    <cellStyle name="Note 2 3 2 4 3" xfId="39414"/>
    <cellStyle name="Note 2 3 2 4 4" xfId="30893"/>
    <cellStyle name="Note 2 3 2 5" xfId="11723"/>
    <cellStyle name="Note 2 3 2 5 2" xfId="41689"/>
    <cellStyle name="Note 2 3 2 5 3" xfId="43180"/>
    <cellStyle name="Note 2 3 2 5 4" xfId="29396"/>
    <cellStyle name="Note 2 3 2 6" xfId="53238"/>
    <cellStyle name="Note 2 3 3" xfId="7448"/>
    <cellStyle name="Note 2 3 3 10" xfId="43243"/>
    <cellStyle name="Note 2 3 3 11" xfId="53347"/>
    <cellStyle name="Note 2 3 3 2" xfId="10718"/>
    <cellStyle name="Note 2 3 3 2 2" xfId="18505"/>
    <cellStyle name="Note 2 3 3 2 2 2" xfId="44037"/>
    <cellStyle name="Note 2 3 3 2 2 3" xfId="47946"/>
    <cellStyle name="Note 2 3 3 2 2 4" xfId="36128"/>
    <cellStyle name="Note 2 3 3 2 3" xfId="19721"/>
    <cellStyle name="Note 2 3 3 2 3 2" xfId="45243"/>
    <cellStyle name="Note 2 3 3 2 3 3" xfId="49149"/>
    <cellStyle name="Note 2 3 3 2 3 4" xfId="37234"/>
    <cellStyle name="Note 2 3 3 2 4" xfId="19958"/>
    <cellStyle name="Note 2 3 3 2 4 2" xfId="45480"/>
    <cellStyle name="Note 2 3 3 2 4 3" xfId="49386"/>
    <cellStyle name="Note 2 3 3 2 4 4" xfId="37448"/>
    <cellStyle name="Note 2 3 3 2 5" xfId="20918"/>
    <cellStyle name="Note 2 3 3 2 5 2" xfId="46440"/>
    <cellStyle name="Note 2 3 3 2 5 3" xfId="50346"/>
    <cellStyle name="Note 2 3 3 2 5 4" xfId="38310"/>
    <cellStyle name="Note 2 3 3 2 6" xfId="21571"/>
    <cellStyle name="Note 2 3 3 2 6 2" xfId="47093"/>
    <cellStyle name="Note 2 3 3 2 6 3" xfId="50999"/>
    <cellStyle name="Note 2 3 3 2 7" xfId="40896"/>
    <cellStyle name="Note 2 3 3 2 8" xfId="39467"/>
    <cellStyle name="Note 2 3 3 3" xfId="11013"/>
    <cellStyle name="Note 2 3 3 3 2" xfId="18800"/>
    <cellStyle name="Note 2 3 3 3 2 2" xfId="44332"/>
    <cellStyle name="Note 2 3 3 3 2 3" xfId="48241"/>
    <cellStyle name="Note 2 3 3 3 2 4" xfId="36423"/>
    <cellStyle name="Note 2 3 3 3 3" xfId="20393"/>
    <cellStyle name="Note 2 3 3 3 3 2" xfId="45915"/>
    <cellStyle name="Note 2 3 3 3 3 3" xfId="49821"/>
    <cellStyle name="Note 2 3 3 3 3 4" xfId="37833"/>
    <cellStyle name="Note 2 3 3 3 4" xfId="20537"/>
    <cellStyle name="Note 2 3 3 3 4 2" xfId="46059"/>
    <cellStyle name="Note 2 3 3 3 4 3" xfId="49965"/>
    <cellStyle name="Note 2 3 3 3 4 4" xfId="37950"/>
    <cellStyle name="Note 2 3 3 3 5" xfId="21213"/>
    <cellStyle name="Note 2 3 3 3 5 2" xfId="46735"/>
    <cellStyle name="Note 2 3 3 3 5 3" xfId="50641"/>
    <cellStyle name="Note 2 3 3 3 5 4" xfId="38605"/>
    <cellStyle name="Note 2 3 3 3 6" xfId="21866"/>
    <cellStyle name="Note 2 3 3 3 6 2" xfId="47388"/>
    <cellStyle name="Note 2 3 3 3 6 3" xfId="51294"/>
    <cellStyle name="Note 2 3 3 3 7" xfId="41191"/>
    <cellStyle name="Note 2 3 3 3 8" xfId="39153"/>
    <cellStyle name="Note 2 3 3 4" xfId="15230"/>
    <cellStyle name="Note 2 3 3 4 2" xfId="43085"/>
    <cellStyle name="Note 2 3 3 4 3" xfId="39235"/>
    <cellStyle name="Note 2 3 3 4 4" xfId="32851"/>
    <cellStyle name="Note 2 3 3 5" xfId="11358"/>
    <cellStyle name="Note 2 3 3 5 2" xfId="41374"/>
    <cellStyle name="Note 2 3 3 5 3" xfId="39655"/>
    <cellStyle name="Note 2 3 3 5 4" xfId="29067"/>
    <cellStyle name="Note 2 3 3 6" xfId="18981"/>
    <cellStyle name="Note 2 3 3 6 2" xfId="44503"/>
    <cellStyle name="Note 2 3 3 6 3" xfId="48409"/>
    <cellStyle name="Note 2 3 3 6 4" xfId="36589"/>
    <cellStyle name="Note 2 3 3 7" xfId="20510"/>
    <cellStyle name="Note 2 3 3 7 2" xfId="46032"/>
    <cellStyle name="Note 2 3 3 7 3" xfId="49938"/>
    <cellStyle name="Note 2 3 3 7 4" xfId="37929"/>
    <cellStyle name="Note 2 3 3 8" xfId="19340"/>
    <cellStyle name="Note 2 3 3 8 2" xfId="44862"/>
    <cellStyle name="Note 2 3 3 8 3" xfId="48768"/>
    <cellStyle name="Note 2 3 3 9" xfId="39945"/>
    <cellStyle name="Note 2 3 4" xfId="12074"/>
    <cellStyle name="Note 2 3 4 2" xfId="41799"/>
    <cellStyle name="Note 2 3 4 3" xfId="43311"/>
    <cellStyle name="Note 2 3 4 4" xfId="29736"/>
    <cellStyle name="Note 2 3 5" xfId="11597"/>
    <cellStyle name="Note 2 3 5 2" xfId="41588"/>
    <cellStyle name="Note 2 3 5 3" xfId="39437"/>
    <cellStyle name="Note 2 3 5 4" xfId="29287"/>
    <cellStyle name="Note 2 3 6" xfId="52631"/>
    <cellStyle name="Note 2 3 7" xfId="53237"/>
    <cellStyle name="Note 2 4" xfId="3167"/>
    <cellStyle name="Note 2 4 2" xfId="5298"/>
    <cellStyle name="Note 2 4 2 2" xfId="10465"/>
    <cellStyle name="Note 2 4 2 2 2" xfId="18252"/>
    <cellStyle name="Note 2 4 2 2 2 2" xfId="43784"/>
    <cellStyle name="Note 2 4 2 2 2 3" xfId="47693"/>
    <cellStyle name="Note 2 4 2 2 2 4" xfId="35875"/>
    <cellStyle name="Note 2 4 2 2 3" xfId="11478"/>
    <cellStyle name="Note 2 4 2 2 3 2" xfId="41469"/>
    <cellStyle name="Note 2 4 2 2 3 3" xfId="42556"/>
    <cellStyle name="Note 2 4 2 2 3 4" xfId="29179"/>
    <cellStyle name="Note 2 4 2 2 4" xfId="11672"/>
    <cellStyle name="Note 2 4 2 2 4 2" xfId="41663"/>
    <cellStyle name="Note 2 4 2 2 4 3" xfId="41991"/>
    <cellStyle name="Note 2 4 2 2 4 4" xfId="29351"/>
    <cellStyle name="Note 2 4 2 2 5" xfId="20665"/>
    <cellStyle name="Note 2 4 2 2 5 2" xfId="46187"/>
    <cellStyle name="Note 2 4 2 2 5 3" xfId="50093"/>
    <cellStyle name="Note 2 4 2 2 5 4" xfId="38057"/>
    <cellStyle name="Note 2 4 2 2 6" xfId="21318"/>
    <cellStyle name="Note 2 4 2 2 6 2" xfId="46840"/>
    <cellStyle name="Note 2 4 2 2 6 3" xfId="50746"/>
    <cellStyle name="Note 2 4 2 2 7" xfId="40643"/>
    <cellStyle name="Note 2 4 2 2 8" xfId="42053"/>
    <cellStyle name="Note 2 4 2 2 9" xfId="53350"/>
    <cellStyle name="Note 2 4 2 3" xfId="8791"/>
    <cellStyle name="Note 2 4 2 3 2" xfId="16581"/>
    <cellStyle name="Note 2 4 2 3 2 2" xfId="43406"/>
    <cellStyle name="Note 2 4 2 3 2 3" xfId="39232"/>
    <cellStyle name="Note 2 4 2 3 2 4" xfId="34202"/>
    <cellStyle name="Note 2 4 2 3 3" xfId="19783"/>
    <cellStyle name="Note 2 4 2 3 3 2" xfId="45305"/>
    <cellStyle name="Note 2 4 2 3 3 3" xfId="49211"/>
    <cellStyle name="Note 2 4 2 3 3 4" xfId="37292"/>
    <cellStyle name="Note 2 4 2 3 4" xfId="19824"/>
    <cellStyle name="Note 2 4 2 3 4 2" xfId="45346"/>
    <cellStyle name="Note 2 4 2 3 4 3" xfId="49252"/>
    <cellStyle name="Note 2 4 2 3 4 4" xfId="37328"/>
    <cellStyle name="Note 2 4 2 3 5" xfId="12664"/>
    <cellStyle name="Note 2 4 2 3 5 2" xfId="42124"/>
    <cellStyle name="Note 2 4 2 3 5 3" xfId="43556"/>
    <cellStyle name="Note 2 4 2 3 5 4" xfId="30314"/>
    <cellStyle name="Note 2 4 2 3 6" xfId="19463"/>
    <cellStyle name="Note 2 4 2 3 6 2" xfId="44985"/>
    <cellStyle name="Note 2 4 2 3 6 3" xfId="48891"/>
    <cellStyle name="Note 2 4 2 3 7" xfId="40268"/>
    <cellStyle name="Note 2 4 2 3 8" xfId="39191"/>
    <cellStyle name="Note 2 4 2 4" xfId="13263"/>
    <cellStyle name="Note 2 4 2 4 2" xfId="42414"/>
    <cellStyle name="Note 2 4 2 4 3" xfId="41937"/>
    <cellStyle name="Note 2 4 2 4 4" xfId="30894"/>
    <cellStyle name="Note 2 4 2 5" xfId="12728"/>
    <cellStyle name="Note 2 4 2 5 2" xfId="42162"/>
    <cellStyle name="Note 2 4 2 5 3" xfId="41949"/>
    <cellStyle name="Note 2 4 2 5 4" xfId="30372"/>
    <cellStyle name="Note 2 4 2 6" xfId="53240"/>
    <cellStyle name="Note 2 4 3" xfId="7449"/>
    <cellStyle name="Note 2 4 3 10" xfId="40102"/>
    <cellStyle name="Note 2 4 3 11" xfId="53349"/>
    <cellStyle name="Note 2 4 3 2" xfId="10719"/>
    <cellStyle name="Note 2 4 3 2 2" xfId="18506"/>
    <cellStyle name="Note 2 4 3 2 2 2" xfId="44038"/>
    <cellStyle name="Note 2 4 3 2 2 3" xfId="47947"/>
    <cellStyle name="Note 2 4 3 2 2 4" xfId="36129"/>
    <cellStyle name="Note 2 4 3 2 3" xfId="12625"/>
    <cellStyle name="Note 2 4 3 2 3 2" xfId="42085"/>
    <cellStyle name="Note 2 4 3 2 3 3" xfId="40421"/>
    <cellStyle name="Note 2 4 3 2 3 4" xfId="30276"/>
    <cellStyle name="Note 2 4 3 2 4" xfId="19950"/>
    <cellStyle name="Note 2 4 3 2 4 2" xfId="45472"/>
    <cellStyle name="Note 2 4 3 2 4 3" xfId="49378"/>
    <cellStyle name="Note 2 4 3 2 4 4" xfId="37441"/>
    <cellStyle name="Note 2 4 3 2 5" xfId="20919"/>
    <cellStyle name="Note 2 4 3 2 5 2" xfId="46441"/>
    <cellStyle name="Note 2 4 3 2 5 3" xfId="50347"/>
    <cellStyle name="Note 2 4 3 2 5 4" xfId="38311"/>
    <cellStyle name="Note 2 4 3 2 6" xfId="21572"/>
    <cellStyle name="Note 2 4 3 2 6 2" xfId="47094"/>
    <cellStyle name="Note 2 4 3 2 6 3" xfId="51000"/>
    <cellStyle name="Note 2 4 3 2 7" xfId="40897"/>
    <cellStyle name="Note 2 4 3 2 8" xfId="42038"/>
    <cellStyle name="Note 2 4 3 3" xfId="11014"/>
    <cellStyle name="Note 2 4 3 3 2" xfId="18801"/>
    <cellStyle name="Note 2 4 3 3 2 2" xfId="44333"/>
    <cellStyle name="Note 2 4 3 3 2 3" xfId="48242"/>
    <cellStyle name="Note 2 4 3 3 2 4" xfId="36424"/>
    <cellStyle name="Note 2 4 3 3 3" xfId="20394"/>
    <cellStyle name="Note 2 4 3 3 3 2" xfId="45916"/>
    <cellStyle name="Note 2 4 3 3 3 3" xfId="49822"/>
    <cellStyle name="Note 2 4 3 3 3 4" xfId="37834"/>
    <cellStyle name="Note 2 4 3 3 4" xfId="20538"/>
    <cellStyle name="Note 2 4 3 3 4 2" xfId="46060"/>
    <cellStyle name="Note 2 4 3 3 4 3" xfId="49966"/>
    <cellStyle name="Note 2 4 3 3 4 4" xfId="37951"/>
    <cellStyle name="Note 2 4 3 3 5" xfId="21214"/>
    <cellStyle name="Note 2 4 3 3 5 2" xfId="46736"/>
    <cellStyle name="Note 2 4 3 3 5 3" xfId="50642"/>
    <cellStyle name="Note 2 4 3 3 5 4" xfId="38606"/>
    <cellStyle name="Note 2 4 3 3 6" xfId="21867"/>
    <cellStyle name="Note 2 4 3 3 6 2" xfId="47389"/>
    <cellStyle name="Note 2 4 3 3 6 3" xfId="51295"/>
    <cellStyle name="Note 2 4 3 3 7" xfId="41192"/>
    <cellStyle name="Note 2 4 3 3 8" xfId="42020"/>
    <cellStyle name="Note 2 4 3 4" xfId="15231"/>
    <cellStyle name="Note 2 4 3 4 2" xfId="43086"/>
    <cellStyle name="Note 2 4 3 4 3" xfId="41910"/>
    <cellStyle name="Note 2 4 3 4 4" xfId="32852"/>
    <cellStyle name="Note 2 4 3 5" xfId="13237"/>
    <cellStyle name="Note 2 4 3 5 2" xfId="42399"/>
    <cellStyle name="Note 2 4 3 5 3" xfId="40408"/>
    <cellStyle name="Note 2 4 3 5 4" xfId="30868"/>
    <cellStyle name="Note 2 4 3 6" xfId="19535"/>
    <cellStyle name="Note 2 4 3 6 2" xfId="45057"/>
    <cellStyle name="Note 2 4 3 6 3" xfId="48963"/>
    <cellStyle name="Note 2 4 3 6 4" xfId="37064"/>
    <cellStyle name="Note 2 4 3 7" xfId="11636"/>
    <cellStyle name="Note 2 4 3 7 2" xfId="41627"/>
    <cellStyle name="Note 2 4 3 7 3" xfId="41361"/>
    <cellStyle name="Note 2 4 3 7 4" xfId="29322"/>
    <cellStyle name="Note 2 4 3 8" xfId="19774"/>
    <cellStyle name="Note 2 4 3 8 2" xfId="45296"/>
    <cellStyle name="Note 2 4 3 8 3" xfId="49202"/>
    <cellStyle name="Note 2 4 3 9" xfId="39946"/>
    <cellStyle name="Note 2 4 4" xfId="12075"/>
    <cellStyle name="Note 2 4 4 2" xfId="41800"/>
    <cellStyle name="Note 2 4 4 3" xfId="40172"/>
    <cellStyle name="Note 2 4 4 4" xfId="29737"/>
    <cellStyle name="Note 2 4 5" xfId="19672"/>
    <cellStyle name="Note 2 4 5 2" xfId="45194"/>
    <cellStyle name="Note 2 4 5 3" xfId="49100"/>
    <cellStyle name="Note 2 4 5 4" xfId="37190"/>
    <cellStyle name="Note 2 4 6" xfId="52632"/>
    <cellStyle name="Note 2 4 7" xfId="53239"/>
    <cellStyle name="Note 2 5" xfId="3168"/>
    <cellStyle name="Note 2 5 2" xfId="5299"/>
    <cellStyle name="Note 2 5 2 2" xfId="10466"/>
    <cellStyle name="Note 2 5 2 2 2" xfId="18253"/>
    <cellStyle name="Note 2 5 2 2 2 2" xfId="43785"/>
    <cellStyle name="Note 2 5 2 2 2 3" xfId="47694"/>
    <cellStyle name="Note 2 5 2 2 2 4" xfId="35876"/>
    <cellStyle name="Note 2 5 2 2 3" xfId="13309"/>
    <cellStyle name="Note 2 5 2 2 3 2" xfId="42460"/>
    <cellStyle name="Note 2 5 2 2 3 3" xfId="40144"/>
    <cellStyle name="Note 2 5 2 2 3 4" xfId="30935"/>
    <cellStyle name="Note 2 5 2 2 4" xfId="20294"/>
    <cellStyle name="Note 2 5 2 2 4 2" xfId="45816"/>
    <cellStyle name="Note 2 5 2 2 4 3" xfId="49722"/>
    <cellStyle name="Note 2 5 2 2 4 4" xfId="37746"/>
    <cellStyle name="Note 2 5 2 2 5" xfId="20666"/>
    <cellStyle name="Note 2 5 2 2 5 2" xfId="46188"/>
    <cellStyle name="Note 2 5 2 2 5 3" xfId="50094"/>
    <cellStyle name="Note 2 5 2 2 5 4" xfId="38058"/>
    <cellStyle name="Note 2 5 2 2 6" xfId="21319"/>
    <cellStyle name="Note 2 5 2 2 6 2" xfId="46841"/>
    <cellStyle name="Note 2 5 2 2 6 3" xfId="50747"/>
    <cellStyle name="Note 2 5 2 2 7" xfId="40644"/>
    <cellStyle name="Note 2 5 2 2 8" xfId="43372"/>
    <cellStyle name="Note 2 5 2 2 9" xfId="53352"/>
    <cellStyle name="Note 2 5 2 3" xfId="8792"/>
    <cellStyle name="Note 2 5 2 3 2" xfId="16582"/>
    <cellStyle name="Note 2 5 2 3 2 2" xfId="43407"/>
    <cellStyle name="Note 2 5 2 3 2 3" xfId="41904"/>
    <cellStyle name="Note 2 5 2 3 2 4" xfId="34203"/>
    <cellStyle name="Note 2 5 2 3 3" xfId="11450"/>
    <cellStyle name="Note 2 5 2 3 3 2" xfId="41441"/>
    <cellStyle name="Note 2 5 2 3 3 3" xfId="42691"/>
    <cellStyle name="Note 2 5 2 3 3 4" xfId="29155"/>
    <cellStyle name="Note 2 5 2 3 4" xfId="18973"/>
    <cellStyle name="Note 2 5 2 3 4 2" xfId="44495"/>
    <cellStyle name="Note 2 5 2 3 4 3" xfId="48401"/>
    <cellStyle name="Note 2 5 2 3 4 4" xfId="36583"/>
    <cellStyle name="Note 2 5 2 3 5" xfId="19942"/>
    <cellStyle name="Note 2 5 2 3 5 2" xfId="45464"/>
    <cellStyle name="Note 2 5 2 3 5 3" xfId="49370"/>
    <cellStyle name="Note 2 5 2 3 5 4" xfId="37433"/>
    <cellStyle name="Note 2 5 2 3 6" xfId="20475"/>
    <cellStyle name="Note 2 5 2 3 6 2" xfId="45997"/>
    <cellStyle name="Note 2 5 2 3 6 3" xfId="49903"/>
    <cellStyle name="Note 2 5 2 3 7" xfId="40269"/>
    <cellStyle name="Note 2 5 2 3 8" xfId="39190"/>
    <cellStyle name="Note 2 5 2 4" xfId="13264"/>
    <cellStyle name="Note 2 5 2 4 2" xfId="42415"/>
    <cellStyle name="Note 2 5 2 4 3" xfId="43287"/>
    <cellStyle name="Note 2 5 2 4 4" xfId="30895"/>
    <cellStyle name="Note 2 5 2 5" xfId="11724"/>
    <cellStyle name="Note 2 5 2 5 2" xfId="41690"/>
    <cellStyle name="Note 2 5 2 5 3" xfId="40039"/>
    <cellStyle name="Note 2 5 2 5 4" xfId="29397"/>
    <cellStyle name="Note 2 5 2 6" xfId="53242"/>
    <cellStyle name="Note 2 5 3" xfId="7450"/>
    <cellStyle name="Note 2 5 3 10" xfId="43071"/>
    <cellStyle name="Note 2 5 3 11" xfId="53351"/>
    <cellStyle name="Note 2 5 3 2" xfId="10720"/>
    <cellStyle name="Note 2 5 3 2 2" xfId="18507"/>
    <cellStyle name="Note 2 5 3 2 2 2" xfId="44039"/>
    <cellStyle name="Note 2 5 3 2 2 3" xfId="47948"/>
    <cellStyle name="Note 2 5 3 2 2 4" xfId="36130"/>
    <cellStyle name="Note 2 5 3 2 3" xfId="19723"/>
    <cellStyle name="Note 2 5 3 2 3 2" xfId="45245"/>
    <cellStyle name="Note 2 5 3 2 3 3" xfId="49151"/>
    <cellStyle name="Note 2 5 3 2 3 4" xfId="37236"/>
    <cellStyle name="Note 2 5 3 2 4" xfId="20087"/>
    <cellStyle name="Note 2 5 3 2 4 2" xfId="45609"/>
    <cellStyle name="Note 2 5 3 2 4 3" xfId="49515"/>
    <cellStyle name="Note 2 5 3 2 4 4" xfId="37562"/>
    <cellStyle name="Note 2 5 3 2 5" xfId="20920"/>
    <cellStyle name="Note 2 5 3 2 5 2" xfId="46442"/>
    <cellStyle name="Note 2 5 3 2 5 3" xfId="50348"/>
    <cellStyle name="Note 2 5 3 2 5 4" xfId="38312"/>
    <cellStyle name="Note 2 5 3 2 6" xfId="21573"/>
    <cellStyle name="Note 2 5 3 2 6 2" xfId="47095"/>
    <cellStyle name="Note 2 5 3 2 6 3" xfId="51001"/>
    <cellStyle name="Note 2 5 3 2 7" xfId="40898"/>
    <cellStyle name="Note 2 5 3 2 8" xfId="43357"/>
    <cellStyle name="Note 2 5 3 3" xfId="11015"/>
    <cellStyle name="Note 2 5 3 3 2" xfId="18802"/>
    <cellStyle name="Note 2 5 3 3 2 2" xfId="44334"/>
    <cellStyle name="Note 2 5 3 3 2 3" xfId="48243"/>
    <cellStyle name="Note 2 5 3 3 2 4" xfId="36425"/>
    <cellStyle name="Note 2 5 3 3 3" xfId="20395"/>
    <cellStyle name="Note 2 5 3 3 3 2" xfId="45917"/>
    <cellStyle name="Note 2 5 3 3 3 3" xfId="49823"/>
    <cellStyle name="Note 2 5 3 3 3 4" xfId="37835"/>
    <cellStyle name="Note 2 5 3 3 4" xfId="20539"/>
    <cellStyle name="Note 2 5 3 3 4 2" xfId="46061"/>
    <cellStyle name="Note 2 5 3 3 4 3" xfId="49967"/>
    <cellStyle name="Note 2 5 3 3 4 4" xfId="37952"/>
    <cellStyle name="Note 2 5 3 3 5" xfId="21215"/>
    <cellStyle name="Note 2 5 3 3 5 2" xfId="46737"/>
    <cellStyle name="Note 2 5 3 3 5 3" xfId="50643"/>
    <cellStyle name="Note 2 5 3 3 5 4" xfId="38607"/>
    <cellStyle name="Note 2 5 3 3 6" xfId="21868"/>
    <cellStyle name="Note 2 5 3 3 6 2" xfId="47390"/>
    <cellStyle name="Note 2 5 3 3 6 3" xfId="51296"/>
    <cellStyle name="Note 2 5 3 3 7" xfId="41193"/>
    <cellStyle name="Note 2 5 3 3 8" xfId="43339"/>
    <cellStyle name="Note 2 5 3 4" xfId="15232"/>
    <cellStyle name="Note 2 5 3 4 2" xfId="43087"/>
    <cellStyle name="Note 2 5 3 4 3" xfId="43264"/>
    <cellStyle name="Note 2 5 3 4 4" xfId="32853"/>
    <cellStyle name="Note 2 5 3 5" xfId="19649"/>
    <cellStyle name="Note 2 5 3 5 2" xfId="45171"/>
    <cellStyle name="Note 2 5 3 5 3" xfId="49077"/>
    <cellStyle name="Note 2 5 3 5 4" xfId="37169"/>
    <cellStyle name="Note 2 5 3 6" xfId="12133"/>
    <cellStyle name="Note 2 5 3 6 2" xfId="41858"/>
    <cellStyle name="Note 2 5 3 6 3" xfId="40425"/>
    <cellStyle name="Note 2 5 3 6 4" xfId="29791"/>
    <cellStyle name="Note 2 5 3 7" xfId="13906"/>
    <cellStyle name="Note 2 5 3 7 2" xfId="42622"/>
    <cellStyle name="Note 2 5 3 7 3" xfId="47556"/>
    <cellStyle name="Note 2 5 3 7 4" xfId="31529"/>
    <cellStyle name="Note 2 5 3 8" xfId="19467"/>
    <cellStyle name="Note 2 5 3 8 2" xfId="44989"/>
    <cellStyle name="Note 2 5 3 8 3" xfId="48895"/>
    <cellStyle name="Note 2 5 3 9" xfId="39947"/>
    <cellStyle name="Note 2 5 4" xfId="12076"/>
    <cellStyle name="Note 2 5 4 2" xfId="41801"/>
    <cellStyle name="Note 2 5 4 3" xfId="39305"/>
    <cellStyle name="Note 2 5 4 4" xfId="29738"/>
    <cellStyle name="Note 2 5 5" xfId="20234"/>
    <cellStyle name="Note 2 5 5 2" xfId="45756"/>
    <cellStyle name="Note 2 5 5 3" xfId="49662"/>
    <cellStyle name="Note 2 5 5 4" xfId="37692"/>
    <cellStyle name="Note 2 5 6" xfId="52633"/>
    <cellStyle name="Note 2 5 7" xfId="53241"/>
    <cellStyle name="Note 2 6" xfId="5300"/>
    <cellStyle name="Note 2 6 2" xfId="7451"/>
    <cellStyle name="Note 2 6 2 10" xfId="43738"/>
    <cellStyle name="Note 2 6 2 11" xfId="53353"/>
    <cellStyle name="Note 2 6 2 2" xfId="10721"/>
    <cellStyle name="Note 2 6 2 2 2" xfId="18508"/>
    <cellStyle name="Note 2 6 2 2 2 2" xfId="44040"/>
    <cellStyle name="Note 2 6 2 2 2 3" xfId="47949"/>
    <cellStyle name="Note 2 6 2 2 2 4" xfId="36131"/>
    <cellStyle name="Note 2 6 2 2 3" xfId="20143"/>
    <cellStyle name="Note 2 6 2 2 3 2" xfId="45665"/>
    <cellStyle name="Note 2 6 2 2 3 3" xfId="49571"/>
    <cellStyle name="Note 2 6 2 2 3 4" xfId="37615"/>
    <cellStyle name="Note 2 6 2 2 4" xfId="15295"/>
    <cellStyle name="Note 2 6 2 2 4 2" xfId="43144"/>
    <cellStyle name="Note 2 6 2 2 4 3" xfId="40492"/>
    <cellStyle name="Note 2 6 2 2 4 4" xfId="32916"/>
    <cellStyle name="Note 2 6 2 2 5" xfId="20921"/>
    <cellStyle name="Note 2 6 2 2 5 2" xfId="46443"/>
    <cellStyle name="Note 2 6 2 2 5 3" xfId="50349"/>
    <cellStyle name="Note 2 6 2 2 5 4" xfId="38313"/>
    <cellStyle name="Note 2 6 2 2 6" xfId="21574"/>
    <cellStyle name="Note 2 6 2 2 6 2" xfId="47096"/>
    <cellStyle name="Note 2 6 2 2 6 3" xfId="51002"/>
    <cellStyle name="Note 2 6 2 2 7" xfId="40899"/>
    <cellStyle name="Note 2 6 2 2 8" xfId="40219"/>
    <cellStyle name="Note 2 6 2 3" xfId="11016"/>
    <cellStyle name="Note 2 6 2 3 2" xfId="18803"/>
    <cellStyle name="Note 2 6 2 3 2 2" xfId="44335"/>
    <cellStyle name="Note 2 6 2 3 2 3" xfId="48244"/>
    <cellStyle name="Note 2 6 2 3 2 4" xfId="36426"/>
    <cellStyle name="Note 2 6 2 3 3" xfId="20396"/>
    <cellStyle name="Note 2 6 2 3 3 2" xfId="45918"/>
    <cellStyle name="Note 2 6 2 3 3 3" xfId="49824"/>
    <cellStyle name="Note 2 6 2 3 3 4" xfId="37836"/>
    <cellStyle name="Note 2 6 2 3 4" xfId="20540"/>
    <cellStyle name="Note 2 6 2 3 4 2" xfId="46062"/>
    <cellStyle name="Note 2 6 2 3 4 3" xfId="49968"/>
    <cellStyle name="Note 2 6 2 3 4 4" xfId="37953"/>
    <cellStyle name="Note 2 6 2 3 5" xfId="21216"/>
    <cellStyle name="Note 2 6 2 3 5 2" xfId="46738"/>
    <cellStyle name="Note 2 6 2 3 5 3" xfId="50644"/>
    <cellStyle name="Note 2 6 2 3 5 4" xfId="38608"/>
    <cellStyle name="Note 2 6 2 3 6" xfId="21869"/>
    <cellStyle name="Note 2 6 2 3 6 2" xfId="47391"/>
    <cellStyle name="Note 2 6 2 3 6 3" xfId="51297"/>
    <cellStyle name="Note 2 6 2 3 7" xfId="41194"/>
    <cellStyle name="Note 2 6 2 3 8" xfId="40201"/>
    <cellStyle name="Note 2 6 2 4" xfId="15233"/>
    <cellStyle name="Note 2 6 2 4 2" xfId="43088"/>
    <cellStyle name="Note 2 6 2 4 3" xfId="40123"/>
    <cellStyle name="Note 2 6 2 4 4" xfId="32854"/>
    <cellStyle name="Note 2 6 2 5" xfId="20208"/>
    <cellStyle name="Note 2 6 2 5 2" xfId="45730"/>
    <cellStyle name="Note 2 6 2 5 3" xfId="49636"/>
    <cellStyle name="Note 2 6 2 5 4" xfId="37671"/>
    <cellStyle name="Note 2 6 2 6" xfId="20464"/>
    <cellStyle name="Note 2 6 2 6 2" xfId="45986"/>
    <cellStyle name="Note 2 6 2 6 3" xfId="49892"/>
    <cellStyle name="Note 2 6 2 6 4" xfId="37903"/>
    <cellStyle name="Note 2 6 2 7" xfId="13305"/>
    <cellStyle name="Note 2 6 2 7 2" xfId="42456"/>
    <cellStyle name="Note 2 6 2 7 3" xfId="40142"/>
    <cellStyle name="Note 2 6 2 7 4" xfId="30931"/>
    <cellStyle name="Note 2 6 2 8" xfId="20221"/>
    <cellStyle name="Note 2 6 2 8 2" xfId="45743"/>
    <cellStyle name="Note 2 6 2 8 3" xfId="49649"/>
    <cellStyle name="Note 2 6 2 9" xfId="39948"/>
    <cellStyle name="Note 2 6 3" xfId="13265"/>
    <cellStyle name="Note 2 6 3 2" xfId="42416"/>
    <cellStyle name="Note 2 6 3 3" xfId="40146"/>
    <cellStyle name="Note 2 6 3 4" xfId="30896"/>
    <cellStyle name="Note 2 6 4" xfId="20361"/>
    <cellStyle name="Note 2 6 4 2" xfId="45883"/>
    <cellStyle name="Note 2 6 4 3" xfId="49789"/>
    <cellStyle name="Note 2 6 4 4" xfId="37803"/>
    <cellStyle name="Note 2 6 5" xfId="53243"/>
    <cellStyle name="Note 2 7" xfId="5301"/>
    <cellStyle name="Note 2 7 2" xfId="10467"/>
    <cellStyle name="Note 2 7 2 2" xfId="18254"/>
    <cellStyle name="Note 2 7 2 2 2" xfId="43786"/>
    <cellStyle name="Note 2 7 2 2 3" xfId="47695"/>
    <cellStyle name="Note 2 7 2 2 4" xfId="35877"/>
    <cellStyle name="Note 2 7 2 3" xfId="19610"/>
    <cellStyle name="Note 2 7 2 3 2" xfId="45132"/>
    <cellStyle name="Note 2 7 2 3 3" xfId="49038"/>
    <cellStyle name="Note 2 7 2 3 4" xfId="37136"/>
    <cellStyle name="Note 2 7 2 4" xfId="20203"/>
    <cellStyle name="Note 2 7 2 4 2" xfId="45725"/>
    <cellStyle name="Note 2 7 2 4 3" xfId="49631"/>
    <cellStyle name="Note 2 7 2 4 4" xfId="37666"/>
    <cellStyle name="Note 2 7 2 5" xfId="20667"/>
    <cellStyle name="Note 2 7 2 5 2" xfId="46189"/>
    <cellStyle name="Note 2 7 2 5 3" xfId="50095"/>
    <cellStyle name="Note 2 7 2 5 4" xfId="38059"/>
    <cellStyle name="Note 2 7 2 6" xfId="21320"/>
    <cellStyle name="Note 2 7 2 6 2" xfId="46842"/>
    <cellStyle name="Note 2 7 2 6 3" xfId="50748"/>
    <cellStyle name="Note 2 7 2 7" xfId="40645"/>
    <cellStyle name="Note 2 7 2 8" xfId="40234"/>
    <cellStyle name="Note 2 7 3" xfId="8793"/>
    <cellStyle name="Note 2 7 3 2" xfId="16583"/>
    <cellStyle name="Note 2 7 3 2 2" xfId="43408"/>
    <cellStyle name="Note 2 7 3 2 3" xfId="43259"/>
    <cellStyle name="Note 2 7 3 2 4" xfId="34204"/>
    <cellStyle name="Note 2 7 3 3" xfId="19784"/>
    <cellStyle name="Note 2 7 3 3 2" xfId="45306"/>
    <cellStyle name="Note 2 7 3 3 3" xfId="49212"/>
    <cellStyle name="Note 2 7 3 3 4" xfId="37293"/>
    <cellStyle name="Note 2 7 3 4" xfId="11543"/>
    <cellStyle name="Note 2 7 3 4 2" xfId="41534"/>
    <cellStyle name="Note 2 7 3 4 3" xfId="43319"/>
    <cellStyle name="Note 2 7 3 4 4" xfId="29241"/>
    <cellStyle name="Note 2 7 3 5" xfId="19820"/>
    <cellStyle name="Note 2 7 3 5 2" xfId="45342"/>
    <cellStyle name="Note 2 7 3 5 3" xfId="49248"/>
    <cellStyle name="Note 2 7 3 5 4" xfId="37324"/>
    <cellStyle name="Note 2 7 3 6" xfId="19438"/>
    <cellStyle name="Note 2 7 3 6 2" xfId="44960"/>
    <cellStyle name="Note 2 7 3 6 3" xfId="48866"/>
    <cellStyle name="Note 2 7 3 7" xfId="40270"/>
    <cellStyle name="Note 2 7 3 8" xfId="39189"/>
    <cellStyle name="Note 2 7 4" xfId="13266"/>
    <cellStyle name="Note 2 7 4 2" xfId="42417"/>
    <cellStyle name="Note 2 7 4 3" xfId="39260"/>
    <cellStyle name="Note 2 7 4 4" xfId="30897"/>
    <cellStyle name="Note 2 7 5" xfId="20301"/>
    <cellStyle name="Note 2 7 5 2" xfId="45823"/>
    <cellStyle name="Note 2 7 5 3" xfId="49729"/>
    <cellStyle name="Note 2 7 5 4" xfId="37752"/>
    <cellStyle name="Note 2 7 6" xfId="53344"/>
    <cellStyle name="Note 2 8" xfId="5295"/>
    <cellStyle name="Note 2 8 2" xfId="10462"/>
    <cellStyle name="Note 2 8 2 2" xfId="18249"/>
    <cellStyle name="Note 2 8 2 2 2" xfId="43781"/>
    <cellStyle name="Note 2 8 2 2 3" xfId="47690"/>
    <cellStyle name="Note 2 8 2 2 4" xfId="35872"/>
    <cellStyle name="Note 2 8 2 3" xfId="19908"/>
    <cellStyle name="Note 2 8 2 3 2" xfId="45430"/>
    <cellStyle name="Note 2 8 2 3 3" xfId="49336"/>
    <cellStyle name="Note 2 8 2 3 4" xfId="37408"/>
    <cellStyle name="Note 2 8 2 4" xfId="20335"/>
    <cellStyle name="Note 2 8 2 4 2" xfId="45857"/>
    <cellStyle name="Note 2 8 2 4 3" xfId="49763"/>
    <cellStyle name="Note 2 8 2 4 4" xfId="37780"/>
    <cellStyle name="Note 2 8 2 5" xfId="20662"/>
    <cellStyle name="Note 2 8 2 5 2" xfId="46184"/>
    <cellStyle name="Note 2 8 2 5 3" xfId="50090"/>
    <cellStyle name="Note 2 8 2 5 4" xfId="38054"/>
    <cellStyle name="Note 2 8 2 6" xfId="21315"/>
    <cellStyle name="Note 2 8 2 6 2" xfId="46837"/>
    <cellStyle name="Note 2 8 2 6 3" xfId="50743"/>
    <cellStyle name="Note 2 8 2 7" xfId="40640"/>
    <cellStyle name="Note 2 8 2 8" xfId="43504"/>
    <cellStyle name="Note 2 8 3" xfId="8788"/>
    <cellStyle name="Note 2 8 3 2" xfId="16578"/>
    <cellStyle name="Note 2 8 3 2 2" xfId="43403"/>
    <cellStyle name="Note 2 8 3 2 3" xfId="41903"/>
    <cellStyle name="Note 2 8 3 2 4" xfId="34199"/>
    <cellStyle name="Note 2 8 3 3" xfId="19327"/>
    <cellStyle name="Note 2 8 3 3 2" xfId="44849"/>
    <cellStyle name="Note 2 8 3 3 3" xfId="48755"/>
    <cellStyle name="Note 2 8 3 3 4" xfId="36885"/>
    <cellStyle name="Note 2 8 3 4" xfId="19034"/>
    <cellStyle name="Note 2 8 3 4 2" xfId="44556"/>
    <cellStyle name="Note 2 8 3 4 3" xfId="48462"/>
    <cellStyle name="Note 2 8 3 4 4" xfId="36623"/>
    <cellStyle name="Note 2 8 3 5" xfId="20214"/>
    <cellStyle name="Note 2 8 3 5 2" xfId="45736"/>
    <cellStyle name="Note 2 8 3 5 3" xfId="49642"/>
    <cellStyle name="Note 2 8 3 5 4" xfId="37675"/>
    <cellStyle name="Note 2 8 3 6" xfId="12025"/>
    <cellStyle name="Note 2 8 3 6 2" xfId="41762"/>
    <cellStyle name="Note 2 8 3 6 3" xfId="39116"/>
    <cellStyle name="Note 2 8 3 7" xfId="40265"/>
    <cellStyle name="Note 2 8 3 8" xfId="39194"/>
    <cellStyle name="Note 2 8 4" xfId="13260"/>
    <cellStyle name="Note 2 8 4 2" xfId="42411"/>
    <cellStyle name="Note 2 8 4 3" xfId="43435"/>
    <cellStyle name="Note 2 8 4 4" xfId="30891"/>
    <cellStyle name="Note 2 8 5" xfId="20303"/>
    <cellStyle name="Note 2 8 5 2" xfId="45825"/>
    <cellStyle name="Note 2 8 5 3" xfId="49731"/>
    <cellStyle name="Note 2 8 5 4" xfId="37753"/>
    <cellStyle name="Note 2 9" xfId="7446"/>
    <cellStyle name="Note 2 9 10" xfId="47450"/>
    <cellStyle name="Note 2 9 2" xfId="10716"/>
    <cellStyle name="Note 2 9 2 2" xfId="18503"/>
    <cellStyle name="Note 2 9 2 2 2" xfId="44035"/>
    <cellStyle name="Note 2 9 2 2 3" xfId="47944"/>
    <cellStyle name="Note 2 9 2 2 4" xfId="36126"/>
    <cellStyle name="Note 2 9 2 3" xfId="19882"/>
    <cellStyle name="Note 2 9 2 3 2" xfId="45404"/>
    <cellStyle name="Note 2 9 2 3 3" xfId="49310"/>
    <cellStyle name="Note 2 9 2 3 4" xfId="37382"/>
    <cellStyle name="Note 2 9 2 4" xfId="11415"/>
    <cellStyle name="Note 2 9 2 4 2" xfId="41420"/>
    <cellStyle name="Note 2 9 2 4 3" xfId="39149"/>
    <cellStyle name="Note 2 9 2 4 4" xfId="29123"/>
    <cellStyle name="Note 2 9 2 5" xfId="20916"/>
    <cellStyle name="Note 2 9 2 5 2" xfId="46438"/>
    <cellStyle name="Note 2 9 2 5 3" xfId="50344"/>
    <cellStyle name="Note 2 9 2 5 4" xfId="38308"/>
    <cellStyle name="Note 2 9 2 6" xfId="21569"/>
    <cellStyle name="Note 2 9 2 6 2" xfId="47091"/>
    <cellStyle name="Note 2 9 2 6 3" xfId="50997"/>
    <cellStyle name="Note 2 9 2 7" xfId="40894"/>
    <cellStyle name="Note 2 9 2 8" xfId="43492"/>
    <cellStyle name="Note 2 9 3" xfId="11011"/>
    <cellStyle name="Note 2 9 3 2" xfId="18798"/>
    <cellStyle name="Note 2 9 3 2 2" xfId="44330"/>
    <cellStyle name="Note 2 9 3 2 3" xfId="48239"/>
    <cellStyle name="Note 2 9 3 2 4" xfId="36421"/>
    <cellStyle name="Note 2 9 3 3" xfId="20391"/>
    <cellStyle name="Note 2 9 3 3 2" xfId="45913"/>
    <cellStyle name="Note 2 9 3 3 3" xfId="49819"/>
    <cellStyle name="Note 2 9 3 3 4" xfId="37831"/>
    <cellStyle name="Note 2 9 3 4" xfId="20535"/>
    <cellStyle name="Note 2 9 3 4 2" xfId="46057"/>
    <cellStyle name="Note 2 9 3 4 3" xfId="49963"/>
    <cellStyle name="Note 2 9 3 4 4" xfId="37948"/>
    <cellStyle name="Note 2 9 3 5" xfId="21211"/>
    <cellStyle name="Note 2 9 3 5 2" xfId="46733"/>
    <cellStyle name="Note 2 9 3 5 3" xfId="50639"/>
    <cellStyle name="Note 2 9 3 5 4" xfId="38603"/>
    <cellStyle name="Note 2 9 3 6" xfId="21864"/>
    <cellStyle name="Note 2 9 3 6 2" xfId="47386"/>
    <cellStyle name="Note 2 9 3 6 3" xfId="51292"/>
    <cellStyle name="Note 2 9 3 7" xfId="41189"/>
    <cellStyle name="Note 2 9 3 8" xfId="40202"/>
    <cellStyle name="Note 2 9 4" xfId="15228"/>
    <cellStyle name="Note 2 9 4 2" xfId="43083"/>
    <cellStyle name="Note 2 9 4 3" xfId="43262"/>
    <cellStyle name="Note 2 9 4 4" xfId="32849"/>
    <cellStyle name="Note 2 9 5" xfId="19182"/>
    <cellStyle name="Note 2 9 5 2" xfId="44704"/>
    <cellStyle name="Note 2 9 5 3" xfId="48610"/>
    <cellStyle name="Note 2 9 5 4" xfId="36755"/>
    <cellStyle name="Note 2 9 6" xfId="12661"/>
    <cellStyle name="Note 2 9 6 2" xfId="42121"/>
    <cellStyle name="Note 2 9 6 3" xfId="40520"/>
    <cellStyle name="Note 2 9 6 4" xfId="30311"/>
    <cellStyle name="Note 2 9 7" xfId="12696"/>
    <cellStyle name="Note 2 9 7 2" xfId="42152"/>
    <cellStyle name="Note 2 9 7 3" xfId="40521"/>
    <cellStyle name="Note 2 9 7 4" xfId="30341"/>
    <cellStyle name="Note 2 9 8" xfId="19218"/>
    <cellStyle name="Note 2 9 8 2" xfId="44740"/>
    <cellStyle name="Note 2 9 8 3" xfId="48646"/>
    <cellStyle name="Note 2 9 9" xfId="39943"/>
    <cellStyle name="Note 2_BallGrid" xfId="3169"/>
    <cellStyle name="Note 20" xfId="51465"/>
    <cellStyle name="Note 21" xfId="51478"/>
    <cellStyle name="Note 3" xfId="134"/>
    <cellStyle name="Note 3 2" xfId="5302"/>
    <cellStyle name="Note 3 2 2" xfId="10468"/>
    <cellStyle name="Note 3 2 2 2" xfId="18255"/>
    <cellStyle name="Note 3 2 2 2 2" xfId="43787"/>
    <cellStyle name="Note 3 2 2 2 3" xfId="47696"/>
    <cellStyle name="Note 3 2 2 2 4" xfId="35878"/>
    <cellStyle name="Note 3 2 2 3" xfId="20166"/>
    <cellStyle name="Note 3 2 2 3 2" xfId="45688"/>
    <cellStyle name="Note 3 2 2 3 3" xfId="49594"/>
    <cellStyle name="Note 3 2 2 3 4" xfId="37638"/>
    <cellStyle name="Note 3 2 2 4" xfId="19081"/>
    <cellStyle name="Note 3 2 2 4 2" xfId="44603"/>
    <cellStyle name="Note 3 2 2 4 3" xfId="48509"/>
    <cellStyle name="Note 3 2 2 4 4" xfId="36663"/>
    <cellStyle name="Note 3 2 2 5" xfId="20668"/>
    <cellStyle name="Note 3 2 2 5 2" xfId="46190"/>
    <cellStyle name="Note 3 2 2 5 3" xfId="50096"/>
    <cellStyle name="Note 3 2 2 5 4" xfId="38060"/>
    <cellStyle name="Note 3 2 2 6" xfId="21321"/>
    <cellStyle name="Note 3 2 2 6 2" xfId="46843"/>
    <cellStyle name="Note 3 2 2 6 3" xfId="50749"/>
    <cellStyle name="Note 3 2 2 7" xfId="40646"/>
    <cellStyle name="Note 3 2 2 8" xfId="39374"/>
    <cellStyle name="Note 3 2 3" xfId="8794"/>
    <cellStyle name="Note 3 2 3 2" xfId="16584"/>
    <cellStyle name="Note 3 2 3 2 2" xfId="43409"/>
    <cellStyle name="Note 3 2 3 2 3" xfId="40118"/>
    <cellStyle name="Note 3 2 3 2 4" xfId="34205"/>
    <cellStyle name="Note 3 2 3 3" xfId="11449"/>
    <cellStyle name="Note 3 2 3 3 2" xfId="41440"/>
    <cellStyle name="Note 3 2 3 3 3" xfId="39654"/>
    <cellStyle name="Note 3 2 3 3 4" xfId="29154"/>
    <cellStyle name="Note 3 2 3 4" xfId="19840"/>
    <cellStyle name="Note 3 2 3 4 2" xfId="45362"/>
    <cellStyle name="Note 3 2 3 4 3" xfId="49268"/>
    <cellStyle name="Note 3 2 3 4 4" xfId="37342"/>
    <cellStyle name="Note 3 2 3 5" xfId="20473"/>
    <cellStyle name="Note 3 2 3 5 2" xfId="45995"/>
    <cellStyle name="Note 3 2 3 5 3" xfId="49901"/>
    <cellStyle name="Note 3 2 3 5 4" xfId="37909"/>
    <cellStyle name="Note 3 2 3 6" xfId="11978"/>
    <cellStyle name="Note 3 2 3 6 2" xfId="41749"/>
    <cellStyle name="Note 3 2 3 6 3" xfId="39118"/>
    <cellStyle name="Note 3 2 3 7" xfId="40271"/>
    <cellStyle name="Note 3 2 3 8" xfId="39188"/>
    <cellStyle name="Note 3 2 4" xfId="13267"/>
    <cellStyle name="Note 3 2 4 2" xfId="42418"/>
    <cellStyle name="Note 3 2 4 3" xfId="39044"/>
    <cellStyle name="Note 3 2 4 4" xfId="30898"/>
    <cellStyle name="Note 3 2 5" xfId="19512"/>
    <cellStyle name="Note 3 2 5 2" xfId="45034"/>
    <cellStyle name="Note 3 2 5 3" xfId="48940"/>
    <cellStyle name="Note 3 2 5 4" xfId="37046"/>
    <cellStyle name="Note 3 2 6" xfId="22584"/>
    <cellStyle name="Note 3 3" xfId="7452"/>
    <cellStyle name="Note 3 3 10" xfId="39949"/>
    <cellStyle name="Note 3 3 11" xfId="40597"/>
    <cellStyle name="Note 3 3 2" xfId="10722"/>
    <cellStyle name="Note 3 3 2 2" xfId="18509"/>
    <cellStyle name="Note 3 3 2 2 2" xfId="44041"/>
    <cellStyle name="Note 3 3 2 2 3" xfId="47950"/>
    <cellStyle name="Note 3 3 2 2 4" xfId="36132"/>
    <cellStyle name="Note 3 3 2 3" xfId="19402"/>
    <cellStyle name="Note 3 3 2 3 2" xfId="44924"/>
    <cellStyle name="Note 3 3 2 3 3" xfId="48830"/>
    <cellStyle name="Note 3 3 2 3 4" xfId="36953"/>
    <cellStyle name="Note 3 3 2 4" xfId="11630"/>
    <cellStyle name="Note 3 3 2 4 2" xfId="41621"/>
    <cellStyle name="Note 3 3 2 4 3" xfId="40179"/>
    <cellStyle name="Note 3 3 2 4 4" xfId="29317"/>
    <cellStyle name="Note 3 3 2 5" xfId="20922"/>
    <cellStyle name="Note 3 3 2 5 2" xfId="46444"/>
    <cellStyle name="Note 3 3 2 5 3" xfId="50350"/>
    <cellStyle name="Note 3 3 2 5 4" xfId="38314"/>
    <cellStyle name="Note 3 3 2 6" xfId="21575"/>
    <cellStyle name="Note 3 3 2 6 2" xfId="47097"/>
    <cellStyle name="Note 3 3 2 6 3" xfId="51003"/>
    <cellStyle name="Note 3 3 2 7" xfId="22586"/>
    <cellStyle name="Note 3 3 2 8" xfId="40900"/>
    <cellStyle name="Note 3 3 2 9" xfId="39359"/>
    <cellStyle name="Note 3 3 3" xfId="11017"/>
    <cellStyle name="Note 3 3 3 2" xfId="18804"/>
    <cellStyle name="Note 3 3 3 2 2" xfId="44336"/>
    <cellStyle name="Note 3 3 3 2 3" xfId="48245"/>
    <cellStyle name="Note 3 3 3 2 4" xfId="36427"/>
    <cellStyle name="Note 3 3 3 3" xfId="20397"/>
    <cellStyle name="Note 3 3 3 3 2" xfId="45919"/>
    <cellStyle name="Note 3 3 3 3 3" xfId="49825"/>
    <cellStyle name="Note 3 3 3 3 4" xfId="37837"/>
    <cellStyle name="Note 3 3 3 4" xfId="20541"/>
    <cellStyle name="Note 3 3 3 4 2" xfId="46063"/>
    <cellStyle name="Note 3 3 3 4 3" xfId="49969"/>
    <cellStyle name="Note 3 3 3 4 4" xfId="37954"/>
    <cellStyle name="Note 3 3 3 5" xfId="21217"/>
    <cellStyle name="Note 3 3 3 5 2" xfId="46739"/>
    <cellStyle name="Note 3 3 3 5 3" xfId="50645"/>
    <cellStyle name="Note 3 3 3 5 4" xfId="38609"/>
    <cellStyle name="Note 3 3 3 6" xfId="21870"/>
    <cellStyle name="Note 3 3 3 6 2" xfId="47392"/>
    <cellStyle name="Note 3 3 3 6 3" xfId="51298"/>
    <cellStyle name="Note 3 3 3 7" xfId="41195"/>
    <cellStyle name="Note 3 3 3 8" xfId="39341"/>
    <cellStyle name="Note 3 3 4" xfId="15234"/>
    <cellStyle name="Note 3 3 4 2" xfId="43089"/>
    <cellStyle name="Note 3 3 4 3" xfId="42749"/>
    <cellStyle name="Note 3 3 4 4" xfId="32855"/>
    <cellStyle name="Note 3 3 5" xfId="19476"/>
    <cellStyle name="Note 3 3 5 2" xfId="44998"/>
    <cellStyle name="Note 3 3 5 3" xfId="48904"/>
    <cellStyle name="Note 3 3 5 4" xfId="37018"/>
    <cellStyle name="Note 3 3 6" xfId="19484"/>
    <cellStyle name="Note 3 3 6 2" xfId="45006"/>
    <cellStyle name="Note 3 3 6 3" xfId="48912"/>
    <cellStyle name="Note 3 3 6 4" xfId="37023"/>
    <cellStyle name="Note 3 3 7" xfId="19434"/>
    <cellStyle name="Note 3 3 7 2" xfId="44956"/>
    <cellStyle name="Note 3 3 7 3" xfId="48862"/>
    <cellStyle name="Note 3 3 7 4" xfId="36985"/>
    <cellStyle name="Note 3 3 8" xfId="11112"/>
    <cellStyle name="Note 3 3 8 2" xfId="41253"/>
    <cellStyle name="Note 3 3 8 3" xfId="43586"/>
    <cellStyle name="Note 3 3 9" xfId="22585"/>
    <cellStyle name="Note 3 4" xfId="12077"/>
    <cellStyle name="Note 3 4 2" xfId="22588"/>
    <cellStyle name="Note 3 4 3" xfId="22587"/>
    <cellStyle name="Note 3 4 4" xfId="41802"/>
    <cellStyle name="Note 3 4 5" xfId="47473"/>
    <cellStyle name="Note 3 4 6" xfId="29739"/>
    <cellStyle name="Note 3 5" xfId="20103"/>
    <cellStyle name="Note 3 5 2" xfId="22590"/>
    <cellStyle name="Note 3 5 3" xfId="22589"/>
    <cellStyle name="Note 3 5 4" xfId="45625"/>
    <cellStyle name="Note 3 5 5" xfId="49531"/>
    <cellStyle name="Note 3 5 6" xfId="37576"/>
    <cellStyle name="Note 3 6" xfId="22591"/>
    <cellStyle name="Note 3 6 2" xfId="47527"/>
    <cellStyle name="Note 3 6 2 2" xfId="53245"/>
    <cellStyle name="Note 3 6 3" xfId="51376"/>
    <cellStyle name="Note 3 6 3 2" xfId="53354"/>
    <cellStyle name="Note 3 6 4" xfId="38868"/>
    <cellStyle name="Note 3 6 5" xfId="53244"/>
    <cellStyle name="Note 3 7" xfId="22592"/>
    <cellStyle name="Note 3 7 2" xfId="22593"/>
    <cellStyle name="Note 3 7 3" xfId="22594"/>
    <cellStyle name="Note 3 7 3 2" xfId="22595"/>
    <cellStyle name="Note 3 8" xfId="52634"/>
    <cellStyle name="Note 3 8 2" xfId="53246"/>
    <cellStyle name="Note 3 9" xfId="52735"/>
    <cellStyle name="Note 4" xfId="135"/>
    <cellStyle name="Note 4 2" xfId="3171"/>
    <cellStyle name="Note 4 3" xfId="3172"/>
    <cellStyle name="Note 4 3 2" xfId="5303"/>
    <cellStyle name="Note 4 3 2 2" xfId="10469"/>
    <cellStyle name="Note 4 3 2 2 2" xfId="18256"/>
    <cellStyle name="Note 4 3 2 2 2 2" xfId="43788"/>
    <cellStyle name="Note 4 3 2 2 2 3" xfId="47697"/>
    <cellStyle name="Note 4 3 2 2 2 4" xfId="35879"/>
    <cellStyle name="Note 4 3 2 2 3" xfId="19425"/>
    <cellStyle name="Note 4 3 2 2 3 2" xfId="44947"/>
    <cellStyle name="Note 4 3 2 2 3 3" xfId="48853"/>
    <cellStyle name="Note 4 3 2 2 3 4" xfId="36976"/>
    <cellStyle name="Note 4 3 2 2 4" xfId="19559"/>
    <cellStyle name="Note 4 3 2 2 4 2" xfId="45081"/>
    <cellStyle name="Note 4 3 2 2 4 3" xfId="48987"/>
    <cellStyle name="Note 4 3 2 2 4 4" xfId="37086"/>
    <cellStyle name="Note 4 3 2 2 5" xfId="20669"/>
    <cellStyle name="Note 4 3 2 2 5 2" xfId="46191"/>
    <cellStyle name="Note 4 3 2 2 5 3" xfId="50097"/>
    <cellStyle name="Note 4 3 2 2 5 4" xfId="38061"/>
    <cellStyle name="Note 4 3 2 2 6" xfId="21322"/>
    <cellStyle name="Note 4 3 2 2 6 2" xfId="46844"/>
    <cellStyle name="Note 4 3 2 2 6 3" xfId="50750"/>
    <cellStyle name="Note 4 3 2 2 7" xfId="40647"/>
    <cellStyle name="Note 4 3 2 2 8" xfId="42054"/>
    <cellStyle name="Note 4 3 2 2 9" xfId="53357"/>
    <cellStyle name="Note 4 3 2 3" xfId="8795"/>
    <cellStyle name="Note 4 3 2 3 2" xfId="16585"/>
    <cellStyle name="Note 4 3 2 3 2 2" xfId="43410"/>
    <cellStyle name="Note 4 3 2 3 2 3" xfId="42743"/>
    <cellStyle name="Note 4 3 2 3 2 4" xfId="34206"/>
    <cellStyle name="Note 4 3 2 3 3" xfId="13897"/>
    <cellStyle name="Note 4 3 2 3 3 2" xfId="42613"/>
    <cellStyle name="Note 4 3 2 3 3 3" xfId="43430"/>
    <cellStyle name="Note 4 3 2 3 3 4" xfId="31522"/>
    <cellStyle name="Note 4 3 2 3 4" xfId="19198"/>
    <cellStyle name="Note 4 3 2 3 4 2" xfId="44720"/>
    <cellStyle name="Note 4 3 2 3 4 3" xfId="48626"/>
    <cellStyle name="Note 4 3 2 3 4 4" xfId="36769"/>
    <cellStyle name="Note 4 3 2 3 5" xfId="11622"/>
    <cellStyle name="Note 4 3 2 3 5 2" xfId="41613"/>
    <cellStyle name="Note 4 3 2 3 5 3" xfId="39321"/>
    <cellStyle name="Note 4 3 2 3 5 4" xfId="29310"/>
    <cellStyle name="Note 4 3 2 3 6" xfId="12847"/>
    <cellStyle name="Note 4 3 2 3 6 2" xfId="42211"/>
    <cellStyle name="Note 4 3 2 3 6 3" xfId="43170"/>
    <cellStyle name="Note 4 3 2 3 7" xfId="40272"/>
    <cellStyle name="Note 4 3 2 3 8" xfId="39187"/>
    <cellStyle name="Note 4 3 2 4" xfId="13268"/>
    <cellStyle name="Note 4 3 2 4 2" xfId="42419"/>
    <cellStyle name="Note 4 3 2 4 3" xfId="41275"/>
    <cellStyle name="Note 4 3 2 4 4" xfId="30899"/>
    <cellStyle name="Note 4 3 2 5" xfId="12729"/>
    <cellStyle name="Note 4 3 2 5 2" xfId="42163"/>
    <cellStyle name="Note 4 3 2 5 3" xfId="43302"/>
    <cellStyle name="Note 4 3 2 5 4" xfId="30373"/>
    <cellStyle name="Note 4 3 2 6" xfId="53248"/>
    <cellStyle name="Note 4 3 3" xfId="7453"/>
    <cellStyle name="Note 4 3 3 10" xfId="39931"/>
    <cellStyle name="Note 4 3 3 11" xfId="53356"/>
    <cellStyle name="Note 4 3 3 2" xfId="10723"/>
    <cellStyle name="Note 4 3 3 2 2" xfId="18510"/>
    <cellStyle name="Note 4 3 3 2 2 2" xfId="44042"/>
    <cellStyle name="Note 4 3 3 2 2 3" xfId="47951"/>
    <cellStyle name="Note 4 3 3 2 2 4" xfId="36133"/>
    <cellStyle name="Note 4 3 3 2 3" xfId="20009"/>
    <cellStyle name="Note 4 3 3 2 3 2" xfId="45531"/>
    <cellStyle name="Note 4 3 3 2 3 3" xfId="49437"/>
    <cellStyle name="Note 4 3 3 2 3 4" xfId="37493"/>
    <cellStyle name="Note 4 3 3 2 4" xfId="12604"/>
    <cellStyle name="Note 4 3 3 2 4 2" xfId="42064"/>
    <cellStyle name="Note 4 3 3 2 4 3" xfId="43561"/>
    <cellStyle name="Note 4 3 3 2 4 4" xfId="30256"/>
    <cellStyle name="Note 4 3 3 2 5" xfId="20923"/>
    <cellStyle name="Note 4 3 3 2 5 2" xfId="46445"/>
    <cellStyle name="Note 4 3 3 2 5 3" xfId="50351"/>
    <cellStyle name="Note 4 3 3 2 5 4" xfId="38315"/>
    <cellStyle name="Note 4 3 3 2 6" xfId="21576"/>
    <cellStyle name="Note 4 3 3 2 6 2" xfId="47098"/>
    <cellStyle name="Note 4 3 3 2 6 3" xfId="51004"/>
    <cellStyle name="Note 4 3 3 2 7" xfId="40901"/>
    <cellStyle name="Note 4 3 3 2 8" xfId="39165"/>
    <cellStyle name="Note 4 3 3 3" xfId="11018"/>
    <cellStyle name="Note 4 3 3 3 2" xfId="18805"/>
    <cellStyle name="Note 4 3 3 3 2 2" xfId="44337"/>
    <cellStyle name="Note 4 3 3 3 2 3" xfId="48246"/>
    <cellStyle name="Note 4 3 3 3 2 4" xfId="36428"/>
    <cellStyle name="Note 4 3 3 3 3" xfId="20398"/>
    <cellStyle name="Note 4 3 3 3 3 2" xfId="45920"/>
    <cellStyle name="Note 4 3 3 3 3 3" xfId="49826"/>
    <cellStyle name="Note 4 3 3 3 3 4" xfId="37838"/>
    <cellStyle name="Note 4 3 3 3 4" xfId="20542"/>
    <cellStyle name="Note 4 3 3 3 4 2" xfId="46064"/>
    <cellStyle name="Note 4 3 3 3 4 3" xfId="49970"/>
    <cellStyle name="Note 4 3 3 3 4 4" xfId="37955"/>
    <cellStyle name="Note 4 3 3 3 5" xfId="21218"/>
    <cellStyle name="Note 4 3 3 3 5 2" xfId="46740"/>
    <cellStyle name="Note 4 3 3 3 5 3" xfId="50646"/>
    <cellStyle name="Note 4 3 3 3 5 4" xfId="38610"/>
    <cellStyle name="Note 4 3 3 3 6" xfId="21871"/>
    <cellStyle name="Note 4 3 3 3 6 2" xfId="47393"/>
    <cellStyle name="Note 4 3 3 3 6 3" xfId="51299"/>
    <cellStyle name="Note 4 3 3 3 7" xfId="41196"/>
    <cellStyle name="Note 4 3 3 3 8" xfId="42019"/>
    <cellStyle name="Note 4 3 3 4" xfId="15235"/>
    <cellStyle name="Note 4 3 3 4 2" xfId="43090"/>
    <cellStyle name="Note 4 3 3 4 3" xfId="43636"/>
    <cellStyle name="Note 4 3 3 4 4" xfId="32856"/>
    <cellStyle name="Note 4 3 3 5" xfId="20077"/>
    <cellStyle name="Note 4 3 3 5 2" xfId="45599"/>
    <cellStyle name="Note 4 3 3 5 3" xfId="49505"/>
    <cellStyle name="Note 4 3 3 5 4" xfId="37555"/>
    <cellStyle name="Note 4 3 3 6" xfId="19142"/>
    <cellStyle name="Note 4 3 3 6 2" xfId="44664"/>
    <cellStyle name="Note 4 3 3 6 3" xfId="48570"/>
    <cellStyle name="Note 4 3 3 6 4" xfId="36721"/>
    <cellStyle name="Note 4 3 3 7" xfId="11370"/>
    <cellStyle name="Note 4 3 3 7 2" xfId="41386"/>
    <cellStyle name="Note 4 3 3 7 3" xfId="39333"/>
    <cellStyle name="Note 4 3 3 7 4" xfId="29078"/>
    <cellStyle name="Note 4 3 3 8" xfId="13899"/>
    <cellStyle name="Note 4 3 3 8 2" xfId="42615"/>
    <cellStyle name="Note 4 3 3 8 3" xfId="39409"/>
    <cellStyle name="Note 4 3 3 9" xfId="39950"/>
    <cellStyle name="Note 4 3 4" xfId="12080"/>
    <cellStyle name="Note 4 3 4 2" xfId="41805"/>
    <cellStyle name="Note 4 3 4 3" xfId="39302"/>
    <cellStyle name="Note 4 3 4 4" xfId="29742"/>
    <cellStyle name="Note 4 3 5" xfId="19202"/>
    <cellStyle name="Note 4 3 5 2" xfId="44724"/>
    <cellStyle name="Note 4 3 5 3" xfId="48630"/>
    <cellStyle name="Note 4 3 5 4" xfId="36773"/>
    <cellStyle name="Note 4 3 6" xfId="52635"/>
    <cellStyle name="Note 4 3 7" xfId="53247"/>
    <cellStyle name="Note 4 4" xfId="3173"/>
    <cellStyle name="Note 4 5" xfId="3174"/>
    <cellStyle name="Note 4 5 2" xfId="53249"/>
    <cellStyle name="Note 4 6" xfId="5304"/>
    <cellStyle name="Note 4 6 2" xfId="53355"/>
    <cellStyle name="Note 4 7" xfId="5305"/>
    <cellStyle name="Note 4 8" xfId="3170"/>
    <cellStyle name="Note 4 9" xfId="52736"/>
    <cellStyle name="Note 5" xfId="3175"/>
    <cellStyle name="Note 5 2" xfId="3176"/>
    <cellStyle name="Note 5 2 2" xfId="3177"/>
    <cellStyle name="Note 5 2 2 2" xfId="53359"/>
    <cellStyle name="Note 5 2 3" xfId="53251"/>
    <cellStyle name="Note 5 3" xfId="3178"/>
    <cellStyle name="Note 5 3 2" xfId="53358"/>
    <cellStyle name="Note 5 4" xfId="3179"/>
    <cellStyle name="Note 5 5" xfId="3180"/>
    <cellStyle name="Note 5 5 2" xfId="3181"/>
    <cellStyle name="Note 5 5 3" xfId="3182"/>
    <cellStyle name="Note 5 5 3 2" xfId="3183"/>
    <cellStyle name="Note 5 5 4" xfId="3184"/>
    <cellStyle name="Note 5 5 4 2" xfId="3185"/>
    <cellStyle name="Note 5 5 5" xfId="3186"/>
    <cellStyle name="Note 5 5 5 2" xfId="3187"/>
    <cellStyle name="Note 5 5 6" xfId="3188"/>
    <cellStyle name="Note 5 6" xfId="3189"/>
    <cellStyle name="Note 5 7" xfId="3190"/>
    <cellStyle name="Note 5 8" xfId="22596"/>
    <cellStyle name="Note 5 8 2" xfId="47528"/>
    <cellStyle name="Note 5 8 3" xfId="51377"/>
    <cellStyle name="Note 5 8 4" xfId="38869"/>
    <cellStyle name="Note 5 9" xfId="53250"/>
    <cellStyle name="Note 6" xfId="3191"/>
    <cellStyle name="Note 6 2" xfId="3192"/>
    <cellStyle name="Note 6 2 2" xfId="3193"/>
    <cellStyle name="Note 6 2 2 2" xfId="53361"/>
    <cellStyle name="Note 6 2 3" xfId="53253"/>
    <cellStyle name="Note 6 3" xfId="3194"/>
    <cellStyle name="Note 6 3 2" xfId="53360"/>
    <cellStyle name="Note 6 4" xfId="3195"/>
    <cellStyle name="Note 6 5" xfId="3196"/>
    <cellStyle name="Note 6 5 2" xfId="3197"/>
    <cellStyle name="Note 6 5 3" xfId="3198"/>
    <cellStyle name="Note 6 5 3 2" xfId="3199"/>
    <cellStyle name="Note 6 5 4" xfId="3200"/>
    <cellStyle name="Note 6 5 4 2" xfId="3201"/>
    <cellStyle name="Note 6 5 5" xfId="3202"/>
    <cellStyle name="Note 6 5 5 2" xfId="3203"/>
    <cellStyle name="Note 6 5 6" xfId="3204"/>
    <cellStyle name="Note 6 6" xfId="3205"/>
    <cellStyle name="Note 6 7" xfId="3206"/>
    <cellStyle name="Note 6 8" xfId="22597"/>
    <cellStyle name="Note 6 8 2" xfId="47529"/>
    <cellStyle name="Note 6 8 3" xfId="51378"/>
    <cellStyle name="Note 6 8 4" xfId="38870"/>
    <cellStyle name="Note 6 9" xfId="53252"/>
    <cellStyle name="Note 7" xfId="3207"/>
    <cellStyle name="Note 7 2" xfId="3208"/>
    <cellStyle name="Note 7 2 2" xfId="3209"/>
    <cellStyle name="Note 7 3" xfId="3210"/>
    <cellStyle name="Note 7 4" xfId="3211"/>
    <cellStyle name="Note 7 5" xfId="3212"/>
    <cellStyle name="Note 7 6" xfId="3213"/>
    <cellStyle name="Note 8" xfId="3214"/>
    <cellStyle name="Note 8 10" xfId="3215"/>
    <cellStyle name="Note 8 11" xfId="5306"/>
    <cellStyle name="Note 8 2" xfId="3216"/>
    <cellStyle name="Note 8 2 2" xfId="3217"/>
    <cellStyle name="Note 8 3" xfId="3218"/>
    <cellStyle name="Note 8 3 2" xfId="3219"/>
    <cellStyle name="Note 8 4" xfId="3220"/>
    <cellStyle name="Note 8 5" xfId="3221"/>
    <cellStyle name="Note 8 5 2" xfId="3222"/>
    <cellStyle name="Note 8 6" xfId="3223"/>
    <cellStyle name="Note 8 7" xfId="3224"/>
    <cellStyle name="Note 8 8" xfId="3225"/>
    <cellStyle name="Note 8 9" xfId="3226"/>
    <cellStyle name="Note 9" xfId="3227"/>
    <cellStyle name="Note 9 10" xfId="3228"/>
    <cellStyle name="Note 9 11" xfId="5307"/>
    <cellStyle name="Note 9 2" xfId="3229"/>
    <cellStyle name="Note 9 2 2" xfId="3230"/>
    <cellStyle name="Note 9 3" xfId="3231"/>
    <cellStyle name="Note 9 3 2" xfId="3232"/>
    <cellStyle name="Note 9 4" xfId="3233"/>
    <cellStyle name="Note 9 5" xfId="3234"/>
    <cellStyle name="Note 9 5 2" xfId="3235"/>
    <cellStyle name="Note 9 6" xfId="3236"/>
    <cellStyle name="Note 9 7" xfId="3237"/>
    <cellStyle name="Note 9 8" xfId="3238"/>
    <cellStyle name="Note 9 9" xfId="3239"/>
    <cellStyle name="Output 10" xfId="3240"/>
    <cellStyle name="Output 10 2" xfId="3241"/>
    <cellStyle name="Output 10 2 2" xfId="10448"/>
    <cellStyle name="Output 10 2 2 2" xfId="18235"/>
    <cellStyle name="Output 10 2 2 2 2" xfId="43767"/>
    <cellStyle name="Output 10 2 2 2 3" xfId="47676"/>
    <cellStyle name="Output 10 2 2 2 4" xfId="35858"/>
    <cellStyle name="Output 10 2 2 3" xfId="19428"/>
    <cellStyle name="Output 10 2 2 3 2" xfId="44950"/>
    <cellStyle name="Output 10 2 2 3 3" xfId="48856"/>
    <cellStyle name="Output 10 2 2 3 4" xfId="36979"/>
    <cellStyle name="Output 10 2 2 4" xfId="19192"/>
    <cellStyle name="Output 10 2 2 4 2" xfId="44714"/>
    <cellStyle name="Output 10 2 2 4 3" xfId="48620"/>
    <cellStyle name="Output 10 2 2 4 4" xfId="36763"/>
    <cellStyle name="Output 10 2 2 5" xfId="20648"/>
    <cellStyle name="Output 10 2 2 5 2" xfId="46170"/>
    <cellStyle name="Output 10 2 2 5 3" xfId="50076"/>
    <cellStyle name="Output 10 2 2 5 4" xfId="38040"/>
    <cellStyle name="Output 10 2 2 6" xfId="21301"/>
    <cellStyle name="Output 10 2 2 6 2" xfId="46823"/>
    <cellStyle name="Output 10 2 2 6 3" xfId="50729"/>
    <cellStyle name="Output 10 2 2 7" xfId="40626"/>
    <cellStyle name="Output 10 2 2 8" xfId="40236"/>
    <cellStyle name="Output 10 2 3" xfId="8067"/>
    <cellStyle name="Output 10 2 3 2" xfId="15858"/>
    <cellStyle name="Output 10 2 3 2 2" xfId="43254"/>
    <cellStyle name="Output 10 2 3 2 3" xfId="42636"/>
    <cellStyle name="Output 10 2 3 2 4" xfId="33479"/>
    <cellStyle name="Output 10 2 3 3" xfId="19940"/>
    <cellStyle name="Output 10 2 3 3 2" xfId="45462"/>
    <cellStyle name="Output 10 2 3 3 3" xfId="49368"/>
    <cellStyle name="Output 10 2 3 3 4" xfId="37431"/>
    <cellStyle name="Output 10 2 3 4" xfId="18932"/>
    <cellStyle name="Output 10 2 3 4 2" xfId="44454"/>
    <cellStyle name="Output 10 2 3 4 3" xfId="48360"/>
    <cellStyle name="Output 10 2 3 4 4" xfId="36545"/>
    <cellStyle name="Output 10 2 3 5" xfId="11840"/>
    <cellStyle name="Output 10 2 3 5 2" xfId="41738"/>
    <cellStyle name="Output 10 2 3 5 3" xfId="40320"/>
    <cellStyle name="Output 10 2 3 5 4" xfId="29510"/>
    <cellStyle name="Output 10 2 3 6" xfId="18872"/>
    <cellStyle name="Output 10 2 3 6 2" xfId="44394"/>
    <cellStyle name="Output 10 2 3 6 3" xfId="48300"/>
    <cellStyle name="Output 10 2 3 7" xfId="40113"/>
    <cellStyle name="Output 10 2 3 8" xfId="47520"/>
    <cellStyle name="Output 10 2 4" xfId="12087"/>
    <cellStyle name="Output 10 2 4 2" xfId="41812"/>
    <cellStyle name="Output 10 2 4 3" xfId="39109"/>
    <cellStyle name="Output 10 2 4 4" xfId="29746"/>
    <cellStyle name="Output 10 2 5" xfId="20100"/>
    <cellStyle name="Output 10 2 5 2" xfId="45622"/>
    <cellStyle name="Output 10 2 5 3" xfId="49528"/>
    <cellStyle name="Output 10 2 5 4" xfId="37574"/>
    <cellStyle name="Output 10 3" xfId="3242"/>
    <cellStyle name="Output 10 4" xfId="7454"/>
    <cellStyle name="Output 10 4 10" xfId="42731"/>
    <cellStyle name="Output 10 4 2" xfId="10724"/>
    <cellStyle name="Output 10 4 2 2" xfId="18511"/>
    <cellStyle name="Output 10 4 2 2 2" xfId="44043"/>
    <cellStyle name="Output 10 4 2 2 3" xfId="47952"/>
    <cellStyle name="Output 10 4 2 2 4" xfId="36134"/>
    <cellStyle name="Output 10 4 2 3" xfId="19275"/>
    <cellStyle name="Output 10 4 2 3 2" xfId="44797"/>
    <cellStyle name="Output 10 4 2 3 3" xfId="48703"/>
    <cellStyle name="Output 10 4 2 3 4" xfId="36839"/>
    <cellStyle name="Output 10 4 2 4" xfId="12658"/>
    <cellStyle name="Output 10 4 2 4 2" xfId="42118"/>
    <cellStyle name="Output 10 4 2 4 3" xfId="40031"/>
    <cellStyle name="Output 10 4 2 4 4" xfId="30308"/>
    <cellStyle name="Output 10 4 2 5" xfId="20924"/>
    <cellStyle name="Output 10 4 2 5 2" xfId="46446"/>
    <cellStyle name="Output 10 4 2 5 3" xfId="50352"/>
    <cellStyle name="Output 10 4 2 5 4" xfId="38316"/>
    <cellStyle name="Output 10 4 2 6" xfId="21577"/>
    <cellStyle name="Output 10 4 2 6 2" xfId="47099"/>
    <cellStyle name="Output 10 4 2 6 3" xfId="51005"/>
    <cellStyle name="Output 10 4 2 7" xfId="40902"/>
    <cellStyle name="Output 10 4 2 8" xfId="41405"/>
    <cellStyle name="Output 10 4 3" xfId="11019"/>
    <cellStyle name="Output 10 4 3 2" xfId="18806"/>
    <cellStyle name="Output 10 4 3 2 2" xfId="44338"/>
    <cellStyle name="Output 10 4 3 2 3" xfId="48247"/>
    <cellStyle name="Output 10 4 3 2 4" xfId="36429"/>
    <cellStyle name="Output 10 4 3 3" xfId="20399"/>
    <cellStyle name="Output 10 4 3 3 2" xfId="45921"/>
    <cellStyle name="Output 10 4 3 3 3" xfId="49827"/>
    <cellStyle name="Output 10 4 3 3 4" xfId="37839"/>
    <cellStyle name="Output 10 4 3 4" xfId="20543"/>
    <cellStyle name="Output 10 4 3 4 2" xfId="46065"/>
    <cellStyle name="Output 10 4 3 4 3" xfId="49971"/>
    <cellStyle name="Output 10 4 3 4 4" xfId="37956"/>
    <cellStyle name="Output 10 4 3 5" xfId="21219"/>
    <cellStyle name="Output 10 4 3 5 2" xfId="46741"/>
    <cellStyle name="Output 10 4 3 5 3" xfId="50647"/>
    <cellStyle name="Output 10 4 3 5 4" xfId="38611"/>
    <cellStyle name="Output 10 4 3 6" xfId="21872"/>
    <cellStyle name="Output 10 4 3 6 2" xfId="47394"/>
    <cellStyle name="Output 10 4 3 6 3" xfId="51300"/>
    <cellStyle name="Output 10 4 3 7" xfId="41197"/>
    <cellStyle name="Output 10 4 3 8" xfId="43338"/>
    <cellStyle name="Output 10 4 4" xfId="15236"/>
    <cellStyle name="Output 10 4 4 2" xfId="43091"/>
    <cellStyle name="Output 10 4 4 3" xfId="40495"/>
    <cellStyle name="Output 10 4 4 4" xfId="32857"/>
    <cellStyle name="Output 10 4 5" xfId="19339"/>
    <cellStyle name="Output 10 4 5 2" xfId="44861"/>
    <cellStyle name="Output 10 4 5 3" xfId="48767"/>
    <cellStyle name="Output 10 4 5 4" xfId="36896"/>
    <cellStyle name="Output 10 4 6" xfId="12651"/>
    <cellStyle name="Output 10 4 6 2" xfId="42111"/>
    <cellStyle name="Output 10 4 6 3" xfId="41952"/>
    <cellStyle name="Output 10 4 6 4" xfId="30301"/>
    <cellStyle name="Output 10 4 7" xfId="11716"/>
    <cellStyle name="Output 10 4 7 2" xfId="41685"/>
    <cellStyle name="Output 10 4 7 3" xfId="47582"/>
    <cellStyle name="Output 10 4 7 4" xfId="29389"/>
    <cellStyle name="Output 10 4 8" xfId="19627"/>
    <cellStyle name="Output 10 4 8 2" xfId="45149"/>
    <cellStyle name="Output 10 4 8 3" xfId="49055"/>
    <cellStyle name="Output 10 4 9" xfId="39951"/>
    <cellStyle name="Output 10 5" xfId="22599"/>
    <cellStyle name="Output 11" xfId="3243"/>
    <cellStyle name="Output 11 2" xfId="22600"/>
    <cellStyle name="Output 12" xfId="22601"/>
    <cellStyle name="Output 12 2" xfId="22602"/>
    <cellStyle name="Output 13" xfId="22603"/>
    <cellStyle name="Output 14" xfId="22604"/>
    <cellStyle name="Output 14 2" xfId="47531"/>
    <cellStyle name="Output 14 2 2" xfId="53255"/>
    <cellStyle name="Output 14 3" xfId="51380"/>
    <cellStyle name="Output 14 3 2" xfId="53362"/>
    <cellStyle name="Output 14 4" xfId="53254"/>
    <cellStyle name="Output 15" xfId="22660"/>
    <cellStyle name="Output 16" xfId="22598"/>
    <cellStyle name="Output 16 2" xfId="47530"/>
    <cellStyle name="Output 16 2 2" xfId="53257"/>
    <cellStyle name="Output 16 3" xfId="51379"/>
    <cellStyle name="Output 16 3 2" xfId="53363"/>
    <cellStyle name="Output 16 4" xfId="53256"/>
    <cellStyle name="Output 2" xfId="136"/>
    <cellStyle name="Output 2 10" xfId="3245"/>
    <cellStyle name="Output 2 10 2" xfId="7456"/>
    <cellStyle name="Output 2 10 2 10" xfId="40477"/>
    <cellStyle name="Output 2 10 2 11" xfId="53260"/>
    <cellStyle name="Output 2 10 2 2" xfId="10726"/>
    <cellStyle name="Output 2 10 2 2 2" xfId="18513"/>
    <cellStyle name="Output 2 10 2 2 2 2" xfId="44045"/>
    <cellStyle name="Output 2 10 2 2 2 3" xfId="47954"/>
    <cellStyle name="Output 2 10 2 2 2 4" xfId="36136"/>
    <cellStyle name="Output 2 10 2 2 3" xfId="19107"/>
    <cellStyle name="Output 2 10 2 2 3 2" xfId="44629"/>
    <cellStyle name="Output 2 10 2 2 3 3" xfId="48535"/>
    <cellStyle name="Output 2 10 2 2 3 4" xfId="36688"/>
    <cellStyle name="Output 2 10 2 2 4" xfId="19546"/>
    <cellStyle name="Output 2 10 2 2 4 2" xfId="45068"/>
    <cellStyle name="Output 2 10 2 2 4 3" xfId="48974"/>
    <cellStyle name="Output 2 10 2 2 4 4" xfId="37073"/>
    <cellStyle name="Output 2 10 2 2 5" xfId="20926"/>
    <cellStyle name="Output 2 10 2 2 5 2" xfId="46448"/>
    <cellStyle name="Output 2 10 2 2 5 3" xfId="50354"/>
    <cellStyle name="Output 2 10 2 2 5 4" xfId="38318"/>
    <cellStyle name="Output 2 10 2 2 6" xfId="21579"/>
    <cellStyle name="Output 2 10 2 2 6 2" xfId="47101"/>
    <cellStyle name="Output 2 10 2 2 6 3" xfId="51007"/>
    <cellStyle name="Output 2 10 2 2 7" xfId="40904"/>
    <cellStyle name="Output 2 10 2 2 8" xfId="40067"/>
    <cellStyle name="Output 2 10 2 2 9" xfId="53366"/>
    <cellStyle name="Output 2 10 2 3" xfId="11021"/>
    <cellStyle name="Output 2 10 2 3 2" xfId="18808"/>
    <cellStyle name="Output 2 10 2 3 2 2" xfId="44340"/>
    <cellStyle name="Output 2 10 2 3 2 3" xfId="48249"/>
    <cellStyle name="Output 2 10 2 3 2 4" xfId="36431"/>
    <cellStyle name="Output 2 10 2 3 3" xfId="20401"/>
    <cellStyle name="Output 2 10 2 3 3 2" xfId="45923"/>
    <cellStyle name="Output 2 10 2 3 3 3" xfId="49829"/>
    <cellStyle name="Output 2 10 2 3 3 4" xfId="37841"/>
    <cellStyle name="Output 2 10 2 3 4" xfId="20545"/>
    <cellStyle name="Output 2 10 2 3 4 2" xfId="46067"/>
    <cellStyle name="Output 2 10 2 3 4 3" xfId="49973"/>
    <cellStyle name="Output 2 10 2 3 4 4" xfId="37958"/>
    <cellStyle name="Output 2 10 2 3 5" xfId="21221"/>
    <cellStyle name="Output 2 10 2 3 5 2" xfId="46743"/>
    <cellStyle name="Output 2 10 2 3 5 3" xfId="50649"/>
    <cellStyle name="Output 2 10 2 3 5 4" xfId="38613"/>
    <cellStyle name="Output 2 10 2 3 6" xfId="21874"/>
    <cellStyle name="Output 2 10 2 3 6 2" xfId="47396"/>
    <cellStyle name="Output 2 10 2 3 6 3" xfId="51302"/>
    <cellStyle name="Output 2 10 2 3 7" xfId="41199"/>
    <cellStyle name="Output 2 10 2 3 8" xfId="39340"/>
    <cellStyle name="Output 2 10 2 4" xfId="15238"/>
    <cellStyle name="Output 2 10 2 4 2" xfId="43093"/>
    <cellStyle name="Output 2 10 2 4 3" xfId="42639"/>
    <cellStyle name="Output 2 10 2 4 4" xfId="32859"/>
    <cellStyle name="Output 2 10 2 5" xfId="19181"/>
    <cellStyle name="Output 2 10 2 5 2" xfId="44703"/>
    <cellStyle name="Output 2 10 2 5 3" xfId="48609"/>
    <cellStyle name="Output 2 10 2 5 4" xfId="36754"/>
    <cellStyle name="Output 2 10 2 6" xfId="12051"/>
    <cellStyle name="Output 2 10 2 6 2" xfId="41785"/>
    <cellStyle name="Output 2 10 2 6 3" xfId="40116"/>
    <cellStyle name="Output 2 10 2 6 4" xfId="29716"/>
    <cellStyle name="Output 2 10 2 7" xfId="18883"/>
    <cellStyle name="Output 2 10 2 7 2" xfId="44405"/>
    <cellStyle name="Output 2 10 2 7 3" xfId="48311"/>
    <cellStyle name="Output 2 10 2 7 4" xfId="36505"/>
    <cellStyle name="Output 2 10 2 8" xfId="18908"/>
    <cellStyle name="Output 2 10 2 8 2" xfId="44430"/>
    <cellStyle name="Output 2 10 2 8 3" xfId="48336"/>
    <cellStyle name="Output 2 10 2 9" xfId="39953"/>
    <cellStyle name="Output 2 10 3" xfId="12090"/>
    <cellStyle name="Output 2 10 3 2" xfId="41815"/>
    <cellStyle name="Output 2 10 3 3" xfId="39106"/>
    <cellStyle name="Output 2 10 3 4" xfId="29749"/>
    <cellStyle name="Output 2 10 3 5" xfId="53365"/>
    <cellStyle name="Output 2 10 4" xfId="19201"/>
    <cellStyle name="Output 2 10 4 2" xfId="44723"/>
    <cellStyle name="Output 2 10 4 3" xfId="48629"/>
    <cellStyle name="Output 2 10 4 4" xfId="36772"/>
    <cellStyle name="Output 2 10 5" xfId="53259"/>
    <cellStyle name="Output 2 11" xfId="3246"/>
    <cellStyle name="Output 2 11 2" xfId="7457"/>
    <cellStyle name="Output 2 11 2 10" xfId="39587"/>
    <cellStyle name="Output 2 11 2 11" xfId="53262"/>
    <cellStyle name="Output 2 11 2 2" xfId="10727"/>
    <cellStyle name="Output 2 11 2 2 2" xfId="18514"/>
    <cellStyle name="Output 2 11 2 2 2 2" xfId="44046"/>
    <cellStyle name="Output 2 11 2 2 2 3" xfId="47955"/>
    <cellStyle name="Output 2 11 2 2 2 4" xfId="36137"/>
    <cellStyle name="Output 2 11 2 2 3" xfId="12622"/>
    <cellStyle name="Output 2 11 2 2 3 2" xfId="42082"/>
    <cellStyle name="Output 2 11 2 2 3 3" xfId="39634"/>
    <cellStyle name="Output 2 11 2 2 3 4" xfId="30273"/>
    <cellStyle name="Output 2 11 2 2 4" xfId="19837"/>
    <cellStyle name="Output 2 11 2 2 4 2" xfId="45359"/>
    <cellStyle name="Output 2 11 2 2 4 3" xfId="49265"/>
    <cellStyle name="Output 2 11 2 2 4 4" xfId="37339"/>
    <cellStyle name="Output 2 11 2 2 5" xfId="20927"/>
    <cellStyle name="Output 2 11 2 2 5 2" xfId="46449"/>
    <cellStyle name="Output 2 11 2 2 5 3" xfId="50355"/>
    <cellStyle name="Output 2 11 2 2 5 4" xfId="38319"/>
    <cellStyle name="Output 2 11 2 2 6" xfId="21580"/>
    <cellStyle name="Output 2 11 2 2 6 2" xfId="47102"/>
    <cellStyle name="Output 2 11 2 2 6 3" xfId="51008"/>
    <cellStyle name="Output 2 11 2 2 7" xfId="40905"/>
    <cellStyle name="Output 2 11 2 2 8" xfId="42815"/>
    <cellStyle name="Output 2 11 2 2 9" xfId="53368"/>
    <cellStyle name="Output 2 11 2 3" xfId="11022"/>
    <cellStyle name="Output 2 11 2 3 2" xfId="18809"/>
    <cellStyle name="Output 2 11 2 3 2 2" xfId="44341"/>
    <cellStyle name="Output 2 11 2 3 2 3" xfId="48250"/>
    <cellStyle name="Output 2 11 2 3 2 4" xfId="36432"/>
    <cellStyle name="Output 2 11 2 3 3" xfId="20402"/>
    <cellStyle name="Output 2 11 2 3 3 2" xfId="45924"/>
    <cellStyle name="Output 2 11 2 3 3 3" xfId="49830"/>
    <cellStyle name="Output 2 11 2 3 3 4" xfId="37842"/>
    <cellStyle name="Output 2 11 2 3 4" xfId="20546"/>
    <cellStyle name="Output 2 11 2 3 4 2" xfId="46068"/>
    <cellStyle name="Output 2 11 2 3 4 3" xfId="49974"/>
    <cellStyle name="Output 2 11 2 3 4 4" xfId="37959"/>
    <cellStyle name="Output 2 11 2 3 5" xfId="21222"/>
    <cellStyle name="Output 2 11 2 3 5 2" xfId="46744"/>
    <cellStyle name="Output 2 11 2 3 5 3" xfId="50650"/>
    <cellStyle name="Output 2 11 2 3 5 4" xfId="38614"/>
    <cellStyle name="Output 2 11 2 3 6" xfId="21875"/>
    <cellStyle name="Output 2 11 2 3 6 2" xfId="47397"/>
    <cellStyle name="Output 2 11 2 3 6 3" xfId="51303"/>
    <cellStyle name="Output 2 11 2 3 7" xfId="41200"/>
    <cellStyle name="Output 2 11 2 3 8" xfId="41394"/>
    <cellStyle name="Output 2 11 2 4" xfId="15239"/>
    <cellStyle name="Output 2 11 2 4 2" xfId="43094"/>
    <cellStyle name="Output 2 11 2 4 3" xfId="43527"/>
    <cellStyle name="Output 2 11 2 4 4" xfId="32860"/>
    <cellStyle name="Output 2 11 2 5" xfId="19805"/>
    <cellStyle name="Output 2 11 2 5 2" xfId="45327"/>
    <cellStyle name="Output 2 11 2 5 3" xfId="49233"/>
    <cellStyle name="Output 2 11 2 5 4" xfId="37312"/>
    <cellStyle name="Output 2 11 2 6" xfId="20272"/>
    <cellStyle name="Output 2 11 2 6 2" xfId="45794"/>
    <cellStyle name="Output 2 11 2 6 3" xfId="49700"/>
    <cellStyle name="Output 2 11 2 6 4" xfId="37726"/>
    <cellStyle name="Output 2 11 2 7" xfId="19680"/>
    <cellStyle name="Output 2 11 2 7 2" xfId="45202"/>
    <cellStyle name="Output 2 11 2 7 3" xfId="49108"/>
    <cellStyle name="Output 2 11 2 7 4" xfId="37197"/>
    <cellStyle name="Output 2 11 2 8" xfId="18993"/>
    <cellStyle name="Output 2 11 2 8 2" xfId="44515"/>
    <cellStyle name="Output 2 11 2 8 3" xfId="48421"/>
    <cellStyle name="Output 2 11 2 9" xfId="39954"/>
    <cellStyle name="Output 2 11 3" xfId="12091"/>
    <cellStyle name="Output 2 11 3 2" xfId="41816"/>
    <cellStyle name="Output 2 11 3 3" xfId="39105"/>
    <cellStyle name="Output 2 11 3 4" xfId="29750"/>
    <cellStyle name="Output 2 11 3 5" xfId="53367"/>
    <cellStyle name="Output 2 11 4" xfId="19831"/>
    <cellStyle name="Output 2 11 4 2" xfId="45353"/>
    <cellStyle name="Output 2 11 4 3" xfId="49259"/>
    <cellStyle name="Output 2 11 4 4" xfId="37334"/>
    <cellStyle name="Output 2 11 5" xfId="53261"/>
    <cellStyle name="Output 2 12" xfId="3247"/>
    <cellStyle name="Output 2 12 2" xfId="7458"/>
    <cellStyle name="Output 2 12 2 10" xfId="47523"/>
    <cellStyle name="Output 2 12 2 11" xfId="53264"/>
    <cellStyle name="Output 2 12 2 2" xfId="10728"/>
    <cellStyle name="Output 2 12 2 2 2" xfId="18515"/>
    <cellStyle name="Output 2 12 2 2 2 2" xfId="44047"/>
    <cellStyle name="Output 2 12 2 2 2 3" xfId="47956"/>
    <cellStyle name="Output 2 12 2 2 2 4" xfId="36138"/>
    <cellStyle name="Output 2 12 2 2 3" xfId="19589"/>
    <cellStyle name="Output 2 12 2 2 3 2" xfId="45111"/>
    <cellStyle name="Output 2 12 2 2 3 3" xfId="49017"/>
    <cellStyle name="Output 2 12 2 2 3 4" xfId="37115"/>
    <cellStyle name="Output 2 12 2 2 4" xfId="19149"/>
    <cellStyle name="Output 2 12 2 2 4 2" xfId="44671"/>
    <cellStyle name="Output 2 12 2 2 4 3" xfId="48577"/>
    <cellStyle name="Output 2 12 2 2 4 4" xfId="36727"/>
    <cellStyle name="Output 2 12 2 2 5" xfId="20928"/>
    <cellStyle name="Output 2 12 2 2 5 2" xfId="46450"/>
    <cellStyle name="Output 2 12 2 2 5 3" xfId="50356"/>
    <cellStyle name="Output 2 12 2 2 5 4" xfId="38320"/>
    <cellStyle name="Output 2 12 2 2 6" xfId="21581"/>
    <cellStyle name="Output 2 12 2 2 6 2" xfId="47103"/>
    <cellStyle name="Output 2 12 2 2 6 3" xfId="51009"/>
    <cellStyle name="Output 2 12 2 2 7" xfId="40906"/>
    <cellStyle name="Output 2 12 2 2 8" xfId="43704"/>
    <cellStyle name="Output 2 12 2 2 9" xfId="53370"/>
    <cellStyle name="Output 2 12 2 3" xfId="11023"/>
    <cellStyle name="Output 2 12 2 3 2" xfId="18810"/>
    <cellStyle name="Output 2 12 2 3 2 2" xfId="44342"/>
    <cellStyle name="Output 2 12 2 3 2 3" xfId="48251"/>
    <cellStyle name="Output 2 12 2 3 2 4" xfId="36433"/>
    <cellStyle name="Output 2 12 2 3 3" xfId="20403"/>
    <cellStyle name="Output 2 12 2 3 3 2" xfId="45925"/>
    <cellStyle name="Output 2 12 2 3 3 3" xfId="49831"/>
    <cellStyle name="Output 2 12 2 3 3 4" xfId="37843"/>
    <cellStyle name="Output 2 12 2 3 4" xfId="20547"/>
    <cellStyle name="Output 2 12 2 3 4 2" xfId="46069"/>
    <cellStyle name="Output 2 12 2 3 4 3" xfId="49975"/>
    <cellStyle name="Output 2 12 2 3 4 4" xfId="37960"/>
    <cellStyle name="Output 2 12 2 3 5" xfId="21223"/>
    <cellStyle name="Output 2 12 2 3 5 2" xfId="46745"/>
    <cellStyle name="Output 2 12 2 3 5 3" xfId="50651"/>
    <cellStyle name="Output 2 12 2 3 5 4" xfId="38615"/>
    <cellStyle name="Output 2 12 2 3 6" xfId="21876"/>
    <cellStyle name="Output 2 12 2 3 6 2" xfId="47398"/>
    <cellStyle name="Output 2 12 2 3 6 3" xfId="51304"/>
    <cellStyle name="Output 2 12 2 3 7" xfId="41201"/>
    <cellStyle name="Output 2 12 2 3 8" xfId="43197"/>
    <cellStyle name="Output 2 12 2 4" xfId="15240"/>
    <cellStyle name="Output 2 12 2 4 2" xfId="43095"/>
    <cellStyle name="Output 2 12 2 4 3" xfId="40389"/>
    <cellStyle name="Output 2 12 2 4 4" xfId="32861"/>
    <cellStyle name="Output 2 12 2 5" xfId="11359"/>
    <cellStyle name="Output 2 12 2 5 2" xfId="41375"/>
    <cellStyle name="Output 2 12 2 5 3" xfId="42692"/>
    <cellStyle name="Output 2 12 2 5 4" xfId="29068"/>
    <cellStyle name="Output 2 12 2 6" xfId="18897"/>
    <cellStyle name="Output 2 12 2 6 2" xfId="44419"/>
    <cellStyle name="Output 2 12 2 6 3" xfId="48325"/>
    <cellStyle name="Output 2 12 2 6 4" xfId="36515"/>
    <cellStyle name="Output 2 12 2 7" xfId="19454"/>
    <cellStyle name="Output 2 12 2 7 2" xfId="44976"/>
    <cellStyle name="Output 2 12 2 7 3" xfId="48882"/>
    <cellStyle name="Output 2 12 2 7 4" xfId="36998"/>
    <cellStyle name="Output 2 12 2 8" xfId="20329"/>
    <cellStyle name="Output 2 12 2 8 2" xfId="45851"/>
    <cellStyle name="Output 2 12 2 8 3" xfId="49757"/>
    <cellStyle name="Output 2 12 2 9" xfId="39955"/>
    <cellStyle name="Output 2 12 3" xfId="12092"/>
    <cellStyle name="Output 2 12 3 2" xfId="41817"/>
    <cellStyle name="Output 2 12 3 3" xfId="39104"/>
    <cellStyle name="Output 2 12 3 4" xfId="29751"/>
    <cellStyle name="Output 2 12 3 5" xfId="53369"/>
    <cellStyle name="Output 2 12 4" xfId="18962"/>
    <cellStyle name="Output 2 12 4 2" xfId="44484"/>
    <cellStyle name="Output 2 12 4 3" xfId="48390"/>
    <cellStyle name="Output 2 12 4 4" xfId="36573"/>
    <cellStyle name="Output 2 12 5" xfId="53263"/>
    <cellStyle name="Output 2 13" xfId="3248"/>
    <cellStyle name="Output 2 13 2" xfId="7459"/>
    <cellStyle name="Output 2 13 2 10" xfId="42595"/>
    <cellStyle name="Output 2 13 2 11" xfId="53266"/>
    <cellStyle name="Output 2 13 2 2" xfId="10729"/>
    <cellStyle name="Output 2 13 2 2 2" xfId="18516"/>
    <cellStyle name="Output 2 13 2 2 2 2" xfId="44048"/>
    <cellStyle name="Output 2 13 2 2 2 3" xfId="47957"/>
    <cellStyle name="Output 2 13 2 2 2 4" xfId="36139"/>
    <cellStyle name="Output 2 13 2 2 3" xfId="20142"/>
    <cellStyle name="Output 2 13 2 2 3 2" xfId="45664"/>
    <cellStyle name="Output 2 13 2 2 3 3" xfId="49570"/>
    <cellStyle name="Output 2 13 2 2 3 4" xfId="37614"/>
    <cellStyle name="Output 2 13 2 2 4" xfId="19070"/>
    <cellStyle name="Output 2 13 2 2 4 2" xfId="44592"/>
    <cellStyle name="Output 2 13 2 2 4 3" xfId="48498"/>
    <cellStyle name="Output 2 13 2 2 4 4" xfId="36652"/>
    <cellStyle name="Output 2 13 2 2 5" xfId="20929"/>
    <cellStyle name="Output 2 13 2 2 5 2" xfId="46451"/>
    <cellStyle name="Output 2 13 2 2 5 3" xfId="50357"/>
    <cellStyle name="Output 2 13 2 2 5 4" xfId="38321"/>
    <cellStyle name="Output 2 13 2 2 6" xfId="21582"/>
    <cellStyle name="Output 2 13 2 2 6 2" xfId="47104"/>
    <cellStyle name="Output 2 13 2 2 6 3" xfId="51010"/>
    <cellStyle name="Output 2 13 2 2 7" xfId="40907"/>
    <cellStyle name="Output 2 13 2 2 8" xfId="40563"/>
    <cellStyle name="Output 2 13 2 2 9" xfId="53372"/>
    <cellStyle name="Output 2 13 2 3" xfId="11024"/>
    <cellStyle name="Output 2 13 2 3 2" xfId="18811"/>
    <cellStyle name="Output 2 13 2 3 2 2" xfId="44343"/>
    <cellStyle name="Output 2 13 2 3 2 3" xfId="48252"/>
    <cellStyle name="Output 2 13 2 3 2 4" xfId="36434"/>
    <cellStyle name="Output 2 13 2 3 3" xfId="20404"/>
    <cellStyle name="Output 2 13 2 3 3 2" xfId="45926"/>
    <cellStyle name="Output 2 13 2 3 3 3" xfId="49832"/>
    <cellStyle name="Output 2 13 2 3 3 4" xfId="37844"/>
    <cellStyle name="Output 2 13 2 3 4" xfId="20548"/>
    <cellStyle name="Output 2 13 2 3 4 2" xfId="46070"/>
    <cellStyle name="Output 2 13 2 3 4 3" xfId="49976"/>
    <cellStyle name="Output 2 13 2 3 4 4" xfId="37961"/>
    <cellStyle name="Output 2 13 2 3 5" xfId="21224"/>
    <cellStyle name="Output 2 13 2 3 5 2" xfId="46746"/>
    <cellStyle name="Output 2 13 2 3 5 3" xfId="50652"/>
    <cellStyle name="Output 2 13 2 3 5 4" xfId="38616"/>
    <cellStyle name="Output 2 13 2 3 6" xfId="21877"/>
    <cellStyle name="Output 2 13 2 3 6 2" xfId="47399"/>
    <cellStyle name="Output 2 13 2 3 6 3" xfId="51305"/>
    <cellStyle name="Output 2 13 2 3 7" xfId="41202"/>
    <cellStyle name="Output 2 13 2 3 8" xfId="40056"/>
    <cellStyle name="Output 2 13 2 4" xfId="15241"/>
    <cellStyle name="Output 2 13 2 4 2" xfId="43096"/>
    <cellStyle name="Output 2 13 2 4 3" xfId="39498"/>
    <cellStyle name="Output 2 13 2 4 4" xfId="32862"/>
    <cellStyle name="Output 2 13 2 5" xfId="12041"/>
    <cellStyle name="Output 2 13 2 5 2" xfId="41776"/>
    <cellStyle name="Output 2 13 2 5 3" xfId="39538"/>
    <cellStyle name="Output 2 13 2 5 4" xfId="29706"/>
    <cellStyle name="Output 2 13 2 6" xfId="20104"/>
    <cellStyle name="Output 2 13 2 6 2" xfId="45626"/>
    <cellStyle name="Output 2 13 2 6 3" xfId="49532"/>
    <cellStyle name="Output 2 13 2 6 4" xfId="37577"/>
    <cellStyle name="Output 2 13 2 7" xfId="20188"/>
    <cellStyle name="Output 2 13 2 7 2" xfId="45710"/>
    <cellStyle name="Output 2 13 2 7 3" xfId="49616"/>
    <cellStyle name="Output 2 13 2 7 4" xfId="37656"/>
    <cellStyle name="Output 2 13 2 8" xfId="11623"/>
    <cellStyle name="Output 2 13 2 8 2" xfId="41614"/>
    <cellStyle name="Output 2 13 2 8 3" xfId="39138"/>
    <cellStyle name="Output 2 13 2 9" xfId="39956"/>
    <cellStyle name="Output 2 13 3" xfId="12093"/>
    <cellStyle name="Output 2 13 3 2" xfId="41818"/>
    <cellStyle name="Output 2 13 3 3" xfId="39103"/>
    <cellStyle name="Output 2 13 3 4" xfId="29752"/>
    <cellStyle name="Output 2 13 3 5" xfId="53371"/>
    <cellStyle name="Output 2 13 4" xfId="11599"/>
    <cellStyle name="Output 2 13 4 2" xfId="41590"/>
    <cellStyle name="Output 2 13 4 3" xfId="43318"/>
    <cellStyle name="Output 2 13 4 4" xfId="29288"/>
    <cellStyle name="Output 2 13 5" xfId="53265"/>
    <cellStyle name="Output 2 14" xfId="3249"/>
    <cellStyle name="Output 2 14 2" xfId="7460"/>
    <cellStyle name="Output 2 14 2 10" xfId="43508"/>
    <cellStyle name="Output 2 14 2 11" xfId="53373"/>
    <cellStyle name="Output 2 14 2 2" xfId="10730"/>
    <cellStyle name="Output 2 14 2 2 2" xfId="18517"/>
    <cellStyle name="Output 2 14 2 2 2 2" xfId="44049"/>
    <cellStyle name="Output 2 14 2 2 2 3" xfId="47958"/>
    <cellStyle name="Output 2 14 2 2 2 4" xfId="36140"/>
    <cellStyle name="Output 2 14 2 2 3" xfId="19401"/>
    <cellStyle name="Output 2 14 2 2 3 2" xfId="44923"/>
    <cellStyle name="Output 2 14 2 2 3 3" xfId="48829"/>
    <cellStyle name="Output 2 14 2 2 3 4" xfId="36952"/>
    <cellStyle name="Output 2 14 2 2 4" xfId="11631"/>
    <cellStyle name="Output 2 14 2 2 4 2" xfId="41622"/>
    <cellStyle name="Output 2 14 2 2 4 3" xfId="39320"/>
    <cellStyle name="Output 2 14 2 2 4 4" xfId="29318"/>
    <cellStyle name="Output 2 14 2 2 5" xfId="20930"/>
    <cellStyle name="Output 2 14 2 2 5 2" xfId="46452"/>
    <cellStyle name="Output 2 14 2 2 5 3" xfId="50358"/>
    <cellStyle name="Output 2 14 2 2 5 4" xfId="38322"/>
    <cellStyle name="Output 2 14 2 2 6" xfId="21583"/>
    <cellStyle name="Output 2 14 2 2 6 2" xfId="47105"/>
    <cellStyle name="Output 2 14 2 2 6 3" xfId="51011"/>
    <cellStyle name="Output 2 14 2 2 7" xfId="40908"/>
    <cellStyle name="Output 2 14 2 2 8" xfId="39674"/>
    <cellStyle name="Output 2 14 2 3" xfId="11025"/>
    <cellStyle name="Output 2 14 2 3 2" xfId="18812"/>
    <cellStyle name="Output 2 14 2 3 2 2" xfId="44344"/>
    <cellStyle name="Output 2 14 2 3 2 3" xfId="48253"/>
    <cellStyle name="Output 2 14 2 3 2 4" xfId="36435"/>
    <cellStyle name="Output 2 14 2 3 3" xfId="20405"/>
    <cellStyle name="Output 2 14 2 3 3 2" xfId="45927"/>
    <cellStyle name="Output 2 14 2 3 3 3" xfId="49833"/>
    <cellStyle name="Output 2 14 2 3 3 4" xfId="37845"/>
    <cellStyle name="Output 2 14 2 3 4" xfId="20549"/>
    <cellStyle name="Output 2 14 2 3 4 2" xfId="46071"/>
    <cellStyle name="Output 2 14 2 3 4 3" xfId="49977"/>
    <cellStyle name="Output 2 14 2 3 4 4" xfId="37962"/>
    <cellStyle name="Output 2 14 2 3 5" xfId="21225"/>
    <cellStyle name="Output 2 14 2 3 5 2" xfId="46747"/>
    <cellStyle name="Output 2 14 2 3 5 3" xfId="50653"/>
    <cellStyle name="Output 2 14 2 3 5 4" xfId="38617"/>
    <cellStyle name="Output 2 14 2 3 6" xfId="21878"/>
    <cellStyle name="Output 2 14 2 3 6 2" xfId="47400"/>
    <cellStyle name="Output 2 14 2 3 6 3" xfId="51306"/>
    <cellStyle name="Output 2 14 2 3 7" xfId="41203"/>
    <cellStyle name="Output 2 14 2 3 8" xfId="42803"/>
    <cellStyle name="Output 2 14 2 4" xfId="15242"/>
    <cellStyle name="Output 2 14 2 4 2" xfId="43097"/>
    <cellStyle name="Output 2 14 2 4 3" xfId="42508"/>
    <cellStyle name="Output 2 14 2 4 4" xfId="32863"/>
    <cellStyle name="Output 2 14 2 5" xfId="19648"/>
    <cellStyle name="Output 2 14 2 5 2" xfId="45170"/>
    <cellStyle name="Output 2 14 2 5 3" xfId="49076"/>
    <cellStyle name="Output 2 14 2 5 4" xfId="37168"/>
    <cellStyle name="Output 2 14 2 6" xfId="12983"/>
    <cellStyle name="Output 2 14 2 6 2" xfId="42235"/>
    <cellStyle name="Output 2 14 2 6 3" xfId="40414"/>
    <cellStyle name="Output 2 14 2 6 4" xfId="30618"/>
    <cellStyle name="Output 2 14 2 7" xfId="20472"/>
    <cellStyle name="Output 2 14 2 7 2" xfId="45994"/>
    <cellStyle name="Output 2 14 2 7 3" xfId="49900"/>
    <cellStyle name="Output 2 14 2 7 4" xfId="37908"/>
    <cellStyle name="Output 2 14 2 8" xfId="19495"/>
    <cellStyle name="Output 2 14 2 8 2" xfId="45017"/>
    <cellStyle name="Output 2 14 2 8 3" xfId="48923"/>
    <cellStyle name="Output 2 14 2 9" xfId="39957"/>
    <cellStyle name="Output 2 14 3" xfId="12094"/>
    <cellStyle name="Output 2 14 3 2" xfId="41819"/>
    <cellStyle name="Output 2 14 3 3" xfId="39102"/>
    <cellStyle name="Output 2 14 3 4" xfId="29753"/>
    <cellStyle name="Output 2 14 4" xfId="19671"/>
    <cellStyle name="Output 2 14 4 2" xfId="45193"/>
    <cellStyle name="Output 2 14 4 3" xfId="49099"/>
    <cellStyle name="Output 2 14 4 4" xfId="37189"/>
    <cellStyle name="Output 2 14 5" xfId="53267"/>
    <cellStyle name="Output 2 15" xfId="5308"/>
    <cellStyle name="Output 2 15 2" xfId="7461"/>
    <cellStyle name="Output 2 15 2 10" xfId="40371"/>
    <cellStyle name="Output 2 15 2 2" xfId="10731"/>
    <cellStyle name="Output 2 15 2 2 2" xfId="18518"/>
    <cellStyle name="Output 2 15 2 2 2 2" xfId="44050"/>
    <cellStyle name="Output 2 15 2 2 2 3" xfId="47959"/>
    <cellStyle name="Output 2 15 2 2 2 4" xfId="36141"/>
    <cellStyle name="Output 2 15 2 2 3" xfId="20008"/>
    <cellStyle name="Output 2 15 2 2 3 2" xfId="45530"/>
    <cellStyle name="Output 2 15 2 2 3 3" xfId="49436"/>
    <cellStyle name="Output 2 15 2 2 3 4" xfId="37492"/>
    <cellStyle name="Output 2 15 2 2 4" xfId="12890"/>
    <cellStyle name="Output 2 15 2 2 4 2" xfId="42226"/>
    <cellStyle name="Output 2 15 2 2 4 3" xfId="40416"/>
    <cellStyle name="Output 2 15 2 2 4 4" xfId="30526"/>
    <cellStyle name="Output 2 15 2 2 5" xfId="20931"/>
    <cellStyle name="Output 2 15 2 2 5 2" xfId="46453"/>
    <cellStyle name="Output 2 15 2 2 5 3" xfId="50359"/>
    <cellStyle name="Output 2 15 2 2 5 4" xfId="38323"/>
    <cellStyle name="Output 2 15 2 2 6" xfId="21584"/>
    <cellStyle name="Output 2 15 2 2 6 2" xfId="47106"/>
    <cellStyle name="Output 2 15 2 2 6 3" xfId="51012"/>
    <cellStyle name="Output 2 15 2 2 7" xfId="40909"/>
    <cellStyle name="Output 2 15 2 2 8" xfId="42711"/>
    <cellStyle name="Output 2 15 2 3" xfId="11026"/>
    <cellStyle name="Output 2 15 2 3 2" xfId="18813"/>
    <cellStyle name="Output 2 15 2 3 2 2" xfId="44345"/>
    <cellStyle name="Output 2 15 2 3 2 3" xfId="48254"/>
    <cellStyle name="Output 2 15 2 3 2 4" xfId="36436"/>
    <cellStyle name="Output 2 15 2 3 3" xfId="20406"/>
    <cellStyle name="Output 2 15 2 3 3 2" xfId="45928"/>
    <cellStyle name="Output 2 15 2 3 3 3" xfId="49834"/>
    <cellStyle name="Output 2 15 2 3 3 4" xfId="37846"/>
    <cellStyle name="Output 2 15 2 3 4" xfId="20550"/>
    <cellStyle name="Output 2 15 2 3 4 2" xfId="46072"/>
    <cellStyle name="Output 2 15 2 3 4 3" xfId="49978"/>
    <cellStyle name="Output 2 15 2 3 4 4" xfId="37963"/>
    <cellStyle name="Output 2 15 2 3 5" xfId="21226"/>
    <cellStyle name="Output 2 15 2 3 5 2" xfId="46748"/>
    <cellStyle name="Output 2 15 2 3 5 3" xfId="50654"/>
    <cellStyle name="Output 2 15 2 3 5 4" xfId="38618"/>
    <cellStyle name="Output 2 15 2 3 6" xfId="21879"/>
    <cellStyle name="Output 2 15 2 3 6 2" xfId="47401"/>
    <cellStyle name="Output 2 15 2 3 6 3" xfId="51307"/>
    <cellStyle name="Output 2 15 2 3 7" xfId="41204"/>
    <cellStyle name="Output 2 15 2 3 8" xfId="43692"/>
    <cellStyle name="Output 2 15 2 4" xfId="15243"/>
    <cellStyle name="Output 2 15 2 4 2" xfId="43098"/>
    <cellStyle name="Output 2 15 2 4 3" xfId="43419"/>
    <cellStyle name="Output 2 15 2 4 4" xfId="32864"/>
    <cellStyle name="Output 2 15 2 5" xfId="20207"/>
    <cellStyle name="Output 2 15 2 5 2" xfId="45729"/>
    <cellStyle name="Output 2 15 2 5 3" xfId="49635"/>
    <cellStyle name="Output 2 15 2 5 4" xfId="37670"/>
    <cellStyle name="Output 2 15 2 6" xfId="20463"/>
    <cellStyle name="Output 2 15 2 6 2" xfId="45985"/>
    <cellStyle name="Output 2 15 2 6 3" xfId="49891"/>
    <cellStyle name="Output 2 15 2 6 4" xfId="37902"/>
    <cellStyle name="Output 2 15 2 7" xfId="12023"/>
    <cellStyle name="Output 2 15 2 7 2" xfId="41760"/>
    <cellStyle name="Output 2 15 2 7 3" xfId="40173"/>
    <cellStyle name="Output 2 15 2 7 4" xfId="29689"/>
    <cellStyle name="Output 2 15 2 8" xfId="19771"/>
    <cellStyle name="Output 2 15 2 8 2" xfId="45293"/>
    <cellStyle name="Output 2 15 2 8 3" xfId="49199"/>
    <cellStyle name="Output 2 15 2 9" xfId="39958"/>
    <cellStyle name="Output 2 15 3" xfId="13269"/>
    <cellStyle name="Output 2 15 3 2" xfId="42420"/>
    <cellStyle name="Output 2 15 3 3" xfId="43164"/>
    <cellStyle name="Output 2 15 3 4" xfId="30900"/>
    <cellStyle name="Output 2 15 4" xfId="20300"/>
    <cellStyle name="Output 2 15 4 2" xfId="45822"/>
    <cellStyle name="Output 2 15 4 3" xfId="49728"/>
    <cellStyle name="Output 2 15 4 4" xfId="37751"/>
    <cellStyle name="Output 2 15 5" xfId="53364"/>
    <cellStyle name="Output 2 16" xfId="5309"/>
    <cellStyle name="Output 2 16 2" xfId="7462"/>
    <cellStyle name="Output 2 16 2 10" xfId="39483"/>
    <cellStyle name="Output 2 16 2 2" xfId="10732"/>
    <cellStyle name="Output 2 16 2 2 2" xfId="18519"/>
    <cellStyle name="Output 2 16 2 2 2 2" xfId="44051"/>
    <cellStyle name="Output 2 16 2 2 2 3" xfId="47960"/>
    <cellStyle name="Output 2 16 2 2 2 4" xfId="36142"/>
    <cellStyle name="Output 2 16 2 2 3" xfId="19274"/>
    <cellStyle name="Output 2 16 2 2 3 2" xfId="44796"/>
    <cellStyle name="Output 2 16 2 2 3 3" xfId="48702"/>
    <cellStyle name="Output 2 16 2 2 3 4" xfId="36838"/>
    <cellStyle name="Output 2 16 2 2 4" xfId="11568"/>
    <cellStyle name="Output 2 16 2 2 4 2" xfId="41559"/>
    <cellStyle name="Output 2 16 2 2 4 3" xfId="39649"/>
    <cellStyle name="Output 2 16 2 2 4 4" xfId="29265"/>
    <cellStyle name="Output 2 16 2 2 5" xfId="20932"/>
    <cellStyle name="Output 2 16 2 2 5 2" xfId="46454"/>
    <cellStyle name="Output 2 16 2 2 5 3" xfId="50360"/>
    <cellStyle name="Output 2 16 2 2 5 4" xfId="38324"/>
    <cellStyle name="Output 2 16 2 2 6" xfId="21585"/>
    <cellStyle name="Output 2 16 2 2 6 2" xfId="47107"/>
    <cellStyle name="Output 2 16 2 2 6 3" xfId="51013"/>
    <cellStyle name="Output 2 16 2 2 7" xfId="40910"/>
    <cellStyle name="Output 2 16 2 2 8" xfId="43600"/>
    <cellStyle name="Output 2 16 2 3" xfId="11027"/>
    <cellStyle name="Output 2 16 2 3 2" xfId="18814"/>
    <cellStyle name="Output 2 16 2 3 2 2" xfId="44346"/>
    <cellStyle name="Output 2 16 2 3 2 3" xfId="48255"/>
    <cellStyle name="Output 2 16 2 3 2 4" xfId="36437"/>
    <cellStyle name="Output 2 16 2 3 3" xfId="20407"/>
    <cellStyle name="Output 2 16 2 3 3 2" xfId="45929"/>
    <cellStyle name="Output 2 16 2 3 3 3" xfId="49835"/>
    <cellStyle name="Output 2 16 2 3 3 4" xfId="37847"/>
    <cellStyle name="Output 2 16 2 3 4" xfId="20551"/>
    <cellStyle name="Output 2 16 2 3 4 2" xfId="46073"/>
    <cellStyle name="Output 2 16 2 3 4 3" xfId="49979"/>
    <cellStyle name="Output 2 16 2 3 4 4" xfId="37964"/>
    <cellStyle name="Output 2 16 2 3 5" xfId="21227"/>
    <cellStyle name="Output 2 16 2 3 5 2" xfId="46749"/>
    <cellStyle name="Output 2 16 2 3 5 3" xfId="50655"/>
    <cellStyle name="Output 2 16 2 3 5 4" xfId="38619"/>
    <cellStyle name="Output 2 16 2 3 6" xfId="21880"/>
    <cellStyle name="Output 2 16 2 3 6 2" xfId="47402"/>
    <cellStyle name="Output 2 16 2 3 6 3" xfId="51308"/>
    <cellStyle name="Output 2 16 2 3 7" xfId="41205"/>
    <cellStyle name="Output 2 16 2 3 8" xfId="40551"/>
    <cellStyle name="Output 2 16 2 4" xfId="15244"/>
    <cellStyle name="Output 2 16 2 4 2" xfId="43099"/>
    <cellStyle name="Output 2 16 2 4 3" xfId="40281"/>
    <cellStyle name="Output 2 16 2 4 4" xfId="32865"/>
    <cellStyle name="Output 2 16 2 5" xfId="19475"/>
    <cellStyle name="Output 2 16 2 5 2" xfId="44997"/>
    <cellStyle name="Output 2 16 2 5 3" xfId="48903"/>
    <cellStyle name="Output 2 16 2 5 4" xfId="37017"/>
    <cellStyle name="Output 2 16 2 6" xfId="13900"/>
    <cellStyle name="Output 2 16 2 6 2" xfId="42616"/>
    <cellStyle name="Output 2 16 2 6 3" xfId="41932"/>
    <cellStyle name="Output 2 16 2 6 4" xfId="31524"/>
    <cellStyle name="Output 2 16 2 7" xfId="20460"/>
    <cellStyle name="Output 2 16 2 7 2" xfId="45982"/>
    <cellStyle name="Output 2 16 2 7 3" xfId="49888"/>
    <cellStyle name="Output 2 16 2 7 4" xfId="37899"/>
    <cellStyle name="Output 2 16 2 8" xfId="19919"/>
    <cellStyle name="Output 2 16 2 8 2" xfId="45441"/>
    <cellStyle name="Output 2 16 2 8 3" xfId="49347"/>
    <cellStyle name="Output 2 16 2 9" xfId="39959"/>
    <cellStyle name="Output 2 16 3" xfId="13270"/>
    <cellStyle name="Output 2 16 3 2" xfId="42421"/>
    <cellStyle name="Output 2 16 3 3" xfId="40023"/>
    <cellStyle name="Output 2 16 3 4" xfId="30901"/>
    <cellStyle name="Output 2 16 4" xfId="19511"/>
    <cellStyle name="Output 2 16 4 2" xfId="45033"/>
    <cellStyle name="Output 2 16 4 3" xfId="48939"/>
    <cellStyle name="Output 2 16 4 4" xfId="37045"/>
    <cellStyle name="Output 2 17" xfId="5310"/>
    <cellStyle name="Output 2 17 2" xfId="10470"/>
    <cellStyle name="Output 2 17 2 2" xfId="18257"/>
    <cellStyle name="Output 2 17 2 2 2" xfId="43789"/>
    <cellStyle name="Output 2 17 2 2 3" xfId="47698"/>
    <cellStyle name="Output 2 17 2 2 4" xfId="35880"/>
    <cellStyle name="Output 2 17 2 3" xfId="20032"/>
    <cellStyle name="Output 2 17 2 3 2" xfId="45554"/>
    <cellStyle name="Output 2 17 2 3 3" xfId="49460"/>
    <cellStyle name="Output 2 17 2 3 4" xfId="37516"/>
    <cellStyle name="Output 2 17 2 4" xfId="19494"/>
    <cellStyle name="Output 2 17 2 4 2" xfId="45016"/>
    <cellStyle name="Output 2 17 2 4 3" xfId="48922"/>
    <cellStyle name="Output 2 17 2 4 4" xfId="37029"/>
    <cellStyle name="Output 2 17 2 5" xfId="20670"/>
    <cellStyle name="Output 2 17 2 5 2" xfId="46192"/>
    <cellStyle name="Output 2 17 2 5 3" xfId="50098"/>
    <cellStyle name="Output 2 17 2 5 4" xfId="38062"/>
    <cellStyle name="Output 2 17 2 6" xfId="21323"/>
    <cellStyle name="Output 2 17 2 6 2" xfId="46845"/>
    <cellStyle name="Output 2 17 2 6 3" xfId="50751"/>
    <cellStyle name="Output 2 17 2 7" xfId="40648"/>
    <cellStyle name="Output 2 17 2 8" xfId="43373"/>
    <cellStyle name="Output 2 17 3" xfId="8796"/>
    <cellStyle name="Output 2 17 3 2" xfId="16586"/>
    <cellStyle name="Output 2 17 3 2 2" xfId="43411"/>
    <cellStyle name="Output 2 17 3 2 3" xfId="43631"/>
    <cellStyle name="Output 2 17 3 2 4" xfId="34207"/>
    <cellStyle name="Output 2 17 3 3" xfId="19632"/>
    <cellStyle name="Output 2 17 3 3 2" xfId="45154"/>
    <cellStyle name="Output 2 17 3 3 3" xfId="49060"/>
    <cellStyle name="Output 2 17 3 3 4" xfId="37154"/>
    <cellStyle name="Output 2 17 3 4" xfId="11417"/>
    <cellStyle name="Output 2 17 3 4 2" xfId="41422"/>
    <cellStyle name="Output 2 17 3 4 3" xfId="39147"/>
    <cellStyle name="Output 2 17 3 4 4" xfId="29125"/>
    <cellStyle name="Output 2 17 3 5" xfId="19013"/>
    <cellStyle name="Output 2 17 3 5 2" xfId="44535"/>
    <cellStyle name="Output 2 17 3 5 3" xfId="48441"/>
    <cellStyle name="Output 2 17 3 5 4" xfId="36607"/>
    <cellStyle name="Output 2 17 3 6" xfId="20514"/>
    <cellStyle name="Output 2 17 3 6 2" xfId="46036"/>
    <cellStyle name="Output 2 17 3 6 3" xfId="49942"/>
    <cellStyle name="Output 2 17 3 7" xfId="40273"/>
    <cellStyle name="Output 2 17 3 8" xfId="39186"/>
    <cellStyle name="Output 2 17 4" xfId="13271"/>
    <cellStyle name="Output 2 17 4 2" xfId="42422"/>
    <cellStyle name="Output 2 17 4 3" xfId="42766"/>
    <cellStyle name="Output 2 17 4 4" xfId="30902"/>
    <cellStyle name="Output 2 17 5" xfId="12730"/>
    <cellStyle name="Output 2 17 5 2" xfId="42164"/>
    <cellStyle name="Output 2 17 5 3" xfId="40160"/>
    <cellStyle name="Output 2 17 5 4" xfId="30374"/>
    <cellStyle name="Output 2 18" xfId="7455"/>
    <cellStyle name="Output 2 18 10" xfId="43619"/>
    <cellStyle name="Output 2 18 2" xfId="10725"/>
    <cellStyle name="Output 2 18 2 2" xfId="18512"/>
    <cellStyle name="Output 2 18 2 2 2" xfId="44044"/>
    <cellStyle name="Output 2 18 2 2 3" xfId="47953"/>
    <cellStyle name="Output 2 18 2 2 4" xfId="36135"/>
    <cellStyle name="Output 2 18 2 3" xfId="19884"/>
    <cellStyle name="Output 2 18 2 3 2" xfId="45406"/>
    <cellStyle name="Output 2 18 2 3 3" xfId="49312"/>
    <cellStyle name="Output 2 18 2 3 4" xfId="37384"/>
    <cellStyle name="Output 2 18 2 4" xfId="12921"/>
    <cellStyle name="Output 2 18 2 4 2" xfId="42228"/>
    <cellStyle name="Output 2 18 2 4 3" xfId="40156"/>
    <cellStyle name="Output 2 18 2 4 4" xfId="30557"/>
    <cellStyle name="Output 2 18 2 5" xfId="20925"/>
    <cellStyle name="Output 2 18 2 5 2" xfId="46447"/>
    <cellStyle name="Output 2 18 2 5 3" xfId="50353"/>
    <cellStyle name="Output 2 18 2 5 4" xfId="38317"/>
    <cellStyle name="Output 2 18 2 6" xfId="21578"/>
    <cellStyle name="Output 2 18 2 6 2" xfId="47100"/>
    <cellStyle name="Output 2 18 2 6 3" xfId="51006"/>
    <cellStyle name="Output 2 18 2 7" xfId="40903"/>
    <cellStyle name="Output 2 18 2 8" xfId="43208"/>
    <cellStyle name="Output 2 18 3" xfId="11020"/>
    <cellStyle name="Output 2 18 3 2" xfId="18807"/>
    <cellStyle name="Output 2 18 3 2 2" xfId="44339"/>
    <cellStyle name="Output 2 18 3 2 3" xfId="48248"/>
    <cellStyle name="Output 2 18 3 2 4" xfId="36430"/>
    <cellStyle name="Output 2 18 3 3" xfId="20400"/>
    <cellStyle name="Output 2 18 3 3 2" xfId="45922"/>
    <cellStyle name="Output 2 18 3 3 3" xfId="49828"/>
    <cellStyle name="Output 2 18 3 3 4" xfId="37840"/>
    <cellStyle name="Output 2 18 3 4" xfId="20544"/>
    <cellStyle name="Output 2 18 3 4 2" xfId="46066"/>
    <cellStyle name="Output 2 18 3 4 3" xfId="49972"/>
    <cellStyle name="Output 2 18 3 4 4" xfId="37957"/>
    <cellStyle name="Output 2 18 3 5" xfId="21220"/>
    <cellStyle name="Output 2 18 3 5 2" xfId="46742"/>
    <cellStyle name="Output 2 18 3 5 3" xfId="50648"/>
    <cellStyle name="Output 2 18 3 5 4" xfId="38612"/>
    <cellStyle name="Output 2 18 3 6" xfId="21873"/>
    <cellStyle name="Output 2 18 3 6 2" xfId="47395"/>
    <cellStyle name="Output 2 18 3 6 3" xfId="51301"/>
    <cellStyle name="Output 2 18 3 7" xfId="41198"/>
    <cellStyle name="Output 2 18 3 8" xfId="40200"/>
    <cellStyle name="Output 2 18 4" xfId="15237"/>
    <cellStyle name="Output 2 18 4 2" xfId="43092"/>
    <cellStyle name="Output 2 18 4 3" xfId="39603"/>
    <cellStyle name="Output 2 18 4 4" xfId="32858"/>
    <cellStyle name="Output 2 18 5" xfId="19948"/>
    <cellStyle name="Output 2 18 5 2" xfId="45470"/>
    <cellStyle name="Output 2 18 5 3" xfId="49376"/>
    <cellStyle name="Output 2 18 5 4" xfId="37439"/>
    <cellStyle name="Output 2 18 6" xfId="19334"/>
    <cellStyle name="Output 2 18 6 2" xfId="44856"/>
    <cellStyle name="Output 2 18 6 3" xfId="48762"/>
    <cellStyle name="Output 2 18 6 4" xfId="36892"/>
    <cellStyle name="Output 2 18 7" xfId="19083"/>
    <cellStyle name="Output 2 18 7 2" xfId="44605"/>
    <cellStyle name="Output 2 18 7 3" xfId="48511"/>
    <cellStyle name="Output 2 18 7 4" xfId="36665"/>
    <cellStyle name="Output 2 18 8" xfId="20201"/>
    <cellStyle name="Output 2 18 8 2" xfId="45723"/>
    <cellStyle name="Output 2 18 8 3" xfId="49629"/>
    <cellStyle name="Output 2 18 9" xfId="39952"/>
    <cellStyle name="Output 2 19" xfId="12089"/>
    <cellStyle name="Output 2 19 2" xfId="41814"/>
    <cellStyle name="Output 2 19 3" xfId="39107"/>
    <cellStyle name="Output 2 19 4" xfId="29748"/>
    <cellStyle name="Output 2 2" xfId="3250"/>
    <cellStyle name="Output 2 2 2" xfId="3251"/>
    <cellStyle name="Output 2 2 2 2" xfId="7464"/>
    <cellStyle name="Output 2 2 2 2 10" xfId="42158"/>
    <cellStyle name="Output 2 2 2 2 11" xfId="53270"/>
    <cellStyle name="Output 2 2 2 2 2" xfId="10734"/>
    <cellStyle name="Output 2 2 2 2 2 2" xfId="18521"/>
    <cellStyle name="Output 2 2 2 2 2 2 2" xfId="44053"/>
    <cellStyle name="Output 2 2 2 2 2 2 3" xfId="47962"/>
    <cellStyle name="Output 2 2 2 2 2 2 4" xfId="36144"/>
    <cellStyle name="Output 2 2 2 2 2 3" xfId="19106"/>
    <cellStyle name="Output 2 2 2 2 2 3 2" xfId="44628"/>
    <cellStyle name="Output 2 2 2 2 2 3 3" xfId="48534"/>
    <cellStyle name="Output 2 2 2 2 2 3 4" xfId="36687"/>
    <cellStyle name="Output 2 2 2 2 2 4" xfId="20113"/>
    <cellStyle name="Output 2 2 2 2 2 4 2" xfId="45635"/>
    <cellStyle name="Output 2 2 2 2 2 4 3" xfId="49541"/>
    <cellStyle name="Output 2 2 2 2 2 4 4" xfId="37585"/>
    <cellStyle name="Output 2 2 2 2 2 5" xfId="20934"/>
    <cellStyle name="Output 2 2 2 2 2 5 2" xfId="46456"/>
    <cellStyle name="Output 2 2 2 2 2 5 3" xfId="50362"/>
    <cellStyle name="Output 2 2 2 2 2 5 4" xfId="38326"/>
    <cellStyle name="Output 2 2 2 2 2 6" xfId="21587"/>
    <cellStyle name="Output 2 2 2 2 2 6 2" xfId="47109"/>
    <cellStyle name="Output 2 2 2 2 2 6 3" xfId="51015"/>
    <cellStyle name="Output 2 2 2 2 2 7" xfId="40912"/>
    <cellStyle name="Output 2 2 2 2 2 8" xfId="39568"/>
    <cellStyle name="Output 2 2 2 2 2 9" xfId="53376"/>
    <cellStyle name="Output 2 2 2 2 3" xfId="11029"/>
    <cellStyle name="Output 2 2 2 2 3 2" xfId="18816"/>
    <cellStyle name="Output 2 2 2 2 3 2 2" xfId="44348"/>
    <cellStyle name="Output 2 2 2 2 3 2 3" xfId="48257"/>
    <cellStyle name="Output 2 2 2 2 3 2 4" xfId="36439"/>
    <cellStyle name="Output 2 2 2 2 3 3" xfId="20409"/>
    <cellStyle name="Output 2 2 2 2 3 3 2" xfId="45931"/>
    <cellStyle name="Output 2 2 2 2 3 3 3" xfId="49837"/>
    <cellStyle name="Output 2 2 2 2 3 3 4" xfId="37849"/>
    <cellStyle name="Output 2 2 2 2 3 4" xfId="20553"/>
    <cellStyle name="Output 2 2 2 2 3 4 2" xfId="46075"/>
    <cellStyle name="Output 2 2 2 2 3 4 3" xfId="49981"/>
    <cellStyle name="Output 2 2 2 2 3 4 4" xfId="37966"/>
    <cellStyle name="Output 2 2 2 2 3 5" xfId="21229"/>
    <cellStyle name="Output 2 2 2 2 3 5 2" xfId="46751"/>
    <cellStyle name="Output 2 2 2 2 3 5 3" xfId="50657"/>
    <cellStyle name="Output 2 2 2 2 3 5 4" xfId="38621"/>
    <cellStyle name="Output 2 2 2 2 3 6" xfId="21882"/>
    <cellStyle name="Output 2 2 2 2 3 6 2" xfId="47404"/>
    <cellStyle name="Output 2 2 2 2 3 6 3" xfId="51310"/>
    <cellStyle name="Output 2 2 2 2 3 7" xfId="41207"/>
    <cellStyle name="Output 2 2 2 2 3 8" xfId="42699"/>
    <cellStyle name="Output 2 2 2 2 4" xfId="15246"/>
    <cellStyle name="Output 2 2 2 2 4 2" xfId="43101"/>
    <cellStyle name="Output 2 2 2 2 4 3" xfId="39237"/>
    <cellStyle name="Output 2 2 2 2 4 4" xfId="32867"/>
    <cellStyle name="Output 2 2 2 2 5" xfId="19338"/>
    <cellStyle name="Output 2 2 2 2 5 2" xfId="44860"/>
    <cellStyle name="Output 2 2 2 2 5 3" xfId="48766"/>
    <cellStyle name="Output 2 2 2 2 5 4" xfId="36895"/>
    <cellStyle name="Output 2 2 2 2 6" xfId="11557"/>
    <cellStyle name="Output 2 2 2 2 6 2" xfId="41548"/>
    <cellStyle name="Output 2 2 2 2 6 3" xfId="42553"/>
    <cellStyle name="Output 2 2 2 2 6 4" xfId="29254"/>
    <cellStyle name="Output 2 2 2 2 7" xfId="19955"/>
    <cellStyle name="Output 2 2 2 2 7 2" xfId="45477"/>
    <cellStyle name="Output 2 2 2 2 7 3" xfId="49383"/>
    <cellStyle name="Output 2 2 2 2 7 4" xfId="37446"/>
    <cellStyle name="Output 2 2 2 2 8" xfId="19682"/>
    <cellStyle name="Output 2 2 2 2 8 2" xfId="45204"/>
    <cellStyle name="Output 2 2 2 2 8 3" xfId="49110"/>
    <cellStyle name="Output 2 2 2 2 9" xfId="39961"/>
    <cellStyle name="Output 2 2 2 3" xfId="12096"/>
    <cellStyle name="Output 2 2 2 3 2" xfId="41821"/>
    <cellStyle name="Output 2 2 2 3 3" xfId="39100"/>
    <cellStyle name="Output 2 2 2 3 4" xfId="29755"/>
    <cellStyle name="Output 2 2 2 3 5" xfId="53375"/>
    <cellStyle name="Output 2 2 2 4" xfId="19532"/>
    <cellStyle name="Output 2 2 2 4 2" xfId="45054"/>
    <cellStyle name="Output 2 2 2 4 3" xfId="48960"/>
    <cellStyle name="Output 2 2 2 4 4" xfId="37062"/>
    <cellStyle name="Output 2 2 2 5" xfId="53269"/>
    <cellStyle name="Output 2 2 3" xfId="3252"/>
    <cellStyle name="Output 2 2 3 2" xfId="7465"/>
    <cellStyle name="Output 2 2 3 2 10" xfId="43392"/>
    <cellStyle name="Output 2 2 3 2 11" xfId="53272"/>
    <cellStyle name="Output 2 2 3 2 2" xfId="10735"/>
    <cellStyle name="Output 2 2 3 2 2 2" xfId="18522"/>
    <cellStyle name="Output 2 2 3 2 2 2 2" xfId="44054"/>
    <cellStyle name="Output 2 2 3 2 2 2 3" xfId="47963"/>
    <cellStyle name="Output 2 2 3 2 2 2 4" xfId="36145"/>
    <cellStyle name="Output 2 2 3 2 2 3" xfId="19722"/>
    <cellStyle name="Output 2 2 3 2 2 3 2" xfId="45244"/>
    <cellStyle name="Output 2 2 3 2 2 3 3" xfId="49150"/>
    <cellStyle name="Output 2 2 3 2 2 3 4" xfId="37235"/>
    <cellStyle name="Output 2 2 3 2 2 4" xfId="11548"/>
    <cellStyle name="Output 2 2 3 2 2 4 2" xfId="41539"/>
    <cellStyle name="Output 2 2 3 2 2 4 3" xfId="40184"/>
    <cellStyle name="Output 2 2 3 2 2 4 4" xfId="29246"/>
    <cellStyle name="Output 2 2 3 2 2 5" xfId="20935"/>
    <cellStyle name="Output 2 2 3 2 2 5 2" xfId="46457"/>
    <cellStyle name="Output 2 2 3 2 2 5 3" xfId="50363"/>
    <cellStyle name="Output 2 2 3 2 2 5 4" xfId="38327"/>
    <cellStyle name="Output 2 2 3 2 2 6" xfId="21588"/>
    <cellStyle name="Output 2 2 3 2 2 6 2" xfId="47110"/>
    <cellStyle name="Output 2 2 3 2 2 6 3" xfId="51016"/>
    <cellStyle name="Output 2 2 3 2 2 7" xfId="40913"/>
    <cellStyle name="Output 2 2 3 2 2 8" xfId="42576"/>
    <cellStyle name="Output 2 2 3 2 2 9" xfId="53378"/>
    <cellStyle name="Output 2 2 3 2 3" xfId="11030"/>
    <cellStyle name="Output 2 2 3 2 3 2" xfId="18817"/>
    <cellStyle name="Output 2 2 3 2 3 2 2" xfId="44349"/>
    <cellStyle name="Output 2 2 3 2 3 2 3" xfId="48258"/>
    <cellStyle name="Output 2 2 3 2 3 2 4" xfId="36440"/>
    <cellStyle name="Output 2 2 3 2 3 3" xfId="20410"/>
    <cellStyle name="Output 2 2 3 2 3 3 2" xfId="45932"/>
    <cellStyle name="Output 2 2 3 2 3 3 3" xfId="49838"/>
    <cellStyle name="Output 2 2 3 2 3 3 4" xfId="37850"/>
    <cellStyle name="Output 2 2 3 2 3 4" xfId="20554"/>
    <cellStyle name="Output 2 2 3 2 3 4 2" xfId="46076"/>
    <cellStyle name="Output 2 2 3 2 3 4 3" xfId="49982"/>
    <cellStyle name="Output 2 2 3 2 3 4 4" xfId="37967"/>
    <cellStyle name="Output 2 2 3 2 3 5" xfId="21230"/>
    <cellStyle name="Output 2 2 3 2 3 5 2" xfId="46752"/>
    <cellStyle name="Output 2 2 3 2 3 5 3" xfId="50658"/>
    <cellStyle name="Output 2 2 3 2 3 5 4" xfId="38622"/>
    <cellStyle name="Output 2 2 3 2 3 6" xfId="21883"/>
    <cellStyle name="Output 2 2 3 2 3 6 2" xfId="47405"/>
    <cellStyle name="Output 2 2 3 2 3 6 3" xfId="51311"/>
    <cellStyle name="Output 2 2 3 2 3 7" xfId="41208"/>
    <cellStyle name="Output 2 2 3 2 3 8" xfId="43588"/>
    <cellStyle name="Output 2 2 3 2 4" xfId="15247"/>
    <cellStyle name="Output 2 2 3 2 4 2" xfId="43102"/>
    <cellStyle name="Output 2 2 3 2 4 3" xfId="41256"/>
    <cellStyle name="Output 2 2 3 2 4 4" xfId="32868"/>
    <cellStyle name="Output 2 2 3 2 5" xfId="19947"/>
    <cellStyle name="Output 2 2 3 2 5 2" xfId="45469"/>
    <cellStyle name="Output 2 2 3 2 5 3" xfId="49375"/>
    <cellStyle name="Output 2 2 3 2 5 4" xfId="37438"/>
    <cellStyle name="Output 2 2 3 2 6" xfId="20376"/>
    <cellStyle name="Output 2 2 3 2 6 2" xfId="45898"/>
    <cellStyle name="Output 2 2 3 2 6 3" xfId="49804"/>
    <cellStyle name="Output 2 2 3 2 6 4" xfId="37816"/>
    <cellStyle name="Output 2 2 3 2 7" xfId="19236"/>
    <cellStyle name="Output 2 2 3 2 7 2" xfId="44758"/>
    <cellStyle name="Output 2 2 3 2 7 3" xfId="48664"/>
    <cellStyle name="Output 2 2 3 2 7 4" xfId="36800"/>
    <cellStyle name="Output 2 2 3 2 8" xfId="12676"/>
    <cellStyle name="Output 2 2 3 2 8 2" xfId="42136"/>
    <cellStyle name="Output 2 2 3 2 8 3" xfId="43304"/>
    <cellStyle name="Output 2 2 3 2 9" xfId="39962"/>
    <cellStyle name="Output 2 2 3 3" xfId="12097"/>
    <cellStyle name="Output 2 2 3 3 2" xfId="41822"/>
    <cellStyle name="Output 2 2 3 3 3" xfId="39300"/>
    <cellStyle name="Output 2 2 3 3 4" xfId="29756"/>
    <cellStyle name="Output 2 2 3 3 5" xfId="53377"/>
    <cellStyle name="Output 2 2 3 4" xfId="20099"/>
    <cellStyle name="Output 2 2 3 4 2" xfId="45621"/>
    <cellStyle name="Output 2 2 3 4 3" xfId="49527"/>
    <cellStyle name="Output 2 2 3 4 4" xfId="37573"/>
    <cellStyle name="Output 2 2 3 5" xfId="23008"/>
    <cellStyle name="Output 2 2 3 5 2" xfId="47600"/>
    <cellStyle name="Output 2 2 3 5 3" xfId="51411"/>
    <cellStyle name="Output 2 2 3 6" xfId="53271"/>
    <cellStyle name="Output 2 2 4" xfId="5311"/>
    <cellStyle name="Output 2 2 4 2" xfId="7466"/>
    <cellStyle name="Output 2 2 4 2 10" xfId="40254"/>
    <cellStyle name="Output 2 2 4 2 11" xfId="53274"/>
    <cellStyle name="Output 2 2 4 2 2" xfId="10736"/>
    <cellStyle name="Output 2 2 4 2 2 2" xfId="18523"/>
    <cellStyle name="Output 2 2 4 2 2 2 2" xfId="44055"/>
    <cellStyle name="Output 2 2 4 2 2 2 3" xfId="47964"/>
    <cellStyle name="Output 2 2 4 2 2 2 4" xfId="36146"/>
    <cellStyle name="Output 2 2 4 2 2 3" xfId="12624"/>
    <cellStyle name="Output 2 2 4 2 2 3 2" xfId="42084"/>
    <cellStyle name="Output 2 2 4 2 2 3 3" xfId="43560"/>
    <cellStyle name="Output 2 2 4 2 2 3 4" xfId="30275"/>
    <cellStyle name="Output 2 2 4 2 2 4" xfId="18969"/>
    <cellStyle name="Output 2 2 4 2 2 4 2" xfId="44491"/>
    <cellStyle name="Output 2 2 4 2 2 4 3" xfId="48397"/>
    <cellStyle name="Output 2 2 4 2 2 4 4" xfId="36579"/>
    <cellStyle name="Output 2 2 4 2 2 5" xfId="20936"/>
    <cellStyle name="Output 2 2 4 2 2 5 2" xfId="46458"/>
    <cellStyle name="Output 2 2 4 2 2 5 3" xfId="50364"/>
    <cellStyle name="Output 2 2 4 2 2 5 4" xfId="38328"/>
    <cellStyle name="Output 2 2 4 2 2 6" xfId="21589"/>
    <cellStyle name="Output 2 2 4 2 2 6 2" xfId="47111"/>
    <cellStyle name="Output 2 2 4 2 2 6 3" xfId="51017"/>
    <cellStyle name="Output 2 2 4 2 2 7" xfId="40914"/>
    <cellStyle name="Output 2 2 4 2 2 8" xfId="43489"/>
    <cellStyle name="Output 2 2 4 2 2 9" xfId="53380"/>
    <cellStyle name="Output 2 2 4 2 3" xfId="11031"/>
    <cellStyle name="Output 2 2 4 2 3 2" xfId="18818"/>
    <cellStyle name="Output 2 2 4 2 3 2 2" xfId="44350"/>
    <cellStyle name="Output 2 2 4 2 3 2 3" xfId="48259"/>
    <cellStyle name="Output 2 2 4 2 3 2 4" xfId="36441"/>
    <cellStyle name="Output 2 2 4 2 3 3" xfId="20411"/>
    <cellStyle name="Output 2 2 4 2 3 3 2" xfId="45933"/>
    <cellStyle name="Output 2 2 4 2 3 3 3" xfId="49839"/>
    <cellStyle name="Output 2 2 4 2 3 3 4" xfId="37851"/>
    <cellStyle name="Output 2 2 4 2 3 4" xfId="20555"/>
    <cellStyle name="Output 2 2 4 2 3 4 2" xfId="46077"/>
    <cellStyle name="Output 2 2 4 2 3 4 3" xfId="49983"/>
    <cellStyle name="Output 2 2 4 2 3 4 4" xfId="37968"/>
    <cellStyle name="Output 2 2 4 2 3 5" xfId="21231"/>
    <cellStyle name="Output 2 2 4 2 3 5 2" xfId="46753"/>
    <cellStyle name="Output 2 2 4 2 3 5 3" xfId="50659"/>
    <cellStyle name="Output 2 2 4 2 3 5 4" xfId="38623"/>
    <cellStyle name="Output 2 2 4 2 3 6" xfId="21884"/>
    <cellStyle name="Output 2 2 4 2 3 6 2" xfId="47406"/>
    <cellStyle name="Output 2 2 4 2 3 6 3" xfId="51312"/>
    <cellStyle name="Output 2 2 4 2 3 7" xfId="41209"/>
    <cellStyle name="Output 2 2 4 2 3 8" xfId="40446"/>
    <cellStyle name="Output 2 2 4 2 4" xfId="15248"/>
    <cellStyle name="Output 2 2 4 2 4 2" xfId="43103"/>
    <cellStyle name="Output 2 2 4 2 4 3" xfId="43149"/>
    <cellStyle name="Output 2 2 4 2 4 4" xfId="32869"/>
    <cellStyle name="Output 2 2 4 2 5" xfId="19180"/>
    <cellStyle name="Output 2 2 4 2 5 2" xfId="44702"/>
    <cellStyle name="Output 2 2 4 2 5 3" xfId="48608"/>
    <cellStyle name="Output 2 2 4 2 5 4" xfId="36753"/>
    <cellStyle name="Output 2 2 4 2 6" xfId="12662"/>
    <cellStyle name="Output 2 2 4 2 6 2" xfId="42122"/>
    <cellStyle name="Output 2 2 4 2 6 3" xfId="39630"/>
    <cellStyle name="Output 2 2 4 2 6 4" xfId="30312"/>
    <cellStyle name="Output 2 2 4 2 7" xfId="11683"/>
    <cellStyle name="Output 2 2 4 2 7 2" xfId="41670"/>
    <cellStyle name="Output 2 2 4 2 7 3" xfId="40532"/>
    <cellStyle name="Output 2 2 4 2 7 4" xfId="29362"/>
    <cellStyle name="Output 2 2 4 2 8" xfId="11708"/>
    <cellStyle name="Output 2 2 4 2 8 2" xfId="41682"/>
    <cellStyle name="Output 2 2 4 2 8 3" xfId="43567"/>
    <cellStyle name="Output 2 2 4 2 9" xfId="39963"/>
    <cellStyle name="Output 2 2 4 3" xfId="13272"/>
    <cellStyle name="Output 2 2 4 3 2" xfId="42423"/>
    <cellStyle name="Output 2 2 4 3 3" xfId="43653"/>
    <cellStyle name="Output 2 2 4 3 4" xfId="30903"/>
    <cellStyle name="Output 2 2 4 3 5" xfId="53379"/>
    <cellStyle name="Output 2 2 4 4" xfId="11725"/>
    <cellStyle name="Output 2 2 4 4 2" xfId="41691"/>
    <cellStyle name="Output 2 2 4 4 3" xfId="42785"/>
    <cellStyle name="Output 2 2 4 4 4" xfId="29398"/>
    <cellStyle name="Output 2 2 4 5" xfId="22605"/>
    <cellStyle name="Output 2 2 4 5 2" xfId="47532"/>
    <cellStyle name="Output 2 2 4 5 3" xfId="51381"/>
    <cellStyle name="Output 2 2 4 6" xfId="53273"/>
    <cellStyle name="Output 2 2 5" xfId="5312"/>
    <cellStyle name="Output 2 2 5 2" xfId="10471"/>
    <cellStyle name="Output 2 2 5 2 2" xfId="18258"/>
    <cellStyle name="Output 2 2 5 2 2 2" xfId="43790"/>
    <cellStyle name="Output 2 2 5 2 2 3" xfId="47699"/>
    <cellStyle name="Output 2 2 5 2 2 4" xfId="35881"/>
    <cellStyle name="Output 2 2 5 2 3" xfId="19298"/>
    <cellStyle name="Output 2 2 5 2 3 2" xfId="44820"/>
    <cellStyle name="Output 2 2 5 2 3 3" xfId="48726"/>
    <cellStyle name="Output 2 2 5 2 3 4" xfId="36862"/>
    <cellStyle name="Output 2 2 5 2 4" xfId="18917"/>
    <cellStyle name="Output 2 2 5 2 4 2" xfId="44439"/>
    <cellStyle name="Output 2 2 5 2 4 3" xfId="48345"/>
    <cellStyle name="Output 2 2 5 2 4 4" xfId="36531"/>
    <cellStyle name="Output 2 2 5 2 5" xfId="20671"/>
    <cellStyle name="Output 2 2 5 2 5 2" xfId="46193"/>
    <cellStyle name="Output 2 2 5 2 5 3" xfId="50099"/>
    <cellStyle name="Output 2 2 5 2 5 4" xfId="38063"/>
    <cellStyle name="Output 2 2 5 2 6" xfId="21324"/>
    <cellStyle name="Output 2 2 5 2 6 2" xfId="46846"/>
    <cellStyle name="Output 2 2 5 2 6 3" xfId="50752"/>
    <cellStyle name="Output 2 2 5 2 7" xfId="40649"/>
    <cellStyle name="Output 2 2 5 2 8" xfId="40235"/>
    <cellStyle name="Output 2 2 5 2 9" xfId="53381"/>
    <cellStyle name="Output 2 2 5 3" xfId="8797"/>
    <cellStyle name="Output 2 2 5 3 2" xfId="16587"/>
    <cellStyle name="Output 2 2 5 3 2 2" xfId="43412"/>
    <cellStyle name="Output 2 2 5 3 2 3" xfId="40489"/>
    <cellStyle name="Output 2 2 5 3 2 4" xfId="34208"/>
    <cellStyle name="Output 2 2 5 3 3" xfId="20196"/>
    <cellStyle name="Output 2 2 5 3 3 2" xfId="45718"/>
    <cellStyle name="Output 2 2 5 3 3 3" xfId="49624"/>
    <cellStyle name="Output 2 2 5 3 3 4" xfId="37661"/>
    <cellStyle name="Output 2 2 5 3 4" xfId="20452"/>
    <cellStyle name="Output 2 2 5 3 4 2" xfId="45974"/>
    <cellStyle name="Output 2 2 5 3 4 3" xfId="49880"/>
    <cellStyle name="Output 2 2 5 3 4 4" xfId="37891"/>
    <cellStyle name="Output 2 2 5 3 5" xfId="20223"/>
    <cellStyle name="Output 2 2 5 3 5 2" xfId="45745"/>
    <cellStyle name="Output 2 2 5 3 5 3" xfId="49651"/>
    <cellStyle name="Output 2 2 5 3 5 4" xfId="37682"/>
    <cellStyle name="Output 2 2 5 3 6" xfId="20493"/>
    <cellStyle name="Output 2 2 5 3 6 2" xfId="46015"/>
    <cellStyle name="Output 2 2 5 3 6 3" xfId="49921"/>
    <cellStyle name="Output 2 2 5 3 7" xfId="40274"/>
    <cellStyle name="Output 2 2 5 3 8" xfId="39185"/>
    <cellStyle name="Output 2 2 5 4" xfId="13273"/>
    <cellStyle name="Output 2 2 5 4 2" xfId="42424"/>
    <cellStyle name="Output 2 2 5 4 3" xfId="40512"/>
    <cellStyle name="Output 2 2 5 4 4" xfId="30904"/>
    <cellStyle name="Output 2 2 5 5" xfId="20359"/>
    <cellStyle name="Output 2 2 5 5 2" xfId="45881"/>
    <cellStyle name="Output 2 2 5 5 3" xfId="49787"/>
    <cellStyle name="Output 2 2 5 5 4" xfId="37801"/>
    <cellStyle name="Output 2 2 5 6" xfId="53275"/>
    <cellStyle name="Output 2 2 6" xfId="7463"/>
    <cellStyle name="Output 2 2 6 10" xfId="47598"/>
    <cellStyle name="Output 2 2 6 11" xfId="53374"/>
    <cellStyle name="Output 2 2 6 2" xfId="10733"/>
    <cellStyle name="Output 2 2 6 2 2" xfId="18520"/>
    <cellStyle name="Output 2 2 6 2 2 2" xfId="44052"/>
    <cellStyle name="Output 2 2 6 2 2 3" xfId="47961"/>
    <cellStyle name="Output 2 2 6 2 2 4" xfId="36143"/>
    <cellStyle name="Output 2 2 6 2 3" xfId="19883"/>
    <cellStyle name="Output 2 2 6 2 3 2" xfId="45405"/>
    <cellStyle name="Output 2 2 6 2 3 3" xfId="49311"/>
    <cellStyle name="Output 2 2 6 2 3 4" xfId="37383"/>
    <cellStyle name="Output 2 2 6 2 4" xfId="11461"/>
    <cellStyle name="Output 2 2 6 2 4 2" xfId="41452"/>
    <cellStyle name="Output 2 2 6 2 4 3" xfId="39329"/>
    <cellStyle name="Output 2 2 6 2 4 4" xfId="29164"/>
    <cellStyle name="Output 2 2 6 2 5" xfId="20933"/>
    <cellStyle name="Output 2 2 6 2 5 2" xfId="46455"/>
    <cellStyle name="Output 2 2 6 2 5 3" xfId="50361"/>
    <cellStyle name="Output 2 2 6 2 5 4" xfId="38325"/>
    <cellStyle name="Output 2 2 6 2 6" xfId="21586"/>
    <cellStyle name="Output 2 2 6 2 6 2" xfId="47108"/>
    <cellStyle name="Output 2 2 6 2 6 3" xfId="51014"/>
    <cellStyle name="Output 2 2 6 2 7" xfId="40911"/>
    <cellStyle name="Output 2 2 6 2 8" xfId="40458"/>
    <cellStyle name="Output 2 2 6 3" xfId="11028"/>
    <cellStyle name="Output 2 2 6 3 2" xfId="18815"/>
    <cellStyle name="Output 2 2 6 3 2 2" xfId="44347"/>
    <cellStyle name="Output 2 2 6 3 2 3" xfId="48256"/>
    <cellStyle name="Output 2 2 6 3 2 4" xfId="36438"/>
    <cellStyle name="Output 2 2 6 3 3" xfId="20408"/>
    <cellStyle name="Output 2 2 6 3 3 2" xfId="45930"/>
    <cellStyle name="Output 2 2 6 3 3 3" xfId="49836"/>
    <cellStyle name="Output 2 2 6 3 3 4" xfId="37848"/>
    <cellStyle name="Output 2 2 6 3 4" xfId="20552"/>
    <cellStyle name="Output 2 2 6 3 4 2" xfId="46074"/>
    <cellStyle name="Output 2 2 6 3 4 3" xfId="49980"/>
    <cellStyle name="Output 2 2 6 3 4 4" xfId="37965"/>
    <cellStyle name="Output 2 2 6 3 5" xfId="21228"/>
    <cellStyle name="Output 2 2 6 3 5 2" xfId="46750"/>
    <cellStyle name="Output 2 2 6 3 5 3" xfId="50656"/>
    <cellStyle name="Output 2 2 6 3 5 4" xfId="38620"/>
    <cellStyle name="Output 2 2 6 3 6" xfId="21881"/>
    <cellStyle name="Output 2 2 6 3 6 2" xfId="47403"/>
    <cellStyle name="Output 2 2 6 3 6 3" xfId="51309"/>
    <cellStyle name="Output 2 2 6 3 7" xfId="41206"/>
    <cellStyle name="Output 2 2 6 3 8" xfId="39662"/>
    <cellStyle name="Output 2 2 6 4" xfId="15245"/>
    <cellStyle name="Output 2 2 6 4 2" xfId="43100"/>
    <cellStyle name="Output 2 2 6 4 3" xfId="39398"/>
    <cellStyle name="Output 2 2 6 4 4" xfId="32866"/>
    <cellStyle name="Output 2 2 6 5" xfId="20076"/>
    <cellStyle name="Output 2 2 6 5 2" xfId="45598"/>
    <cellStyle name="Output 2 2 6 5 3" xfId="49504"/>
    <cellStyle name="Output 2 2 6 5 4" xfId="37554"/>
    <cellStyle name="Output 2 2 6 6" xfId="19800"/>
    <cellStyle name="Output 2 2 6 6 2" xfId="45322"/>
    <cellStyle name="Output 2 2 6 6 3" xfId="49228"/>
    <cellStyle name="Output 2 2 6 6 4" xfId="37307"/>
    <cellStyle name="Output 2 2 6 7" xfId="11611"/>
    <cellStyle name="Output 2 2 6 7 2" xfId="41602"/>
    <cellStyle name="Output 2 2 6 7 3" xfId="42683"/>
    <cellStyle name="Output 2 2 6 7 4" xfId="29300"/>
    <cellStyle name="Output 2 2 6 8" xfId="19963"/>
    <cellStyle name="Output 2 2 6 8 2" xfId="45485"/>
    <cellStyle name="Output 2 2 6 8 3" xfId="49391"/>
    <cellStyle name="Output 2 2 6 9" xfId="39960"/>
    <cellStyle name="Output 2 2 7" xfId="12095"/>
    <cellStyle name="Output 2 2 7 2" xfId="41820"/>
    <cellStyle name="Output 2 2 7 3" xfId="39101"/>
    <cellStyle name="Output 2 2 7 4" xfId="29754"/>
    <cellStyle name="Output 2 2 8" xfId="20233"/>
    <cellStyle name="Output 2 2 8 2" xfId="45755"/>
    <cellStyle name="Output 2 2 8 3" xfId="49661"/>
    <cellStyle name="Output 2 2 8 4" xfId="37691"/>
    <cellStyle name="Output 2 2 9" xfId="53268"/>
    <cellStyle name="Output 2 2_Sheet1" xfId="3253"/>
    <cellStyle name="Output 2 20" xfId="19966"/>
    <cellStyle name="Output 2 20 2" xfId="45488"/>
    <cellStyle name="Output 2 20 3" xfId="49394"/>
    <cellStyle name="Output 2 20 4" xfId="37454"/>
    <cellStyle name="Output 2 21" xfId="3244"/>
    <cellStyle name="Output 2 22" xfId="52737"/>
    <cellStyle name="Output 2 23" xfId="52745"/>
    <cellStyle name="Output 2 24" xfId="52733"/>
    <cellStyle name="Output 2 25" xfId="52709"/>
    <cellStyle name="Output 2 26" xfId="52732"/>
    <cellStyle name="Output 2 27" xfId="52744"/>
    <cellStyle name="Output 2 28" xfId="52731"/>
    <cellStyle name="Output 2 29" xfId="52746"/>
    <cellStyle name="Output 2 3" xfId="3254"/>
    <cellStyle name="Output 2 3 2" xfId="7467"/>
    <cellStyle name="Output 2 3 2 10" xfId="39381"/>
    <cellStyle name="Output 2 3 2 11" xfId="53277"/>
    <cellStyle name="Output 2 3 2 2" xfId="10737"/>
    <cellStyle name="Output 2 3 2 2 2" xfId="18524"/>
    <cellStyle name="Output 2 3 2 2 2 2" xfId="44056"/>
    <cellStyle name="Output 2 3 2 2 2 3" xfId="47965"/>
    <cellStyle name="Output 2 3 2 2 2 4" xfId="36147"/>
    <cellStyle name="Output 2 3 2 2 3" xfId="13322"/>
    <cellStyle name="Output 2 3 2 2 3 2" xfId="42473"/>
    <cellStyle name="Output 2 3 2 2 3 3" xfId="39258"/>
    <cellStyle name="Output 2 3 2 2 3 4" xfId="30948"/>
    <cellStyle name="Output 2 3 2 2 4" xfId="18941"/>
    <cellStyle name="Output 2 3 2 2 4 2" xfId="44463"/>
    <cellStyle name="Output 2 3 2 2 4 3" xfId="48369"/>
    <cellStyle name="Output 2 3 2 2 4 4" xfId="36553"/>
    <cellStyle name="Output 2 3 2 2 5" xfId="20937"/>
    <cellStyle name="Output 2 3 2 2 5 2" xfId="46459"/>
    <cellStyle name="Output 2 3 2 2 5 3" xfId="50365"/>
    <cellStyle name="Output 2 3 2 2 5 4" xfId="38329"/>
    <cellStyle name="Output 2 3 2 2 6" xfId="21590"/>
    <cellStyle name="Output 2 3 2 2 6 2" xfId="47112"/>
    <cellStyle name="Output 2 3 2 2 6 3" xfId="51018"/>
    <cellStyle name="Output 2 3 2 2 7" xfId="40915"/>
    <cellStyle name="Output 2 3 2 2 8" xfId="40352"/>
    <cellStyle name="Output 2 3 2 2 9" xfId="53383"/>
    <cellStyle name="Output 2 3 2 3" xfId="11032"/>
    <cellStyle name="Output 2 3 2 3 2" xfId="18819"/>
    <cellStyle name="Output 2 3 2 3 2 2" xfId="44351"/>
    <cellStyle name="Output 2 3 2 3 2 3" xfId="48260"/>
    <cellStyle name="Output 2 3 2 3 2 4" xfId="36442"/>
    <cellStyle name="Output 2 3 2 3 3" xfId="20412"/>
    <cellStyle name="Output 2 3 2 3 3 2" xfId="45934"/>
    <cellStyle name="Output 2 3 2 3 3 3" xfId="49840"/>
    <cellStyle name="Output 2 3 2 3 3 4" xfId="37852"/>
    <cellStyle name="Output 2 3 2 3 4" xfId="20556"/>
    <cellStyle name="Output 2 3 2 3 4 2" xfId="46078"/>
    <cellStyle name="Output 2 3 2 3 4 3" xfId="49984"/>
    <cellStyle name="Output 2 3 2 3 4 4" xfId="37969"/>
    <cellStyle name="Output 2 3 2 3 5" xfId="21232"/>
    <cellStyle name="Output 2 3 2 3 5 2" xfId="46754"/>
    <cellStyle name="Output 2 3 2 3 5 3" xfId="50660"/>
    <cellStyle name="Output 2 3 2 3 5 4" xfId="38624"/>
    <cellStyle name="Output 2 3 2 3 6" xfId="21885"/>
    <cellStyle name="Output 2 3 2 3 6 2" xfId="47407"/>
    <cellStyle name="Output 2 3 2 3 6 3" xfId="51313"/>
    <cellStyle name="Output 2 3 2 3 7" xfId="41210"/>
    <cellStyle name="Output 2 3 2 3 8" xfId="39556"/>
    <cellStyle name="Output 2 3 2 4" xfId="15249"/>
    <cellStyle name="Output 2 3 2 4 2" xfId="43104"/>
    <cellStyle name="Output 2 3 2 4 3" xfId="40008"/>
    <cellStyle name="Output 2 3 2 4 4" xfId="32870"/>
    <cellStyle name="Output 2 3 2 5" xfId="19804"/>
    <cellStyle name="Output 2 3 2 5 2" xfId="45326"/>
    <cellStyle name="Output 2 3 2 5 3" xfId="49232"/>
    <cellStyle name="Output 2 3 2 5 4" xfId="37311"/>
    <cellStyle name="Output 2 3 2 6" xfId="19324"/>
    <cellStyle name="Output 2 3 2 6 2" xfId="44846"/>
    <cellStyle name="Output 2 3 2 6 3" xfId="48752"/>
    <cellStyle name="Output 2 3 2 6 4" xfId="36882"/>
    <cellStyle name="Output 2 3 2 7" xfId="19549"/>
    <cellStyle name="Output 2 3 2 7 2" xfId="45071"/>
    <cellStyle name="Output 2 3 2 7 3" xfId="48977"/>
    <cellStyle name="Output 2 3 2 7 4" xfId="37076"/>
    <cellStyle name="Output 2 3 2 8" xfId="20044"/>
    <cellStyle name="Output 2 3 2 8 2" xfId="45566"/>
    <cellStyle name="Output 2 3 2 8 3" xfId="49472"/>
    <cellStyle name="Output 2 3 2 9" xfId="39964"/>
    <cellStyle name="Output 2 3 3" xfId="12098"/>
    <cellStyle name="Output 2 3 3 2" xfId="41823"/>
    <cellStyle name="Output 2 3 3 3" xfId="39299"/>
    <cellStyle name="Output 2 3 3 4" xfId="29757"/>
    <cellStyle name="Output 2 3 3 5" xfId="53382"/>
    <cellStyle name="Output 2 3 4" xfId="19965"/>
    <cellStyle name="Output 2 3 4 2" xfId="45487"/>
    <cellStyle name="Output 2 3 4 3" xfId="49393"/>
    <cellStyle name="Output 2 3 4 4" xfId="37453"/>
    <cellStyle name="Output 2 3 5" xfId="53276"/>
    <cellStyle name="Output 2 30" xfId="52802"/>
    <cellStyle name="Output 2 31" xfId="52756"/>
    <cellStyle name="Output 2 32" xfId="52803"/>
    <cellStyle name="Output 2 33" xfId="52757"/>
    <cellStyle name="Output 2 34" xfId="52800"/>
    <cellStyle name="Output 2 35" xfId="52755"/>
    <cellStyle name="Output 2 36" xfId="52797"/>
    <cellStyle name="Output 2 37" xfId="52758"/>
    <cellStyle name="Output 2 38" xfId="52798"/>
    <cellStyle name="Output 2 39" xfId="52760"/>
    <cellStyle name="Output 2 4" xfId="3255"/>
    <cellStyle name="Output 2 4 2" xfId="7468"/>
    <cellStyle name="Output 2 4 2 10" xfId="39210"/>
    <cellStyle name="Output 2 4 2 11" xfId="53279"/>
    <cellStyle name="Output 2 4 2 2" xfId="10738"/>
    <cellStyle name="Output 2 4 2 2 2" xfId="18525"/>
    <cellStyle name="Output 2 4 2 2 2 2" xfId="44057"/>
    <cellStyle name="Output 2 4 2 2 2 3" xfId="47966"/>
    <cellStyle name="Output 2 4 2 2 2 4" xfId="36148"/>
    <cellStyle name="Output 2 4 2 2 3" xfId="12157"/>
    <cellStyle name="Output 2 4 2 2 3 2" xfId="41882"/>
    <cellStyle name="Output 2 4 2 2 3 3" xfId="42543"/>
    <cellStyle name="Output 2 4 2 2 3 4" xfId="29815"/>
    <cellStyle name="Output 2 4 2 2 4" xfId="20350"/>
    <cellStyle name="Output 2 4 2 2 4 2" xfId="45872"/>
    <cellStyle name="Output 2 4 2 2 4 3" xfId="49778"/>
    <cellStyle name="Output 2 4 2 2 4 4" xfId="37792"/>
    <cellStyle name="Output 2 4 2 2 5" xfId="20938"/>
    <cellStyle name="Output 2 4 2 2 5 2" xfId="46460"/>
    <cellStyle name="Output 2 4 2 2 5 3" xfId="50366"/>
    <cellStyle name="Output 2 4 2 2 5 4" xfId="38330"/>
    <cellStyle name="Output 2 4 2 2 6" xfId="21591"/>
    <cellStyle name="Output 2 4 2 2 6 2" xfId="47113"/>
    <cellStyle name="Output 2 4 2 2 6 3" xfId="51019"/>
    <cellStyle name="Output 2 4 2 2 7" xfId="40916"/>
    <cellStyle name="Output 2 4 2 2 8" xfId="39464"/>
    <cellStyle name="Output 2 4 2 2 9" xfId="53385"/>
    <cellStyle name="Output 2 4 2 3" xfId="11033"/>
    <cellStyle name="Output 2 4 2 3 2" xfId="18820"/>
    <cellStyle name="Output 2 4 2 3 2 2" xfId="44352"/>
    <cellStyle name="Output 2 4 2 3 2 3" xfId="48261"/>
    <cellStyle name="Output 2 4 2 3 2 4" xfId="36443"/>
    <cellStyle name="Output 2 4 2 3 3" xfId="20413"/>
    <cellStyle name="Output 2 4 2 3 3 2" xfId="45935"/>
    <cellStyle name="Output 2 4 2 3 3 3" xfId="49841"/>
    <cellStyle name="Output 2 4 2 3 3 4" xfId="37853"/>
    <cellStyle name="Output 2 4 2 3 4" xfId="20557"/>
    <cellStyle name="Output 2 4 2 3 4 2" xfId="46079"/>
    <cellStyle name="Output 2 4 2 3 4 3" xfId="49985"/>
    <cellStyle name="Output 2 4 2 3 4 4" xfId="37970"/>
    <cellStyle name="Output 2 4 2 3 5" xfId="21233"/>
    <cellStyle name="Output 2 4 2 3 5 2" xfId="46755"/>
    <cellStyle name="Output 2 4 2 3 5 3" xfId="50661"/>
    <cellStyle name="Output 2 4 2 3 5 4" xfId="38625"/>
    <cellStyle name="Output 2 4 2 3 6" xfId="21886"/>
    <cellStyle name="Output 2 4 2 3 6 2" xfId="47408"/>
    <cellStyle name="Output 2 4 2 3 6 3" xfId="51314"/>
    <cellStyle name="Output 2 4 2 3 7" xfId="41211"/>
    <cellStyle name="Output 2 4 2 3 8" xfId="42564"/>
    <cellStyle name="Output 2 4 2 4" xfId="15250"/>
    <cellStyle name="Output 2 4 2 4 2" xfId="43105"/>
    <cellStyle name="Output 2 4 2 4 3" xfId="42748"/>
    <cellStyle name="Output 2 4 2 4 4" xfId="32871"/>
    <cellStyle name="Output 2 4 2 5" xfId="11360"/>
    <cellStyle name="Output 2 4 2 5 2" xfId="41376"/>
    <cellStyle name="Output 2 4 2 5 3" xfId="43580"/>
    <cellStyle name="Output 2 4 2 5 4" xfId="29069"/>
    <cellStyle name="Output 2 4 2 6" xfId="12670"/>
    <cellStyle name="Output 2 4 2 6 2" xfId="42130"/>
    <cellStyle name="Output 2 4 2 6 3" xfId="39423"/>
    <cellStyle name="Output 2 4 2 6 4" xfId="30318"/>
    <cellStyle name="Output 2 4 2 7" xfId="20487"/>
    <cellStyle name="Output 2 4 2 7 2" xfId="46009"/>
    <cellStyle name="Output 2 4 2 7 3" xfId="49915"/>
    <cellStyle name="Output 2 4 2 7 4" xfId="37917"/>
    <cellStyle name="Output 2 4 2 8" xfId="19480"/>
    <cellStyle name="Output 2 4 2 8 2" xfId="45002"/>
    <cellStyle name="Output 2 4 2 8 3" xfId="48908"/>
    <cellStyle name="Output 2 4 2 9" xfId="39965"/>
    <cellStyle name="Output 2 4 3" xfId="12099"/>
    <cellStyle name="Output 2 4 3 2" xfId="41824"/>
    <cellStyle name="Output 2 4 3 3" xfId="39099"/>
    <cellStyle name="Output 2 4 3 4" xfId="29758"/>
    <cellStyle name="Output 2 4 3 5" xfId="53384"/>
    <cellStyle name="Output 2 4 4" xfId="19200"/>
    <cellStyle name="Output 2 4 4 2" xfId="44722"/>
    <cellStyle name="Output 2 4 4 3" xfId="48628"/>
    <cellStyle name="Output 2 4 4 4" xfId="36771"/>
    <cellStyle name="Output 2 4 5" xfId="53278"/>
    <cellStyle name="Output 2 40" xfId="52799"/>
    <cellStyle name="Output 2 41" xfId="52761"/>
    <cellStyle name="Output 2 42" xfId="52801"/>
    <cellStyle name="Output 2 43" xfId="52805"/>
    <cellStyle name="Output 2 44" xfId="52818"/>
    <cellStyle name="Output 2 45" xfId="52815"/>
    <cellStyle name="Output 2 46" xfId="52819"/>
    <cellStyle name="Output 2 47" xfId="52860"/>
    <cellStyle name="Output 2 48" xfId="52822"/>
    <cellStyle name="Output 2 49" xfId="52859"/>
    <cellStyle name="Output 2 5" xfId="3256"/>
    <cellStyle name="Output 2 5 2" xfId="7469"/>
    <cellStyle name="Output 2 5 2 10" xfId="47449"/>
    <cellStyle name="Output 2 5 2 11" xfId="53281"/>
    <cellStyle name="Output 2 5 2 2" xfId="10739"/>
    <cellStyle name="Output 2 5 2 2 2" xfId="18526"/>
    <cellStyle name="Output 2 5 2 2 2 2" xfId="44058"/>
    <cellStyle name="Output 2 5 2 2 2 3" xfId="47967"/>
    <cellStyle name="Output 2 5 2 2 2 4" xfId="36149"/>
    <cellStyle name="Output 2 5 2 2 3" xfId="19587"/>
    <cellStyle name="Output 2 5 2 2 3 2" xfId="45109"/>
    <cellStyle name="Output 2 5 2 2 3 3" xfId="49015"/>
    <cellStyle name="Output 2 5 2 2 3 4" xfId="37113"/>
    <cellStyle name="Output 2 5 2 2 4" xfId="19307"/>
    <cellStyle name="Output 2 5 2 2 4 2" xfId="44829"/>
    <cellStyle name="Output 2 5 2 2 4 3" xfId="48735"/>
    <cellStyle name="Output 2 5 2 2 4 4" xfId="36871"/>
    <cellStyle name="Output 2 5 2 2 5" xfId="20939"/>
    <cellStyle name="Output 2 5 2 2 5 2" xfId="46461"/>
    <cellStyle name="Output 2 5 2 2 5 3" xfId="50367"/>
    <cellStyle name="Output 2 5 2 2 5 4" xfId="38331"/>
    <cellStyle name="Output 2 5 2 2 6" xfId="21592"/>
    <cellStyle name="Output 2 5 2 2 6 2" xfId="47114"/>
    <cellStyle name="Output 2 5 2 2 6 3" xfId="51020"/>
    <cellStyle name="Output 2 5 2 2 7" xfId="40917"/>
    <cellStyle name="Output 2 5 2 2 8" xfId="42035"/>
    <cellStyle name="Output 2 5 2 2 9" xfId="53387"/>
    <cellStyle name="Output 2 5 2 3" xfId="11034"/>
    <cellStyle name="Output 2 5 2 3 2" xfId="18821"/>
    <cellStyle name="Output 2 5 2 3 2 2" xfId="44353"/>
    <cellStyle name="Output 2 5 2 3 2 3" xfId="48262"/>
    <cellStyle name="Output 2 5 2 3 2 4" xfId="36444"/>
    <cellStyle name="Output 2 5 2 3 3" xfId="20414"/>
    <cellStyle name="Output 2 5 2 3 3 2" xfId="45936"/>
    <cellStyle name="Output 2 5 2 3 3 3" xfId="49842"/>
    <cellStyle name="Output 2 5 2 3 3 4" xfId="37854"/>
    <cellStyle name="Output 2 5 2 3 4" xfId="20558"/>
    <cellStyle name="Output 2 5 2 3 4 2" xfId="46080"/>
    <cellStyle name="Output 2 5 2 3 4 3" xfId="49986"/>
    <cellStyle name="Output 2 5 2 3 4 4" xfId="37971"/>
    <cellStyle name="Output 2 5 2 3 5" xfId="21234"/>
    <cellStyle name="Output 2 5 2 3 5 2" xfId="46756"/>
    <cellStyle name="Output 2 5 2 3 5 3" xfId="50662"/>
    <cellStyle name="Output 2 5 2 3 5 4" xfId="38626"/>
    <cellStyle name="Output 2 5 2 3 6" xfId="21887"/>
    <cellStyle name="Output 2 5 2 3 6 2" xfId="47409"/>
    <cellStyle name="Output 2 5 2 3 6 3" xfId="51315"/>
    <cellStyle name="Output 2 5 2 3 7" xfId="41212"/>
    <cellStyle name="Output 2 5 2 3 8" xfId="43477"/>
    <cellStyle name="Output 2 5 2 4" xfId="15251"/>
    <cellStyle name="Output 2 5 2 4 2" xfId="43106"/>
    <cellStyle name="Output 2 5 2 4 3" xfId="43635"/>
    <cellStyle name="Output 2 5 2 4 4" xfId="32872"/>
    <cellStyle name="Output 2 5 2 5" xfId="13239"/>
    <cellStyle name="Output 2 5 2 5 2" xfId="42400"/>
    <cellStyle name="Output 2 5 2 5 3" xfId="42525"/>
    <cellStyle name="Output 2 5 2 5 4" xfId="30870"/>
    <cellStyle name="Output 2 5 2 6" xfId="19362"/>
    <cellStyle name="Output 2 5 2 6 2" xfId="44884"/>
    <cellStyle name="Output 2 5 2 6 3" xfId="48790"/>
    <cellStyle name="Output 2 5 2 6 4" xfId="36914"/>
    <cellStyle name="Output 2 5 2 7" xfId="20456"/>
    <cellStyle name="Output 2 5 2 7 2" xfId="45978"/>
    <cellStyle name="Output 2 5 2 7 3" xfId="49884"/>
    <cellStyle name="Output 2 5 2 7 4" xfId="37895"/>
    <cellStyle name="Output 2 5 2 8" xfId="11462"/>
    <cellStyle name="Output 2 5 2 8 2" xfId="41453"/>
    <cellStyle name="Output 2 5 2 8 3" xfId="42003"/>
    <cellStyle name="Output 2 5 2 9" xfId="39966"/>
    <cellStyle name="Output 2 5 3" xfId="12100"/>
    <cellStyle name="Output 2 5 3 2" xfId="41825"/>
    <cellStyle name="Output 2 5 3 3" xfId="39098"/>
    <cellStyle name="Output 2 5 3 4" xfId="29759"/>
    <cellStyle name="Output 2 5 3 5" xfId="53386"/>
    <cellStyle name="Output 2 5 4" xfId="19830"/>
    <cellStyle name="Output 2 5 4 2" xfId="45352"/>
    <cellStyle name="Output 2 5 4 3" xfId="49258"/>
    <cellStyle name="Output 2 5 4 4" xfId="37333"/>
    <cellStyle name="Output 2 5 5" xfId="53280"/>
    <cellStyle name="Output 2 50" xfId="52821"/>
    <cellStyle name="Output 2 51" xfId="52858"/>
    <cellStyle name="Output 2 52" xfId="52823"/>
    <cellStyle name="Output 2 53" xfId="52857"/>
    <cellStyle name="Output 2 54" xfId="52824"/>
    <cellStyle name="Output 2 55" xfId="52872"/>
    <cellStyle name="Output 2 56" xfId="52868"/>
    <cellStyle name="Output 2 57" xfId="52871"/>
    <cellStyle name="Output 2 58" xfId="52869"/>
    <cellStyle name="Output 2 59" xfId="52870"/>
    <cellStyle name="Output 2 6" xfId="3257"/>
    <cellStyle name="Output 2 6 2" xfId="7470"/>
    <cellStyle name="Output 2 6 2 10" xfId="41679"/>
    <cellStyle name="Output 2 6 2 11" xfId="53283"/>
    <cellStyle name="Output 2 6 2 2" xfId="10740"/>
    <cellStyle name="Output 2 6 2 2 2" xfId="18527"/>
    <cellStyle name="Output 2 6 2 2 2 2" xfId="44059"/>
    <cellStyle name="Output 2 6 2 2 2 3" xfId="47968"/>
    <cellStyle name="Output 2 6 2 2 2 4" xfId="36150"/>
    <cellStyle name="Output 2 6 2 2 3" xfId="20140"/>
    <cellStyle name="Output 2 6 2 2 3 2" xfId="45662"/>
    <cellStyle name="Output 2 6 2 2 3 3" xfId="49568"/>
    <cellStyle name="Output 2 6 2 2 3 4" xfId="37612"/>
    <cellStyle name="Output 2 6 2 2 4" xfId="19069"/>
    <cellStyle name="Output 2 6 2 2 4 2" xfId="44591"/>
    <cellStyle name="Output 2 6 2 2 4 3" xfId="48497"/>
    <cellStyle name="Output 2 6 2 2 4 4" xfId="36651"/>
    <cellStyle name="Output 2 6 2 2 5" xfId="20940"/>
    <cellStyle name="Output 2 6 2 2 5 2" xfId="46462"/>
    <cellStyle name="Output 2 6 2 2 5 3" xfId="50368"/>
    <cellStyle name="Output 2 6 2 2 5 4" xfId="38332"/>
    <cellStyle name="Output 2 6 2 2 6" xfId="21593"/>
    <cellStyle name="Output 2 6 2 2 6 2" xfId="47115"/>
    <cellStyle name="Output 2 6 2 2 6 3" xfId="51021"/>
    <cellStyle name="Output 2 6 2 2 7" xfId="40918"/>
    <cellStyle name="Output 2 6 2 2 8" xfId="43354"/>
    <cellStyle name="Output 2 6 2 2 9" xfId="53389"/>
    <cellStyle name="Output 2 6 2 3" xfId="11035"/>
    <cellStyle name="Output 2 6 2 3 2" xfId="18822"/>
    <cellStyle name="Output 2 6 2 3 2 2" xfId="44354"/>
    <cellStyle name="Output 2 6 2 3 2 3" xfId="48263"/>
    <cellStyle name="Output 2 6 2 3 2 4" xfId="36445"/>
    <cellStyle name="Output 2 6 2 3 3" xfId="20415"/>
    <cellStyle name="Output 2 6 2 3 3 2" xfId="45937"/>
    <cellStyle name="Output 2 6 2 3 3 3" xfId="49843"/>
    <cellStyle name="Output 2 6 2 3 3 4" xfId="37855"/>
    <cellStyle name="Output 2 6 2 3 4" xfId="20559"/>
    <cellStyle name="Output 2 6 2 3 4 2" xfId="46081"/>
    <cellStyle name="Output 2 6 2 3 4 3" xfId="49987"/>
    <cellStyle name="Output 2 6 2 3 4 4" xfId="37972"/>
    <cellStyle name="Output 2 6 2 3 5" xfId="21235"/>
    <cellStyle name="Output 2 6 2 3 5 2" xfId="46757"/>
    <cellStyle name="Output 2 6 2 3 5 3" xfId="50663"/>
    <cellStyle name="Output 2 6 2 3 5 4" xfId="38627"/>
    <cellStyle name="Output 2 6 2 3 6" xfId="21888"/>
    <cellStyle name="Output 2 6 2 3 6 2" xfId="47410"/>
    <cellStyle name="Output 2 6 2 3 6 3" xfId="51316"/>
    <cellStyle name="Output 2 6 2 3 7" xfId="41213"/>
    <cellStyle name="Output 2 6 2 3 8" xfId="40340"/>
    <cellStyle name="Output 2 6 2 4" xfId="15252"/>
    <cellStyle name="Output 2 6 2 4 2" xfId="43107"/>
    <cellStyle name="Output 2 6 2 4 3" xfId="40494"/>
    <cellStyle name="Output 2 6 2 4 4" xfId="32873"/>
    <cellStyle name="Output 2 6 2 5" xfId="19647"/>
    <cellStyle name="Output 2 6 2 5 2" xfId="45169"/>
    <cellStyle name="Output 2 6 2 5 3" xfId="49075"/>
    <cellStyle name="Output 2 6 2 5 4" xfId="37167"/>
    <cellStyle name="Output 2 6 2 6" xfId="19767"/>
    <cellStyle name="Output 2 6 2 6 2" xfId="45289"/>
    <cellStyle name="Output 2 6 2 6 3" xfId="49195"/>
    <cellStyle name="Output 2 6 2 6 4" xfId="37279"/>
    <cellStyle name="Output 2 6 2 7" xfId="19174"/>
    <cellStyle name="Output 2 6 2 7 2" xfId="44696"/>
    <cellStyle name="Output 2 6 2 7 3" xfId="48602"/>
    <cellStyle name="Output 2 6 2 7 4" xfId="36747"/>
    <cellStyle name="Output 2 6 2 8" xfId="19692"/>
    <cellStyle name="Output 2 6 2 8 2" xfId="45214"/>
    <cellStyle name="Output 2 6 2 8 3" xfId="49120"/>
    <cellStyle name="Output 2 6 2 9" xfId="39967"/>
    <cellStyle name="Output 2 6 3" xfId="12101"/>
    <cellStyle name="Output 2 6 3 2" xfId="41826"/>
    <cellStyle name="Output 2 6 3 3" xfId="39097"/>
    <cellStyle name="Output 2 6 3 4" xfId="29760"/>
    <cellStyle name="Output 2 6 3 5" xfId="53388"/>
    <cellStyle name="Output 2 6 4" xfId="18961"/>
    <cellStyle name="Output 2 6 4 2" xfId="44483"/>
    <cellStyle name="Output 2 6 4 3" xfId="48389"/>
    <cellStyle name="Output 2 6 4 4" xfId="36572"/>
    <cellStyle name="Output 2 6 5" xfId="53282"/>
    <cellStyle name="Output 2 60" xfId="52875"/>
    <cellStyle name="Output 2 61" xfId="53258"/>
    <cellStyle name="Output 2 7" xfId="3258"/>
    <cellStyle name="Output 2 7 2" xfId="7471"/>
    <cellStyle name="Output 2 7 2 10" xfId="43242"/>
    <cellStyle name="Output 2 7 2 11" xfId="53285"/>
    <cellStyle name="Output 2 7 2 2" xfId="10741"/>
    <cellStyle name="Output 2 7 2 2 2" xfId="18528"/>
    <cellStyle name="Output 2 7 2 2 2 2" xfId="44060"/>
    <cellStyle name="Output 2 7 2 2 2 3" xfId="47969"/>
    <cellStyle name="Output 2 7 2 2 2 4" xfId="36151"/>
    <cellStyle name="Output 2 7 2 2 3" xfId="19399"/>
    <cellStyle name="Output 2 7 2 2 3 2" xfId="44921"/>
    <cellStyle name="Output 2 7 2 2 3 3" xfId="48827"/>
    <cellStyle name="Output 2 7 2 2 3 4" xfId="36950"/>
    <cellStyle name="Output 2 7 2 2 4" xfId="19554"/>
    <cellStyle name="Output 2 7 2 2 4 2" xfId="45076"/>
    <cellStyle name="Output 2 7 2 2 4 3" xfId="48982"/>
    <cellStyle name="Output 2 7 2 2 4 4" xfId="37081"/>
    <cellStyle name="Output 2 7 2 2 5" xfId="20941"/>
    <cellStyle name="Output 2 7 2 2 5 2" xfId="46463"/>
    <cellStyle name="Output 2 7 2 2 5 3" xfId="50369"/>
    <cellStyle name="Output 2 7 2 2 5 4" xfId="38333"/>
    <cellStyle name="Output 2 7 2 2 6" xfId="21594"/>
    <cellStyle name="Output 2 7 2 2 6 2" xfId="47116"/>
    <cellStyle name="Output 2 7 2 2 6 3" xfId="51022"/>
    <cellStyle name="Output 2 7 2 2 7" xfId="40919"/>
    <cellStyle name="Output 2 7 2 2 8" xfId="40216"/>
    <cellStyle name="Output 2 7 2 2 9" xfId="53391"/>
    <cellStyle name="Output 2 7 2 3" xfId="11036"/>
    <cellStyle name="Output 2 7 2 3 2" xfId="18823"/>
    <cellStyle name="Output 2 7 2 3 2 2" xfId="44355"/>
    <cellStyle name="Output 2 7 2 3 2 3" xfId="48264"/>
    <cellStyle name="Output 2 7 2 3 2 4" xfId="36446"/>
    <cellStyle name="Output 2 7 2 3 3" xfId="20416"/>
    <cellStyle name="Output 2 7 2 3 3 2" xfId="45938"/>
    <cellStyle name="Output 2 7 2 3 3 3" xfId="49844"/>
    <cellStyle name="Output 2 7 2 3 3 4" xfId="37856"/>
    <cellStyle name="Output 2 7 2 3 4" xfId="20560"/>
    <cellStyle name="Output 2 7 2 3 4 2" xfId="46082"/>
    <cellStyle name="Output 2 7 2 3 4 3" xfId="49988"/>
    <cellStyle name="Output 2 7 2 3 4 4" xfId="37973"/>
    <cellStyle name="Output 2 7 2 3 5" xfId="21236"/>
    <cellStyle name="Output 2 7 2 3 5 2" xfId="46758"/>
    <cellStyle name="Output 2 7 2 3 5 3" xfId="50664"/>
    <cellStyle name="Output 2 7 2 3 5 4" xfId="38628"/>
    <cellStyle name="Output 2 7 2 3 6" xfId="21889"/>
    <cellStyle name="Output 2 7 2 3 6 2" xfId="47411"/>
    <cellStyle name="Output 2 7 2 3 6 3" xfId="51317"/>
    <cellStyle name="Output 2 7 2 3 7" xfId="41214"/>
    <cellStyle name="Output 2 7 2 3 8" xfId="39452"/>
    <cellStyle name="Output 2 7 2 4" xfId="15253"/>
    <cellStyle name="Output 2 7 2 4 2" xfId="43108"/>
    <cellStyle name="Output 2 7 2 4 3" xfId="39602"/>
    <cellStyle name="Output 2 7 2 4 4" xfId="32874"/>
    <cellStyle name="Output 2 7 2 5" xfId="20206"/>
    <cellStyle name="Output 2 7 2 5 2" xfId="45728"/>
    <cellStyle name="Output 2 7 2 5 3" xfId="49634"/>
    <cellStyle name="Output 2 7 2 5 4" xfId="37669"/>
    <cellStyle name="Output 2 7 2 6" xfId="20462"/>
    <cellStyle name="Output 2 7 2 6 2" xfId="45984"/>
    <cellStyle name="Output 2 7 2 6 3" xfId="49890"/>
    <cellStyle name="Output 2 7 2 6 4" xfId="37901"/>
    <cellStyle name="Output 2 7 2 7" xfId="20270"/>
    <cellStyle name="Output 2 7 2 7 2" xfId="45792"/>
    <cellStyle name="Output 2 7 2 7 3" xfId="49698"/>
    <cellStyle name="Output 2 7 2 7 4" xfId="37724"/>
    <cellStyle name="Output 2 7 2 8" xfId="20184"/>
    <cellStyle name="Output 2 7 2 8 2" xfId="45706"/>
    <cellStyle name="Output 2 7 2 8 3" xfId="49612"/>
    <cellStyle name="Output 2 7 2 9" xfId="39968"/>
    <cellStyle name="Output 2 7 3" xfId="12102"/>
    <cellStyle name="Output 2 7 3 2" xfId="41827"/>
    <cellStyle name="Output 2 7 3 3" xfId="39298"/>
    <cellStyle name="Output 2 7 3 4" xfId="29761"/>
    <cellStyle name="Output 2 7 3 5" xfId="53390"/>
    <cellStyle name="Output 2 7 4" xfId="11600"/>
    <cellStyle name="Output 2 7 4 2" xfId="41591"/>
    <cellStyle name="Output 2 7 4 3" xfId="40181"/>
    <cellStyle name="Output 2 7 4 4" xfId="29289"/>
    <cellStyle name="Output 2 7 5" xfId="53284"/>
    <cellStyle name="Output 2 8" xfId="3259"/>
    <cellStyle name="Output 2 8 2" xfId="7472"/>
    <cellStyle name="Output 2 8 2 10" xfId="40101"/>
    <cellStyle name="Output 2 8 2 11" xfId="53287"/>
    <cellStyle name="Output 2 8 2 2" xfId="10742"/>
    <cellStyle name="Output 2 8 2 2 2" xfId="18529"/>
    <cellStyle name="Output 2 8 2 2 2 2" xfId="44061"/>
    <cellStyle name="Output 2 8 2 2 2 3" xfId="47970"/>
    <cellStyle name="Output 2 8 2 2 2 4" xfId="36152"/>
    <cellStyle name="Output 2 8 2 2 3" xfId="20006"/>
    <cellStyle name="Output 2 8 2 2 3 2" xfId="45528"/>
    <cellStyle name="Output 2 8 2 2 3 3" xfId="49434"/>
    <cellStyle name="Output 2 8 2 2 3 4" xfId="37490"/>
    <cellStyle name="Output 2 8 2 2 4" xfId="12518"/>
    <cellStyle name="Output 2 8 2 2 4 2" xfId="42007"/>
    <cellStyle name="Output 2 8 2 2 4 3" xfId="39085"/>
    <cellStyle name="Output 2 8 2 2 4 4" xfId="30172"/>
    <cellStyle name="Output 2 8 2 2 5" xfId="20942"/>
    <cellStyle name="Output 2 8 2 2 5 2" xfId="46464"/>
    <cellStyle name="Output 2 8 2 2 5 3" xfId="50370"/>
    <cellStyle name="Output 2 8 2 2 5 4" xfId="38334"/>
    <cellStyle name="Output 2 8 2 2 6" xfId="21595"/>
    <cellStyle name="Output 2 8 2 2 6 2" xfId="47117"/>
    <cellStyle name="Output 2 8 2 2 6 3" xfId="51023"/>
    <cellStyle name="Output 2 8 2 2 7" xfId="40920"/>
    <cellStyle name="Output 2 8 2 2 8" xfId="39356"/>
    <cellStyle name="Output 2 8 2 2 9" xfId="53393"/>
    <cellStyle name="Output 2 8 2 3" xfId="11037"/>
    <cellStyle name="Output 2 8 2 3 2" xfId="18824"/>
    <cellStyle name="Output 2 8 2 3 2 2" xfId="44356"/>
    <cellStyle name="Output 2 8 2 3 2 3" xfId="48265"/>
    <cellStyle name="Output 2 8 2 3 2 4" xfId="36447"/>
    <cellStyle name="Output 2 8 2 3 3" xfId="20417"/>
    <cellStyle name="Output 2 8 2 3 3 2" xfId="45939"/>
    <cellStyle name="Output 2 8 2 3 3 3" xfId="49845"/>
    <cellStyle name="Output 2 8 2 3 3 4" xfId="37857"/>
    <cellStyle name="Output 2 8 2 3 4" xfId="20561"/>
    <cellStyle name="Output 2 8 2 3 4 2" xfId="46083"/>
    <cellStyle name="Output 2 8 2 3 4 3" xfId="49989"/>
    <cellStyle name="Output 2 8 2 3 4 4" xfId="37974"/>
    <cellStyle name="Output 2 8 2 3 5" xfId="21237"/>
    <cellStyle name="Output 2 8 2 3 5 2" xfId="46759"/>
    <cellStyle name="Output 2 8 2 3 5 3" xfId="50665"/>
    <cellStyle name="Output 2 8 2 3 5 4" xfId="38629"/>
    <cellStyle name="Output 2 8 2 3 6" xfId="21890"/>
    <cellStyle name="Output 2 8 2 3 6 2" xfId="47412"/>
    <cellStyle name="Output 2 8 2 3 6 3" xfId="51318"/>
    <cellStyle name="Output 2 8 2 3 7" xfId="41215"/>
    <cellStyle name="Output 2 8 2 3 8" xfId="42017"/>
    <cellStyle name="Output 2 8 2 4" xfId="15254"/>
    <cellStyle name="Output 2 8 2 4 2" xfId="43109"/>
    <cellStyle name="Output 2 8 2 4 3" xfId="42638"/>
    <cellStyle name="Output 2 8 2 4 4" xfId="32875"/>
    <cellStyle name="Output 2 8 2 5" xfId="19474"/>
    <cellStyle name="Output 2 8 2 5 2" xfId="44996"/>
    <cellStyle name="Output 2 8 2 5 3" xfId="48902"/>
    <cellStyle name="Output 2 8 2 5 4" xfId="37016"/>
    <cellStyle name="Output 2 8 2 6" xfId="11816"/>
    <cellStyle name="Output 2 8 2 6 2" xfId="41734"/>
    <cellStyle name="Output 2 8 2 6 3" xfId="41351"/>
    <cellStyle name="Output 2 8 2 6 4" xfId="29487"/>
    <cellStyle name="Output 2 8 2 7" xfId="11627"/>
    <cellStyle name="Output 2 8 2 7 2" xfId="41618"/>
    <cellStyle name="Output 2 8 2 7 3" xfId="40042"/>
    <cellStyle name="Output 2 8 2 7 4" xfId="29314"/>
    <cellStyle name="Output 2 8 2 8" xfId="20523"/>
    <cellStyle name="Output 2 8 2 8 2" xfId="46045"/>
    <cellStyle name="Output 2 8 2 8 3" xfId="49951"/>
    <cellStyle name="Output 2 8 2 9" xfId="39969"/>
    <cellStyle name="Output 2 8 3" xfId="12103"/>
    <cellStyle name="Output 2 8 3 2" xfId="41828"/>
    <cellStyle name="Output 2 8 3 3" xfId="39297"/>
    <cellStyle name="Output 2 8 3 4" xfId="29762"/>
    <cellStyle name="Output 2 8 3 5" xfId="53392"/>
    <cellStyle name="Output 2 8 4" xfId="19670"/>
    <cellStyle name="Output 2 8 4 2" xfId="45192"/>
    <cellStyle name="Output 2 8 4 3" xfId="49098"/>
    <cellStyle name="Output 2 8 4 4" xfId="37188"/>
    <cellStyle name="Output 2 8 5" xfId="53286"/>
    <cellStyle name="Output 2 9" xfId="3260"/>
    <cellStyle name="Output 2 9 2" xfId="7473"/>
    <cellStyle name="Output 2 9 2 10" xfId="43070"/>
    <cellStyle name="Output 2 9 2 11" xfId="53289"/>
    <cellStyle name="Output 2 9 2 2" xfId="10743"/>
    <cellStyle name="Output 2 9 2 2 2" xfId="18530"/>
    <cellStyle name="Output 2 9 2 2 2 2" xfId="44062"/>
    <cellStyle name="Output 2 9 2 2 2 3" xfId="47971"/>
    <cellStyle name="Output 2 9 2 2 2 4" xfId="36153"/>
    <cellStyle name="Output 2 9 2 2 3" xfId="19272"/>
    <cellStyle name="Output 2 9 2 2 3 2" xfId="44794"/>
    <cellStyle name="Output 2 9 2 2 3 3" xfId="48700"/>
    <cellStyle name="Output 2 9 2 2 3 4" xfId="36836"/>
    <cellStyle name="Output 2 9 2 2 4" xfId="18912"/>
    <cellStyle name="Output 2 9 2 2 4 2" xfId="44434"/>
    <cellStyle name="Output 2 9 2 2 4 3" xfId="48340"/>
    <cellStyle name="Output 2 9 2 2 4 4" xfId="36526"/>
    <cellStyle name="Output 2 9 2 2 5" xfId="20943"/>
    <cellStyle name="Output 2 9 2 2 5 2" xfId="46465"/>
    <cellStyle name="Output 2 9 2 2 5 3" xfId="50371"/>
    <cellStyle name="Output 2 9 2 2 5 4" xfId="38335"/>
    <cellStyle name="Output 2 9 2 2 6" xfId="21596"/>
    <cellStyle name="Output 2 9 2 2 6 2" xfId="47118"/>
    <cellStyle name="Output 2 9 2 2 6 3" xfId="51024"/>
    <cellStyle name="Output 2 9 2 2 7" xfId="40921"/>
    <cellStyle name="Output 2 9 2 2 8" xfId="42037"/>
    <cellStyle name="Output 2 9 2 2 9" xfId="53395"/>
    <cellStyle name="Output 2 9 2 3" xfId="11038"/>
    <cellStyle name="Output 2 9 2 3 2" xfId="18825"/>
    <cellStyle name="Output 2 9 2 3 2 2" xfId="44357"/>
    <cellStyle name="Output 2 9 2 3 2 3" xfId="48266"/>
    <cellStyle name="Output 2 9 2 3 2 4" xfId="36448"/>
    <cellStyle name="Output 2 9 2 3 3" xfId="20418"/>
    <cellStyle name="Output 2 9 2 3 3 2" xfId="45940"/>
    <cellStyle name="Output 2 9 2 3 3 3" xfId="49846"/>
    <cellStyle name="Output 2 9 2 3 3 4" xfId="37858"/>
    <cellStyle name="Output 2 9 2 3 4" xfId="20562"/>
    <cellStyle name="Output 2 9 2 3 4 2" xfId="46084"/>
    <cellStyle name="Output 2 9 2 3 4 3" xfId="49990"/>
    <cellStyle name="Output 2 9 2 3 4 4" xfId="37975"/>
    <cellStyle name="Output 2 9 2 3 5" xfId="21238"/>
    <cellStyle name="Output 2 9 2 3 5 2" xfId="46760"/>
    <cellStyle name="Output 2 9 2 3 5 3" xfId="50666"/>
    <cellStyle name="Output 2 9 2 3 5 4" xfId="38630"/>
    <cellStyle name="Output 2 9 2 3 6" xfId="21891"/>
    <cellStyle name="Output 2 9 2 3 6 2" xfId="47413"/>
    <cellStyle name="Output 2 9 2 3 6 3" xfId="51319"/>
    <cellStyle name="Output 2 9 2 3 7" xfId="41216"/>
    <cellStyle name="Output 2 9 2 3 8" xfId="43336"/>
    <cellStyle name="Output 2 9 2 4" xfId="15255"/>
    <cellStyle name="Output 2 9 2 4 2" xfId="43110"/>
    <cellStyle name="Output 2 9 2 4 3" xfId="43526"/>
    <cellStyle name="Output 2 9 2 4 4" xfId="32876"/>
    <cellStyle name="Output 2 9 2 5" xfId="20075"/>
    <cellStyle name="Output 2 9 2 5 2" xfId="45597"/>
    <cellStyle name="Output 2 9 2 5 3" xfId="49503"/>
    <cellStyle name="Output 2 9 2 5 4" xfId="37553"/>
    <cellStyle name="Output 2 9 2 6" xfId="19065"/>
    <cellStyle name="Output 2 9 2 6 2" xfId="44587"/>
    <cellStyle name="Output 2 9 2 6 3" xfId="48493"/>
    <cellStyle name="Output 2 9 2 6 4" xfId="36647"/>
    <cellStyle name="Output 2 9 2 7" xfId="19205"/>
    <cellStyle name="Output 2 9 2 7 2" xfId="44727"/>
    <cellStyle name="Output 2 9 2 7 3" xfId="48633"/>
    <cellStyle name="Output 2 9 2 7 4" xfId="36776"/>
    <cellStyle name="Output 2 9 2 8" xfId="19536"/>
    <cellStyle name="Output 2 9 2 8 2" xfId="45058"/>
    <cellStyle name="Output 2 9 2 8 3" xfId="48964"/>
    <cellStyle name="Output 2 9 2 9" xfId="39970"/>
    <cellStyle name="Output 2 9 3" xfId="12104"/>
    <cellStyle name="Output 2 9 3 2" xfId="41829"/>
    <cellStyle name="Output 2 9 3 3" xfId="39296"/>
    <cellStyle name="Output 2 9 3 4" xfId="29763"/>
    <cellStyle name="Output 2 9 3 5" xfId="53394"/>
    <cellStyle name="Output 2 9 4" xfId="20232"/>
    <cellStyle name="Output 2 9 4 2" xfId="45754"/>
    <cellStyle name="Output 2 9 4 3" xfId="49660"/>
    <cellStyle name="Output 2 9 4 4" xfId="37690"/>
    <cellStyle name="Output 2 9 5" xfId="53288"/>
    <cellStyle name="Output 2_BallGrid" xfId="3261"/>
    <cellStyle name="Output 3" xfId="137"/>
    <cellStyle name="Output 3 10" xfId="7474"/>
    <cellStyle name="Output 3 10 10" xfId="43737"/>
    <cellStyle name="Output 3 10 2" xfId="10744"/>
    <cellStyle name="Output 3 10 2 2" xfId="18531"/>
    <cellStyle name="Output 3 10 2 2 2" xfId="44063"/>
    <cellStyle name="Output 3 10 2 2 3" xfId="47972"/>
    <cellStyle name="Output 3 10 2 2 4" xfId="36154"/>
    <cellStyle name="Output 3 10 2 3" xfId="19881"/>
    <cellStyle name="Output 3 10 2 3 2" xfId="45403"/>
    <cellStyle name="Output 3 10 2 3 3" xfId="49309"/>
    <cellStyle name="Output 3 10 2 3 4" xfId="37381"/>
    <cellStyle name="Output 3 10 2 4" xfId="11539"/>
    <cellStyle name="Output 3 10 2 4 2" xfId="41530"/>
    <cellStyle name="Output 3 10 2 4 3" xfId="43465"/>
    <cellStyle name="Output 3 10 2 4 4" xfId="29239"/>
    <cellStyle name="Output 3 10 2 5" xfId="20944"/>
    <cellStyle name="Output 3 10 2 5 2" xfId="46466"/>
    <cellStyle name="Output 3 10 2 5 3" xfId="50372"/>
    <cellStyle name="Output 3 10 2 5 4" xfId="38336"/>
    <cellStyle name="Output 3 10 2 6" xfId="21597"/>
    <cellStyle name="Output 3 10 2 6 2" xfId="47119"/>
    <cellStyle name="Output 3 10 2 6 3" xfId="51025"/>
    <cellStyle name="Output 3 10 2 7" xfId="40922"/>
    <cellStyle name="Output 3 10 2 8" xfId="43356"/>
    <cellStyle name="Output 3 10 3" xfId="11039"/>
    <cellStyle name="Output 3 10 3 2" xfId="18826"/>
    <cellStyle name="Output 3 10 3 2 2" xfId="44358"/>
    <cellStyle name="Output 3 10 3 2 3" xfId="48267"/>
    <cellStyle name="Output 3 10 3 2 4" xfId="36449"/>
    <cellStyle name="Output 3 10 3 3" xfId="20419"/>
    <cellStyle name="Output 3 10 3 3 2" xfId="45941"/>
    <cellStyle name="Output 3 10 3 3 3" xfId="49847"/>
    <cellStyle name="Output 3 10 3 3 4" xfId="37859"/>
    <cellStyle name="Output 3 10 3 4" xfId="20563"/>
    <cellStyle name="Output 3 10 3 4 2" xfId="46085"/>
    <cellStyle name="Output 3 10 3 4 3" xfId="49991"/>
    <cellStyle name="Output 3 10 3 4 4" xfId="37976"/>
    <cellStyle name="Output 3 10 3 5" xfId="21239"/>
    <cellStyle name="Output 3 10 3 5 2" xfId="46761"/>
    <cellStyle name="Output 3 10 3 5 3" xfId="50667"/>
    <cellStyle name="Output 3 10 3 5 4" xfId="38631"/>
    <cellStyle name="Output 3 10 3 6" xfId="21892"/>
    <cellStyle name="Output 3 10 3 6 2" xfId="47414"/>
    <cellStyle name="Output 3 10 3 6 3" xfId="51320"/>
    <cellStyle name="Output 3 10 3 7" xfId="41217"/>
    <cellStyle name="Output 3 10 3 8" xfId="40198"/>
    <cellStyle name="Output 3 10 4" xfId="15256"/>
    <cellStyle name="Output 3 10 4 2" xfId="43111"/>
    <cellStyle name="Output 3 10 4 3" xfId="40388"/>
    <cellStyle name="Output 3 10 4 4" xfId="32877"/>
    <cellStyle name="Output 3 10 5" xfId="19337"/>
    <cellStyle name="Output 3 10 5 2" xfId="44859"/>
    <cellStyle name="Output 3 10 5 3" xfId="48765"/>
    <cellStyle name="Output 3 10 5 4" xfId="36894"/>
    <cellStyle name="Output 3 10 6" xfId="11558"/>
    <cellStyle name="Output 3 10 6 2" xfId="41549"/>
    <cellStyle name="Output 3 10 6 3" xfId="43467"/>
    <cellStyle name="Output 3 10 6 4" xfId="29255"/>
    <cellStyle name="Output 3 10 7" xfId="12665"/>
    <cellStyle name="Output 3 10 7 2" xfId="42125"/>
    <cellStyle name="Output 3 10 7 3" xfId="40418"/>
    <cellStyle name="Output 3 10 7 4" xfId="30315"/>
    <cellStyle name="Output 3 10 8" xfId="20174"/>
    <cellStyle name="Output 3 10 8 2" xfId="45696"/>
    <cellStyle name="Output 3 10 8 3" xfId="49602"/>
    <cellStyle name="Output 3 10 9" xfId="39971"/>
    <cellStyle name="Output 3 11" xfId="12105"/>
    <cellStyle name="Output 3 11 2" xfId="41830"/>
    <cellStyle name="Output 3 11 3" xfId="39096"/>
    <cellStyle name="Output 3 11 4" xfId="29764"/>
    <cellStyle name="Output 3 12" xfId="20098"/>
    <cellStyle name="Output 3 12 2" xfId="45620"/>
    <cellStyle name="Output 3 12 3" xfId="49526"/>
    <cellStyle name="Output 3 12 4" xfId="37572"/>
    <cellStyle name="Output 3 13" xfId="3262"/>
    <cellStyle name="Output 3 14" xfId="52738"/>
    <cellStyle name="Output 3 2" xfId="3263"/>
    <cellStyle name="Output 3 2 2" xfId="7475"/>
    <cellStyle name="Output 3 2 2 10" xfId="40596"/>
    <cellStyle name="Output 3 2 2 11" xfId="53291"/>
    <cellStyle name="Output 3 2 2 2" xfId="10745"/>
    <cellStyle name="Output 3 2 2 2 2" xfId="18532"/>
    <cellStyle name="Output 3 2 2 2 2 2" xfId="44064"/>
    <cellStyle name="Output 3 2 2 2 2 3" xfId="47973"/>
    <cellStyle name="Output 3 2 2 2 2 4" xfId="36155"/>
    <cellStyle name="Output 3 2 2 2 3" xfId="19104"/>
    <cellStyle name="Output 3 2 2 2 3 2" xfId="44626"/>
    <cellStyle name="Output 3 2 2 2 3 3" xfId="48532"/>
    <cellStyle name="Output 3 2 2 2 3 4" xfId="36685"/>
    <cellStyle name="Output 3 2 2 2 4" xfId="19978"/>
    <cellStyle name="Output 3 2 2 2 4 2" xfId="45500"/>
    <cellStyle name="Output 3 2 2 2 4 3" xfId="49406"/>
    <cellStyle name="Output 3 2 2 2 4 4" xfId="37462"/>
    <cellStyle name="Output 3 2 2 2 5" xfId="20945"/>
    <cellStyle name="Output 3 2 2 2 5 2" xfId="46467"/>
    <cellStyle name="Output 3 2 2 2 5 3" xfId="50373"/>
    <cellStyle name="Output 3 2 2 2 5 4" xfId="38337"/>
    <cellStyle name="Output 3 2 2 2 6" xfId="21598"/>
    <cellStyle name="Output 3 2 2 2 6 2" xfId="47120"/>
    <cellStyle name="Output 3 2 2 2 6 3" xfId="51026"/>
    <cellStyle name="Output 3 2 2 2 7" xfId="40923"/>
    <cellStyle name="Output 3 2 2 2 8" xfId="40218"/>
    <cellStyle name="Output 3 2 2 2 9" xfId="53398"/>
    <cellStyle name="Output 3 2 2 3" xfId="11040"/>
    <cellStyle name="Output 3 2 2 3 2" xfId="18827"/>
    <cellStyle name="Output 3 2 2 3 2 2" xfId="44359"/>
    <cellStyle name="Output 3 2 2 3 2 3" xfId="48268"/>
    <cellStyle name="Output 3 2 2 3 2 4" xfId="36450"/>
    <cellStyle name="Output 3 2 2 3 3" xfId="20420"/>
    <cellStyle name="Output 3 2 2 3 3 2" xfId="45942"/>
    <cellStyle name="Output 3 2 2 3 3 3" xfId="49848"/>
    <cellStyle name="Output 3 2 2 3 3 4" xfId="37860"/>
    <cellStyle name="Output 3 2 2 3 4" xfId="20564"/>
    <cellStyle name="Output 3 2 2 3 4 2" xfId="46086"/>
    <cellStyle name="Output 3 2 2 3 4 3" xfId="49992"/>
    <cellStyle name="Output 3 2 2 3 4 4" xfId="37977"/>
    <cellStyle name="Output 3 2 2 3 5" xfId="21240"/>
    <cellStyle name="Output 3 2 2 3 5 2" xfId="46762"/>
    <cellStyle name="Output 3 2 2 3 5 3" xfId="50668"/>
    <cellStyle name="Output 3 2 2 3 5 4" xfId="38632"/>
    <cellStyle name="Output 3 2 2 3 6" xfId="21893"/>
    <cellStyle name="Output 3 2 2 3 6 2" xfId="47415"/>
    <cellStyle name="Output 3 2 2 3 6 3" xfId="51321"/>
    <cellStyle name="Output 3 2 2 3 7" xfId="41218"/>
    <cellStyle name="Output 3 2 2 3 8" xfId="39338"/>
    <cellStyle name="Output 3 2 2 4" xfId="15257"/>
    <cellStyle name="Output 3 2 2 4 2" xfId="43112"/>
    <cellStyle name="Output 3 2 2 4 3" xfId="39497"/>
    <cellStyle name="Output 3 2 2 4 4" xfId="32878"/>
    <cellStyle name="Output 3 2 2 5" xfId="19946"/>
    <cellStyle name="Output 3 2 2 5 2" xfId="45468"/>
    <cellStyle name="Output 3 2 2 5 3" xfId="49374"/>
    <cellStyle name="Output 3 2 2 5 4" xfId="37437"/>
    <cellStyle name="Output 3 2 2 6" xfId="20319"/>
    <cellStyle name="Output 3 2 2 6 2" xfId="45841"/>
    <cellStyle name="Output 3 2 2 6 3" xfId="49747"/>
    <cellStyle name="Output 3 2 2 6 4" xfId="37769"/>
    <cellStyle name="Output 3 2 2 7" xfId="19763"/>
    <cellStyle name="Output 3 2 2 7 2" xfId="45285"/>
    <cellStyle name="Output 3 2 2 7 3" xfId="49191"/>
    <cellStyle name="Output 3 2 2 7 4" xfId="37276"/>
    <cellStyle name="Output 3 2 2 8" xfId="11592"/>
    <cellStyle name="Output 3 2 2 8 2" xfId="41583"/>
    <cellStyle name="Output 3 2 2 8 3" xfId="40432"/>
    <cellStyle name="Output 3 2 2 9" xfId="39972"/>
    <cellStyle name="Output 3 2 3" xfId="12106"/>
    <cellStyle name="Output 3 2 3 2" xfId="41831"/>
    <cellStyle name="Output 3 2 3 3" xfId="39095"/>
    <cellStyle name="Output 3 2 3 4" xfId="29765"/>
    <cellStyle name="Output 3 2 3 5" xfId="53397"/>
    <cellStyle name="Output 3 2 4" xfId="19358"/>
    <cellStyle name="Output 3 2 4 2" xfId="44880"/>
    <cellStyle name="Output 3 2 4 3" xfId="48786"/>
    <cellStyle name="Output 3 2 4 4" xfId="36912"/>
    <cellStyle name="Output 3 2 5" xfId="53290"/>
    <cellStyle name="Output 3 3" xfId="3264"/>
    <cellStyle name="Output 3 3 2" xfId="7476"/>
    <cellStyle name="Output 3 3 2 10" xfId="39930"/>
    <cellStyle name="Output 3 3 2 11" xfId="53293"/>
    <cellStyle name="Output 3 3 2 2" xfId="10746"/>
    <cellStyle name="Output 3 3 2 2 2" xfId="18533"/>
    <cellStyle name="Output 3 3 2 2 2 2" xfId="44065"/>
    <cellStyle name="Output 3 3 2 2 2 3" xfId="47974"/>
    <cellStyle name="Output 3 3 2 2 2 4" xfId="36156"/>
    <cellStyle name="Output 3 3 2 2 3" xfId="19720"/>
    <cellStyle name="Output 3 3 2 2 3 2" xfId="45242"/>
    <cellStyle name="Output 3 3 2 2 3 3" xfId="49148"/>
    <cellStyle name="Output 3 3 2 2 3 4" xfId="37233"/>
    <cellStyle name="Output 3 3 2 2 4" xfId="20065"/>
    <cellStyle name="Output 3 3 2 2 4 2" xfId="45587"/>
    <cellStyle name="Output 3 3 2 2 4 3" xfId="49493"/>
    <cellStyle name="Output 3 3 2 2 4 4" xfId="37545"/>
    <cellStyle name="Output 3 3 2 2 5" xfId="20946"/>
    <cellStyle name="Output 3 3 2 2 5 2" xfId="46468"/>
    <cellStyle name="Output 3 3 2 2 5 3" xfId="50374"/>
    <cellStyle name="Output 3 3 2 2 5 4" xfId="38338"/>
    <cellStyle name="Output 3 3 2 2 6" xfId="21599"/>
    <cellStyle name="Output 3 3 2 2 6 2" xfId="47121"/>
    <cellStyle name="Output 3 3 2 2 6 3" xfId="51027"/>
    <cellStyle name="Output 3 3 2 2 7" xfId="40924"/>
    <cellStyle name="Output 3 3 2 2 8" xfId="42817"/>
    <cellStyle name="Output 3 3 2 2 9" xfId="53400"/>
    <cellStyle name="Output 3 3 2 3" xfId="11041"/>
    <cellStyle name="Output 3 3 2 3 2" xfId="18828"/>
    <cellStyle name="Output 3 3 2 3 2 2" xfId="44360"/>
    <cellStyle name="Output 3 3 2 3 2 3" xfId="48269"/>
    <cellStyle name="Output 3 3 2 3 2 4" xfId="36451"/>
    <cellStyle name="Output 3 3 2 3 3" xfId="20421"/>
    <cellStyle name="Output 3 3 2 3 3 2" xfId="45943"/>
    <cellStyle name="Output 3 3 2 3 3 3" xfId="49849"/>
    <cellStyle name="Output 3 3 2 3 3 4" xfId="37861"/>
    <cellStyle name="Output 3 3 2 3 4" xfId="20565"/>
    <cellStyle name="Output 3 3 2 3 4 2" xfId="46087"/>
    <cellStyle name="Output 3 3 2 3 4 3" xfId="49993"/>
    <cellStyle name="Output 3 3 2 3 4 4" xfId="37978"/>
    <cellStyle name="Output 3 3 2 3 5" xfId="21241"/>
    <cellStyle name="Output 3 3 2 3 5 2" xfId="46763"/>
    <cellStyle name="Output 3 3 2 3 5 3" xfId="50669"/>
    <cellStyle name="Output 3 3 2 3 5 4" xfId="38633"/>
    <cellStyle name="Output 3 3 2 3 6" xfId="21894"/>
    <cellStyle name="Output 3 3 2 3 6 2" xfId="47416"/>
    <cellStyle name="Output 3 3 2 3 6 3" xfId="51322"/>
    <cellStyle name="Output 3 3 2 3 7" xfId="41219"/>
    <cellStyle name="Output 3 3 2 3 8" xfId="42018"/>
    <cellStyle name="Output 3 3 2 4" xfId="15258"/>
    <cellStyle name="Output 3 3 2 4 2" xfId="43113"/>
    <cellStyle name="Output 3 3 2 4 3" xfId="42507"/>
    <cellStyle name="Output 3 3 2 4 4" xfId="32879"/>
    <cellStyle name="Output 3 3 2 5" xfId="19179"/>
    <cellStyle name="Output 3 3 2 5 2" xfId="44701"/>
    <cellStyle name="Output 3 3 2 5 3" xfId="48607"/>
    <cellStyle name="Output 3 3 2 5 4" xfId="36752"/>
    <cellStyle name="Output 3 3 2 6" xfId="11576"/>
    <cellStyle name="Output 3 3 2 6 2" xfId="41567"/>
    <cellStyle name="Output 3 3 2 6 3" xfId="39439"/>
    <cellStyle name="Output 3 3 2 6 4" xfId="29271"/>
    <cellStyle name="Output 3 3 2 7" xfId="11467"/>
    <cellStyle name="Output 3 3 2 7 2" xfId="41458"/>
    <cellStyle name="Output 3 3 2 7 3" xfId="41369"/>
    <cellStyle name="Output 3 3 2 7 4" xfId="29169"/>
    <cellStyle name="Output 3 3 2 8" xfId="13303"/>
    <cellStyle name="Output 3 3 2 8 2" xfId="42454"/>
    <cellStyle name="Output 3 3 2 8 3" xfId="41933"/>
    <cellStyle name="Output 3 3 2 9" xfId="39973"/>
    <cellStyle name="Output 3 3 3" xfId="12107"/>
    <cellStyle name="Output 3 3 3 2" xfId="41832"/>
    <cellStyle name="Output 3 3 3 3" xfId="39094"/>
    <cellStyle name="Output 3 3 3 4" xfId="29766"/>
    <cellStyle name="Output 3 3 3 5" xfId="53399"/>
    <cellStyle name="Output 3 3 4" xfId="19964"/>
    <cellStyle name="Output 3 3 4 2" xfId="45486"/>
    <cellStyle name="Output 3 3 4 3" xfId="49392"/>
    <cellStyle name="Output 3 3 4 4" xfId="37452"/>
    <cellStyle name="Output 3 3 5" xfId="53292"/>
    <cellStyle name="Output 3 4" xfId="3265"/>
    <cellStyle name="Output 3 4 2" xfId="7477"/>
    <cellStyle name="Output 3 4 2 10" xfId="42730"/>
    <cellStyle name="Output 3 4 2 11" xfId="53295"/>
    <cellStyle name="Output 3 4 2 2" xfId="10747"/>
    <cellStyle name="Output 3 4 2 2 2" xfId="18534"/>
    <cellStyle name="Output 3 4 2 2 2 2" xfId="44066"/>
    <cellStyle name="Output 3 4 2 2 2 3" xfId="47975"/>
    <cellStyle name="Output 3 4 2 2 2 4" xfId="36157"/>
    <cellStyle name="Output 3 4 2 2 3" xfId="15293"/>
    <cellStyle name="Output 3 4 2 2 3 2" xfId="43143"/>
    <cellStyle name="Output 3 4 2 2 3 3" xfId="42746"/>
    <cellStyle name="Output 3 4 2 2 3 4" xfId="32914"/>
    <cellStyle name="Output 3 4 2 2 4" xfId="19343"/>
    <cellStyle name="Output 3 4 2 2 4 2" xfId="44865"/>
    <cellStyle name="Output 3 4 2 2 4 3" xfId="48771"/>
    <cellStyle name="Output 3 4 2 2 4 4" xfId="36898"/>
    <cellStyle name="Output 3 4 2 2 5" xfId="20947"/>
    <cellStyle name="Output 3 4 2 2 5 2" xfId="46469"/>
    <cellStyle name="Output 3 4 2 2 5 3" xfId="50375"/>
    <cellStyle name="Output 3 4 2 2 5 4" xfId="38339"/>
    <cellStyle name="Output 3 4 2 2 6" xfId="21600"/>
    <cellStyle name="Output 3 4 2 2 6 2" xfId="47122"/>
    <cellStyle name="Output 3 4 2 2 6 3" xfId="51028"/>
    <cellStyle name="Output 3 4 2 2 7" xfId="40925"/>
    <cellStyle name="Output 3 4 2 2 8" xfId="43706"/>
    <cellStyle name="Output 3 4 2 2 9" xfId="53402"/>
    <cellStyle name="Output 3 4 2 3" xfId="11042"/>
    <cellStyle name="Output 3 4 2 3 2" xfId="18829"/>
    <cellStyle name="Output 3 4 2 3 2 2" xfId="44361"/>
    <cellStyle name="Output 3 4 2 3 2 3" xfId="48270"/>
    <cellStyle name="Output 3 4 2 3 2 4" xfId="36452"/>
    <cellStyle name="Output 3 4 2 3 3" xfId="20422"/>
    <cellStyle name="Output 3 4 2 3 3 2" xfId="45944"/>
    <cellStyle name="Output 3 4 2 3 3 3" xfId="49850"/>
    <cellStyle name="Output 3 4 2 3 3 4" xfId="37862"/>
    <cellStyle name="Output 3 4 2 3 4" xfId="20566"/>
    <cellStyle name="Output 3 4 2 3 4 2" xfId="46088"/>
    <cellStyle name="Output 3 4 2 3 4 3" xfId="49994"/>
    <cellStyle name="Output 3 4 2 3 4 4" xfId="37979"/>
    <cellStyle name="Output 3 4 2 3 5" xfId="21242"/>
    <cellStyle name="Output 3 4 2 3 5 2" xfId="46764"/>
    <cellStyle name="Output 3 4 2 3 5 3" xfId="50670"/>
    <cellStyle name="Output 3 4 2 3 5 4" xfId="38634"/>
    <cellStyle name="Output 3 4 2 3 6" xfId="21895"/>
    <cellStyle name="Output 3 4 2 3 6 2" xfId="47417"/>
    <cellStyle name="Output 3 4 2 3 6 3" xfId="51323"/>
    <cellStyle name="Output 3 4 2 3 7" xfId="41220"/>
    <cellStyle name="Output 3 4 2 3 8" xfId="43337"/>
    <cellStyle name="Output 3 4 2 4" xfId="15259"/>
    <cellStyle name="Output 3 4 2 4 2" xfId="43114"/>
    <cellStyle name="Output 3 4 2 4 3" xfId="43418"/>
    <cellStyle name="Output 3 4 2 4 4" xfId="32880"/>
    <cellStyle name="Output 3 4 2 5" xfId="19803"/>
    <cellStyle name="Output 3 4 2 5 2" xfId="45325"/>
    <cellStyle name="Output 3 4 2 5 3" xfId="49231"/>
    <cellStyle name="Output 3 4 2 5 4" xfId="37310"/>
    <cellStyle name="Output 3 4 2 6" xfId="11801"/>
    <cellStyle name="Output 3 4 2 6 2" xfId="41729"/>
    <cellStyle name="Output 3 4 2 6 3" xfId="39642"/>
    <cellStyle name="Output 3 4 2 6 4" xfId="29473"/>
    <cellStyle name="Output 3 4 2 7" xfId="19795"/>
    <cellStyle name="Output 3 4 2 7 2" xfId="45317"/>
    <cellStyle name="Output 3 4 2 7 3" xfId="49223"/>
    <cellStyle name="Output 3 4 2 7 4" xfId="37302"/>
    <cellStyle name="Output 3 4 2 8" xfId="11458"/>
    <cellStyle name="Output 3 4 2 8 2" xfId="41449"/>
    <cellStyle name="Output 3 4 2 8 3" xfId="42002"/>
    <cellStyle name="Output 3 4 2 9" xfId="39974"/>
    <cellStyle name="Output 3 4 3" xfId="12108"/>
    <cellStyle name="Output 3 4 3 2" xfId="41833"/>
    <cellStyle name="Output 3 4 3 3" xfId="39093"/>
    <cellStyle name="Output 3 4 3 4" xfId="29767"/>
    <cellStyle name="Output 3 4 3 5" xfId="53401"/>
    <cellStyle name="Output 3 4 4" xfId="19199"/>
    <cellStyle name="Output 3 4 4 2" xfId="44721"/>
    <cellStyle name="Output 3 4 4 3" xfId="48627"/>
    <cellStyle name="Output 3 4 4 4" xfId="36770"/>
    <cellStyle name="Output 3 4 5" xfId="53294"/>
    <cellStyle name="Output 3 5" xfId="3266"/>
    <cellStyle name="Output 3 5 2" xfId="7478"/>
    <cellStyle name="Output 3 5 2 10" xfId="43618"/>
    <cellStyle name="Output 3 5 2 11" xfId="53403"/>
    <cellStyle name="Output 3 5 2 2" xfId="10748"/>
    <cellStyle name="Output 3 5 2 2 2" xfId="18535"/>
    <cellStyle name="Output 3 5 2 2 2 2" xfId="44067"/>
    <cellStyle name="Output 3 5 2 2 2 3" xfId="47976"/>
    <cellStyle name="Output 3 5 2 2 2 4" xfId="36158"/>
    <cellStyle name="Output 3 5 2 2 3" xfId="13323"/>
    <cellStyle name="Output 3 5 2 2 3 2" xfId="42474"/>
    <cellStyle name="Output 3 5 2 2 3 3" xfId="41274"/>
    <cellStyle name="Output 3 5 2 2 3 4" xfId="30949"/>
    <cellStyle name="Output 3 5 2 2 4" xfId="20289"/>
    <cellStyle name="Output 3 5 2 2 4 2" xfId="45811"/>
    <cellStyle name="Output 3 5 2 2 4 3" xfId="49717"/>
    <cellStyle name="Output 3 5 2 2 4 4" xfId="37741"/>
    <cellStyle name="Output 3 5 2 2 5" xfId="20948"/>
    <cellStyle name="Output 3 5 2 2 5 2" xfId="46470"/>
    <cellStyle name="Output 3 5 2 2 5 3" xfId="50376"/>
    <cellStyle name="Output 3 5 2 2 5 4" xfId="38340"/>
    <cellStyle name="Output 3 5 2 2 6" xfId="21601"/>
    <cellStyle name="Output 3 5 2 2 6 2" xfId="47123"/>
    <cellStyle name="Output 3 5 2 2 6 3" xfId="51029"/>
    <cellStyle name="Output 3 5 2 2 7" xfId="40926"/>
    <cellStyle name="Output 3 5 2 2 8" xfId="40565"/>
    <cellStyle name="Output 3 5 2 3" xfId="11043"/>
    <cellStyle name="Output 3 5 2 3 2" xfId="18830"/>
    <cellStyle name="Output 3 5 2 3 2 2" xfId="44362"/>
    <cellStyle name="Output 3 5 2 3 2 3" xfId="48271"/>
    <cellStyle name="Output 3 5 2 3 2 4" xfId="36453"/>
    <cellStyle name="Output 3 5 2 3 3" xfId="20423"/>
    <cellStyle name="Output 3 5 2 3 3 2" xfId="45945"/>
    <cellStyle name="Output 3 5 2 3 3 3" xfId="49851"/>
    <cellStyle name="Output 3 5 2 3 3 4" xfId="37863"/>
    <cellStyle name="Output 3 5 2 3 4" xfId="20567"/>
    <cellStyle name="Output 3 5 2 3 4 2" xfId="46089"/>
    <cellStyle name="Output 3 5 2 3 4 3" xfId="49995"/>
    <cellStyle name="Output 3 5 2 3 4 4" xfId="37980"/>
    <cellStyle name="Output 3 5 2 3 5" xfId="21243"/>
    <cellStyle name="Output 3 5 2 3 5 2" xfId="46765"/>
    <cellStyle name="Output 3 5 2 3 5 3" xfId="50671"/>
    <cellStyle name="Output 3 5 2 3 5 4" xfId="38635"/>
    <cellStyle name="Output 3 5 2 3 6" xfId="21896"/>
    <cellStyle name="Output 3 5 2 3 6 2" xfId="47418"/>
    <cellStyle name="Output 3 5 2 3 6 3" xfId="51324"/>
    <cellStyle name="Output 3 5 2 3 7" xfId="41221"/>
    <cellStyle name="Output 3 5 2 3 8" xfId="40199"/>
    <cellStyle name="Output 3 5 2 4" xfId="15260"/>
    <cellStyle name="Output 3 5 2 4 2" xfId="43115"/>
    <cellStyle name="Output 3 5 2 4 3" xfId="40280"/>
    <cellStyle name="Output 3 5 2 4 4" xfId="32881"/>
    <cellStyle name="Output 3 5 2 5" xfId="11361"/>
    <cellStyle name="Output 3 5 2 5 2" xfId="41377"/>
    <cellStyle name="Output 3 5 2 5 3" xfId="40440"/>
    <cellStyle name="Output 3 5 2 5 4" xfId="29070"/>
    <cellStyle name="Output 3 5 2 6" xfId="18896"/>
    <cellStyle name="Output 3 5 2 6 2" xfId="44418"/>
    <cellStyle name="Output 3 5 2 6 3" xfId="48324"/>
    <cellStyle name="Output 3 5 2 6 4" xfId="36514"/>
    <cellStyle name="Output 3 5 2 7" xfId="19028"/>
    <cellStyle name="Output 3 5 2 7 2" xfId="44550"/>
    <cellStyle name="Output 3 5 2 7 3" xfId="48456"/>
    <cellStyle name="Output 3 5 2 7 4" xfId="36618"/>
    <cellStyle name="Output 3 5 2 8" xfId="19360"/>
    <cellStyle name="Output 3 5 2 8 2" xfId="44882"/>
    <cellStyle name="Output 3 5 2 8 3" xfId="48788"/>
    <cellStyle name="Output 3 5 2 9" xfId="39975"/>
    <cellStyle name="Output 3 5 3" xfId="12109"/>
    <cellStyle name="Output 3 5 3 2" xfId="41834"/>
    <cellStyle name="Output 3 5 3 3" xfId="39092"/>
    <cellStyle name="Output 3 5 3 4" xfId="29768"/>
    <cellStyle name="Output 3 5 4" xfId="19829"/>
    <cellStyle name="Output 3 5 4 2" xfId="45351"/>
    <cellStyle name="Output 3 5 4 3" xfId="49257"/>
    <cellStyle name="Output 3 5 4 4" xfId="37332"/>
    <cellStyle name="Output 3 5 5" xfId="53296"/>
    <cellStyle name="Output 3 6" xfId="3267"/>
    <cellStyle name="Output 3 6 2" xfId="7479"/>
    <cellStyle name="Output 3 6 2 10" xfId="40476"/>
    <cellStyle name="Output 3 6 2 11" xfId="53404"/>
    <cellStyle name="Output 3 6 2 2" xfId="10749"/>
    <cellStyle name="Output 3 6 2 2 2" xfId="18536"/>
    <cellStyle name="Output 3 6 2 2 2 2" xfId="44068"/>
    <cellStyle name="Output 3 6 2 2 2 3" xfId="47977"/>
    <cellStyle name="Output 3 6 2 2 2 4" xfId="36159"/>
    <cellStyle name="Output 3 6 2 2 3" xfId="19586"/>
    <cellStyle name="Output 3 6 2 2 3 2" xfId="45108"/>
    <cellStyle name="Output 3 6 2 2 3 3" xfId="49014"/>
    <cellStyle name="Output 3 6 2 2 3 4" xfId="37112"/>
    <cellStyle name="Output 3 6 2 2 4" xfId="20072"/>
    <cellStyle name="Output 3 6 2 2 4 2" xfId="45594"/>
    <cellStyle name="Output 3 6 2 2 4 3" xfId="49500"/>
    <cellStyle name="Output 3 6 2 2 4 4" xfId="37551"/>
    <cellStyle name="Output 3 6 2 2 5" xfId="20949"/>
    <cellStyle name="Output 3 6 2 2 5 2" xfId="46471"/>
    <cellStyle name="Output 3 6 2 2 5 3" xfId="50377"/>
    <cellStyle name="Output 3 6 2 2 5 4" xfId="38341"/>
    <cellStyle name="Output 3 6 2 2 6" xfId="21602"/>
    <cellStyle name="Output 3 6 2 2 6 2" xfId="47124"/>
    <cellStyle name="Output 3 6 2 2 6 3" xfId="51030"/>
    <cellStyle name="Output 3 6 2 2 7" xfId="40927"/>
    <cellStyle name="Output 3 6 2 2 8" xfId="39676"/>
    <cellStyle name="Output 3 6 2 3" xfId="11044"/>
    <cellStyle name="Output 3 6 2 3 2" xfId="18831"/>
    <cellStyle name="Output 3 6 2 3 2 2" xfId="44363"/>
    <cellStyle name="Output 3 6 2 3 2 3" xfId="48272"/>
    <cellStyle name="Output 3 6 2 3 2 4" xfId="36454"/>
    <cellStyle name="Output 3 6 2 3 3" xfId="20424"/>
    <cellStyle name="Output 3 6 2 3 3 2" xfId="45946"/>
    <cellStyle name="Output 3 6 2 3 3 3" xfId="49852"/>
    <cellStyle name="Output 3 6 2 3 3 4" xfId="37864"/>
    <cellStyle name="Output 3 6 2 3 4" xfId="20568"/>
    <cellStyle name="Output 3 6 2 3 4 2" xfId="46090"/>
    <cellStyle name="Output 3 6 2 3 4 3" xfId="49996"/>
    <cellStyle name="Output 3 6 2 3 4 4" xfId="37981"/>
    <cellStyle name="Output 3 6 2 3 5" xfId="21244"/>
    <cellStyle name="Output 3 6 2 3 5 2" xfId="46766"/>
    <cellStyle name="Output 3 6 2 3 5 3" xfId="50672"/>
    <cellStyle name="Output 3 6 2 3 5 4" xfId="38636"/>
    <cellStyle name="Output 3 6 2 3 6" xfId="21897"/>
    <cellStyle name="Output 3 6 2 3 6 2" xfId="47419"/>
    <cellStyle name="Output 3 6 2 3 6 3" xfId="51325"/>
    <cellStyle name="Output 3 6 2 3 7" xfId="41222"/>
    <cellStyle name="Output 3 6 2 3 8" xfId="39339"/>
    <cellStyle name="Output 3 6 2 4" xfId="15261"/>
    <cellStyle name="Output 3 6 2 4 2" xfId="43116"/>
    <cellStyle name="Output 3 6 2 4 3" xfId="39397"/>
    <cellStyle name="Output 3 6 2 4 4" xfId="32882"/>
    <cellStyle name="Output 3 6 2 5" xfId="12042"/>
    <cellStyle name="Output 3 6 2 5 2" xfId="41777"/>
    <cellStyle name="Output 3 6 2 5 3" xfId="47474"/>
    <cellStyle name="Output 3 6 2 5 4" xfId="29707"/>
    <cellStyle name="Output 3 6 2 6" xfId="19968"/>
    <cellStyle name="Output 3 6 2 6 2" xfId="45490"/>
    <cellStyle name="Output 3 6 2 6 3" xfId="49396"/>
    <cellStyle name="Output 3 6 2 6 4" xfId="37455"/>
    <cellStyle name="Output 3 6 2 7" xfId="19620"/>
    <cellStyle name="Output 3 6 2 7 2" xfId="45142"/>
    <cellStyle name="Output 3 6 2 7 3" xfId="49048"/>
    <cellStyle name="Output 3 6 2 7 4" xfId="37144"/>
    <cellStyle name="Output 3 6 2 8" xfId="20467"/>
    <cellStyle name="Output 3 6 2 8 2" xfId="45989"/>
    <cellStyle name="Output 3 6 2 8 3" xfId="49895"/>
    <cellStyle name="Output 3 6 2 9" xfId="39976"/>
    <cellStyle name="Output 3 6 3" xfId="12110"/>
    <cellStyle name="Output 3 6 3 2" xfId="41835"/>
    <cellStyle name="Output 3 6 3 3" xfId="39091"/>
    <cellStyle name="Output 3 6 3 4" xfId="29769"/>
    <cellStyle name="Output 3 6 4" xfId="18960"/>
    <cellStyle name="Output 3 6 4 2" xfId="44482"/>
    <cellStyle name="Output 3 6 4 3" xfId="48388"/>
    <cellStyle name="Output 3 6 4 4" xfId="36571"/>
    <cellStyle name="Output 3 6 5" xfId="53297"/>
    <cellStyle name="Output 3 7" xfId="5313"/>
    <cellStyle name="Output 3 7 2" xfId="7480"/>
    <cellStyle name="Output 3 7 2 10" xfId="39586"/>
    <cellStyle name="Output 3 7 2 2" xfId="10750"/>
    <cellStyle name="Output 3 7 2 2 2" xfId="18537"/>
    <cellStyle name="Output 3 7 2 2 2 2" xfId="44069"/>
    <cellStyle name="Output 3 7 2 2 2 3" xfId="47978"/>
    <cellStyle name="Output 3 7 2 2 2 4" xfId="36160"/>
    <cellStyle name="Output 3 7 2 2 3" xfId="20139"/>
    <cellStyle name="Output 3 7 2 2 3 2" xfId="45661"/>
    <cellStyle name="Output 3 7 2 2 3 3" xfId="49567"/>
    <cellStyle name="Output 3 7 2 2 3 4" xfId="37611"/>
    <cellStyle name="Output 3 7 2 2 4" xfId="12683"/>
    <cellStyle name="Output 3 7 2 2 4 2" xfId="42143"/>
    <cellStyle name="Output 3 7 2 2 4 3" xfId="43558"/>
    <cellStyle name="Output 3 7 2 2 4 4" xfId="30330"/>
    <cellStyle name="Output 3 7 2 2 5" xfId="20950"/>
    <cellStyle name="Output 3 7 2 2 5 2" xfId="46472"/>
    <cellStyle name="Output 3 7 2 2 5 3" xfId="50378"/>
    <cellStyle name="Output 3 7 2 2 5 4" xfId="38342"/>
    <cellStyle name="Output 3 7 2 2 6" xfId="21603"/>
    <cellStyle name="Output 3 7 2 2 6 2" xfId="47125"/>
    <cellStyle name="Output 3 7 2 2 6 3" xfId="51031"/>
    <cellStyle name="Output 3 7 2 2 7" xfId="40928"/>
    <cellStyle name="Output 3 7 2 2 8" xfId="42713"/>
    <cellStyle name="Output 3 7 2 3" xfId="11045"/>
    <cellStyle name="Output 3 7 2 3 2" xfId="18832"/>
    <cellStyle name="Output 3 7 2 3 2 2" xfId="44364"/>
    <cellStyle name="Output 3 7 2 3 2 3" xfId="48273"/>
    <cellStyle name="Output 3 7 2 3 2 4" xfId="36455"/>
    <cellStyle name="Output 3 7 2 3 3" xfId="20425"/>
    <cellStyle name="Output 3 7 2 3 3 2" xfId="45947"/>
    <cellStyle name="Output 3 7 2 3 3 3" xfId="49853"/>
    <cellStyle name="Output 3 7 2 3 3 4" xfId="37865"/>
    <cellStyle name="Output 3 7 2 3 4" xfId="20569"/>
    <cellStyle name="Output 3 7 2 3 4 2" xfId="46091"/>
    <cellStyle name="Output 3 7 2 3 4 3" xfId="49997"/>
    <cellStyle name="Output 3 7 2 3 4 4" xfId="37982"/>
    <cellStyle name="Output 3 7 2 3 5" xfId="21245"/>
    <cellStyle name="Output 3 7 2 3 5 2" xfId="46767"/>
    <cellStyle name="Output 3 7 2 3 5 3" xfId="50673"/>
    <cellStyle name="Output 3 7 2 3 5 4" xfId="38637"/>
    <cellStyle name="Output 3 7 2 3 6" xfId="21898"/>
    <cellStyle name="Output 3 7 2 3 6 2" xfId="47420"/>
    <cellStyle name="Output 3 7 2 3 6 3" xfId="51326"/>
    <cellStyle name="Output 3 7 2 3 7" xfId="41223"/>
    <cellStyle name="Output 3 7 2 3 8" xfId="39152"/>
    <cellStyle name="Output 3 7 2 4" xfId="15262"/>
    <cellStyle name="Output 3 7 2 4 2" xfId="43117"/>
    <cellStyle name="Output 3 7 2 4 3" xfId="41909"/>
    <cellStyle name="Output 3 7 2 4 4" xfId="32883"/>
    <cellStyle name="Output 3 7 2 5" xfId="19646"/>
    <cellStyle name="Output 3 7 2 5 2" xfId="45168"/>
    <cellStyle name="Output 3 7 2 5 3" xfId="49074"/>
    <cellStyle name="Output 3 7 2 5 4" xfId="37166"/>
    <cellStyle name="Output 3 7 2 6" xfId="19644"/>
    <cellStyle name="Output 3 7 2 6 2" xfId="45166"/>
    <cellStyle name="Output 3 7 2 6 3" xfId="49072"/>
    <cellStyle name="Output 3 7 2 6 4" xfId="37164"/>
    <cellStyle name="Output 3 7 2 7" xfId="20261"/>
    <cellStyle name="Output 3 7 2 7 2" xfId="45783"/>
    <cellStyle name="Output 3 7 2 7 3" xfId="49689"/>
    <cellStyle name="Output 3 7 2 7 4" xfId="37715"/>
    <cellStyle name="Output 3 7 2 8" xfId="20495"/>
    <cellStyle name="Output 3 7 2 8 2" xfId="46017"/>
    <cellStyle name="Output 3 7 2 8 3" xfId="49923"/>
    <cellStyle name="Output 3 7 2 9" xfId="39977"/>
    <cellStyle name="Output 3 7 3" xfId="13274"/>
    <cellStyle name="Output 3 7 3 2" xfId="42425"/>
    <cellStyle name="Output 3 7 3 3" xfId="39621"/>
    <cellStyle name="Output 3 7 3 4" xfId="30905"/>
    <cellStyle name="Output 3 7 4" xfId="20299"/>
    <cellStyle name="Output 3 7 4 2" xfId="45821"/>
    <cellStyle name="Output 3 7 4 3" xfId="49727"/>
    <cellStyle name="Output 3 7 4 4" xfId="37750"/>
    <cellStyle name="Output 3 7 5" xfId="53396"/>
    <cellStyle name="Output 3 8" xfId="5314"/>
    <cellStyle name="Output 3 8 2" xfId="7481"/>
    <cellStyle name="Output 3 8 2 10" xfId="47522"/>
    <cellStyle name="Output 3 8 2 2" xfId="10751"/>
    <cellStyle name="Output 3 8 2 2 2" xfId="18538"/>
    <cellStyle name="Output 3 8 2 2 2 2" xfId="44070"/>
    <cellStyle name="Output 3 8 2 2 2 3" xfId="47979"/>
    <cellStyle name="Output 3 8 2 2 2 4" xfId="36161"/>
    <cellStyle name="Output 3 8 2 2 3" xfId="19398"/>
    <cellStyle name="Output 3 8 2 2 3 2" xfId="44920"/>
    <cellStyle name="Output 3 8 2 2 3 3" xfId="48826"/>
    <cellStyle name="Output 3 8 2 2 3 4" xfId="36949"/>
    <cellStyle name="Output 3 8 2 2 4" xfId="11634"/>
    <cellStyle name="Output 3 8 2 2 4 2" xfId="41625"/>
    <cellStyle name="Output 3 8 2 2 4 3" xfId="40001"/>
    <cellStyle name="Output 3 8 2 2 4 4" xfId="29321"/>
    <cellStyle name="Output 3 8 2 2 5" xfId="20951"/>
    <cellStyle name="Output 3 8 2 2 5 2" xfId="46473"/>
    <cellStyle name="Output 3 8 2 2 5 3" xfId="50379"/>
    <cellStyle name="Output 3 8 2 2 5 4" xfId="38343"/>
    <cellStyle name="Output 3 8 2 2 6" xfId="21604"/>
    <cellStyle name="Output 3 8 2 2 6 2" xfId="47126"/>
    <cellStyle name="Output 3 8 2 2 6 3" xfId="51032"/>
    <cellStyle name="Output 3 8 2 2 7" xfId="40929"/>
    <cellStyle name="Output 3 8 2 2 8" xfId="43602"/>
    <cellStyle name="Output 3 8 2 3" xfId="11046"/>
    <cellStyle name="Output 3 8 2 3 2" xfId="18833"/>
    <cellStyle name="Output 3 8 2 3 2 2" xfId="44365"/>
    <cellStyle name="Output 3 8 2 3 2 3" xfId="48274"/>
    <cellStyle name="Output 3 8 2 3 2 4" xfId="36456"/>
    <cellStyle name="Output 3 8 2 3 3" xfId="20426"/>
    <cellStyle name="Output 3 8 2 3 3 2" xfId="45948"/>
    <cellStyle name="Output 3 8 2 3 3 3" xfId="49854"/>
    <cellStyle name="Output 3 8 2 3 3 4" xfId="37866"/>
    <cellStyle name="Output 3 8 2 3 4" xfId="20570"/>
    <cellStyle name="Output 3 8 2 3 4 2" xfId="46092"/>
    <cellStyle name="Output 3 8 2 3 4 3" xfId="49998"/>
    <cellStyle name="Output 3 8 2 3 4 4" xfId="37983"/>
    <cellStyle name="Output 3 8 2 3 5" xfId="21246"/>
    <cellStyle name="Output 3 8 2 3 5 2" xfId="46768"/>
    <cellStyle name="Output 3 8 2 3 5 3" xfId="50674"/>
    <cellStyle name="Output 3 8 2 3 5 4" xfId="38638"/>
    <cellStyle name="Output 3 8 2 3 6" xfId="21899"/>
    <cellStyle name="Output 3 8 2 3 6 2" xfId="47421"/>
    <cellStyle name="Output 3 8 2 3 6 3" xfId="51327"/>
    <cellStyle name="Output 3 8 2 3 7" xfId="41224"/>
    <cellStyle name="Output 3 8 2 3 8" xfId="41393"/>
    <cellStyle name="Output 3 8 2 4" xfId="15263"/>
    <cellStyle name="Output 3 8 2 4 2" xfId="43118"/>
    <cellStyle name="Output 3 8 2 4 3" xfId="43263"/>
    <cellStyle name="Output 3 8 2 4 4" xfId="32884"/>
    <cellStyle name="Output 3 8 2 5" xfId="20205"/>
    <cellStyle name="Output 3 8 2 5 2" xfId="45727"/>
    <cellStyle name="Output 3 8 2 5 3" xfId="49633"/>
    <cellStyle name="Output 3 8 2 5 4" xfId="37668"/>
    <cellStyle name="Output 3 8 2 6" xfId="20461"/>
    <cellStyle name="Output 3 8 2 6 2" xfId="45983"/>
    <cellStyle name="Output 3 8 2 6 3" xfId="49889"/>
    <cellStyle name="Output 3 8 2 6 4" xfId="37900"/>
    <cellStyle name="Output 3 8 2 7" xfId="19009"/>
    <cellStyle name="Output 3 8 2 7 2" xfId="44531"/>
    <cellStyle name="Output 3 8 2 7 3" xfId="48437"/>
    <cellStyle name="Output 3 8 2 7 4" xfId="36603"/>
    <cellStyle name="Output 3 8 2 8" xfId="12492"/>
    <cellStyle name="Output 3 8 2 8 2" xfId="41986"/>
    <cellStyle name="Output 3 8 2 8 3" xfId="40424"/>
    <cellStyle name="Output 3 8 2 9" xfId="39978"/>
    <cellStyle name="Output 3 8 3" xfId="13275"/>
    <cellStyle name="Output 3 8 3 2" xfId="42426"/>
    <cellStyle name="Output 3 8 3 3" xfId="42657"/>
    <cellStyle name="Output 3 8 3 4" xfId="30906"/>
    <cellStyle name="Output 3 8 4" xfId="19510"/>
    <cellStyle name="Output 3 8 4 2" xfId="45032"/>
    <cellStyle name="Output 3 8 4 3" xfId="48938"/>
    <cellStyle name="Output 3 8 4 4" xfId="37044"/>
    <cellStyle name="Output 3 9" xfId="5315"/>
    <cellStyle name="Output 3 9 2" xfId="10472"/>
    <cellStyle name="Output 3 9 2 2" xfId="18259"/>
    <cellStyle name="Output 3 9 2 2 2" xfId="43791"/>
    <cellStyle name="Output 3 9 2 2 3" xfId="47700"/>
    <cellStyle name="Output 3 9 2 2 4" xfId="35882"/>
    <cellStyle name="Output 3 9 2 3" xfId="19907"/>
    <cellStyle name="Output 3 9 2 3 2" xfId="45429"/>
    <cellStyle name="Output 3 9 2 3 3" xfId="49335"/>
    <cellStyle name="Output 3 9 2 3 4" xfId="37407"/>
    <cellStyle name="Output 3 9 2 4" xfId="11452"/>
    <cellStyle name="Output 3 9 2 4 2" xfId="41443"/>
    <cellStyle name="Output 3 9 2 4 3" xfId="40439"/>
    <cellStyle name="Output 3 9 2 4 4" xfId="29157"/>
    <cellStyle name="Output 3 9 2 5" xfId="20672"/>
    <cellStyle name="Output 3 9 2 5 2" xfId="46194"/>
    <cellStyle name="Output 3 9 2 5 3" xfId="50100"/>
    <cellStyle name="Output 3 9 2 5 4" xfId="38064"/>
    <cellStyle name="Output 3 9 2 6" xfId="21325"/>
    <cellStyle name="Output 3 9 2 6 2" xfId="46847"/>
    <cellStyle name="Output 3 9 2 6 3" xfId="50753"/>
    <cellStyle name="Output 3 9 2 7" xfId="40650"/>
    <cellStyle name="Output 3 9 2 8" xfId="39375"/>
    <cellStyle name="Output 3 9 3" xfId="8798"/>
    <cellStyle name="Output 3 9 3 2" xfId="16588"/>
    <cellStyle name="Output 3 9 3 2 2" xfId="43413"/>
    <cellStyle name="Output 3 9 3 2 3" xfId="39599"/>
    <cellStyle name="Output 3 9 3 2 4" xfId="34209"/>
    <cellStyle name="Output 3 9 3 3" xfId="19459"/>
    <cellStyle name="Output 3 9 3 3 2" xfId="44981"/>
    <cellStyle name="Output 3 9 3 3 3" xfId="48887"/>
    <cellStyle name="Output 3 9 3 3 4" xfId="37003"/>
    <cellStyle name="Output 3 9 3 4" xfId="19349"/>
    <cellStyle name="Output 3 9 3 4 2" xfId="44871"/>
    <cellStyle name="Output 3 9 3 4 3" xfId="48777"/>
    <cellStyle name="Output 3 9 3 4 4" xfId="36903"/>
    <cellStyle name="Output 3 9 3 5" xfId="19012"/>
    <cellStyle name="Output 3 9 3 5 2" xfId="44534"/>
    <cellStyle name="Output 3 9 3 5 3" xfId="48440"/>
    <cellStyle name="Output 3 9 3 5 4" xfId="36606"/>
    <cellStyle name="Output 3 9 3 6" xfId="19526"/>
    <cellStyle name="Output 3 9 3 6 2" xfId="45048"/>
    <cellStyle name="Output 3 9 3 6 3" xfId="48954"/>
    <cellStyle name="Output 3 9 3 7" xfId="40275"/>
    <cellStyle name="Output 3 9 3 8" xfId="39184"/>
    <cellStyle name="Output 3 9 4" xfId="13276"/>
    <cellStyle name="Output 3 9 4 2" xfId="42427"/>
    <cellStyle name="Output 3 9 4 3" xfId="43545"/>
    <cellStyle name="Output 3 9 4 4" xfId="30907"/>
    <cellStyle name="Output 3 9 5" xfId="11729"/>
    <cellStyle name="Output 3 9 5 2" xfId="41695"/>
    <cellStyle name="Output 3 9 5 3" xfId="42678"/>
    <cellStyle name="Output 3 9 5 4" xfId="29402"/>
    <cellStyle name="Output 3_BallGrid" xfId="3268"/>
    <cellStyle name="Output 4" xfId="138"/>
    <cellStyle name="Output 4 10" xfId="12111"/>
    <cellStyle name="Output 4 10 2" xfId="41836"/>
    <cellStyle name="Output 4 10 3" xfId="47443"/>
    <cellStyle name="Output 4 10 4" xfId="29770"/>
    <cellStyle name="Output 4 11" xfId="19669"/>
    <cellStyle name="Output 4 11 2" xfId="45191"/>
    <cellStyle name="Output 4 11 3" xfId="49097"/>
    <cellStyle name="Output 4 11 4" xfId="37187"/>
    <cellStyle name="Output 4 12" xfId="3269"/>
    <cellStyle name="Output 4 13" xfId="52739"/>
    <cellStyle name="Output 4 2" xfId="3270"/>
    <cellStyle name="Output 4 2 2" xfId="7483"/>
    <cellStyle name="Output 4 2 2 10" xfId="43507"/>
    <cellStyle name="Output 4 2 2 11" xfId="53299"/>
    <cellStyle name="Output 4 2 2 2" xfId="10753"/>
    <cellStyle name="Output 4 2 2 2 2" xfId="18540"/>
    <cellStyle name="Output 4 2 2 2 2 2" xfId="44072"/>
    <cellStyle name="Output 4 2 2 2 2 3" xfId="47981"/>
    <cellStyle name="Output 4 2 2 2 2 4" xfId="36163"/>
    <cellStyle name="Output 4 2 2 2 3" xfId="19271"/>
    <cellStyle name="Output 4 2 2 2 3 2" xfId="44793"/>
    <cellStyle name="Output 4 2 2 2 3 3" xfId="48699"/>
    <cellStyle name="Output 4 2 2 2 3 4" xfId="36835"/>
    <cellStyle name="Output 4 2 2 2 4" xfId="11648"/>
    <cellStyle name="Output 4 2 2 2 4 2" xfId="41639"/>
    <cellStyle name="Output 4 2 2 2 4 3" xfId="43462"/>
    <cellStyle name="Output 4 2 2 2 4 4" xfId="29333"/>
    <cellStyle name="Output 4 2 2 2 5" xfId="20953"/>
    <cellStyle name="Output 4 2 2 2 5 2" xfId="46475"/>
    <cellStyle name="Output 4 2 2 2 5 3" xfId="50381"/>
    <cellStyle name="Output 4 2 2 2 5 4" xfId="38345"/>
    <cellStyle name="Output 4 2 2 2 6" xfId="21606"/>
    <cellStyle name="Output 4 2 2 2 6 2" xfId="47128"/>
    <cellStyle name="Output 4 2 2 2 6 3" xfId="51034"/>
    <cellStyle name="Output 4 2 2 2 7" xfId="40931"/>
    <cellStyle name="Output 4 2 2 2 8" xfId="39570"/>
    <cellStyle name="Output 4 2 2 2 9" xfId="53407"/>
    <cellStyle name="Output 4 2 2 3" xfId="11048"/>
    <cellStyle name="Output 4 2 2 3 2" xfId="18835"/>
    <cellStyle name="Output 4 2 2 3 2 2" xfId="44367"/>
    <cellStyle name="Output 4 2 2 3 2 3" xfId="48276"/>
    <cellStyle name="Output 4 2 2 3 2 4" xfId="36458"/>
    <cellStyle name="Output 4 2 2 3 3" xfId="20428"/>
    <cellStyle name="Output 4 2 2 3 3 2" xfId="45950"/>
    <cellStyle name="Output 4 2 2 3 3 3" xfId="49856"/>
    <cellStyle name="Output 4 2 2 3 3 4" xfId="37868"/>
    <cellStyle name="Output 4 2 2 3 4" xfId="20572"/>
    <cellStyle name="Output 4 2 2 3 4 2" xfId="46094"/>
    <cellStyle name="Output 4 2 2 3 4 3" xfId="50000"/>
    <cellStyle name="Output 4 2 2 3 4 4" xfId="37985"/>
    <cellStyle name="Output 4 2 2 3 5" xfId="21248"/>
    <cellStyle name="Output 4 2 2 3 5 2" xfId="46770"/>
    <cellStyle name="Output 4 2 2 3 5 3" xfId="50676"/>
    <cellStyle name="Output 4 2 2 3 5 4" xfId="38640"/>
    <cellStyle name="Output 4 2 2 3 6" xfId="21901"/>
    <cellStyle name="Output 4 2 2 3 6 2" xfId="47423"/>
    <cellStyle name="Output 4 2 2 3 6 3" xfId="51329"/>
    <cellStyle name="Output 4 2 2 3 7" xfId="41226"/>
    <cellStyle name="Output 4 2 2 3 8" xfId="40055"/>
    <cellStyle name="Output 4 2 2 4" xfId="15265"/>
    <cellStyle name="Output 4 2 2 4 2" xfId="43120"/>
    <cellStyle name="Output 4 2 2 4 3" xfId="39236"/>
    <cellStyle name="Output 4 2 2 4 4" xfId="32886"/>
    <cellStyle name="Output 4 2 2 5" xfId="20074"/>
    <cellStyle name="Output 4 2 2 5 2" xfId="45596"/>
    <cellStyle name="Output 4 2 2 5 3" xfId="49502"/>
    <cellStyle name="Output 4 2 2 5 4" xfId="37552"/>
    <cellStyle name="Output 4 2 2 6" xfId="11617"/>
    <cellStyle name="Output 4 2 2 6 2" xfId="41608"/>
    <cellStyle name="Output 4 2 2 6 3" xfId="40324"/>
    <cellStyle name="Output 4 2 2 6 4" xfId="29306"/>
    <cellStyle name="Output 4 2 2 7" xfId="19010"/>
    <cellStyle name="Output 4 2 2 7 2" xfId="44532"/>
    <cellStyle name="Output 4 2 2 7 3" xfId="48438"/>
    <cellStyle name="Output 4 2 2 7 4" xfId="36604"/>
    <cellStyle name="Output 4 2 2 8" xfId="19828"/>
    <cellStyle name="Output 4 2 2 8 2" xfId="45350"/>
    <cellStyle name="Output 4 2 2 8 3" xfId="49256"/>
    <cellStyle name="Output 4 2 2 9" xfId="39980"/>
    <cellStyle name="Output 4 2 3" xfId="12112"/>
    <cellStyle name="Output 4 2 3 2" xfId="41837"/>
    <cellStyle name="Output 4 2 3 3" xfId="47466"/>
    <cellStyle name="Output 4 2 3 4" xfId="29771"/>
    <cellStyle name="Output 4 2 3 5" xfId="53406"/>
    <cellStyle name="Output 4 2 4" xfId="20231"/>
    <cellStyle name="Output 4 2 4 2" xfId="45753"/>
    <cellStyle name="Output 4 2 4 3" xfId="49659"/>
    <cellStyle name="Output 4 2 4 4" xfId="37689"/>
    <cellStyle name="Output 4 2 5" xfId="23009"/>
    <cellStyle name="Output 4 2 5 2" xfId="47601"/>
    <cellStyle name="Output 4 2 5 3" xfId="51412"/>
    <cellStyle name="Output 4 2 6" xfId="53298"/>
    <cellStyle name="Output 4 3" xfId="3271"/>
    <cellStyle name="Output 4 3 2" xfId="7484"/>
    <cellStyle name="Output 4 3 2 10" xfId="40370"/>
    <cellStyle name="Output 4 3 2 11" xfId="53301"/>
    <cellStyle name="Output 4 3 2 2" xfId="10754"/>
    <cellStyle name="Output 4 3 2 2 2" xfId="18541"/>
    <cellStyle name="Output 4 3 2 2 2 2" xfId="44073"/>
    <cellStyle name="Output 4 3 2 2 2 3" xfId="47982"/>
    <cellStyle name="Output 4 3 2 2 2 4" xfId="36164"/>
    <cellStyle name="Output 4 3 2 2 3" xfId="19880"/>
    <cellStyle name="Output 4 3 2 2 3 2" xfId="45402"/>
    <cellStyle name="Output 4 3 2 2 3 3" xfId="49308"/>
    <cellStyle name="Output 4 3 2 2 3 4" xfId="37380"/>
    <cellStyle name="Output 4 3 2 2 4" xfId="12686"/>
    <cellStyle name="Output 4 3 2 2 4 2" xfId="42146"/>
    <cellStyle name="Output 4 3 2 2 4 3" xfId="42535"/>
    <cellStyle name="Output 4 3 2 2 4 4" xfId="30333"/>
    <cellStyle name="Output 4 3 2 2 5" xfId="20954"/>
    <cellStyle name="Output 4 3 2 2 5 2" xfId="46476"/>
    <cellStyle name="Output 4 3 2 2 5 3" xfId="50382"/>
    <cellStyle name="Output 4 3 2 2 5 4" xfId="38346"/>
    <cellStyle name="Output 4 3 2 2 6" xfId="21607"/>
    <cellStyle name="Output 4 3 2 2 6 2" xfId="47129"/>
    <cellStyle name="Output 4 3 2 2 6 3" xfId="51035"/>
    <cellStyle name="Output 4 3 2 2 7" xfId="40932"/>
    <cellStyle name="Output 4 3 2 2 8" xfId="42578"/>
    <cellStyle name="Output 4 3 2 2 9" xfId="53409"/>
    <cellStyle name="Output 4 3 2 3" xfId="11049"/>
    <cellStyle name="Output 4 3 2 3 2" xfId="18836"/>
    <cellStyle name="Output 4 3 2 3 2 2" xfId="44368"/>
    <cellStyle name="Output 4 3 2 3 2 3" xfId="48277"/>
    <cellStyle name="Output 4 3 2 3 2 4" xfId="36459"/>
    <cellStyle name="Output 4 3 2 3 3" xfId="20429"/>
    <cellStyle name="Output 4 3 2 3 3 2" xfId="45951"/>
    <cellStyle name="Output 4 3 2 3 3 3" xfId="49857"/>
    <cellStyle name="Output 4 3 2 3 3 4" xfId="37869"/>
    <cellStyle name="Output 4 3 2 3 4" xfId="20573"/>
    <cellStyle name="Output 4 3 2 3 4 2" xfId="46095"/>
    <cellStyle name="Output 4 3 2 3 4 3" xfId="50001"/>
    <cellStyle name="Output 4 3 2 3 4 4" xfId="37986"/>
    <cellStyle name="Output 4 3 2 3 5" xfId="21249"/>
    <cellStyle name="Output 4 3 2 3 5 2" xfId="46771"/>
    <cellStyle name="Output 4 3 2 3 5 3" xfId="50677"/>
    <cellStyle name="Output 4 3 2 3 5 4" xfId="38641"/>
    <cellStyle name="Output 4 3 2 3 6" xfId="21902"/>
    <cellStyle name="Output 4 3 2 3 6 2" xfId="47424"/>
    <cellStyle name="Output 4 3 2 3 6 3" xfId="51330"/>
    <cellStyle name="Output 4 3 2 3 7" xfId="41227"/>
    <cellStyle name="Output 4 3 2 3 8" xfId="42802"/>
    <cellStyle name="Output 4 3 2 4" xfId="15266"/>
    <cellStyle name="Output 4 3 2 4 2" xfId="43121"/>
    <cellStyle name="Output 4 3 2 4 3" xfId="39028"/>
    <cellStyle name="Output 4 3 2 4 4" xfId="32887"/>
    <cellStyle name="Output 4 3 2 5" xfId="19336"/>
    <cellStyle name="Output 4 3 2 5 2" xfId="44858"/>
    <cellStyle name="Output 4 3 2 5 3" xfId="48764"/>
    <cellStyle name="Output 4 3 2 5 4" xfId="36893"/>
    <cellStyle name="Output 4 3 2 6" xfId="11559"/>
    <cellStyle name="Output 4 3 2 6 2" xfId="41550"/>
    <cellStyle name="Output 4 3 2 6 3" xfId="40328"/>
    <cellStyle name="Output 4 3 2 6 4" xfId="29256"/>
    <cellStyle name="Output 4 3 2 7" xfId="12493"/>
    <cellStyle name="Output 4 3 2 7 2" xfId="41987"/>
    <cellStyle name="Output 4 3 2 7 3" xfId="39534"/>
    <cellStyle name="Output 4 3 2 7 4" xfId="30148"/>
    <cellStyle name="Output 4 3 2 8" xfId="18894"/>
    <cellStyle name="Output 4 3 2 8 2" xfId="44416"/>
    <cellStyle name="Output 4 3 2 8 3" xfId="48322"/>
    <cellStyle name="Output 4 3 2 9" xfId="39981"/>
    <cellStyle name="Output 4 3 3" xfId="12113"/>
    <cellStyle name="Output 4 3 3 2" xfId="41838"/>
    <cellStyle name="Output 4 3 3 3" xfId="47553"/>
    <cellStyle name="Output 4 3 3 4" xfId="29772"/>
    <cellStyle name="Output 4 3 3 5" xfId="53408"/>
    <cellStyle name="Output 4 3 4" xfId="19531"/>
    <cellStyle name="Output 4 3 4 2" xfId="45053"/>
    <cellStyle name="Output 4 3 4 3" xfId="48959"/>
    <cellStyle name="Output 4 3 4 4" xfId="37061"/>
    <cellStyle name="Output 4 3 5" xfId="22606"/>
    <cellStyle name="Output 4 3 5 2" xfId="47533"/>
    <cellStyle name="Output 4 3 5 3" xfId="51382"/>
    <cellStyle name="Output 4 3 6" xfId="53300"/>
    <cellStyle name="Output 4 4" xfId="3272"/>
    <cellStyle name="Output 4 4 2" xfId="7485"/>
    <cellStyle name="Output 4 4 2 10" xfId="39482"/>
    <cellStyle name="Output 4 4 2 11" xfId="53410"/>
    <cellStyle name="Output 4 4 2 2" xfId="10755"/>
    <cellStyle name="Output 4 4 2 2 2" xfId="18542"/>
    <cellStyle name="Output 4 4 2 2 2 2" xfId="44074"/>
    <cellStyle name="Output 4 4 2 2 2 3" xfId="47983"/>
    <cellStyle name="Output 4 4 2 2 2 4" xfId="36165"/>
    <cellStyle name="Output 4 4 2 2 3" xfId="19103"/>
    <cellStyle name="Output 4 4 2 2 3 2" xfId="44625"/>
    <cellStyle name="Output 4 4 2 2 3 3" xfId="48531"/>
    <cellStyle name="Output 4 4 2 2 3 4" xfId="36684"/>
    <cellStyle name="Output 4 4 2 2 4" xfId="11661"/>
    <cellStyle name="Output 4 4 2 2 4 2" xfId="41652"/>
    <cellStyle name="Output 4 4 2 2 4 3" xfId="43675"/>
    <cellStyle name="Output 4 4 2 2 4 4" xfId="29343"/>
    <cellStyle name="Output 4 4 2 2 5" xfId="20955"/>
    <cellStyle name="Output 4 4 2 2 5 2" xfId="46477"/>
    <cellStyle name="Output 4 4 2 2 5 3" xfId="50383"/>
    <cellStyle name="Output 4 4 2 2 5 4" xfId="38347"/>
    <cellStyle name="Output 4 4 2 2 6" xfId="21608"/>
    <cellStyle name="Output 4 4 2 2 6 2" xfId="47130"/>
    <cellStyle name="Output 4 4 2 2 6 3" xfId="51036"/>
    <cellStyle name="Output 4 4 2 2 7" xfId="40933"/>
    <cellStyle name="Output 4 4 2 2 8" xfId="43491"/>
    <cellStyle name="Output 4 4 2 3" xfId="11050"/>
    <cellStyle name="Output 4 4 2 3 2" xfId="18837"/>
    <cellStyle name="Output 4 4 2 3 2 2" xfId="44369"/>
    <cellStyle name="Output 4 4 2 3 2 3" xfId="48278"/>
    <cellStyle name="Output 4 4 2 3 2 4" xfId="36460"/>
    <cellStyle name="Output 4 4 2 3 3" xfId="20430"/>
    <cellStyle name="Output 4 4 2 3 3 2" xfId="45952"/>
    <cellStyle name="Output 4 4 2 3 3 3" xfId="49858"/>
    <cellStyle name="Output 4 4 2 3 3 4" xfId="37870"/>
    <cellStyle name="Output 4 4 2 3 4" xfId="20574"/>
    <cellStyle name="Output 4 4 2 3 4 2" xfId="46096"/>
    <cellStyle name="Output 4 4 2 3 4 3" xfId="50002"/>
    <cellStyle name="Output 4 4 2 3 4 4" xfId="37987"/>
    <cellStyle name="Output 4 4 2 3 5" xfId="21250"/>
    <cellStyle name="Output 4 4 2 3 5 2" xfId="46772"/>
    <cellStyle name="Output 4 4 2 3 5 3" xfId="50678"/>
    <cellStyle name="Output 4 4 2 3 5 4" xfId="38642"/>
    <cellStyle name="Output 4 4 2 3 6" xfId="21903"/>
    <cellStyle name="Output 4 4 2 3 6 2" xfId="47425"/>
    <cellStyle name="Output 4 4 2 3 6 3" xfId="51331"/>
    <cellStyle name="Output 4 4 2 3 7" xfId="41228"/>
    <cellStyle name="Output 4 4 2 3 8" xfId="43691"/>
    <cellStyle name="Output 4 4 2 4" xfId="15267"/>
    <cellStyle name="Output 4 4 2 4 2" xfId="43122"/>
    <cellStyle name="Output 4 4 2 4 3" xfId="47452"/>
    <cellStyle name="Output 4 4 2 4 4" xfId="32888"/>
    <cellStyle name="Output 4 4 2 5" xfId="19945"/>
    <cellStyle name="Output 4 4 2 5 2" xfId="45467"/>
    <cellStyle name="Output 4 4 2 5 3" xfId="49373"/>
    <cellStyle name="Output 4 4 2 5 4" xfId="37436"/>
    <cellStyle name="Output 4 4 2 6" xfId="19353"/>
    <cellStyle name="Output 4 4 2 6 2" xfId="44875"/>
    <cellStyle name="Output 4 4 2 6 3" xfId="48781"/>
    <cellStyle name="Output 4 4 2 6 4" xfId="36907"/>
    <cellStyle name="Output 4 4 2 7" xfId="20050"/>
    <cellStyle name="Output 4 4 2 7 2" xfId="45572"/>
    <cellStyle name="Output 4 4 2 7 3" xfId="49478"/>
    <cellStyle name="Output 4 4 2 7 4" xfId="37531"/>
    <cellStyle name="Output 4 4 2 8" xfId="19341"/>
    <cellStyle name="Output 4 4 2 8 2" xfId="44863"/>
    <cellStyle name="Output 4 4 2 8 3" xfId="48769"/>
    <cellStyle name="Output 4 4 2 9" xfId="39982"/>
    <cellStyle name="Output 4 4 3" xfId="12114"/>
    <cellStyle name="Output 4 4 3 2" xfId="41839"/>
    <cellStyle name="Output 4 4 3 3" xfId="47472"/>
    <cellStyle name="Output 4 4 3 4" xfId="29773"/>
    <cellStyle name="Output 4 4 4" xfId="20097"/>
    <cellStyle name="Output 4 4 4 2" xfId="45619"/>
    <cellStyle name="Output 4 4 4 3" xfId="49525"/>
    <cellStyle name="Output 4 4 4 4" xfId="37571"/>
    <cellStyle name="Output 4 4 5" xfId="53302"/>
    <cellStyle name="Output 4 5" xfId="3273"/>
    <cellStyle name="Output 4 5 2" xfId="7486"/>
    <cellStyle name="Output 4 5 2 10" xfId="47597"/>
    <cellStyle name="Output 4 5 2 11" xfId="53411"/>
    <cellStyle name="Output 4 5 2 2" xfId="10756"/>
    <cellStyle name="Output 4 5 2 2 2" xfId="18543"/>
    <cellStyle name="Output 4 5 2 2 2 2" xfId="44075"/>
    <cellStyle name="Output 4 5 2 2 2 3" xfId="47984"/>
    <cellStyle name="Output 4 5 2 2 2 4" xfId="36166"/>
    <cellStyle name="Output 4 5 2 2 3" xfId="19719"/>
    <cellStyle name="Output 4 5 2 2 3 2" xfId="45241"/>
    <cellStyle name="Output 4 5 2 2 3 3" xfId="49147"/>
    <cellStyle name="Output 4 5 2 2 3 4" xfId="37232"/>
    <cellStyle name="Output 4 5 2 2 4" xfId="19351"/>
    <cellStyle name="Output 4 5 2 2 4 2" xfId="44873"/>
    <cellStyle name="Output 4 5 2 2 4 3" xfId="48779"/>
    <cellStyle name="Output 4 5 2 2 4 4" xfId="36905"/>
    <cellStyle name="Output 4 5 2 2 5" xfId="20956"/>
    <cellStyle name="Output 4 5 2 2 5 2" xfId="46478"/>
    <cellStyle name="Output 4 5 2 2 5 3" xfId="50384"/>
    <cellStyle name="Output 4 5 2 2 5 4" xfId="38348"/>
    <cellStyle name="Output 4 5 2 2 6" xfId="21609"/>
    <cellStyle name="Output 4 5 2 2 6 2" xfId="47131"/>
    <cellStyle name="Output 4 5 2 2 6 3" xfId="51037"/>
    <cellStyle name="Output 4 5 2 2 7" xfId="40934"/>
    <cellStyle name="Output 4 5 2 2 8" xfId="40354"/>
    <cellStyle name="Output 4 5 2 3" xfId="11051"/>
    <cellStyle name="Output 4 5 2 3 2" xfId="18838"/>
    <cellStyle name="Output 4 5 2 3 2 2" xfId="44370"/>
    <cellStyle name="Output 4 5 2 3 2 3" xfId="48279"/>
    <cellStyle name="Output 4 5 2 3 2 4" xfId="36461"/>
    <cellStyle name="Output 4 5 2 3 3" xfId="20431"/>
    <cellStyle name="Output 4 5 2 3 3 2" xfId="45953"/>
    <cellStyle name="Output 4 5 2 3 3 3" xfId="49859"/>
    <cellStyle name="Output 4 5 2 3 3 4" xfId="37871"/>
    <cellStyle name="Output 4 5 2 3 4" xfId="20575"/>
    <cellStyle name="Output 4 5 2 3 4 2" xfId="46097"/>
    <cellStyle name="Output 4 5 2 3 4 3" xfId="50003"/>
    <cellStyle name="Output 4 5 2 3 4 4" xfId="37988"/>
    <cellStyle name="Output 4 5 2 3 5" xfId="21251"/>
    <cellStyle name="Output 4 5 2 3 5 2" xfId="46773"/>
    <cellStyle name="Output 4 5 2 3 5 3" xfId="50679"/>
    <cellStyle name="Output 4 5 2 3 5 4" xfId="38643"/>
    <cellStyle name="Output 4 5 2 3 6" xfId="21904"/>
    <cellStyle name="Output 4 5 2 3 6 2" xfId="47426"/>
    <cellStyle name="Output 4 5 2 3 6 3" xfId="51332"/>
    <cellStyle name="Output 4 5 2 3 7" xfId="41229"/>
    <cellStyle name="Output 4 5 2 3 8" xfId="40550"/>
    <cellStyle name="Output 4 5 2 4" xfId="15268"/>
    <cellStyle name="Output 4 5 2 4 2" xfId="43123"/>
    <cellStyle name="Output 4 5 2 4 3" xfId="39027"/>
    <cellStyle name="Output 4 5 2 4 4" xfId="32889"/>
    <cellStyle name="Output 4 5 2 5" xfId="19178"/>
    <cellStyle name="Output 4 5 2 5 2" xfId="44700"/>
    <cellStyle name="Output 4 5 2 5 3" xfId="48606"/>
    <cellStyle name="Output 4 5 2 5 4" xfId="36751"/>
    <cellStyle name="Output 4 5 2 6" xfId="18910"/>
    <cellStyle name="Output 4 5 2 6 2" xfId="44432"/>
    <cellStyle name="Output 4 5 2 6 3" xfId="48338"/>
    <cellStyle name="Output 4 5 2 6 4" xfId="36524"/>
    <cellStyle name="Output 4 5 2 7" xfId="12606"/>
    <cellStyle name="Output 4 5 2 7 2" xfId="42066"/>
    <cellStyle name="Output 4 5 2 7 3" xfId="39531"/>
    <cellStyle name="Output 4 5 2 7 4" xfId="30258"/>
    <cellStyle name="Output 4 5 2 8" xfId="19490"/>
    <cellStyle name="Output 4 5 2 8 2" xfId="45012"/>
    <cellStyle name="Output 4 5 2 8 3" xfId="48918"/>
    <cellStyle name="Output 4 5 2 9" xfId="39983"/>
    <cellStyle name="Output 4 5 3" xfId="12115"/>
    <cellStyle name="Output 4 5 3 2" xfId="41840"/>
    <cellStyle name="Output 4 5 3 3" xfId="47471"/>
    <cellStyle name="Output 4 5 3 4" xfId="29774"/>
    <cellStyle name="Output 4 5 4" xfId="19357"/>
    <cellStyle name="Output 4 5 4 2" xfId="44879"/>
    <cellStyle name="Output 4 5 4 3" xfId="48785"/>
    <cellStyle name="Output 4 5 4 4" xfId="36911"/>
    <cellStyle name="Output 4 5 5" xfId="53303"/>
    <cellStyle name="Output 4 6" xfId="5316"/>
    <cellStyle name="Output 4 6 2" xfId="7487"/>
    <cellStyle name="Output 4 6 2 10" xfId="42157"/>
    <cellStyle name="Output 4 6 2 2" xfId="10757"/>
    <cellStyle name="Output 4 6 2 2 2" xfId="18544"/>
    <cellStyle name="Output 4 6 2 2 2 2" xfId="44076"/>
    <cellStyle name="Output 4 6 2 2 2 3" xfId="47985"/>
    <cellStyle name="Output 4 6 2 2 2 4" xfId="36167"/>
    <cellStyle name="Output 4 6 2 2 3" xfId="11499"/>
    <cellStyle name="Output 4 6 2 2 3 2" xfId="41490"/>
    <cellStyle name="Output 4 6 2 2 3 3" xfId="43469"/>
    <cellStyle name="Output 4 6 2 2 3 4" xfId="29200"/>
    <cellStyle name="Output 4 6 2 2 4" xfId="12674"/>
    <cellStyle name="Output 4 6 2 2 4 2" xfId="42134"/>
    <cellStyle name="Output 4 6 2 2 4 3" xfId="39284"/>
    <cellStyle name="Output 4 6 2 2 4 4" xfId="30322"/>
    <cellStyle name="Output 4 6 2 2 5" xfId="20957"/>
    <cellStyle name="Output 4 6 2 2 5 2" xfId="46479"/>
    <cellStyle name="Output 4 6 2 2 5 3" xfId="50385"/>
    <cellStyle name="Output 4 6 2 2 5 4" xfId="38349"/>
    <cellStyle name="Output 4 6 2 2 6" xfId="21610"/>
    <cellStyle name="Output 4 6 2 2 6 2" xfId="47132"/>
    <cellStyle name="Output 4 6 2 2 6 3" xfId="51038"/>
    <cellStyle name="Output 4 6 2 2 7" xfId="40935"/>
    <cellStyle name="Output 4 6 2 2 8" xfId="39466"/>
    <cellStyle name="Output 4 6 2 3" xfId="11052"/>
    <cellStyle name="Output 4 6 2 3 2" xfId="18839"/>
    <cellStyle name="Output 4 6 2 3 2 2" xfId="44371"/>
    <cellStyle name="Output 4 6 2 3 2 3" xfId="48280"/>
    <cellStyle name="Output 4 6 2 3 2 4" xfId="36462"/>
    <cellStyle name="Output 4 6 2 3 3" xfId="20432"/>
    <cellStyle name="Output 4 6 2 3 3 2" xfId="45954"/>
    <cellStyle name="Output 4 6 2 3 3 3" xfId="49860"/>
    <cellStyle name="Output 4 6 2 3 3 4" xfId="37872"/>
    <cellStyle name="Output 4 6 2 3 4" xfId="20576"/>
    <cellStyle name="Output 4 6 2 3 4 2" xfId="46098"/>
    <cellStyle name="Output 4 6 2 3 4 3" xfId="50004"/>
    <cellStyle name="Output 4 6 2 3 4 4" xfId="37989"/>
    <cellStyle name="Output 4 6 2 3 5" xfId="21252"/>
    <cellStyle name="Output 4 6 2 3 5 2" xfId="46774"/>
    <cellStyle name="Output 4 6 2 3 5 3" xfId="50680"/>
    <cellStyle name="Output 4 6 2 3 5 4" xfId="38644"/>
    <cellStyle name="Output 4 6 2 3 6" xfId="21905"/>
    <cellStyle name="Output 4 6 2 3 6 2" xfId="47427"/>
    <cellStyle name="Output 4 6 2 3 6 3" xfId="51333"/>
    <cellStyle name="Output 4 6 2 3 7" xfId="41230"/>
    <cellStyle name="Output 4 6 2 3 8" xfId="39661"/>
    <cellStyle name="Output 4 6 2 4" xfId="15269"/>
    <cellStyle name="Output 4 6 2 4 2" xfId="43124"/>
    <cellStyle name="Output 4 6 2 4 3" xfId="47578"/>
    <cellStyle name="Output 4 6 2 4 4" xfId="32890"/>
    <cellStyle name="Output 4 6 2 5" xfId="19801"/>
    <cellStyle name="Output 4 6 2 5 2" xfId="45323"/>
    <cellStyle name="Output 4 6 2 5 3" xfId="49229"/>
    <cellStyle name="Output 4 6 2 5 4" xfId="37308"/>
    <cellStyle name="Output 4 6 2 6" xfId="12935"/>
    <cellStyle name="Output 4 6 2 6 2" xfId="42232"/>
    <cellStyle name="Output 4 6 2 6 3" xfId="39521"/>
    <cellStyle name="Output 4 6 2 6 4" xfId="30570"/>
    <cellStyle name="Output 4 6 2 7" xfId="19858"/>
    <cellStyle name="Output 4 6 2 7 2" xfId="45380"/>
    <cellStyle name="Output 4 6 2 7 3" xfId="49286"/>
    <cellStyle name="Output 4 6 2 7 4" xfId="37358"/>
    <cellStyle name="Output 4 6 2 8" xfId="20476"/>
    <cellStyle name="Output 4 6 2 8 2" xfId="45998"/>
    <cellStyle name="Output 4 6 2 8 3" xfId="49904"/>
    <cellStyle name="Output 4 6 2 9" xfId="39984"/>
    <cellStyle name="Output 4 6 3" xfId="13277"/>
    <cellStyle name="Output 4 6 3 2" xfId="42428"/>
    <cellStyle name="Output 4 6 3 3" xfId="40406"/>
    <cellStyle name="Output 4 6 3 4" xfId="30908"/>
    <cellStyle name="Output 4 6 4" xfId="20358"/>
    <cellStyle name="Output 4 6 4 2" xfId="45880"/>
    <cellStyle name="Output 4 6 4 3" xfId="49786"/>
    <cellStyle name="Output 4 6 4 4" xfId="37800"/>
    <cellStyle name="Output 4 6 5" xfId="53405"/>
    <cellStyle name="Output 4 7" xfId="5317"/>
    <cellStyle name="Output 4 7 2" xfId="7488"/>
    <cellStyle name="Output 4 7 2 10" xfId="43391"/>
    <cellStyle name="Output 4 7 2 2" xfId="10758"/>
    <cellStyle name="Output 4 7 2 2 2" xfId="18545"/>
    <cellStyle name="Output 4 7 2 2 2 2" xfId="44077"/>
    <cellStyle name="Output 4 7 2 2 2 3" xfId="47986"/>
    <cellStyle name="Output 4 7 2 2 2 4" xfId="36168"/>
    <cellStyle name="Output 4 7 2 2 3" xfId="13324"/>
    <cellStyle name="Output 4 7 2 2 3 2" xfId="42475"/>
    <cellStyle name="Output 4 7 2 2 3 3" xfId="43163"/>
    <cellStyle name="Output 4 7 2 2 3 4" xfId="30950"/>
    <cellStyle name="Output 4 7 2 2 4" xfId="12796"/>
    <cellStyle name="Output 4 7 2 2 4 2" xfId="42192"/>
    <cellStyle name="Output 4 7 2 2 4 3" xfId="39524"/>
    <cellStyle name="Output 4 7 2 2 4 4" xfId="30439"/>
    <cellStyle name="Output 4 7 2 2 5" xfId="20958"/>
    <cellStyle name="Output 4 7 2 2 5 2" xfId="46480"/>
    <cellStyle name="Output 4 7 2 2 5 3" xfId="50386"/>
    <cellStyle name="Output 4 7 2 2 5 4" xfId="38350"/>
    <cellStyle name="Output 4 7 2 2 6" xfId="21611"/>
    <cellStyle name="Output 4 7 2 2 6 2" xfId="47133"/>
    <cellStyle name="Output 4 7 2 2 6 3" xfId="51039"/>
    <cellStyle name="Output 4 7 2 2 7" xfId="40936"/>
    <cellStyle name="Output 4 7 2 2 8" xfId="39358"/>
    <cellStyle name="Output 4 7 2 3" xfId="11053"/>
    <cellStyle name="Output 4 7 2 3 2" xfId="18840"/>
    <cellStyle name="Output 4 7 2 3 2 2" xfId="44372"/>
    <cellStyle name="Output 4 7 2 3 2 3" xfId="48281"/>
    <cellStyle name="Output 4 7 2 3 2 4" xfId="36463"/>
    <cellStyle name="Output 4 7 2 3 3" xfId="20433"/>
    <cellStyle name="Output 4 7 2 3 3 2" xfId="45955"/>
    <cellStyle name="Output 4 7 2 3 3 3" xfId="49861"/>
    <cellStyle name="Output 4 7 2 3 3 4" xfId="37873"/>
    <cellStyle name="Output 4 7 2 3 4" xfId="20577"/>
    <cellStyle name="Output 4 7 2 3 4 2" xfId="46099"/>
    <cellStyle name="Output 4 7 2 3 4 3" xfId="50005"/>
    <cellStyle name="Output 4 7 2 3 4 4" xfId="37990"/>
    <cellStyle name="Output 4 7 2 3 5" xfId="21253"/>
    <cellStyle name="Output 4 7 2 3 5 2" xfId="46775"/>
    <cellStyle name="Output 4 7 2 3 5 3" xfId="50681"/>
    <cellStyle name="Output 4 7 2 3 5 4" xfId="38645"/>
    <cellStyle name="Output 4 7 2 3 6" xfId="21906"/>
    <cellStyle name="Output 4 7 2 3 6 2" xfId="47428"/>
    <cellStyle name="Output 4 7 2 3 6 3" xfId="51334"/>
    <cellStyle name="Output 4 7 2 3 7" xfId="41231"/>
    <cellStyle name="Output 4 7 2 3 8" xfId="42698"/>
    <cellStyle name="Output 4 7 2 4" xfId="15270"/>
    <cellStyle name="Output 4 7 2 4 2" xfId="43125"/>
    <cellStyle name="Output 4 7 2 4 3" xfId="41255"/>
    <cellStyle name="Output 4 7 2 4 4" xfId="32891"/>
    <cellStyle name="Output 4 7 2 5" xfId="11364"/>
    <cellStyle name="Output 4 7 2 5 2" xfId="41380"/>
    <cellStyle name="Output 4 7 2 5 3" xfId="43472"/>
    <cellStyle name="Output 4 7 2 5 4" xfId="29073"/>
    <cellStyle name="Output 4 7 2 6" xfId="19845"/>
    <cellStyle name="Output 4 7 2 6 2" xfId="45367"/>
    <cellStyle name="Output 4 7 2 6 3" xfId="49273"/>
    <cellStyle name="Output 4 7 2 6 4" xfId="37346"/>
    <cellStyle name="Output 4 7 2 7" xfId="11581"/>
    <cellStyle name="Output 4 7 2 7 2" xfId="41572"/>
    <cellStyle name="Output 4 7 2 7 3" xfId="39141"/>
    <cellStyle name="Output 4 7 2 7 4" xfId="29275"/>
    <cellStyle name="Output 4 7 2 8" xfId="20512"/>
    <cellStyle name="Output 4 7 2 8 2" xfId="46034"/>
    <cellStyle name="Output 4 7 2 8 3" xfId="49940"/>
    <cellStyle name="Output 4 7 2 9" xfId="39985"/>
    <cellStyle name="Output 4 7 3" xfId="13278"/>
    <cellStyle name="Output 4 7 3 2" xfId="42429"/>
    <cellStyle name="Output 4 7 3 3" xfId="39514"/>
    <cellStyle name="Output 4 7 3 4" xfId="30909"/>
    <cellStyle name="Output 4 7 4" xfId="20298"/>
    <cellStyle name="Output 4 7 4 2" xfId="45820"/>
    <cellStyle name="Output 4 7 4 3" xfId="49726"/>
    <cellStyle name="Output 4 7 4 4" xfId="37749"/>
    <cellStyle name="Output 4 8" xfId="5318"/>
    <cellStyle name="Output 4 8 2" xfId="10473"/>
    <cellStyle name="Output 4 8 2 2" xfId="18260"/>
    <cellStyle name="Output 4 8 2 2 2" xfId="43792"/>
    <cellStyle name="Output 4 8 2 2 3" xfId="47701"/>
    <cellStyle name="Output 4 8 2 2 4" xfId="35883"/>
    <cellStyle name="Output 4 8 2 3" xfId="19130"/>
    <cellStyle name="Output 4 8 2 3 2" xfId="44652"/>
    <cellStyle name="Output 4 8 2 3 3" xfId="48558"/>
    <cellStyle name="Output 4 8 2 3 4" xfId="36711"/>
    <cellStyle name="Output 4 8 2 4" xfId="19856"/>
    <cellStyle name="Output 4 8 2 4 2" xfId="45378"/>
    <cellStyle name="Output 4 8 2 4 3" xfId="49284"/>
    <cellStyle name="Output 4 8 2 4 4" xfId="37356"/>
    <cellStyle name="Output 4 8 2 5" xfId="20673"/>
    <cellStyle name="Output 4 8 2 5 2" xfId="46195"/>
    <cellStyle name="Output 4 8 2 5 3" xfId="50101"/>
    <cellStyle name="Output 4 8 2 5 4" xfId="38065"/>
    <cellStyle name="Output 4 8 2 6" xfId="21326"/>
    <cellStyle name="Output 4 8 2 6 2" xfId="46848"/>
    <cellStyle name="Output 4 8 2 6 3" xfId="50754"/>
    <cellStyle name="Output 4 8 2 7" xfId="40651"/>
    <cellStyle name="Output 4 8 2 8" xfId="39176"/>
    <cellStyle name="Output 4 8 3" xfId="8799"/>
    <cellStyle name="Output 4 8 3 2" xfId="16589"/>
    <cellStyle name="Output 4 8 3 2 2" xfId="43414"/>
    <cellStyle name="Output 4 8 3 2 3" xfId="42634"/>
    <cellStyle name="Output 4 8 3 2 4" xfId="34210"/>
    <cellStyle name="Output 4 8 3 3" xfId="20060"/>
    <cellStyle name="Output 4 8 3 3 2" xfId="45582"/>
    <cellStyle name="Output 4 8 3 3 3" xfId="49488"/>
    <cellStyle name="Output 4 8 3 3 4" xfId="37540"/>
    <cellStyle name="Output 4 8 3 4" xfId="19457"/>
    <cellStyle name="Output 4 8 3 4 2" xfId="44979"/>
    <cellStyle name="Output 4 8 3 4 3" xfId="48885"/>
    <cellStyle name="Output 4 8 3 4 4" xfId="37001"/>
    <cellStyle name="Output 4 8 3 5" xfId="19640"/>
    <cellStyle name="Output 4 8 3 5 2" xfId="45162"/>
    <cellStyle name="Output 4 8 3 5 3" xfId="49068"/>
    <cellStyle name="Output 4 8 3 5 4" xfId="37160"/>
    <cellStyle name="Output 4 8 3 6" xfId="19514"/>
    <cellStyle name="Output 4 8 3 6 2" xfId="45036"/>
    <cellStyle name="Output 4 8 3 6 3" xfId="48942"/>
    <cellStyle name="Output 4 8 3 7" xfId="40276"/>
    <cellStyle name="Output 4 8 3 8" xfId="39183"/>
    <cellStyle name="Output 4 8 4" xfId="13279"/>
    <cellStyle name="Output 4 8 4 2" xfId="42430"/>
    <cellStyle name="Output 4 8 4 3" xfId="42523"/>
    <cellStyle name="Output 4 8 4 4" xfId="30910"/>
    <cellStyle name="Output 4 8 5" xfId="19509"/>
    <cellStyle name="Output 4 8 5 2" xfId="45031"/>
    <cellStyle name="Output 4 8 5 3" xfId="48937"/>
    <cellStyle name="Output 4 8 5 4" xfId="37043"/>
    <cellStyle name="Output 4 9" xfId="7482"/>
    <cellStyle name="Output 4 9 10" xfId="42594"/>
    <cellStyle name="Output 4 9 2" xfId="10752"/>
    <cellStyle name="Output 4 9 2 2" xfId="18539"/>
    <cellStyle name="Output 4 9 2 2 2" xfId="44071"/>
    <cellStyle name="Output 4 9 2 2 3" xfId="47980"/>
    <cellStyle name="Output 4 9 2 2 4" xfId="36162"/>
    <cellStyle name="Output 4 9 2 3" xfId="20005"/>
    <cellStyle name="Output 4 9 2 3 2" xfId="45527"/>
    <cellStyle name="Output 4 9 2 3 3" xfId="49433"/>
    <cellStyle name="Output 4 9 2 3 4" xfId="37489"/>
    <cellStyle name="Output 4 9 2 4" xfId="19251"/>
    <cellStyle name="Output 4 9 2 4 2" xfId="44773"/>
    <cellStyle name="Output 4 9 2 4 3" xfId="48679"/>
    <cellStyle name="Output 4 9 2 4 4" xfId="36815"/>
    <cellStyle name="Output 4 9 2 5" xfId="20952"/>
    <cellStyle name="Output 4 9 2 5 2" xfId="46474"/>
    <cellStyle name="Output 4 9 2 5 3" xfId="50380"/>
    <cellStyle name="Output 4 9 2 5 4" xfId="38344"/>
    <cellStyle name="Output 4 9 2 6" xfId="21605"/>
    <cellStyle name="Output 4 9 2 6 2" xfId="47127"/>
    <cellStyle name="Output 4 9 2 6 3" xfId="51033"/>
    <cellStyle name="Output 4 9 2 7" xfId="40930"/>
    <cellStyle name="Output 4 9 2 8" xfId="40460"/>
    <cellStyle name="Output 4 9 3" xfId="11047"/>
    <cellStyle name="Output 4 9 3 2" xfId="18834"/>
    <cellStyle name="Output 4 9 3 2 2" xfId="44366"/>
    <cellStyle name="Output 4 9 3 2 3" xfId="48275"/>
    <cellStyle name="Output 4 9 3 2 4" xfId="36457"/>
    <cellStyle name="Output 4 9 3 3" xfId="20427"/>
    <cellStyle name="Output 4 9 3 3 2" xfId="45949"/>
    <cellStyle name="Output 4 9 3 3 3" xfId="49855"/>
    <cellStyle name="Output 4 9 3 3 4" xfId="37867"/>
    <cellStyle name="Output 4 9 3 4" xfId="20571"/>
    <cellStyle name="Output 4 9 3 4 2" xfId="46093"/>
    <cellStyle name="Output 4 9 3 4 3" xfId="49999"/>
    <cellStyle name="Output 4 9 3 4 4" xfId="37984"/>
    <cellStyle name="Output 4 9 3 5" xfId="21247"/>
    <cellStyle name="Output 4 9 3 5 2" xfId="46769"/>
    <cellStyle name="Output 4 9 3 5 3" xfId="50675"/>
    <cellStyle name="Output 4 9 3 5 4" xfId="38639"/>
    <cellStyle name="Output 4 9 3 6" xfId="21900"/>
    <cellStyle name="Output 4 9 3 6 2" xfId="47422"/>
    <cellStyle name="Output 4 9 3 6 3" xfId="51328"/>
    <cellStyle name="Output 4 9 3 7" xfId="41225"/>
    <cellStyle name="Output 4 9 3 8" xfId="43196"/>
    <cellStyle name="Output 4 9 4" xfId="15264"/>
    <cellStyle name="Output 4 9 4 2" xfId="43119"/>
    <cellStyle name="Output 4 9 4 3" xfId="40122"/>
    <cellStyle name="Output 4 9 4 4" xfId="32885"/>
    <cellStyle name="Output 4 9 5" xfId="19473"/>
    <cellStyle name="Output 4 9 5 2" xfId="44995"/>
    <cellStyle name="Output 4 9 5 3" xfId="48901"/>
    <cellStyle name="Output 4 9 5 4" xfId="37015"/>
    <cellStyle name="Output 4 9 6" xfId="19147"/>
    <cellStyle name="Output 4 9 6 2" xfId="44669"/>
    <cellStyle name="Output 4 9 6 3" xfId="48575"/>
    <cellStyle name="Output 4 9 6 4" xfId="36725"/>
    <cellStyle name="Output 4 9 7" xfId="19220"/>
    <cellStyle name="Output 4 9 7 2" xfId="44742"/>
    <cellStyle name="Output 4 9 7 3" xfId="48648"/>
    <cellStyle name="Output 4 9 7 4" xfId="36788"/>
    <cellStyle name="Output 4 9 8" xfId="11664"/>
    <cellStyle name="Output 4 9 8 2" xfId="41655"/>
    <cellStyle name="Output 4 9 8 3" xfId="42681"/>
    <cellStyle name="Output 4 9 9" xfId="39979"/>
    <cellStyle name="Output 5" xfId="3274"/>
    <cellStyle name="Output 5 2" xfId="5319"/>
    <cellStyle name="Output 5 3" xfId="5320"/>
    <cellStyle name="Output 5 3 2" xfId="10474"/>
    <cellStyle name="Output 5 3 2 2" xfId="18261"/>
    <cellStyle name="Output 5 3 2 2 2" xfId="43793"/>
    <cellStyle name="Output 5 3 2 2 3" xfId="47702"/>
    <cellStyle name="Output 5 3 2 2 4" xfId="35884"/>
    <cellStyle name="Output 5 3 2 2 5" xfId="53413"/>
    <cellStyle name="Output 5 3 2 3" xfId="19755"/>
    <cellStyle name="Output 5 3 2 3 2" xfId="45277"/>
    <cellStyle name="Output 5 3 2 3 3" xfId="49183"/>
    <cellStyle name="Output 5 3 2 3 4" xfId="37268"/>
    <cellStyle name="Output 5 3 2 4" xfId="19959"/>
    <cellStyle name="Output 5 3 2 4 2" xfId="45481"/>
    <cellStyle name="Output 5 3 2 4 3" xfId="49387"/>
    <cellStyle name="Output 5 3 2 4 4" xfId="37449"/>
    <cellStyle name="Output 5 3 2 5" xfId="20674"/>
    <cellStyle name="Output 5 3 2 5 2" xfId="46196"/>
    <cellStyle name="Output 5 3 2 5 3" xfId="50102"/>
    <cellStyle name="Output 5 3 2 5 4" xfId="38066"/>
    <cellStyle name="Output 5 3 2 6" xfId="21327"/>
    <cellStyle name="Output 5 3 2 6 2" xfId="46849"/>
    <cellStyle name="Output 5 3 2 6 3" xfId="50755"/>
    <cellStyle name="Output 5 3 2 7" xfId="40652"/>
    <cellStyle name="Output 5 3 2 8" xfId="41417"/>
    <cellStyle name="Output 5 3 2 9" xfId="53306"/>
    <cellStyle name="Output 5 3 3" xfId="8800"/>
    <cellStyle name="Output 5 3 3 2" xfId="16590"/>
    <cellStyle name="Output 5 3 3 2 2" xfId="43415"/>
    <cellStyle name="Output 5 3 3 2 3" xfId="43523"/>
    <cellStyle name="Output 5 3 3 2 4" xfId="34211"/>
    <cellStyle name="Output 5 3 3 3" xfId="19326"/>
    <cellStyle name="Output 5 3 3 3 2" xfId="44848"/>
    <cellStyle name="Output 5 3 3 3 3" xfId="48754"/>
    <cellStyle name="Output 5 3 3 3 4" xfId="36884"/>
    <cellStyle name="Output 5 3 3 4" xfId="11638"/>
    <cellStyle name="Output 5 3 3 4 2" xfId="41629"/>
    <cellStyle name="Output 5 3 3 4 3" xfId="40041"/>
    <cellStyle name="Output 5 3 3 4 4" xfId="29324"/>
    <cellStyle name="Output 5 3 3 5" xfId="20173"/>
    <cellStyle name="Output 5 3 3 5 2" xfId="45695"/>
    <cellStyle name="Output 5 3 3 5 3" xfId="49601"/>
    <cellStyle name="Output 5 3 3 5 4" xfId="37644"/>
    <cellStyle name="Output 5 3 3 6" xfId="19226"/>
    <cellStyle name="Output 5 3 3 6 2" xfId="44748"/>
    <cellStyle name="Output 5 3 3 6 3" xfId="48654"/>
    <cellStyle name="Output 5 3 3 7" xfId="40277"/>
    <cellStyle name="Output 5 3 3 8" xfId="39182"/>
    <cellStyle name="Output 5 3 3 9" xfId="53412"/>
    <cellStyle name="Output 5 3 4" xfId="13280"/>
    <cellStyle name="Output 5 3 4 2" xfId="42431"/>
    <cellStyle name="Output 5 3 4 3" xfId="43434"/>
    <cellStyle name="Output 5 3 4 4" xfId="30911"/>
    <cellStyle name="Output 5 3 5" xfId="20357"/>
    <cellStyle name="Output 5 3 5 2" xfId="45879"/>
    <cellStyle name="Output 5 3 5 3" xfId="49785"/>
    <cellStyle name="Output 5 3 5 4" xfId="37799"/>
    <cellStyle name="Output 5 3 6" xfId="22607"/>
    <cellStyle name="Output 5 3 6 2" xfId="47534"/>
    <cellStyle name="Output 5 3 6 3" xfId="51383"/>
    <cellStyle name="Output 5 3 7" xfId="53305"/>
    <cellStyle name="Output 5 4" xfId="53307"/>
    <cellStyle name="Output 5 5" xfId="53308"/>
    <cellStyle name="Output 5 5 2" xfId="53414"/>
    <cellStyle name="Output 5 6" xfId="53304"/>
    <cellStyle name="Output 6" xfId="3275"/>
    <cellStyle name="Output 6 2" xfId="23010"/>
    <cellStyle name="Output 6 3" xfId="22608"/>
    <cellStyle name="Output 6 3 2" xfId="47535"/>
    <cellStyle name="Output 6 3 2 2" xfId="53311"/>
    <cellStyle name="Output 6 3 3" xfId="51384"/>
    <cellStyle name="Output 6 3 3 2" xfId="53415"/>
    <cellStyle name="Output 6 3 4" xfId="53310"/>
    <cellStyle name="Output 6 4" xfId="53312"/>
    <cellStyle name="Output 6 5" xfId="53313"/>
    <cellStyle name="Output 6 5 2" xfId="53416"/>
    <cellStyle name="Output 6 6" xfId="53309"/>
    <cellStyle name="Output 7" xfId="3276"/>
    <cellStyle name="Output 7 2" xfId="22609"/>
    <cellStyle name="Output 8" xfId="3277"/>
    <cellStyle name="Output 8 2" xfId="22611"/>
    <cellStyle name="Output 8 3" xfId="22610"/>
    <cellStyle name="Output 9" xfId="3278"/>
    <cellStyle name="Output 9 2" xfId="22612"/>
    <cellStyle name="Percent [2]" xfId="3279"/>
    <cellStyle name="Percent [2] 10" xfId="3280"/>
    <cellStyle name="Percent [2] 10 2" xfId="3281"/>
    <cellStyle name="Percent [2] 10 2 2" xfId="5323"/>
    <cellStyle name="Percent [2] 10 2 3" xfId="6042"/>
    <cellStyle name="Percent [2] 10 2 4" xfId="52637"/>
    <cellStyle name="Percent [2] 10 3" xfId="3282"/>
    <cellStyle name="Percent [2] 10 3 2" xfId="3283"/>
    <cellStyle name="Percent [2] 10 3 2 2" xfId="5325"/>
    <cellStyle name="Percent [2] 10 3 2 3" xfId="6044"/>
    <cellStyle name="Percent [2] 10 3 2 4" xfId="52639"/>
    <cellStyle name="Percent [2] 10 3 3" xfId="5324"/>
    <cellStyle name="Percent [2] 10 3 4" xfId="6043"/>
    <cellStyle name="Percent [2] 10 3 5" xfId="52638"/>
    <cellStyle name="Percent [2] 10 4" xfId="3284"/>
    <cellStyle name="Percent [2] 10 4 2" xfId="3285"/>
    <cellStyle name="Percent [2] 10 4 2 2" xfId="5327"/>
    <cellStyle name="Percent [2] 10 4 2 3" xfId="6046"/>
    <cellStyle name="Percent [2] 10 4 2 4" xfId="52641"/>
    <cellStyle name="Percent [2] 10 4 3" xfId="3286"/>
    <cellStyle name="Percent [2] 10 4 3 2" xfId="3287"/>
    <cellStyle name="Percent [2] 10 4 3 2 2" xfId="5329"/>
    <cellStyle name="Percent [2] 10 4 3 2 3" xfId="6048"/>
    <cellStyle name="Percent [2] 10 4 3 2 4" xfId="52643"/>
    <cellStyle name="Percent [2] 10 4 3 3" xfId="3288"/>
    <cellStyle name="Percent [2] 10 4 3 3 2" xfId="3289"/>
    <cellStyle name="Percent [2] 10 4 3 3 2 2" xfId="5331"/>
    <cellStyle name="Percent [2] 10 4 3 3 2 3" xfId="6050"/>
    <cellStyle name="Percent [2] 10 4 3 3 2 4" xfId="52645"/>
    <cellStyle name="Percent [2] 10 4 3 3 3" xfId="5330"/>
    <cellStyle name="Percent [2] 10 4 3 3 4" xfId="6049"/>
    <cellStyle name="Percent [2] 10 4 3 3 5" xfId="52644"/>
    <cellStyle name="Percent [2] 10 4 3 4" xfId="5332"/>
    <cellStyle name="Percent [2] 10 4 3 4 2" xfId="6051"/>
    <cellStyle name="Percent [2] 10 4 3 5" xfId="5328"/>
    <cellStyle name="Percent [2] 10 4 3 6" xfId="6047"/>
    <cellStyle name="Percent [2] 10 4 3 7" xfId="52642"/>
    <cellStyle name="Percent [2] 10 4 4" xfId="5326"/>
    <cellStyle name="Percent [2] 10 4 5" xfId="6045"/>
    <cellStyle name="Percent [2] 10 4 6" xfId="52640"/>
    <cellStyle name="Percent [2] 10 5" xfId="5322"/>
    <cellStyle name="Percent [2] 10 6" xfId="6041"/>
    <cellStyle name="Percent [2] 10 7" xfId="52636"/>
    <cellStyle name="Percent [2] 11" xfId="3290"/>
    <cellStyle name="Percent [2] 11 2" xfId="3291"/>
    <cellStyle name="Percent [2] 11 2 2" xfId="5334"/>
    <cellStyle name="Percent [2] 11 2 3" xfId="6053"/>
    <cellStyle name="Percent [2] 11 2 4" xfId="52647"/>
    <cellStyle name="Percent [2] 11 3" xfId="5333"/>
    <cellStyle name="Percent [2] 11 4" xfId="6052"/>
    <cellStyle name="Percent [2] 11 5" xfId="52646"/>
    <cellStyle name="Percent [2] 12" xfId="3292"/>
    <cellStyle name="Percent [2] 12 2" xfId="3293"/>
    <cellStyle name="Percent [2] 12 2 2" xfId="5336"/>
    <cellStyle name="Percent [2] 12 2 3" xfId="6055"/>
    <cellStyle name="Percent [2] 12 2 4" xfId="52649"/>
    <cellStyle name="Percent [2] 12 3" xfId="3294"/>
    <cellStyle name="Percent [2] 12 3 2" xfId="3295"/>
    <cellStyle name="Percent [2] 12 3 2 2" xfId="5338"/>
    <cellStyle name="Percent [2] 12 3 2 3" xfId="6057"/>
    <cellStyle name="Percent [2] 12 3 2 4" xfId="52651"/>
    <cellStyle name="Percent [2] 12 3 3" xfId="3296"/>
    <cellStyle name="Percent [2] 12 3 3 2" xfId="3297"/>
    <cellStyle name="Percent [2] 12 3 3 2 2" xfId="5340"/>
    <cellStyle name="Percent [2] 12 3 3 2 3" xfId="6059"/>
    <cellStyle name="Percent [2] 12 3 3 2 4" xfId="52653"/>
    <cellStyle name="Percent [2] 12 3 3 3" xfId="5339"/>
    <cellStyle name="Percent [2] 12 3 3 4" xfId="6058"/>
    <cellStyle name="Percent [2] 12 3 3 5" xfId="52652"/>
    <cellStyle name="Percent [2] 12 3 4" xfId="5341"/>
    <cellStyle name="Percent [2] 12 3 4 2" xfId="6060"/>
    <cellStyle name="Percent [2] 12 3 5" xfId="5337"/>
    <cellStyle name="Percent [2] 12 3 6" xfId="6056"/>
    <cellStyle name="Percent [2] 12 3 7" xfId="52650"/>
    <cellStyle name="Percent [2] 12 4" xfId="5335"/>
    <cellStyle name="Percent [2] 12 5" xfId="6054"/>
    <cellStyle name="Percent [2] 12 6" xfId="52648"/>
    <cellStyle name="Percent [2] 13" xfId="3298"/>
    <cellStyle name="Percent [2] 13 2" xfId="3299"/>
    <cellStyle name="Percent [2] 13 2 2" xfId="5343"/>
    <cellStyle name="Percent [2] 13 2 3" xfId="6062"/>
    <cellStyle name="Percent [2] 13 2 4" xfId="52655"/>
    <cellStyle name="Percent [2] 13 3" xfId="3300"/>
    <cellStyle name="Percent [2] 13 3 2" xfId="3301"/>
    <cellStyle name="Percent [2] 13 3 2 2" xfId="5345"/>
    <cellStyle name="Percent [2] 13 3 2 3" xfId="6064"/>
    <cellStyle name="Percent [2] 13 3 2 4" xfId="52657"/>
    <cellStyle name="Percent [2] 13 3 3" xfId="5344"/>
    <cellStyle name="Percent [2] 13 3 4" xfId="6063"/>
    <cellStyle name="Percent [2] 13 3 5" xfId="52656"/>
    <cellStyle name="Percent [2] 13 4" xfId="5346"/>
    <cellStyle name="Percent [2] 13 4 2" xfId="6065"/>
    <cellStyle name="Percent [2] 13 5" xfId="5342"/>
    <cellStyle name="Percent [2] 13 6" xfId="6061"/>
    <cellStyle name="Percent [2] 13 7" xfId="52654"/>
    <cellStyle name="Percent [2] 14" xfId="3302"/>
    <cellStyle name="Percent [2] 14 2" xfId="3303"/>
    <cellStyle name="Percent [2] 14 2 2" xfId="5348"/>
    <cellStyle name="Percent [2] 14 2 3" xfId="6067"/>
    <cellStyle name="Percent [2] 14 2 4" xfId="52659"/>
    <cellStyle name="Percent [2] 14 3" xfId="3304"/>
    <cellStyle name="Percent [2] 14 3 2" xfId="5350"/>
    <cellStyle name="Percent [2] 14 3 2 2" xfId="6069"/>
    <cellStyle name="Percent [2] 14 3 3" xfId="5349"/>
    <cellStyle name="Percent [2] 14 3 4" xfId="6068"/>
    <cellStyle name="Percent [2] 14 3 5" xfId="52660"/>
    <cellStyle name="Percent [2] 14 4" xfId="3305"/>
    <cellStyle name="Percent [2] 14 4 2" xfId="5347"/>
    <cellStyle name="Percent [2] 14 5" xfId="6066"/>
    <cellStyle name="Percent [2] 14 6" xfId="52658"/>
    <cellStyle name="Percent [2] 15" xfId="3306"/>
    <cellStyle name="Percent [2] 15 2" xfId="3307"/>
    <cellStyle name="Percent [2] 15 2 2" xfId="5351"/>
    <cellStyle name="Percent [2] 15 3" xfId="6070"/>
    <cellStyle name="Percent [2] 15 4" xfId="52661"/>
    <cellStyle name="Percent [2] 16" xfId="3308"/>
    <cellStyle name="Percent [2] 16 2" xfId="3309"/>
    <cellStyle name="Percent [2] 16 2 2" xfId="6071"/>
    <cellStyle name="Percent [2] 16 2 3" xfId="5353"/>
    <cellStyle name="Percent [2] 16 2 4" xfId="52663"/>
    <cellStyle name="Percent [2] 16 3" xfId="3310"/>
    <cellStyle name="Percent [2] 16 3 2" xfId="3311"/>
    <cellStyle name="Percent [2] 16 3 3" xfId="3312"/>
    <cellStyle name="Percent [2] 16 3 4" xfId="3313"/>
    <cellStyle name="Percent [2] 16 4" xfId="5352"/>
    <cellStyle name="Percent [2] 16 5" xfId="52662"/>
    <cellStyle name="Percent [2] 17" xfId="3314"/>
    <cellStyle name="Percent [2] 17 2" xfId="3315"/>
    <cellStyle name="Percent [2] 17 3" xfId="3316"/>
    <cellStyle name="Percent [2] 17 4" xfId="5321"/>
    <cellStyle name="Percent [2] 18" xfId="3317"/>
    <cellStyle name="Percent [2] 19" xfId="3318"/>
    <cellStyle name="Percent [2] 2" xfId="3319"/>
    <cellStyle name="Percent [2] 2 2" xfId="5354"/>
    <cellStyle name="Percent [2] 2 3" xfId="6072"/>
    <cellStyle name="Percent [2] 2 4" xfId="52664"/>
    <cellStyle name="Percent [2] 20" xfId="3320"/>
    <cellStyle name="Percent [2] 21" xfId="53314"/>
    <cellStyle name="Percent [2] 3" xfId="3321"/>
    <cellStyle name="Percent [2] 3 2" xfId="5355"/>
    <cellStyle name="Percent [2] 3 3" xfId="6073"/>
    <cellStyle name="Percent [2] 3 4" xfId="52665"/>
    <cellStyle name="Percent [2] 4" xfId="3322"/>
    <cellStyle name="Percent [2] 4 2" xfId="5356"/>
    <cellStyle name="Percent [2] 4 3" xfId="6074"/>
    <cellStyle name="Percent [2] 4 4" xfId="52666"/>
    <cellStyle name="Percent [2] 5" xfId="3323"/>
    <cellStyle name="Percent [2] 5 10" xfId="3324"/>
    <cellStyle name="Percent [2] 5 10 2" xfId="3325"/>
    <cellStyle name="Percent [2] 5 10 2 2" xfId="5359"/>
    <cellStyle name="Percent [2] 5 10 2 3" xfId="6076"/>
    <cellStyle name="Percent [2] 5 10 2 4" xfId="52668"/>
    <cellStyle name="Percent [2] 5 10 3" xfId="3326"/>
    <cellStyle name="Percent [2] 5 10 3 2" xfId="5361"/>
    <cellStyle name="Percent [2] 5 10 3 2 2" xfId="6078"/>
    <cellStyle name="Percent [2] 5 10 3 3" xfId="5360"/>
    <cellStyle name="Percent [2] 5 10 3 4" xfId="6077"/>
    <cellStyle name="Percent [2] 5 10 3 5" xfId="52669"/>
    <cellStyle name="Percent [2] 5 10 4" xfId="3327"/>
    <cellStyle name="Percent [2] 5 10 4 2" xfId="5358"/>
    <cellStyle name="Percent [2] 5 10 5" xfId="6075"/>
    <cellStyle name="Percent [2] 5 10 6" xfId="52667"/>
    <cellStyle name="Percent [2] 5 11" xfId="3328"/>
    <cellStyle name="Percent [2] 5 11 2" xfId="3329"/>
    <cellStyle name="Percent [2] 5 11 2 2" xfId="5362"/>
    <cellStyle name="Percent [2] 5 11 3" xfId="6079"/>
    <cellStyle name="Percent [2] 5 11 4" xfId="52670"/>
    <cellStyle name="Percent [2] 5 12" xfId="3330"/>
    <cellStyle name="Percent [2] 5 12 2" xfId="3331"/>
    <cellStyle name="Percent [2] 5 12 2 2" xfId="6080"/>
    <cellStyle name="Percent [2] 5 12 2 3" xfId="5364"/>
    <cellStyle name="Percent [2] 5 12 2 4" xfId="52672"/>
    <cellStyle name="Percent [2] 5 12 3" xfId="3332"/>
    <cellStyle name="Percent [2] 5 12 3 2" xfId="3333"/>
    <cellStyle name="Percent [2] 5 12 3 3" xfId="3334"/>
    <cellStyle name="Percent [2] 5 12 3 4" xfId="3335"/>
    <cellStyle name="Percent [2] 5 12 4" xfId="5363"/>
    <cellStyle name="Percent [2] 5 12 5" xfId="52671"/>
    <cellStyle name="Percent [2] 5 13" xfId="3336"/>
    <cellStyle name="Percent [2] 5 13 2" xfId="3337"/>
    <cellStyle name="Percent [2] 5 13 3" xfId="3338"/>
    <cellStyle name="Percent [2] 5 13 4" xfId="5357"/>
    <cellStyle name="Percent [2] 5 14" xfId="3339"/>
    <cellStyle name="Percent [2] 5 15" xfId="3340"/>
    <cellStyle name="Percent [2] 5 16" xfId="3341"/>
    <cellStyle name="Percent [2] 5 17" xfId="53315"/>
    <cellStyle name="Percent [2] 5 2" xfId="3342"/>
    <cellStyle name="Percent [2] 5 2 2" xfId="3343"/>
    <cellStyle name="Percent [2] 5 2 2 2" xfId="5366"/>
    <cellStyle name="Percent [2] 5 2 2 3" xfId="6082"/>
    <cellStyle name="Percent [2] 5 2 2 4" xfId="52674"/>
    <cellStyle name="Percent [2] 5 2 3" xfId="5365"/>
    <cellStyle name="Percent [2] 5 2 4" xfId="6081"/>
    <cellStyle name="Percent [2] 5 2 5" xfId="52673"/>
    <cellStyle name="Percent [2] 5 3" xfId="3344"/>
    <cellStyle name="Percent [2] 5 3 2" xfId="5367"/>
    <cellStyle name="Percent [2] 5 3 3" xfId="6083"/>
    <cellStyle name="Percent [2] 5 3 4" xfId="52675"/>
    <cellStyle name="Percent [2] 5 4" xfId="3345"/>
    <cellStyle name="Percent [2] 5 4 2" xfId="3346"/>
    <cellStyle name="Percent [2] 5 4 2 2" xfId="5369"/>
    <cellStyle name="Percent [2] 5 4 2 3" xfId="6085"/>
    <cellStyle name="Percent [2] 5 4 2 4" xfId="52677"/>
    <cellStyle name="Percent [2] 5 4 3" xfId="5368"/>
    <cellStyle name="Percent [2] 5 4 4" xfId="6084"/>
    <cellStyle name="Percent [2] 5 4 5" xfId="52676"/>
    <cellStyle name="Percent [2] 5 5" xfId="3347"/>
    <cellStyle name="Percent [2] 5 5 2" xfId="3348"/>
    <cellStyle name="Percent [2] 5 5 2 2" xfId="5371"/>
    <cellStyle name="Percent [2] 5 5 2 3" xfId="6087"/>
    <cellStyle name="Percent [2] 5 5 2 4" xfId="52679"/>
    <cellStyle name="Percent [2] 5 5 3" xfId="3349"/>
    <cellStyle name="Percent [2] 5 5 3 2" xfId="5372"/>
    <cellStyle name="Percent [2] 5 5 3 3" xfId="6088"/>
    <cellStyle name="Percent [2] 5 5 3 4" xfId="52680"/>
    <cellStyle name="Percent [2] 5 5 4" xfId="3350"/>
    <cellStyle name="Percent [2] 5 5 4 2" xfId="3351"/>
    <cellStyle name="Percent [2] 5 5 4 2 2" xfId="5374"/>
    <cellStyle name="Percent [2] 5 5 4 2 3" xfId="6090"/>
    <cellStyle name="Percent [2] 5 5 4 2 4" xfId="52682"/>
    <cellStyle name="Percent [2] 5 5 4 3" xfId="5373"/>
    <cellStyle name="Percent [2] 5 5 4 4" xfId="6089"/>
    <cellStyle name="Percent [2] 5 5 4 5" xfId="52681"/>
    <cellStyle name="Percent [2] 5 5 5" xfId="3352"/>
    <cellStyle name="Percent [2] 5 5 5 2" xfId="3353"/>
    <cellStyle name="Percent [2] 5 5 5 2 2" xfId="5376"/>
    <cellStyle name="Percent [2] 5 5 5 2 3" xfId="6092"/>
    <cellStyle name="Percent [2] 5 5 5 2 4" xfId="52684"/>
    <cellStyle name="Percent [2] 5 5 5 3" xfId="3354"/>
    <cellStyle name="Percent [2] 5 5 5 3 2" xfId="3355"/>
    <cellStyle name="Percent [2] 5 5 5 3 2 2" xfId="5378"/>
    <cellStyle name="Percent [2] 5 5 5 3 2 3" xfId="6094"/>
    <cellStyle name="Percent [2] 5 5 5 3 2 4" xfId="52686"/>
    <cellStyle name="Percent [2] 5 5 5 3 3" xfId="3356"/>
    <cellStyle name="Percent [2] 5 5 5 3 3 2" xfId="3357"/>
    <cellStyle name="Percent [2] 5 5 5 3 3 2 2" xfId="5380"/>
    <cellStyle name="Percent [2] 5 5 5 3 3 2 3" xfId="6096"/>
    <cellStyle name="Percent [2] 5 5 5 3 3 2 4" xfId="52688"/>
    <cellStyle name="Percent [2] 5 5 5 3 3 3" xfId="5379"/>
    <cellStyle name="Percent [2] 5 5 5 3 3 4" xfId="6095"/>
    <cellStyle name="Percent [2] 5 5 5 3 3 5" xfId="52687"/>
    <cellStyle name="Percent [2] 5 5 5 3 4" xfId="5381"/>
    <cellStyle name="Percent [2] 5 5 5 3 4 2" xfId="6097"/>
    <cellStyle name="Percent [2] 5 5 5 3 5" xfId="5377"/>
    <cellStyle name="Percent [2] 5 5 5 3 6" xfId="6093"/>
    <cellStyle name="Percent [2] 5 5 5 3 7" xfId="52685"/>
    <cellStyle name="Percent [2] 5 5 5 4" xfId="5375"/>
    <cellStyle name="Percent [2] 5 5 5 5" xfId="6091"/>
    <cellStyle name="Percent [2] 5 5 5 6" xfId="52683"/>
    <cellStyle name="Percent [2] 5 5 6" xfId="5370"/>
    <cellStyle name="Percent [2] 5 5 7" xfId="6086"/>
    <cellStyle name="Percent [2] 5 5 8" xfId="52678"/>
    <cellStyle name="Percent [2] 5 6" xfId="3358"/>
    <cellStyle name="Percent [2] 5 6 2" xfId="5382"/>
    <cellStyle name="Percent [2] 5 6 3" xfId="6098"/>
    <cellStyle name="Percent [2] 5 6 4" xfId="52689"/>
    <cellStyle name="Percent [2] 5 7" xfId="3359"/>
    <cellStyle name="Percent [2] 5 7 2" xfId="3360"/>
    <cellStyle name="Percent [2] 5 7 2 2" xfId="5384"/>
    <cellStyle name="Percent [2] 5 7 2 3" xfId="6100"/>
    <cellStyle name="Percent [2] 5 7 2 4" xfId="52691"/>
    <cellStyle name="Percent [2] 5 7 3" xfId="5383"/>
    <cellStyle name="Percent [2] 5 7 4" xfId="6099"/>
    <cellStyle name="Percent [2] 5 7 5" xfId="52690"/>
    <cellStyle name="Percent [2] 5 8" xfId="3361"/>
    <cellStyle name="Percent [2] 5 8 2" xfId="3362"/>
    <cellStyle name="Percent [2] 5 8 2 2" xfId="5386"/>
    <cellStyle name="Percent [2] 5 8 2 3" xfId="6102"/>
    <cellStyle name="Percent [2] 5 8 2 4" xfId="52693"/>
    <cellStyle name="Percent [2] 5 8 3" xfId="3363"/>
    <cellStyle name="Percent [2] 5 8 3 2" xfId="3364"/>
    <cellStyle name="Percent [2] 5 8 3 2 2" xfId="5388"/>
    <cellStyle name="Percent [2] 5 8 3 2 3" xfId="6104"/>
    <cellStyle name="Percent [2] 5 8 3 2 4" xfId="52695"/>
    <cellStyle name="Percent [2] 5 8 3 3" xfId="3365"/>
    <cellStyle name="Percent [2] 5 8 3 3 2" xfId="3366"/>
    <cellStyle name="Percent [2] 5 8 3 3 2 2" xfId="5390"/>
    <cellStyle name="Percent [2] 5 8 3 3 2 3" xfId="6106"/>
    <cellStyle name="Percent [2] 5 8 3 3 2 4" xfId="52697"/>
    <cellStyle name="Percent [2] 5 8 3 3 3" xfId="5389"/>
    <cellStyle name="Percent [2] 5 8 3 3 4" xfId="6105"/>
    <cellStyle name="Percent [2] 5 8 3 3 5" xfId="52696"/>
    <cellStyle name="Percent [2] 5 8 3 4" xfId="5391"/>
    <cellStyle name="Percent [2] 5 8 3 4 2" xfId="6107"/>
    <cellStyle name="Percent [2] 5 8 3 5" xfId="5387"/>
    <cellStyle name="Percent [2] 5 8 3 6" xfId="6103"/>
    <cellStyle name="Percent [2] 5 8 3 7" xfId="52694"/>
    <cellStyle name="Percent [2] 5 8 4" xfId="5385"/>
    <cellStyle name="Percent [2] 5 8 5" xfId="6101"/>
    <cellStyle name="Percent [2] 5 8 6" xfId="52692"/>
    <cellStyle name="Percent [2] 5 9" xfId="3367"/>
    <cellStyle name="Percent [2] 5 9 2" xfId="3368"/>
    <cellStyle name="Percent [2] 5 9 2 2" xfId="5393"/>
    <cellStyle name="Percent [2] 5 9 2 3" xfId="6109"/>
    <cellStyle name="Percent [2] 5 9 2 4" xfId="52699"/>
    <cellStyle name="Percent [2] 5 9 3" xfId="3369"/>
    <cellStyle name="Percent [2] 5 9 3 2" xfId="3370"/>
    <cellStyle name="Percent [2] 5 9 3 2 2" xfId="5395"/>
    <cellStyle name="Percent [2] 5 9 3 2 3" xfId="6111"/>
    <cellStyle name="Percent [2] 5 9 3 2 4" xfId="52701"/>
    <cellStyle name="Percent [2] 5 9 3 3" xfId="5394"/>
    <cellStyle name="Percent [2] 5 9 3 4" xfId="6110"/>
    <cellStyle name="Percent [2] 5 9 3 5" xfId="52700"/>
    <cellStyle name="Percent [2] 5 9 4" xfId="5396"/>
    <cellStyle name="Percent [2] 5 9 4 2" xfId="6112"/>
    <cellStyle name="Percent [2] 5 9 5" xfId="5392"/>
    <cellStyle name="Percent [2] 5 9 6" xfId="6108"/>
    <cellStyle name="Percent [2] 5 9 7" xfId="52698"/>
    <cellStyle name="Percent [2] 6" xfId="3371"/>
    <cellStyle name="Percent [2] 6 2" xfId="5397"/>
    <cellStyle name="Percent [2] 6 3" xfId="6113"/>
    <cellStyle name="Percent [2] 6 4" xfId="52702"/>
    <cellStyle name="Percent [2] 7" xfId="3372"/>
    <cellStyle name="Percent [2] 7 2" xfId="3373"/>
    <cellStyle name="Percent [2] 7 2 2" xfId="5399"/>
    <cellStyle name="Percent [2] 7 2 3" xfId="6115"/>
    <cellStyle name="Percent [2] 7 2 4" xfId="52704"/>
    <cellStyle name="Percent [2] 7 3" xfId="5398"/>
    <cellStyle name="Percent [2] 7 4" xfId="6114"/>
    <cellStyle name="Percent [2] 7 5" xfId="52703"/>
    <cellStyle name="Percent [2] 8" xfId="3374"/>
    <cellStyle name="Percent [2] 8 2" xfId="3375"/>
    <cellStyle name="Percent [2] 8 2 2" xfId="5401"/>
    <cellStyle name="Percent [2] 8 2 3" xfId="6117"/>
    <cellStyle name="Percent [2] 8 2 4" xfId="52706"/>
    <cellStyle name="Percent [2] 8 3" xfId="5400"/>
    <cellStyle name="Percent [2] 8 4" xfId="6116"/>
    <cellStyle name="Percent [2] 8 5" xfId="52705"/>
    <cellStyle name="Percent [2] 9" xfId="3376"/>
    <cellStyle name="Percent [2] 9 2" xfId="3377"/>
    <cellStyle name="Percent [2] 9 2 2" xfId="5403"/>
    <cellStyle name="Percent [2] 9 2 3" xfId="6119"/>
    <cellStyle name="Percent [2] 9 2 4" xfId="52708"/>
    <cellStyle name="Percent [2] 9 3" xfId="5402"/>
    <cellStyle name="Percent [2] 9 4" xfId="6118"/>
    <cellStyle name="Percent [2] 9 5" xfId="52707"/>
    <cellStyle name="Title 10" xfId="3379"/>
    <cellStyle name="Title 10 2" xfId="5405"/>
    <cellStyle name="Title 10 2 2" xfId="22615"/>
    <cellStyle name="Title 10 3" xfId="22614"/>
    <cellStyle name="Title 11" xfId="3380"/>
    <cellStyle name="Title 11 2" xfId="5406"/>
    <cellStyle name="Title 11 2 2" xfId="22617"/>
    <cellStyle name="Title 11 3" xfId="22616"/>
    <cellStyle name="Title 12" xfId="3381"/>
    <cellStyle name="Title 12 2" xfId="5407"/>
    <cellStyle name="Title 12 2 2" xfId="22620"/>
    <cellStyle name="Title 12 2 2 2" xfId="22621"/>
    <cellStyle name="Title 12 2 3" xfId="22622"/>
    <cellStyle name="Title 12 2 4" xfId="22619"/>
    <cellStyle name="Title 12 3" xfId="22623"/>
    <cellStyle name="Title 12 4" xfId="22618"/>
    <cellStyle name="Title 13" xfId="3382"/>
    <cellStyle name="Title 13 2" xfId="5408"/>
    <cellStyle name="Title 13 3" xfId="22624"/>
    <cellStyle name="Title 14" xfId="3383"/>
    <cellStyle name="Title 14 2" xfId="22625"/>
    <cellStyle name="Title 14 3" xfId="5409"/>
    <cellStyle name="Title 15" xfId="3384"/>
    <cellStyle name="Title 15 2" xfId="22654"/>
    <cellStyle name="Title 15 3" xfId="5410"/>
    <cellStyle name="Title 16" xfId="3385"/>
    <cellStyle name="Title 16 2" xfId="22613"/>
    <cellStyle name="Title 16 3" xfId="5404"/>
    <cellStyle name="Title 17" xfId="3386"/>
    <cellStyle name="Title 18" xfId="3387"/>
    <cellStyle name="Title 19" xfId="3378"/>
    <cellStyle name="Title 2" xfId="139"/>
    <cellStyle name="Title 2 10" xfId="5411"/>
    <cellStyle name="Title 2 11" xfId="3388"/>
    <cellStyle name="Title 2 2" xfId="3389"/>
    <cellStyle name="Title 2 2 2" xfId="5412"/>
    <cellStyle name="Title 2 3" xfId="3390"/>
    <cellStyle name="Title 2 3 2" xfId="5413"/>
    <cellStyle name="Title 2 4" xfId="3391"/>
    <cellStyle name="Title 2 4 2" xfId="5414"/>
    <cellStyle name="Title 2 5" xfId="3392"/>
    <cellStyle name="Title 2 5 2" xfId="5415"/>
    <cellStyle name="Title 2 6" xfId="3393"/>
    <cellStyle name="Title 2 6 2" xfId="5416"/>
    <cellStyle name="Title 2 7" xfId="5417"/>
    <cellStyle name="Title 2 7 2" xfId="6120"/>
    <cellStyle name="Title 2 8" xfId="5418"/>
    <cellStyle name="Title 2 8 2" xfId="6121"/>
    <cellStyle name="Title 2 9" xfId="5419"/>
    <cellStyle name="Title 2_BallGrid" xfId="3394"/>
    <cellStyle name="Title 3" xfId="140"/>
    <cellStyle name="Title 3 2" xfId="3395"/>
    <cellStyle name="Title 3 2 2" xfId="5421"/>
    <cellStyle name="Title 3 3" xfId="3396"/>
    <cellStyle name="Title 3 3 2" xfId="5422"/>
    <cellStyle name="Title 3 4" xfId="5423"/>
    <cellStyle name="Title 3 4 2" xfId="6122"/>
    <cellStyle name="Title 3 5" xfId="5420"/>
    <cellStyle name="Title 4" xfId="141"/>
    <cellStyle name="Title 4 10" xfId="3397"/>
    <cellStyle name="Title 4 2" xfId="3398"/>
    <cellStyle name="Title 4 2 2" xfId="5425"/>
    <cellStyle name="Title 4 2 3" xfId="23011"/>
    <cellStyle name="Title 4 3" xfId="3399"/>
    <cellStyle name="Title 4 3 2" xfId="5426"/>
    <cellStyle name="Title 4 3 3" xfId="22626"/>
    <cellStyle name="Title 4 4" xfId="3400"/>
    <cellStyle name="Title 4 4 2" xfId="5427"/>
    <cellStyle name="Title 4 5" xfId="3401"/>
    <cellStyle name="Title 4 5 2" xfId="5428"/>
    <cellStyle name="Title 4 6" xfId="5429"/>
    <cellStyle name="Title 4 6 2" xfId="6123"/>
    <cellStyle name="Title 4 7" xfId="5430"/>
    <cellStyle name="Title 4 7 2" xfId="6124"/>
    <cellStyle name="Title 4 8" xfId="5431"/>
    <cellStyle name="Title 4 9" xfId="5424"/>
    <cellStyle name="Title 5" xfId="3402"/>
    <cellStyle name="Title 5 2" xfId="5433"/>
    <cellStyle name="Title 5 3" xfId="5434"/>
    <cellStyle name="Title 5 4" xfId="5432"/>
    <cellStyle name="Title 5 5" xfId="21992"/>
    <cellStyle name="Title 6" xfId="3403"/>
    <cellStyle name="Title 6 2" xfId="3404"/>
    <cellStyle name="Title 6 2 2" xfId="5436"/>
    <cellStyle name="Title 6 3" xfId="5435"/>
    <cellStyle name="Title 7" xfId="3405"/>
    <cellStyle name="Title 7 2" xfId="5437"/>
    <cellStyle name="Title 7 2 2" xfId="22628"/>
    <cellStyle name="Title 7 3" xfId="23012"/>
    <cellStyle name="Title 7 4" xfId="22627"/>
    <cellStyle name="Title 7 5" xfId="21994"/>
    <cellStyle name="Title 8" xfId="3406"/>
    <cellStyle name="Title 8 2" xfId="3407"/>
    <cellStyle name="Title 8 2 2" xfId="5439"/>
    <cellStyle name="Title 8 2 2 2" xfId="22631"/>
    <cellStyle name="Title 8 2 3" xfId="22630"/>
    <cellStyle name="Title 8 3" xfId="3408"/>
    <cellStyle name="Title 8 3 2" xfId="5440"/>
    <cellStyle name="Title 8 4" xfId="5438"/>
    <cellStyle name="Title 8 5" xfId="22629"/>
    <cellStyle name="Title 9" xfId="3409"/>
    <cellStyle name="Title 9 2" xfId="3410"/>
    <cellStyle name="Title 9 2 2" xfId="5442"/>
    <cellStyle name="Title 9 2 3" xfId="22633"/>
    <cellStyle name="Title 9 3" xfId="5441"/>
    <cellStyle name="Title 9 3 2" xfId="22778"/>
    <cellStyle name="Title 9 3 2 2" xfId="53417"/>
    <cellStyle name="Title 9 3 3" xfId="53316"/>
    <cellStyle name="Title 9 4" xfId="22632"/>
    <cellStyle name="Total 10" xfId="22635"/>
    <cellStyle name="Total 10 2" xfId="47537"/>
    <cellStyle name="Total 10 2 2" xfId="53418"/>
    <cellStyle name="Total 10 3" xfId="51386"/>
    <cellStyle name="Total 11" xfId="22636"/>
    <cellStyle name="Total 11 2" xfId="47538"/>
    <cellStyle name="Total 11 2 2" xfId="53419"/>
    <cellStyle name="Total 11 3" xfId="51387"/>
    <cellStyle name="Total 12" xfId="22637"/>
    <cellStyle name="Total 12 2" xfId="22638"/>
    <cellStyle name="Total 12 2 2" xfId="47540"/>
    <cellStyle name="Total 12 2 2 2" xfId="53420"/>
    <cellStyle name="Total 12 2 3" xfId="51389"/>
    <cellStyle name="Total 12 3" xfId="47539"/>
    <cellStyle name="Total 12 3 2" xfId="53421"/>
    <cellStyle name="Total 12 4" xfId="51388"/>
    <cellStyle name="Total 13" xfId="22639"/>
    <cellStyle name="Total 13 2" xfId="47541"/>
    <cellStyle name="Total 13 2 2" xfId="53422"/>
    <cellStyle name="Total 13 3" xfId="51390"/>
    <cellStyle name="Total 14" xfId="22640"/>
    <cellStyle name="Total 14 2" xfId="47542"/>
    <cellStyle name="Total 14 2 2" xfId="53318"/>
    <cellStyle name="Total 14 3" xfId="51391"/>
    <cellStyle name="Total 14 3 2" xfId="53423"/>
    <cellStyle name="Total 14 4" xfId="53317"/>
    <cellStyle name="Total 15" xfId="22663"/>
    <cellStyle name="Total 16" xfId="22634"/>
    <cellStyle name="Total 16 2" xfId="47536"/>
    <cellStyle name="Total 16 2 2" xfId="53320"/>
    <cellStyle name="Total 16 3" xfId="51385"/>
    <cellStyle name="Total 16 3 2" xfId="53424"/>
    <cellStyle name="Total 16 4" xfId="53319"/>
    <cellStyle name="Total 2" xfId="142"/>
    <cellStyle name="Total 2 10" xfId="52740"/>
    <cellStyle name="Total 2 2" xfId="3411"/>
    <cellStyle name="Total 2 2 2" xfId="3412"/>
    <cellStyle name="Total 2 2 2 2" xfId="5446"/>
    <cellStyle name="Total 2 2 2 2 2" xfId="53323"/>
    <cellStyle name="Total 2 2 2 3" xfId="7491"/>
    <cellStyle name="Total 2 2 2 3 10" xfId="39209"/>
    <cellStyle name="Total 2 2 2 3 11" xfId="53427"/>
    <cellStyle name="Total 2 2 2 3 2" xfId="10761"/>
    <cellStyle name="Total 2 2 2 3 2 2" xfId="18548"/>
    <cellStyle name="Total 2 2 2 3 2 2 2" xfId="44080"/>
    <cellStyle name="Total 2 2 2 3 2 2 3" xfId="47989"/>
    <cellStyle name="Total 2 2 2 3 2 2 4" xfId="36171"/>
    <cellStyle name="Total 2 2 2 3 2 3" xfId="12626"/>
    <cellStyle name="Total 2 2 2 3 2 3 2" xfId="42086"/>
    <cellStyle name="Total 2 2 2 3 2 3 3" xfId="39530"/>
    <cellStyle name="Total 2 2 2 3 2 3 4" xfId="30277"/>
    <cellStyle name="Total 2 2 2 3 2 4" xfId="19811"/>
    <cellStyle name="Total 2 2 2 3 2 4 2" xfId="45333"/>
    <cellStyle name="Total 2 2 2 3 2 4 3" xfId="49239"/>
    <cellStyle name="Total 2 2 2 3 2 4 4" xfId="37315"/>
    <cellStyle name="Total 2 2 2 3 2 5" xfId="20961"/>
    <cellStyle name="Total 2 2 2 3 2 5 2" xfId="46483"/>
    <cellStyle name="Total 2 2 2 3 2 5 3" xfId="50389"/>
    <cellStyle name="Total 2 2 2 3 2 5 4" xfId="38353"/>
    <cellStyle name="Total 2 2 2 3 2 6" xfId="21614"/>
    <cellStyle name="Total 2 2 2 3 2 6 2" xfId="47136"/>
    <cellStyle name="Total 2 2 2 3 2 6 3" xfId="51042"/>
    <cellStyle name="Total 2 2 2 3 2 7" xfId="40939"/>
    <cellStyle name="Total 2 2 2 3 2 8" xfId="40068"/>
    <cellStyle name="Total 2 2 2 3 3" xfId="11056"/>
    <cellStyle name="Total 2 2 2 3 3 2" xfId="18843"/>
    <cellStyle name="Total 2 2 2 3 3 2 2" xfId="44375"/>
    <cellStyle name="Total 2 2 2 3 3 2 3" xfId="48284"/>
    <cellStyle name="Total 2 2 2 3 3 2 4" xfId="36466"/>
    <cellStyle name="Total 2 2 2 3 3 3" xfId="20436"/>
    <cellStyle name="Total 2 2 2 3 3 3 2" xfId="45958"/>
    <cellStyle name="Total 2 2 2 3 3 3 3" xfId="49864"/>
    <cellStyle name="Total 2 2 2 3 3 3 4" xfId="37876"/>
    <cellStyle name="Total 2 2 2 3 3 4" xfId="20580"/>
    <cellStyle name="Total 2 2 2 3 3 4 2" xfId="46102"/>
    <cellStyle name="Total 2 2 2 3 3 4 3" xfId="50008"/>
    <cellStyle name="Total 2 2 2 3 3 4 4" xfId="37993"/>
    <cellStyle name="Total 2 2 2 3 3 5" xfId="21256"/>
    <cellStyle name="Total 2 2 2 3 3 5 2" xfId="46778"/>
    <cellStyle name="Total 2 2 2 3 3 5 3" xfId="50684"/>
    <cellStyle name="Total 2 2 2 3 3 5 4" xfId="38648"/>
    <cellStyle name="Total 2 2 2 3 3 6" xfId="21909"/>
    <cellStyle name="Total 2 2 2 3 3 6 2" xfId="47431"/>
    <cellStyle name="Total 2 2 2 3 3 6 3" xfId="51337"/>
    <cellStyle name="Total 2 2 2 3 3 7" xfId="41234"/>
    <cellStyle name="Total 2 2 2 3 3 8" xfId="39555"/>
    <cellStyle name="Total 2 2 2 3 4" xfId="15273"/>
    <cellStyle name="Total 2 2 2 3 4 2" xfId="43128"/>
    <cellStyle name="Total 2 2 2 3 4 3" xfId="42747"/>
    <cellStyle name="Total 2 2 2 3 4 4" xfId="32894"/>
    <cellStyle name="Total 2 2 2 3 5" xfId="11363"/>
    <cellStyle name="Total 2 2 2 3 5 2" xfId="41379"/>
    <cellStyle name="Total 2 2 2 3 5 3" xfId="42558"/>
    <cellStyle name="Total 2 2 2 3 5 4" xfId="29072"/>
    <cellStyle name="Total 2 2 2 3 6" xfId="18979"/>
    <cellStyle name="Total 2 2 2 3 6 2" xfId="44501"/>
    <cellStyle name="Total 2 2 2 3 6 3" xfId="48407"/>
    <cellStyle name="Total 2 2 2 3 6 4" xfId="36587"/>
    <cellStyle name="Total 2 2 2 3 7" xfId="11571"/>
    <cellStyle name="Total 2 2 2 3 7 2" xfId="41562"/>
    <cellStyle name="Total 2 2 2 3 7 3" xfId="40434"/>
    <cellStyle name="Total 2 2 2 3 7 4" xfId="29268"/>
    <cellStyle name="Total 2 2 2 3 8" xfId="13193"/>
    <cellStyle name="Total 2 2 2 3 8 2" xfId="42395"/>
    <cellStyle name="Total 2 2 2 3 8 3" xfId="40148"/>
    <cellStyle name="Total 2 2 2 3 9" xfId="39988"/>
    <cellStyle name="Total 2 2 2 4" xfId="12139"/>
    <cellStyle name="Total 2 2 2 4 2" xfId="41864"/>
    <cellStyle name="Total 2 2 2 4 3" xfId="40316"/>
    <cellStyle name="Total 2 2 2 4 4" xfId="29797"/>
    <cellStyle name="Total 2 2 2 5" xfId="19668"/>
    <cellStyle name="Total 2 2 2 5 2" xfId="45190"/>
    <cellStyle name="Total 2 2 2 5 3" xfId="49096"/>
    <cellStyle name="Total 2 2 2 5 4" xfId="37186"/>
    <cellStyle name="Total 2 2 2 6" xfId="53322"/>
    <cellStyle name="Total 2 2 3" xfId="5445"/>
    <cellStyle name="Total 2 2 3 2" xfId="53324"/>
    <cellStyle name="Total 2 2 4" xfId="7490"/>
    <cellStyle name="Total 2 2 4 10" xfId="39380"/>
    <cellStyle name="Total 2 2 4 11" xfId="53426"/>
    <cellStyle name="Total 2 2 4 2" xfId="10760"/>
    <cellStyle name="Total 2 2 4 2 2" xfId="18547"/>
    <cellStyle name="Total 2 2 4 2 2 2" xfId="44079"/>
    <cellStyle name="Total 2 2 4 2 2 3" xfId="47988"/>
    <cellStyle name="Total 2 2 4 2 2 4" xfId="36170"/>
    <cellStyle name="Total 2 2 4 2 3" xfId="19718"/>
    <cellStyle name="Total 2 2 4 2 3 2" xfId="45240"/>
    <cellStyle name="Total 2 2 4 2 3 3" xfId="49146"/>
    <cellStyle name="Total 2 2 4 2 3 4" xfId="37231"/>
    <cellStyle name="Total 2 2 4 2 4" xfId="19462"/>
    <cellStyle name="Total 2 2 4 2 4 2" xfId="44984"/>
    <cellStyle name="Total 2 2 4 2 4 3" xfId="48890"/>
    <cellStyle name="Total 2 2 4 2 4 4" xfId="37006"/>
    <cellStyle name="Total 2 2 4 2 5" xfId="20960"/>
    <cellStyle name="Total 2 2 4 2 5 2" xfId="46482"/>
    <cellStyle name="Total 2 2 4 2 5 3" xfId="50388"/>
    <cellStyle name="Total 2 2 4 2 5 4" xfId="38352"/>
    <cellStyle name="Total 2 2 4 2 6" xfId="21613"/>
    <cellStyle name="Total 2 2 4 2 6 2" xfId="47135"/>
    <cellStyle name="Total 2 2 4 2 6 3" xfId="51041"/>
    <cellStyle name="Total 2 2 4 2 7" xfId="40938"/>
    <cellStyle name="Total 2 2 4 2 8" xfId="43209"/>
    <cellStyle name="Total 2 2 4 3" xfId="11055"/>
    <cellStyle name="Total 2 2 4 3 2" xfId="18842"/>
    <cellStyle name="Total 2 2 4 3 2 2" xfId="44374"/>
    <cellStyle name="Total 2 2 4 3 2 3" xfId="48283"/>
    <cellStyle name="Total 2 2 4 3 2 4" xfId="36465"/>
    <cellStyle name="Total 2 2 4 3 3" xfId="20435"/>
    <cellStyle name="Total 2 2 4 3 3 2" xfId="45957"/>
    <cellStyle name="Total 2 2 4 3 3 3" xfId="49863"/>
    <cellStyle name="Total 2 2 4 3 3 4" xfId="37875"/>
    <cellStyle name="Total 2 2 4 3 4" xfId="20579"/>
    <cellStyle name="Total 2 2 4 3 4 2" xfId="46101"/>
    <cellStyle name="Total 2 2 4 3 4 3" xfId="50007"/>
    <cellStyle name="Total 2 2 4 3 4 4" xfId="37992"/>
    <cellStyle name="Total 2 2 4 3 5" xfId="21255"/>
    <cellStyle name="Total 2 2 4 3 5 2" xfId="46777"/>
    <cellStyle name="Total 2 2 4 3 5 3" xfId="50683"/>
    <cellStyle name="Total 2 2 4 3 5 4" xfId="38647"/>
    <cellStyle name="Total 2 2 4 3 6" xfId="21908"/>
    <cellStyle name="Total 2 2 4 3 6 2" xfId="47430"/>
    <cellStyle name="Total 2 2 4 3 6 3" xfId="51336"/>
    <cellStyle name="Total 2 2 4 3 7" xfId="41233"/>
    <cellStyle name="Total 2 2 4 3 8" xfId="40445"/>
    <cellStyle name="Total 2 2 4 4" xfId="15272"/>
    <cellStyle name="Total 2 2 4 4 2" xfId="43127"/>
    <cellStyle name="Total 2 2 4 4 3" xfId="40007"/>
    <cellStyle name="Total 2 2 4 4 4" xfId="32893"/>
    <cellStyle name="Total 2 2 4 5" xfId="19802"/>
    <cellStyle name="Total 2 2 4 5 2" xfId="45324"/>
    <cellStyle name="Total 2 2 4 5 3" xfId="49230"/>
    <cellStyle name="Total 2 2 4 5 4" xfId="37309"/>
    <cellStyle name="Total 2 2 4 6" xfId="19151"/>
    <cellStyle name="Total 2 2 4 6 2" xfId="44673"/>
    <cellStyle name="Total 2 2 4 6 3" xfId="48579"/>
    <cellStyle name="Total 2 2 4 6 4" xfId="36729"/>
    <cellStyle name="Total 2 2 4 7" xfId="12666"/>
    <cellStyle name="Total 2 2 4 7 2" xfId="42126"/>
    <cellStyle name="Total 2 2 4 7 3" xfId="39527"/>
    <cellStyle name="Total 2 2 4 7 4" xfId="30316"/>
    <cellStyle name="Total 2 2 4 8" xfId="20465"/>
    <cellStyle name="Total 2 2 4 8 2" xfId="45987"/>
    <cellStyle name="Total 2 2 4 8 3" xfId="49893"/>
    <cellStyle name="Total 2 2 4 9" xfId="39987"/>
    <cellStyle name="Total 2 2 5" xfId="12138"/>
    <cellStyle name="Total 2 2 5 2" xfId="41863"/>
    <cellStyle name="Total 2 2 5 3" xfId="43456"/>
    <cellStyle name="Total 2 2 5 4" xfId="29796"/>
    <cellStyle name="Total 2 2 6" xfId="11601"/>
    <cellStyle name="Total 2 2 6 2" xfId="41592"/>
    <cellStyle name="Total 2 2 6 3" xfId="39322"/>
    <cellStyle name="Total 2 2 6 4" xfId="29290"/>
    <cellStyle name="Total 2 2 7" xfId="53321"/>
    <cellStyle name="Total 2 2_Sheet1" xfId="3413"/>
    <cellStyle name="Total 2 3" xfId="3414"/>
    <cellStyle name="Total 2 3 2" xfId="5447"/>
    <cellStyle name="Total 2 3 2 2" xfId="53326"/>
    <cellStyle name="Total 2 3 3" xfId="7492"/>
    <cellStyle name="Total 2 3 3 10" xfId="47448"/>
    <cellStyle name="Total 2 3 3 11" xfId="53428"/>
    <cellStyle name="Total 2 3 3 2" xfId="10762"/>
    <cellStyle name="Total 2 3 3 2 2" xfId="18549"/>
    <cellStyle name="Total 2 3 3 2 2 2" xfId="44081"/>
    <cellStyle name="Total 2 3 3 2 2 3" xfId="47990"/>
    <cellStyle name="Total 2 3 3 2 2 4" xfId="36172"/>
    <cellStyle name="Total 2 3 3 2 3" xfId="19585"/>
    <cellStyle name="Total 2 3 3 2 3 2" xfId="45107"/>
    <cellStyle name="Total 2 3 3 2 3 3" xfId="49013"/>
    <cellStyle name="Total 2 3 3 2 3 4" xfId="37111"/>
    <cellStyle name="Total 2 3 3 2 4" xfId="20450"/>
    <cellStyle name="Total 2 3 3 2 4 2" xfId="45972"/>
    <cellStyle name="Total 2 3 3 2 4 3" xfId="49878"/>
    <cellStyle name="Total 2 3 3 2 4 4" xfId="37889"/>
    <cellStyle name="Total 2 3 3 2 5" xfId="20962"/>
    <cellStyle name="Total 2 3 3 2 5 2" xfId="46484"/>
    <cellStyle name="Total 2 3 3 2 5 3" xfId="50390"/>
    <cellStyle name="Total 2 3 3 2 5 4" xfId="38354"/>
    <cellStyle name="Total 2 3 3 2 6" xfId="21615"/>
    <cellStyle name="Total 2 3 3 2 6 2" xfId="47137"/>
    <cellStyle name="Total 2 3 3 2 6 3" xfId="51043"/>
    <cellStyle name="Total 2 3 3 2 7" xfId="40940"/>
    <cellStyle name="Total 2 3 3 2 8" xfId="42816"/>
    <cellStyle name="Total 2 3 3 3" xfId="11057"/>
    <cellStyle name="Total 2 3 3 3 2" xfId="18844"/>
    <cellStyle name="Total 2 3 3 3 2 2" xfId="44376"/>
    <cellStyle name="Total 2 3 3 3 2 3" xfId="48285"/>
    <cellStyle name="Total 2 3 3 3 2 4" xfId="36467"/>
    <cellStyle name="Total 2 3 3 3 3" xfId="20437"/>
    <cellStyle name="Total 2 3 3 3 3 2" xfId="45959"/>
    <cellStyle name="Total 2 3 3 3 3 3" xfId="49865"/>
    <cellStyle name="Total 2 3 3 3 3 4" xfId="37877"/>
    <cellStyle name="Total 2 3 3 3 4" xfId="20581"/>
    <cellStyle name="Total 2 3 3 3 4 2" xfId="46103"/>
    <cellStyle name="Total 2 3 3 3 4 3" xfId="50009"/>
    <cellStyle name="Total 2 3 3 3 4 4" xfId="37994"/>
    <cellStyle name="Total 2 3 3 3 5" xfId="21257"/>
    <cellStyle name="Total 2 3 3 3 5 2" xfId="46779"/>
    <cellStyle name="Total 2 3 3 3 5 3" xfId="50685"/>
    <cellStyle name="Total 2 3 3 3 5 4" xfId="38649"/>
    <cellStyle name="Total 2 3 3 3 6" xfId="21910"/>
    <cellStyle name="Total 2 3 3 3 6 2" xfId="47432"/>
    <cellStyle name="Total 2 3 3 3 6 3" xfId="51338"/>
    <cellStyle name="Total 2 3 3 3 7" xfId="41235"/>
    <cellStyle name="Total 2 3 3 3 8" xfId="42563"/>
    <cellStyle name="Total 2 3 3 4" xfId="15274"/>
    <cellStyle name="Total 2 3 3 4 2" xfId="43129"/>
    <cellStyle name="Total 2 3 3 4 3" xfId="43634"/>
    <cellStyle name="Total 2 3 3 4 4" xfId="32895"/>
    <cellStyle name="Total 2 3 3 5" xfId="13240"/>
    <cellStyle name="Total 2 3 3 5 2" xfId="42401"/>
    <cellStyle name="Total 2 3 3 5 3" xfId="43436"/>
    <cellStyle name="Total 2 3 3 5 4" xfId="30871"/>
    <cellStyle name="Total 2 3 3 6" xfId="19203"/>
    <cellStyle name="Total 2 3 3 6 2" xfId="44725"/>
    <cellStyle name="Total 2 3 3 6 3" xfId="48631"/>
    <cellStyle name="Total 2 3 3 6 4" xfId="36774"/>
    <cellStyle name="Total 2 3 3 7" xfId="12667"/>
    <cellStyle name="Total 2 3 3 7 2" xfId="42127"/>
    <cellStyle name="Total 2 3 3 7 3" xfId="42534"/>
    <cellStyle name="Total 2 3 3 7 4" xfId="30317"/>
    <cellStyle name="Total 2 3 3 8" xfId="11665"/>
    <cellStyle name="Total 2 3 3 8 2" xfId="41656"/>
    <cellStyle name="Total 2 3 3 8 3" xfId="43569"/>
    <cellStyle name="Total 2 3 3 9" xfId="39989"/>
    <cellStyle name="Total 2 3 4" xfId="12140"/>
    <cellStyle name="Total 2 3 4 2" xfId="41865"/>
    <cellStyle name="Total 2 3 4 3" xfId="39429"/>
    <cellStyle name="Total 2 3 4 4" xfId="29798"/>
    <cellStyle name="Total 2 3 5" xfId="19530"/>
    <cellStyle name="Total 2 3 5 2" xfId="45052"/>
    <cellStyle name="Total 2 3 5 3" xfId="48958"/>
    <cellStyle name="Total 2 3 5 4" xfId="37060"/>
    <cellStyle name="Total 2 3 6" xfId="53325"/>
    <cellStyle name="Total 2 4" xfId="3415"/>
    <cellStyle name="Total 2 4 2" xfId="5448"/>
    <cellStyle name="Total 2 4 2 2" xfId="53328"/>
    <cellStyle name="Total 2 4 3" xfId="7493"/>
    <cellStyle name="Total 2 4 3 10" xfId="41678"/>
    <cellStyle name="Total 2 4 3 11" xfId="53429"/>
    <cellStyle name="Total 2 4 3 2" xfId="10763"/>
    <cellStyle name="Total 2 4 3 2 2" xfId="18550"/>
    <cellStyle name="Total 2 4 3 2 2 2" xfId="44082"/>
    <cellStyle name="Total 2 4 3 2 2 3" xfId="47991"/>
    <cellStyle name="Total 2 4 3 2 2 4" xfId="36173"/>
    <cellStyle name="Total 2 4 3 2 3" xfId="20138"/>
    <cellStyle name="Total 2 4 3 2 3 2" xfId="45660"/>
    <cellStyle name="Total 2 4 3 2 3 3" xfId="49566"/>
    <cellStyle name="Total 2 4 3 2 3 4" xfId="37610"/>
    <cellStyle name="Total 2 4 3 2 4" xfId="12684"/>
    <cellStyle name="Total 2 4 3 2 4 2" xfId="42144"/>
    <cellStyle name="Total 2 4 3 2 4 3" xfId="40419"/>
    <cellStyle name="Total 2 4 3 2 4 4" xfId="30331"/>
    <cellStyle name="Total 2 4 3 2 5" xfId="20963"/>
    <cellStyle name="Total 2 4 3 2 5 2" xfId="46485"/>
    <cellStyle name="Total 2 4 3 2 5 3" xfId="50391"/>
    <cellStyle name="Total 2 4 3 2 5 4" xfId="38355"/>
    <cellStyle name="Total 2 4 3 2 6" xfId="21616"/>
    <cellStyle name="Total 2 4 3 2 6 2" xfId="47138"/>
    <cellStyle name="Total 2 4 3 2 6 3" xfId="51044"/>
    <cellStyle name="Total 2 4 3 2 7" xfId="40941"/>
    <cellStyle name="Total 2 4 3 2 8" xfId="43705"/>
    <cellStyle name="Total 2 4 3 3" xfId="11058"/>
    <cellStyle name="Total 2 4 3 3 2" xfId="18845"/>
    <cellStyle name="Total 2 4 3 3 2 2" xfId="44377"/>
    <cellStyle name="Total 2 4 3 3 2 3" xfId="48286"/>
    <cellStyle name="Total 2 4 3 3 2 4" xfId="36468"/>
    <cellStyle name="Total 2 4 3 3 3" xfId="20438"/>
    <cellStyle name="Total 2 4 3 3 3 2" xfId="45960"/>
    <cellStyle name="Total 2 4 3 3 3 3" xfId="49866"/>
    <cellStyle name="Total 2 4 3 3 3 4" xfId="37878"/>
    <cellStyle name="Total 2 4 3 3 4" xfId="20582"/>
    <cellStyle name="Total 2 4 3 3 4 2" xfId="46104"/>
    <cellStyle name="Total 2 4 3 3 4 3" xfId="50010"/>
    <cellStyle name="Total 2 4 3 3 4 4" xfId="37995"/>
    <cellStyle name="Total 2 4 3 3 5" xfId="21258"/>
    <cellStyle name="Total 2 4 3 3 5 2" xfId="46780"/>
    <cellStyle name="Total 2 4 3 3 5 3" xfId="50686"/>
    <cellStyle name="Total 2 4 3 3 5 4" xfId="38650"/>
    <cellStyle name="Total 2 4 3 3 6" xfId="21911"/>
    <cellStyle name="Total 2 4 3 3 6 2" xfId="47433"/>
    <cellStyle name="Total 2 4 3 3 6 3" xfId="51339"/>
    <cellStyle name="Total 2 4 3 3 7" xfId="41236"/>
    <cellStyle name="Total 2 4 3 3 8" xfId="43476"/>
    <cellStyle name="Total 2 4 3 4" xfId="15275"/>
    <cellStyle name="Total 2 4 3 4 2" xfId="43130"/>
    <cellStyle name="Total 2 4 3 4 3" xfId="40493"/>
    <cellStyle name="Total 2 4 3 4 4" xfId="32896"/>
    <cellStyle name="Total 2 4 3 5" xfId="11365"/>
    <cellStyle name="Total 2 4 3 5 2" xfId="41381"/>
    <cellStyle name="Total 2 4 3 5 3" xfId="40333"/>
    <cellStyle name="Total 2 4 3 5 4" xfId="29074"/>
    <cellStyle name="Total 2 4 3 6" xfId="18980"/>
    <cellStyle name="Total 2 4 3 6 2" xfId="44502"/>
    <cellStyle name="Total 2 4 3 6 3" xfId="48408"/>
    <cellStyle name="Total 2 4 3 6 4" xfId="36588"/>
    <cellStyle name="Total 2 4 3 7" xfId="11572"/>
    <cellStyle name="Total 2 4 3 7 2" xfId="41563"/>
    <cellStyle name="Total 2 4 3 7 3" xfId="39545"/>
    <cellStyle name="Total 2 4 3 7 4" xfId="29269"/>
    <cellStyle name="Total 2 4 3 8" xfId="12697"/>
    <cellStyle name="Total 2 4 3 8 2" xfId="42153"/>
    <cellStyle name="Total 2 4 3 8 3" xfId="39631"/>
    <cellStyle name="Total 2 4 3 9" xfId="39990"/>
    <cellStyle name="Total 2 4 4" xfId="12141"/>
    <cellStyle name="Total 2 4 4 2" xfId="41866"/>
    <cellStyle name="Total 2 4 4 3" xfId="47463"/>
    <cellStyle name="Total 2 4 4 4" xfId="29799"/>
    <cellStyle name="Total 2 4 5" xfId="20094"/>
    <cellStyle name="Total 2 4 5 2" xfId="45616"/>
    <cellStyle name="Total 2 4 5 3" xfId="49522"/>
    <cellStyle name="Total 2 4 5 4" xfId="37568"/>
    <cellStyle name="Total 2 4 6" xfId="53327"/>
    <cellStyle name="Total 2 5" xfId="5449"/>
    <cellStyle name="Total 2 5 2" xfId="6125"/>
    <cellStyle name="Total 2 5 2 2" xfId="10475"/>
    <cellStyle name="Total 2 5 2 2 2" xfId="18262"/>
    <cellStyle name="Total 2 5 2 2 2 2" xfId="43794"/>
    <cellStyle name="Total 2 5 2 2 2 3" xfId="47703"/>
    <cellStyle name="Total 2 5 2 2 2 4" xfId="35885"/>
    <cellStyle name="Total 2 5 2 2 3" xfId="12611"/>
    <cellStyle name="Total 2 5 2 2 3 2" xfId="42071"/>
    <cellStyle name="Total 2 5 2 2 3 3" xfId="41954"/>
    <cellStyle name="Total 2 5 2 2 3 4" xfId="30262"/>
    <cellStyle name="Total 2 5 2 2 4" xfId="12689"/>
    <cellStyle name="Total 2 5 2 2 4 2" xfId="42149"/>
    <cellStyle name="Total 2 5 2 2 4 3" xfId="39424"/>
    <cellStyle name="Total 2 5 2 2 4 4" xfId="30335"/>
    <cellStyle name="Total 2 5 2 2 5" xfId="20675"/>
    <cellStyle name="Total 2 5 2 2 5 2" xfId="46197"/>
    <cellStyle name="Total 2 5 2 2 5 3" xfId="50103"/>
    <cellStyle name="Total 2 5 2 2 5 4" xfId="38067"/>
    <cellStyle name="Total 2 5 2 2 6" xfId="21328"/>
    <cellStyle name="Total 2 5 2 2 6 2" xfId="46850"/>
    <cellStyle name="Total 2 5 2 2 6 3" xfId="50756"/>
    <cellStyle name="Total 2 5 2 2 7" xfId="40653"/>
    <cellStyle name="Total 2 5 2 2 8" xfId="43220"/>
    <cellStyle name="Total 2 5 2 3" xfId="9338"/>
    <cellStyle name="Total 2 5 2 3 2" xfId="17127"/>
    <cellStyle name="Total 2 5 2 3 2 2" xfId="43520"/>
    <cellStyle name="Total 2 5 2 3 2 3" xfId="47640"/>
    <cellStyle name="Total 2 5 2 3 2 4" xfId="34749"/>
    <cellStyle name="Total 2 5 2 3 3" xfId="19776"/>
    <cellStyle name="Total 2 5 2 3 3 2" xfId="45298"/>
    <cellStyle name="Total 2 5 2 3 3 3" xfId="49204"/>
    <cellStyle name="Total 2 5 2 3 3 4" xfId="37286"/>
    <cellStyle name="Total 2 5 2 3 4" xfId="12065"/>
    <cellStyle name="Total 2 5 2 3 4 2" xfId="41793"/>
    <cellStyle name="Total 2 5 2 3 4 3" xfId="43459"/>
    <cellStyle name="Total 2 5 2 3 4 4" xfId="29729"/>
    <cellStyle name="Total 2 5 2 3 5" xfId="19361"/>
    <cellStyle name="Total 2 5 2 3 5 2" xfId="44883"/>
    <cellStyle name="Total 2 5 2 3 5 3" xfId="48789"/>
    <cellStyle name="Total 2 5 2 3 5 4" xfId="36913"/>
    <cellStyle name="Total 2 5 2 3 6" xfId="20368"/>
    <cellStyle name="Total 2 5 2 3 6 2" xfId="45890"/>
    <cellStyle name="Total 2 5 2 3 6 3" xfId="49796"/>
    <cellStyle name="Total 2 5 2 3 7" xfId="40383"/>
    <cellStyle name="Total 2 5 2 3 8" xfId="39181"/>
    <cellStyle name="Total 2 5 2 4" xfId="13909"/>
    <cellStyle name="Total 2 5 2 4 2" xfId="42625"/>
    <cellStyle name="Total 2 5 2 4 3" xfId="40019"/>
    <cellStyle name="Total 2 5 2 4 4" xfId="31531"/>
    <cellStyle name="Total 2 5 2 5" xfId="11788"/>
    <cellStyle name="Total 2 5 2 5 2" xfId="41718"/>
    <cellStyle name="Total 2 5 2 5 3" xfId="39125"/>
    <cellStyle name="Total 2 5 2 5 4" xfId="29460"/>
    <cellStyle name="Total 2 5 2 6" xfId="53430"/>
    <cellStyle name="Total 2 5 3" xfId="7494"/>
    <cellStyle name="Total 2 5 3 10" xfId="43241"/>
    <cellStyle name="Total 2 5 3 2" xfId="10764"/>
    <cellStyle name="Total 2 5 3 2 2" xfId="18551"/>
    <cellStyle name="Total 2 5 3 2 2 2" xfId="44083"/>
    <cellStyle name="Total 2 5 3 2 2 3" xfId="47992"/>
    <cellStyle name="Total 2 5 3 2 2 4" xfId="36174"/>
    <cellStyle name="Total 2 5 3 2 3" xfId="19397"/>
    <cellStyle name="Total 2 5 3 2 3 2" xfId="44919"/>
    <cellStyle name="Total 2 5 3 2 3 3" xfId="48825"/>
    <cellStyle name="Total 2 5 3 2 3 4" xfId="36948"/>
    <cellStyle name="Total 2 5 3 2 4" xfId="12119"/>
    <cellStyle name="Total 2 5 3 2 4 2" xfId="41844"/>
    <cellStyle name="Total 2 5 3 2 4 3" xfId="47468"/>
    <cellStyle name="Total 2 5 3 2 4 4" xfId="29778"/>
    <cellStyle name="Total 2 5 3 2 5" xfId="20964"/>
    <cellStyle name="Total 2 5 3 2 5 2" xfId="46486"/>
    <cellStyle name="Total 2 5 3 2 5 3" xfId="50392"/>
    <cellStyle name="Total 2 5 3 2 5 4" xfId="38356"/>
    <cellStyle name="Total 2 5 3 2 6" xfId="21617"/>
    <cellStyle name="Total 2 5 3 2 6 2" xfId="47139"/>
    <cellStyle name="Total 2 5 3 2 6 3" xfId="51045"/>
    <cellStyle name="Total 2 5 3 2 7" xfId="40942"/>
    <cellStyle name="Total 2 5 3 2 8" xfId="40564"/>
    <cellStyle name="Total 2 5 3 3" xfId="11059"/>
    <cellStyle name="Total 2 5 3 3 2" xfId="18846"/>
    <cellStyle name="Total 2 5 3 3 2 2" xfId="44378"/>
    <cellStyle name="Total 2 5 3 3 2 3" xfId="48287"/>
    <cellStyle name="Total 2 5 3 3 2 4" xfId="36469"/>
    <cellStyle name="Total 2 5 3 3 3" xfId="20439"/>
    <cellStyle name="Total 2 5 3 3 3 2" xfId="45961"/>
    <cellStyle name="Total 2 5 3 3 3 3" xfId="49867"/>
    <cellStyle name="Total 2 5 3 3 3 4" xfId="37879"/>
    <cellStyle name="Total 2 5 3 3 4" xfId="20583"/>
    <cellStyle name="Total 2 5 3 3 4 2" xfId="46105"/>
    <cellStyle name="Total 2 5 3 3 4 3" xfId="50011"/>
    <cellStyle name="Total 2 5 3 3 4 4" xfId="37996"/>
    <cellStyle name="Total 2 5 3 3 5" xfId="21259"/>
    <cellStyle name="Total 2 5 3 3 5 2" xfId="46781"/>
    <cellStyle name="Total 2 5 3 3 5 3" xfId="50687"/>
    <cellStyle name="Total 2 5 3 3 5 4" xfId="38651"/>
    <cellStyle name="Total 2 5 3 3 6" xfId="21912"/>
    <cellStyle name="Total 2 5 3 3 6 2" xfId="47434"/>
    <cellStyle name="Total 2 5 3 3 6 3" xfId="51340"/>
    <cellStyle name="Total 2 5 3 3 7" xfId="41237"/>
    <cellStyle name="Total 2 5 3 3 8" xfId="40339"/>
    <cellStyle name="Total 2 5 3 4" xfId="15276"/>
    <cellStyle name="Total 2 5 3 4 2" xfId="43131"/>
    <cellStyle name="Total 2 5 3 4 3" xfId="39601"/>
    <cellStyle name="Total 2 5 3 4 4" xfId="32897"/>
    <cellStyle name="Total 2 5 3 5" xfId="11366"/>
    <cellStyle name="Total 2 5 3 5 2" xfId="41382"/>
    <cellStyle name="Total 2 5 3 5 3" xfId="39445"/>
    <cellStyle name="Total 2 5 3 5 4" xfId="29075"/>
    <cellStyle name="Total 2 5 3 6" xfId="12671"/>
    <cellStyle name="Total 2 5 3 6 2" xfId="42131"/>
    <cellStyle name="Total 2 5 3 6 3" xfId="41950"/>
    <cellStyle name="Total 2 5 3 6 4" xfId="30319"/>
    <cellStyle name="Total 2 5 3 7" xfId="19008"/>
    <cellStyle name="Total 2 5 3 7 2" xfId="44530"/>
    <cellStyle name="Total 2 5 3 7 3" xfId="48436"/>
    <cellStyle name="Total 2 5 3 7 4" xfId="36602"/>
    <cellStyle name="Total 2 5 3 8" xfId="20494"/>
    <cellStyle name="Total 2 5 3 8 2" xfId="46016"/>
    <cellStyle name="Total 2 5 3 8 3" xfId="49922"/>
    <cellStyle name="Total 2 5 3 9" xfId="39991"/>
    <cellStyle name="Total 2 5 4" xfId="53329"/>
    <cellStyle name="Total 2 6" xfId="5444"/>
    <cellStyle name="Total 2 6 2" xfId="53425"/>
    <cellStyle name="Total 2 7" xfId="7489"/>
    <cellStyle name="Total 2 7 10" xfId="40253"/>
    <cellStyle name="Total 2 7 2" xfId="10759"/>
    <cellStyle name="Total 2 7 2 2" xfId="18546"/>
    <cellStyle name="Total 2 7 2 2 2" xfId="44078"/>
    <cellStyle name="Total 2 7 2 2 3" xfId="47987"/>
    <cellStyle name="Total 2 7 2 2 4" xfId="36169"/>
    <cellStyle name="Total 2 7 2 3" xfId="11500"/>
    <cellStyle name="Total 2 7 2 3 2" xfId="41491"/>
    <cellStyle name="Total 2 7 2 3 3" xfId="40330"/>
    <cellStyle name="Total 2 7 2 3 4" xfId="29201"/>
    <cellStyle name="Total 2 7 2 4" xfId="19676"/>
    <cellStyle name="Total 2 7 2 4 2" xfId="45198"/>
    <cellStyle name="Total 2 7 2 4 3" xfId="49104"/>
    <cellStyle name="Total 2 7 2 4 4" xfId="37193"/>
    <cellStyle name="Total 2 7 2 5" xfId="20959"/>
    <cellStyle name="Total 2 7 2 5 2" xfId="46481"/>
    <cellStyle name="Total 2 7 2 5 3" xfId="50387"/>
    <cellStyle name="Total 2 7 2 5 4" xfId="38351"/>
    <cellStyle name="Total 2 7 2 6" xfId="21612"/>
    <cellStyle name="Total 2 7 2 6 2" xfId="47134"/>
    <cellStyle name="Total 2 7 2 6 3" xfId="51040"/>
    <cellStyle name="Total 2 7 2 7" xfId="40937"/>
    <cellStyle name="Total 2 7 2 8" xfId="41406"/>
    <cellStyle name="Total 2 7 3" xfId="11054"/>
    <cellStyle name="Total 2 7 3 2" xfId="18841"/>
    <cellStyle name="Total 2 7 3 2 2" xfId="44373"/>
    <cellStyle name="Total 2 7 3 2 3" xfId="48282"/>
    <cellStyle name="Total 2 7 3 2 4" xfId="36464"/>
    <cellStyle name="Total 2 7 3 3" xfId="20434"/>
    <cellStyle name="Total 2 7 3 3 2" xfId="45956"/>
    <cellStyle name="Total 2 7 3 3 3" xfId="49862"/>
    <cellStyle name="Total 2 7 3 3 4" xfId="37874"/>
    <cellStyle name="Total 2 7 3 4" xfId="20578"/>
    <cellStyle name="Total 2 7 3 4 2" xfId="46100"/>
    <cellStyle name="Total 2 7 3 4 3" xfId="50006"/>
    <cellStyle name="Total 2 7 3 4 4" xfId="37991"/>
    <cellStyle name="Total 2 7 3 5" xfId="21254"/>
    <cellStyle name="Total 2 7 3 5 2" xfId="46776"/>
    <cellStyle name="Total 2 7 3 5 3" xfId="50682"/>
    <cellStyle name="Total 2 7 3 5 4" xfId="38646"/>
    <cellStyle name="Total 2 7 3 6" xfId="21907"/>
    <cellStyle name="Total 2 7 3 6 2" xfId="47429"/>
    <cellStyle name="Total 2 7 3 6 3" xfId="51335"/>
    <cellStyle name="Total 2 7 3 7" xfId="41232"/>
    <cellStyle name="Total 2 7 3 8" xfId="43587"/>
    <cellStyle name="Total 2 7 4" xfId="15271"/>
    <cellStyle name="Total 2 7 4 2" xfId="43126"/>
    <cellStyle name="Total 2 7 4 3" xfId="43148"/>
    <cellStyle name="Total 2 7 4 4" xfId="32892"/>
    <cellStyle name="Total 2 7 5" xfId="11362"/>
    <cellStyle name="Total 2 7 5 2" xfId="41378"/>
    <cellStyle name="Total 2 7 5 3" xfId="39551"/>
    <cellStyle name="Total 2 7 5 4" xfId="29071"/>
    <cellStyle name="Total 2 7 6" xfId="19685"/>
    <cellStyle name="Total 2 7 6 2" xfId="45207"/>
    <cellStyle name="Total 2 7 6 3" xfId="49113"/>
    <cellStyle name="Total 2 7 6 4" xfId="37200"/>
    <cellStyle name="Total 2 7 7" xfId="19983"/>
    <cellStyle name="Total 2 7 7 2" xfId="45505"/>
    <cellStyle name="Total 2 7 7 3" xfId="49411"/>
    <cellStyle name="Total 2 7 7 4" xfId="37467"/>
    <cellStyle name="Total 2 7 8" xfId="19543"/>
    <cellStyle name="Total 2 7 8 2" xfId="45065"/>
    <cellStyle name="Total 2 7 8 3" xfId="48971"/>
    <cellStyle name="Total 2 7 9" xfId="39986"/>
    <cellStyle name="Total 2 8" xfId="12137"/>
    <cellStyle name="Total 2 8 2" xfId="41862"/>
    <cellStyle name="Total 2 8 3" xfId="47557"/>
    <cellStyle name="Total 2 8 4" xfId="29795"/>
    <cellStyle name="Total 2 9" xfId="18956"/>
    <cellStyle name="Total 2 9 2" xfId="44478"/>
    <cellStyle name="Total 2 9 3" xfId="48384"/>
    <cellStyle name="Total 2 9 4" xfId="36568"/>
    <cellStyle name="Total 2_Sheet1" xfId="3416"/>
    <cellStyle name="Total 3" xfId="143"/>
    <cellStyle name="Total 3 2" xfId="3417"/>
    <cellStyle name="Total 3 2 2" xfId="5451"/>
    <cellStyle name="Total 3 2 2 2" xfId="53432"/>
    <cellStyle name="Total 3 2 3" xfId="7496"/>
    <cellStyle name="Total 3 2 3 10" xfId="43069"/>
    <cellStyle name="Total 3 2 3 2" xfId="10766"/>
    <cellStyle name="Total 3 2 3 2 2" xfId="18553"/>
    <cellStyle name="Total 3 2 3 2 2 2" xfId="44085"/>
    <cellStyle name="Total 3 2 3 2 2 3" xfId="47994"/>
    <cellStyle name="Total 3 2 3 2 2 4" xfId="36176"/>
    <cellStyle name="Total 3 2 3 2 3" xfId="19270"/>
    <cellStyle name="Total 3 2 3 2 3 2" xfId="44792"/>
    <cellStyle name="Total 3 2 3 2 3 3" xfId="48698"/>
    <cellStyle name="Total 3 2 3 2 3 4" xfId="36834"/>
    <cellStyle name="Total 3 2 3 2 4" xfId="11649"/>
    <cellStyle name="Total 3 2 3 2 4 2" xfId="41640"/>
    <cellStyle name="Total 3 2 3 2 4 3" xfId="40323"/>
    <cellStyle name="Total 3 2 3 2 4 4" xfId="29334"/>
    <cellStyle name="Total 3 2 3 2 5" xfId="20966"/>
    <cellStyle name="Total 3 2 3 2 5 2" xfId="46488"/>
    <cellStyle name="Total 3 2 3 2 5 3" xfId="50394"/>
    <cellStyle name="Total 3 2 3 2 5 4" xfId="38358"/>
    <cellStyle name="Total 3 2 3 2 6" xfId="21619"/>
    <cellStyle name="Total 3 2 3 2 6 2" xfId="47141"/>
    <cellStyle name="Total 3 2 3 2 6 3" xfId="51047"/>
    <cellStyle name="Total 3 2 3 2 7" xfId="40944"/>
    <cellStyle name="Total 3 2 3 2 8" xfId="42712"/>
    <cellStyle name="Total 3 2 3 3" xfId="11061"/>
    <cellStyle name="Total 3 2 3 3 2" xfId="18848"/>
    <cellStyle name="Total 3 2 3 3 2 2" xfId="44380"/>
    <cellStyle name="Total 3 2 3 3 2 3" xfId="48289"/>
    <cellStyle name="Total 3 2 3 3 2 4" xfId="36471"/>
    <cellStyle name="Total 3 2 3 3 3" xfId="20441"/>
    <cellStyle name="Total 3 2 3 3 3 2" xfId="45963"/>
    <cellStyle name="Total 3 2 3 3 3 3" xfId="49869"/>
    <cellStyle name="Total 3 2 3 3 3 4" xfId="37881"/>
    <cellStyle name="Total 3 2 3 3 4" xfId="20585"/>
    <cellStyle name="Total 3 2 3 3 4 2" xfId="46107"/>
    <cellStyle name="Total 3 2 3 3 4 3" xfId="50013"/>
    <cellStyle name="Total 3 2 3 3 4 4" xfId="37998"/>
    <cellStyle name="Total 3 2 3 3 5" xfId="21261"/>
    <cellStyle name="Total 3 2 3 3 5 2" xfId="46783"/>
    <cellStyle name="Total 3 2 3 3 5 3" xfId="50689"/>
    <cellStyle name="Total 3 2 3 3 5 4" xfId="38653"/>
    <cellStyle name="Total 3 2 3 3 6" xfId="21914"/>
    <cellStyle name="Total 3 2 3 3 6 2" xfId="47436"/>
    <cellStyle name="Total 3 2 3 3 6 3" xfId="51342"/>
    <cellStyle name="Total 3 2 3 3 7" xfId="41239"/>
    <cellStyle name="Total 3 2 3 3 8" xfId="42016"/>
    <cellStyle name="Total 3 2 3 4" xfId="15278"/>
    <cellStyle name="Total 3 2 3 4 2" xfId="43133"/>
    <cellStyle name="Total 3 2 3 4 3" xfId="43525"/>
    <cellStyle name="Total 3 2 3 4 4" xfId="32899"/>
    <cellStyle name="Total 3 2 3 5" xfId="12043"/>
    <cellStyle name="Total 3 2 3 5 2" xfId="41778"/>
    <cellStyle name="Total 3 2 3 5 3" xfId="42544"/>
    <cellStyle name="Total 3 2 3 5 4" xfId="29708"/>
    <cellStyle name="Total 3 2 3 6" xfId="20304"/>
    <cellStyle name="Total 3 2 3 6 2" xfId="45826"/>
    <cellStyle name="Total 3 2 3 6 3" xfId="49732"/>
    <cellStyle name="Total 3 2 3 6 4" xfId="37754"/>
    <cellStyle name="Total 3 2 3 7" xfId="13902"/>
    <cellStyle name="Total 3 2 3 7 2" xfId="42618"/>
    <cellStyle name="Total 3 2 3 7 3" xfId="40141"/>
    <cellStyle name="Total 3 2 3 7 4" xfId="31526"/>
    <cellStyle name="Total 3 2 3 8" xfId="13192"/>
    <cellStyle name="Total 3 2 3 8 2" xfId="42394"/>
    <cellStyle name="Total 3 2 3 8 3" xfId="43288"/>
    <cellStyle name="Total 3 2 3 9" xfId="39993"/>
    <cellStyle name="Total 3 2 4" xfId="12143"/>
    <cellStyle name="Total 3 2 4 2" xfId="41868"/>
    <cellStyle name="Total 3 2 4 3" xfId="43255"/>
    <cellStyle name="Total 3 2 4 4" xfId="29801"/>
    <cellStyle name="Total 3 2 5" xfId="19197"/>
    <cellStyle name="Total 3 2 5 2" xfId="44719"/>
    <cellStyle name="Total 3 2 5 3" xfId="48625"/>
    <cellStyle name="Total 3 2 5 4" xfId="36768"/>
    <cellStyle name="Total 3 2 6" xfId="53330"/>
    <cellStyle name="Total 3 3" xfId="3418"/>
    <cellStyle name="Total 3 3 2" xfId="5452"/>
    <cellStyle name="Total 3 3 3" xfId="7497"/>
    <cellStyle name="Total 3 3 3 10" xfId="43736"/>
    <cellStyle name="Total 3 3 3 2" xfId="10767"/>
    <cellStyle name="Total 3 3 3 2 2" xfId="18554"/>
    <cellStyle name="Total 3 3 3 2 2 2" xfId="44086"/>
    <cellStyle name="Total 3 3 3 2 2 3" xfId="47995"/>
    <cellStyle name="Total 3 3 3 2 2 4" xfId="36177"/>
    <cellStyle name="Total 3 3 3 2 3" xfId="19879"/>
    <cellStyle name="Total 3 3 3 2 3 2" xfId="45401"/>
    <cellStyle name="Total 3 3 3 2 3 3" xfId="49307"/>
    <cellStyle name="Total 3 3 3 2 3 4" xfId="37379"/>
    <cellStyle name="Total 3 3 3 2 4" xfId="19638"/>
    <cellStyle name="Total 3 3 3 2 4 2" xfId="45160"/>
    <cellStyle name="Total 3 3 3 2 4 3" xfId="49066"/>
    <cellStyle name="Total 3 3 3 2 4 4" xfId="37159"/>
    <cellStyle name="Total 3 3 3 2 5" xfId="20967"/>
    <cellStyle name="Total 3 3 3 2 5 2" xfId="46489"/>
    <cellStyle name="Total 3 3 3 2 5 3" xfId="50395"/>
    <cellStyle name="Total 3 3 3 2 5 4" xfId="38359"/>
    <cellStyle name="Total 3 3 3 2 6" xfId="21620"/>
    <cellStyle name="Total 3 3 3 2 6 2" xfId="47142"/>
    <cellStyle name="Total 3 3 3 2 6 3" xfId="51048"/>
    <cellStyle name="Total 3 3 3 2 7" xfId="40945"/>
    <cellStyle name="Total 3 3 3 2 8" xfId="43601"/>
    <cellStyle name="Total 3 3 3 3" xfId="11062"/>
    <cellStyle name="Total 3 3 3 3 2" xfId="18849"/>
    <cellStyle name="Total 3 3 3 3 2 2" xfId="44381"/>
    <cellStyle name="Total 3 3 3 3 2 3" xfId="48290"/>
    <cellStyle name="Total 3 3 3 3 2 4" xfId="36472"/>
    <cellStyle name="Total 3 3 3 3 3" xfId="20442"/>
    <cellStyle name="Total 3 3 3 3 3 2" xfId="45964"/>
    <cellStyle name="Total 3 3 3 3 3 3" xfId="49870"/>
    <cellStyle name="Total 3 3 3 3 3 4" xfId="37882"/>
    <cellStyle name="Total 3 3 3 3 4" xfId="20586"/>
    <cellStyle name="Total 3 3 3 3 4 2" xfId="46108"/>
    <cellStyle name="Total 3 3 3 3 4 3" xfId="50014"/>
    <cellStyle name="Total 3 3 3 3 4 4" xfId="37999"/>
    <cellStyle name="Total 3 3 3 3 5" xfId="21262"/>
    <cellStyle name="Total 3 3 3 3 5 2" xfId="46784"/>
    <cellStyle name="Total 3 3 3 3 5 3" xfId="50690"/>
    <cellStyle name="Total 3 3 3 3 5 4" xfId="38654"/>
    <cellStyle name="Total 3 3 3 3 6" xfId="21915"/>
    <cellStyle name="Total 3 3 3 3 6 2" xfId="47437"/>
    <cellStyle name="Total 3 3 3 3 6 3" xfId="51343"/>
    <cellStyle name="Total 3 3 3 3 7" xfId="41240"/>
    <cellStyle name="Total 3 3 3 3 8" xfId="43335"/>
    <cellStyle name="Total 3 3 3 4" xfId="15279"/>
    <cellStyle name="Total 3 3 3 4 2" xfId="43134"/>
    <cellStyle name="Total 3 3 3 4 3" xfId="40387"/>
    <cellStyle name="Total 3 3 3 4 4" xfId="32900"/>
    <cellStyle name="Total 3 3 3 5" xfId="12044"/>
    <cellStyle name="Total 3 3 3 5 2" xfId="41779"/>
    <cellStyle name="Total 3 3 3 5 3" xfId="47558"/>
    <cellStyle name="Total 3 3 3 5 4" xfId="29709"/>
    <cellStyle name="Total 3 3 3 6" xfId="19785"/>
    <cellStyle name="Total 3 3 3 6 2" xfId="45307"/>
    <cellStyle name="Total 3 3 3 6 3" xfId="49213"/>
    <cellStyle name="Total 3 3 3 6 4" xfId="37294"/>
    <cellStyle name="Total 3 3 3 7" xfId="20266"/>
    <cellStyle name="Total 3 3 3 7 2" xfId="45788"/>
    <cellStyle name="Total 3 3 3 7 3" xfId="49694"/>
    <cellStyle name="Total 3 3 3 7 4" xfId="37720"/>
    <cellStyle name="Total 3 3 3 8" xfId="19036"/>
    <cellStyle name="Total 3 3 3 8 2" xfId="44558"/>
    <cellStyle name="Total 3 3 3 8 3" xfId="48464"/>
    <cellStyle name="Total 3 3 3 9" xfId="39994"/>
    <cellStyle name="Total 3 3 4" xfId="12144"/>
    <cellStyle name="Total 3 3 4 2" xfId="41869"/>
    <cellStyle name="Total 3 3 4 3" xfId="40114"/>
    <cellStyle name="Total 3 3 4 4" xfId="29802"/>
    <cellStyle name="Total 3 3 5" xfId="19827"/>
    <cellStyle name="Total 3 3 5 2" xfId="45349"/>
    <cellStyle name="Total 3 3 5 3" xfId="49255"/>
    <cellStyle name="Total 3 3 5 4" xfId="37331"/>
    <cellStyle name="Total 3 3 6" xfId="53431"/>
    <cellStyle name="Total 3 4" xfId="5453"/>
    <cellStyle name="Total 3 4 2" xfId="6126"/>
    <cellStyle name="Total 3 4 2 2" xfId="10476"/>
    <cellStyle name="Total 3 4 2 2 2" xfId="18263"/>
    <cellStyle name="Total 3 4 2 2 2 2" xfId="43795"/>
    <cellStyle name="Total 3 4 2 2 2 3" xfId="47704"/>
    <cellStyle name="Total 3 4 2 2 2 4" xfId="35886"/>
    <cellStyle name="Total 3 4 2 2 3" xfId="13306"/>
    <cellStyle name="Total 3 4 2 2 3 2" xfId="42457"/>
    <cellStyle name="Total 3 4 2 2 3 3" xfId="39256"/>
    <cellStyle name="Total 3 4 2 2 3 4" xfId="30932"/>
    <cellStyle name="Total 3 4 2 2 4" xfId="18954"/>
    <cellStyle name="Total 3 4 2 2 4 2" xfId="44476"/>
    <cellStyle name="Total 3 4 2 2 4 3" xfId="48382"/>
    <cellStyle name="Total 3 4 2 2 4 4" xfId="36566"/>
    <cellStyle name="Total 3 4 2 2 5" xfId="20676"/>
    <cellStyle name="Total 3 4 2 2 5 2" xfId="46198"/>
    <cellStyle name="Total 3 4 2 2 5 3" xfId="50104"/>
    <cellStyle name="Total 3 4 2 2 5 4" xfId="38068"/>
    <cellStyle name="Total 3 4 2 2 6" xfId="21329"/>
    <cellStyle name="Total 3 4 2 2 6 2" xfId="46851"/>
    <cellStyle name="Total 3 4 2 2 6 3" xfId="50757"/>
    <cellStyle name="Total 3 4 2 2 7" xfId="40654"/>
    <cellStyle name="Total 3 4 2 2 8" xfId="40079"/>
    <cellStyle name="Total 3 4 2 3" xfId="9339"/>
    <cellStyle name="Total 3 4 2 3 2" xfId="17128"/>
    <cellStyle name="Total 3 4 2 3 2 2" xfId="43521"/>
    <cellStyle name="Total 3 4 2 3 2 3" xfId="47641"/>
    <cellStyle name="Total 3 4 2 3 2 4" xfId="34750"/>
    <cellStyle name="Total 3 4 2 3 3" xfId="20189"/>
    <cellStyle name="Total 3 4 2 3 3 2" xfId="45711"/>
    <cellStyle name="Total 3 4 2 3 3 3" xfId="49617"/>
    <cellStyle name="Total 3 4 2 3 3 4" xfId="37657"/>
    <cellStyle name="Total 3 4 2 3 4" xfId="19466"/>
    <cellStyle name="Total 3 4 2 3 4 2" xfId="44988"/>
    <cellStyle name="Total 3 4 2 3 4 3" xfId="48894"/>
    <cellStyle name="Total 3 4 2 3 4 4" xfId="37009"/>
    <cellStyle name="Total 3 4 2 3 5" xfId="19487"/>
    <cellStyle name="Total 3 4 2 3 5 2" xfId="45009"/>
    <cellStyle name="Total 3 4 2 3 5 3" xfId="48915"/>
    <cellStyle name="Total 3 4 2 3 5 4" xfId="37024"/>
    <cellStyle name="Total 3 4 2 3 6" xfId="18901"/>
    <cellStyle name="Total 3 4 2 3 6 2" xfId="44423"/>
    <cellStyle name="Total 3 4 2 3 6 3" xfId="48329"/>
    <cellStyle name="Total 3 4 2 3 7" xfId="40384"/>
    <cellStyle name="Total 3 4 2 3 8" xfId="39180"/>
    <cellStyle name="Total 3 4 2 4" xfId="13910"/>
    <cellStyle name="Total 3 4 2 4 2" xfId="42626"/>
    <cellStyle name="Total 3 4 2 4 3" xfId="42761"/>
    <cellStyle name="Total 3 4 2 4 4" xfId="31532"/>
    <cellStyle name="Total 3 4 2 5" xfId="12794"/>
    <cellStyle name="Total 3 4 2 5 2" xfId="42190"/>
    <cellStyle name="Total 3 4 2 5 3" xfId="43555"/>
    <cellStyle name="Total 3 4 2 5 4" xfId="30437"/>
    <cellStyle name="Total 3 4 3" xfId="7498"/>
    <cellStyle name="Total 3 4 3 10" xfId="40595"/>
    <cellStyle name="Total 3 4 3 2" xfId="10768"/>
    <cellStyle name="Total 3 4 3 2 2" xfId="18555"/>
    <cellStyle name="Total 3 4 3 2 2 2" xfId="44087"/>
    <cellStyle name="Total 3 4 3 2 2 3" xfId="47996"/>
    <cellStyle name="Total 3 4 3 2 2 4" xfId="36178"/>
    <cellStyle name="Total 3 4 3 2 3" xfId="19102"/>
    <cellStyle name="Total 3 4 3 2 3 2" xfId="44624"/>
    <cellStyle name="Total 3 4 3 2 3 3" xfId="48530"/>
    <cellStyle name="Total 3 4 3 2 3 4" xfId="36683"/>
    <cellStyle name="Total 3 4 3 2 4" xfId="18904"/>
    <cellStyle name="Total 3 4 3 2 4 2" xfId="44426"/>
    <cellStyle name="Total 3 4 3 2 4 3" xfId="48332"/>
    <cellStyle name="Total 3 4 3 2 4 4" xfId="36520"/>
    <cellStyle name="Total 3 4 3 2 5" xfId="20968"/>
    <cellStyle name="Total 3 4 3 2 5 2" xfId="46490"/>
    <cellStyle name="Total 3 4 3 2 5 3" xfId="50396"/>
    <cellStyle name="Total 3 4 3 2 5 4" xfId="38360"/>
    <cellStyle name="Total 3 4 3 2 6" xfId="21621"/>
    <cellStyle name="Total 3 4 3 2 6 2" xfId="47143"/>
    <cellStyle name="Total 3 4 3 2 6 3" xfId="51049"/>
    <cellStyle name="Total 3 4 3 2 7" xfId="40946"/>
    <cellStyle name="Total 3 4 3 2 8" xfId="40459"/>
    <cellStyle name="Total 3 4 3 3" xfId="11063"/>
    <cellStyle name="Total 3 4 3 3 2" xfId="18850"/>
    <cellStyle name="Total 3 4 3 3 2 2" xfId="44382"/>
    <cellStyle name="Total 3 4 3 3 2 3" xfId="48291"/>
    <cellStyle name="Total 3 4 3 3 2 4" xfId="36473"/>
    <cellStyle name="Total 3 4 3 3 3" xfId="20443"/>
    <cellStyle name="Total 3 4 3 3 3 2" xfId="45965"/>
    <cellStyle name="Total 3 4 3 3 3 3" xfId="49871"/>
    <cellStyle name="Total 3 4 3 3 3 4" xfId="37883"/>
    <cellStyle name="Total 3 4 3 3 4" xfId="20587"/>
    <cellStyle name="Total 3 4 3 3 4 2" xfId="46109"/>
    <cellStyle name="Total 3 4 3 3 4 3" xfId="50015"/>
    <cellStyle name="Total 3 4 3 3 4 4" xfId="38000"/>
    <cellStyle name="Total 3 4 3 3 5" xfId="21263"/>
    <cellStyle name="Total 3 4 3 3 5 2" xfId="46785"/>
    <cellStyle name="Total 3 4 3 3 5 3" xfId="50691"/>
    <cellStyle name="Total 3 4 3 3 5 4" xfId="38655"/>
    <cellStyle name="Total 3 4 3 3 6" xfId="21916"/>
    <cellStyle name="Total 3 4 3 3 6 2" xfId="47438"/>
    <cellStyle name="Total 3 4 3 3 6 3" xfId="51344"/>
    <cellStyle name="Total 3 4 3 3 7" xfId="41241"/>
    <cellStyle name="Total 3 4 3 3 8" xfId="40197"/>
    <cellStyle name="Total 3 4 3 4" xfId="15280"/>
    <cellStyle name="Total 3 4 3 4 2" xfId="43135"/>
    <cellStyle name="Total 3 4 3 4 3" xfId="39496"/>
    <cellStyle name="Total 3 4 3 4 4" xfId="32901"/>
    <cellStyle name="Total 3 4 3 5" xfId="12045"/>
    <cellStyle name="Total 3 4 3 5 2" xfId="41780"/>
    <cellStyle name="Total 3 4 3 5 3" xfId="43458"/>
    <cellStyle name="Total 3 4 3 5 4" xfId="29710"/>
    <cellStyle name="Total 3 4 3 6" xfId="19651"/>
    <cellStyle name="Total 3 4 3 6 2" xfId="45173"/>
    <cellStyle name="Total 3 4 3 6 3" xfId="49079"/>
    <cellStyle name="Total 3 4 3 6 4" xfId="37171"/>
    <cellStyle name="Total 3 4 3 7" xfId="19011"/>
    <cellStyle name="Total 3 4 3 7 2" xfId="44533"/>
    <cellStyle name="Total 3 4 3 7 3" xfId="48439"/>
    <cellStyle name="Total 3 4 3 7 4" xfId="36605"/>
    <cellStyle name="Total 3 4 3 8" xfId="18885"/>
    <cellStyle name="Total 3 4 3 8 2" xfId="44407"/>
    <cellStyle name="Total 3 4 3 8 3" xfId="48313"/>
    <cellStyle name="Total 3 4 3 9" xfId="39995"/>
    <cellStyle name="Total 3 5" xfId="5450"/>
    <cellStyle name="Total 3 6" xfId="7495"/>
    <cellStyle name="Total 3 6 10" xfId="40100"/>
    <cellStyle name="Total 3 6 2" xfId="10765"/>
    <cellStyle name="Total 3 6 2 2" xfId="18552"/>
    <cellStyle name="Total 3 6 2 2 2" xfId="44084"/>
    <cellStyle name="Total 3 6 2 2 3" xfId="47993"/>
    <cellStyle name="Total 3 6 2 2 4" xfId="36175"/>
    <cellStyle name="Total 3 6 2 3" xfId="20004"/>
    <cellStyle name="Total 3 6 2 3 2" xfId="45526"/>
    <cellStyle name="Total 3 6 2 3 3" xfId="49432"/>
    <cellStyle name="Total 3 6 2 3 4" xfId="37488"/>
    <cellStyle name="Total 3 6 2 4" xfId="11620"/>
    <cellStyle name="Total 3 6 2 4 2" xfId="41611"/>
    <cellStyle name="Total 3 6 2 4 3" xfId="43317"/>
    <cellStyle name="Total 3 6 2 4 4" xfId="29309"/>
    <cellStyle name="Total 3 6 2 5" xfId="20965"/>
    <cellStyle name="Total 3 6 2 5 2" xfId="46487"/>
    <cellStyle name="Total 3 6 2 5 3" xfId="50393"/>
    <cellStyle name="Total 3 6 2 5 4" xfId="38357"/>
    <cellStyle name="Total 3 6 2 6" xfId="21618"/>
    <cellStyle name="Total 3 6 2 6 2" xfId="47140"/>
    <cellStyle name="Total 3 6 2 6 3" xfId="51046"/>
    <cellStyle name="Total 3 6 2 7" xfId="40943"/>
    <cellStyle name="Total 3 6 2 8" xfId="39675"/>
    <cellStyle name="Total 3 6 3" xfId="11060"/>
    <cellStyle name="Total 3 6 3 2" xfId="18847"/>
    <cellStyle name="Total 3 6 3 2 2" xfId="44379"/>
    <cellStyle name="Total 3 6 3 2 3" xfId="48288"/>
    <cellStyle name="Total 3 6 3 2 4" xfId="36470"/>
    <cellStyle name="Total 3 6 3 3" xfId="20440"/>
    <cellStyle name="Total 3 6 3 3 2" xfId="45962"/>
    <cellStyle name="Total 3 6 3 3 3" xfId="49868"/>
    <cellStyle name="Total 3 6 3 3 4" xfId="37880"/>
    <cellStyle name="Total 3 6 3 4" xfId="20584"/>
    <cellStyle name="Total 3 6 3 4 2" xfId="46106"/>
    <cellStyle name="Total 3 6 3 4 3" xfId="50012"/>
    <cellStyle name="Total 3 6 3 4 4" xfId="37997"/>
    <cellStyle name="Total 3 6 3 5" xfId="21260"/>
    <cellStyle name="Total 3 6 3 5 2" xfId="46782"/>
    <cellStyle name="Total 3 6 3 5 3" xfId="50688"/>
    <cellStyle name="Total 3 6 3 5 4" xfId="38652"/>
    <cellStyle name="Total 3 6 3 6" xfId="21913"/>
    <cellStyle name="Total 3 6 3 6 2" xfId="47435"/>
    <cellStyle name="Total 3 6 3 6 3" xfId="51341"/>
    <cellStyle name="Total 3 6 3 7" xfId="41238"/>
    <cellStyle name="Total 3 6 3 8" xfId="39451"/>
    <cellStyle name="Total 3 6 4" xfId="15277"/>
    <cellStyle name="Total 3 6 4 2" xfId="43132"/>
    <cellStyle name="Total 3 6 4 3" xfId="42637"/>
    <cellStyle name="Total 3 6 4 4" xfId="32898"/>
    <cellStyle name="Total 3 6 5" xfId="11367"/>
    <cellStyle name="Total 3 6 5 2" xfId="41383"/>
    <cellStyle name="Total 3 6 5 3" xfId="42008"/>
    <cellStyle name="Total 3 6 5 4" xfId="29076"/>
    <cellStyle name="Total 3 6 6" xfId="19684"/>
    <cellStyle name="Total 3 6 6 2" xfId="45206"/>
    <cellStyle name="Total 3 6 6 3" xfId="49112"/>
    <cellStyle name="Total 3 6 6 4" xfId="37199"/>
    <cellStyle name="Total 3 6 7" xfId="11573"/>
    <cellStyle name="Total 3 6 7 2" xfId="41564"/>
    <cellStyle name="Total 3 6 7 3" xfId="42552"/>
    <cellStyle name="Total 3 6 7 4" xfId="29270"/>
    <cellStyle name="Total 3 6 8" xfId="20079"/>
    <cellStyle name="Total 3 6 8 2" xfId="45601"/>
    <cellStyle name="Total 3 6 8 3" xfId="49507"/>
    <cellStyle name="Total 3 6 9" xfId="39992"/>
    <cellStyle name="Total 3 7" xfId="12142"/>
    <cellStyle name="Total 3 7 2" xfId="41867"/>
    <cellStyle name="Total 3 7 3" xfId="41899"/>
    <cellStyle name="Total 3 7 4" xfId="29800"/>
    <cellStyle name="Total 3 8" xfId="19961"/>
    <cellStyle name="Total 3 8 2" xfId="45483"/>
    <cellStyle name="Total 3 8 3" xfId="49389"/>
    <cellStyle name="Total 3 8 4" xfId="37451"/>
    <cellStyle name="Total 3 9" xfId="52741"/>
    <cellStyle name="Total 4" xfId="144"/>
    <cellStyle name="Total 4 10" xfId="52742"/>
    <cellStyle name="Total 4 2" xfId="3419"/>
    <cellStyle name="Total 4 2 2" xfId="5455"/>
    <cellStyle name="Total 4 2 2 2" xfId="53434"/>
    <cellStyle name="Total 4 2 3" xfId="7500"/>
    <cellStyle name="Total 4 2 3 10" xfId="42729"/>
    <cellStyle name="Total 4 2 3 2" xfId="10770"/>
    <cellStyle name="Total 4 2 3 2 2" xfId="18557"/>
    <cellStyle name="Total 4 2 3 2 2 2" xfId="44089"/>
    <cellStyle name="Total 4 2 3 2 2 3" xfId="47998"/>
    <cellStyle name="Total 4 2 3 2 2 4" xfId="36180"/>
    <cellStyle name="Total 4 2 3 2 3" xfId="11502"/>
    <cellStyle name="Total 4 2 3 2 3 2" xfId="41493"/>
    <cellStyle name="Total 4 2 3 2 3 3" xfId="42000"/>
    <cellStyle name="Total 4 2 3 2 3 4" xfId="29203"/>
    <cellStyle name="Total 4 2 3 2 4" xfId="19538"/>
    <cellStyle name="Total 4 2 3 2 4 2" xfId="45060"/>
    <cellStyle name="Total 4 2 3 2 4 3" xfId="48966"/>
    <cellStyle name="Total 4 2 3 2 4 4" xfId="37066"/>
    <cellStyle name="Total 4 2 3 2 5" xfId="20970"/>
    <cellStyle name="Total 4 2 3 2 5 2" xfId="46492"/>
    <cellStyle name="Total 4 2 3 2 5 3" xfId="50398"/>
    <cellStyle name="Total 4 2 3 2 5 4" xfId="38362"/>
    <cellStyle name="Total 4 2 3 2 6" xfId="21623"/>
    <cellStyle name="Total 4 2 3 2 6 2" xfId="47145"/>
    <cellStyle name="Total 4 2 3 2 6 3" xfId="51051"/>
    <cellStyle name="Total 4 2 3 2 7" xfId="40948"/>
    <cellStyle name="Total 4 2 3 2 8" xfId="42577"/>
    <cellStyle name="Total 4 2 3 3" xfId="11065"/>
    <cellStyle name="Total 4 2 3 3 2" xfId="18852"/>
    <cellStyle name="Total 4 2 3 3 2 2" xfId="44384"/>
    <cellStyle name="Total 4 2 3 3 2 3" xfId="48293"/>
    <cellStyle name="Total 4 2 3 3 2 4" xfId="36475"/>
    <cellStyle name="Total 4 2 3 3 3" xfId="20445"/>
    <cellStyle name="Total 4 2 3 3 3 2" xfId="45967"/>
    <cellStyle name="Total 4 2 3 3 3 3" xfId="49873"/>
    <cellStyle name="Total 4 2 3 3 3 4" xfId="37885"/>
    <cellStyle name="Total 4 2 3 3 4" xfId="20589"/>
    <cellStyle name="Total 4 2 3 3 4 2" xfId="46111"/>
    <cellStyle name="Total 4 2 3 3 4 3" xfId="50017"/>
    <cellStyle name="Total 4 2 3 3 4 4" xfId="38002"/>
    <cellStyle name="Total 4 2 3 3 5" xfId="21265"/>
    <cellStyle name="Total 4 2 3 3 5 2" xfId="46787"/>
    <cellStyle name="Total 4 2 3 3 5 3" xfId="50693"/>
    <cellStyle name="Total 4 2 3 3 5 4" xfId="38657"/>
    <cellStyle name="Total 4 2 3 3 6" xfId="21918"/>
    <cellStyle name="Total 4 2 3 3 6 2" xfId="47440"/>
    <cellStyle name="Total 4 2 3 3 6 3" xfId="51346"/>
    <cellStyle name="Total 4 2 3 3 7" xfId="41243"/>
    <cellStyle name="Total 4 2 3 3 8" xfId="39151"/>
    <cellStyle name="Total 4 2 3 4" xfId="15282"/>
    <cellStyle name="Total 4 2 3 4 2" xfId="43137"/>
    <cellStyle name="Total 4 2 3 4 3" xfId="43417"/>
    <cellStyle name="Total 4 2 3 4 4" xfId="32903"/>
    <cellStyle name="Total 4 2 3 5" xfId="13241"/>
    <cellStyle name="Total 4 2 3 5 2" xfId="42402"/>
    <cellStyle name="Total 4 2 3 5 3" xfId="40298"/>
    <cellStyle name="Total 4 2 3 5 4" xfId="30872"/>
    <cellStyle name="Total 4 2 3 6" xfId="11846"/>
    <cellStyle name="Total 4 2 3 6 2" xfId="41744"/>
    <cellStyle name="Total 4 2 3 6 3" xfId="39309"/>
    <cellStyle name="Total 4 2 3 6 4" xfId="29516"/>
    <cellStyle name="Total 4 2 3 7" xfId="11580"/>
    <cellStyle name="Total 4 2 3 7 2" xfId="41571"/>
    <cellStyle name="Total 4 2 3 7 3" xfId="39324"/>
    <cellStyle name="Total 4 2 3 7 4" xfId="29274"/>
    <cellStyle name="Total 4 2 3 8" xfId="19663"/>
    <cellStyle name="Total 4 2 3 8 2" xfId="45185"/>
    <cellStyle name="Total 4 2 3 8 3" xfId="49091"/>
    <cellStyle name="Total 4 2 3 9" xfId="39997"/>
    <cellStyle name="Total 4 2 4" xfId="12146"/>
    <cellStyle name="Total 4 2 4 2" xfId="41871"/>
    <cellStyle name="Total 4 2 4 3" xfId="41302"/>
    <cellStyle name="Total 4 2 4 4" xfId="29804"/>
    <cellStyle name="Total 4 2 5" xfId="11602"/>
    <cellStyle name="Total 4 2 5 2" xfId="41593"/>
    <cellStyle name="Total 4 2 5 3" xfId="39139"/>
    <cellStyle name="Total 4 2 5 4" xfId="29291"/>
    <cellStyle name="Total 4 2 6" xfId="53331"/>
    <cellStyle name="Total 4 3" xfId="3420"/>
    <cellStyle name="Total 4 3 2" xfId="5456"/>
    <cellStyle name="Total 4 3 3" xfId="7501"/>
    <cellStyle name="Total 4 3 3 10" xfId="43617"/>
    <cellStyle name="Total 4 3 3 2" xfId="10771"/>
    <cellStyle name="Total 4 3 3 2 2" xfId="18558"/>
    <cellStyle name="Total 4 3 3 2 2 2" xfId="44090"/>
    <cellStyle name="Total 4 3 3 2 2 3" xfId="47999"/>
    <cellStyle name="Total 4 3 3 2 2 4" xfId="36181"/>
    <cellStyle name="Total 4 3 3 2 3" xfId="19717"/>
    <cellStyle name="Total 4 3 3 2 3 2" xfId="45239"/>
    <cellStyle name="Total 4 3 3 2 3 3" xfId="49145"/>
    <cellStyle name="Total 4 3 3 2 3 4" xfId="37230"/>
    <cellStyle name="Total 4 3 3 2 4" xfId="20331"/>
    <cellStyle name="Total 4 3 3 2 4 2" xfId="45853"/>
    <cellStyle name="Total 4 3 3 2 4 3" xfId="49759"/>
    <cellStyle name="Total 4 3 3 2 4 4" xfId="37777"/>
    <cellStyle name="Total 4 3 3 2 5" xfId="20971"/>
    <cellStyle name="Total 4 3 3 2 5 2" xfId="46493"/>
    <cellStyle name="Total 4 3 3 2 5 3" xfId="50399"/>
    <cellStyle name="Total 4 3 3 2 5 4" xfId="38363"/>
    <cellStyle name="Total 4 3 3 2 6" xfId="21624"/>
    <cellStyle name="Total 4 3 3 2 6 2" xfId="47146"/>
    <cellStyle name="Total 4 3 3 2 6 3" xfId="51052"/>
    <cellStyle name="Total 4 3 3 2 7" xfId="40949"/>
    <cellStyle name="Total 4 3 3 2 8" xfId="43490"/>
    <cellStyle name="Total 4 3 3 3" xfId="11066"/>
    <cellStyle name="Total 4 3 3 3 2" xfId="18853"/>
    <cellStyle name="Total 4 3 3 3 2 2" xfId="44385"/>
    <cellStyle name="Total 4 3 3 3 2 3" xfId="48294"/>
    <cellStyle name="Total 4 3 3 3 2 4" xfId="36476"/>
    <cellStyle name="Total 4 3 3 3 3" xfId="20446"/>
    <cellStyle name="Total 4 3 3 3 3 2" xfId="45968"/>
    <cellStyle name="Total 4 3 3 3 3 3" xfId="49874"/>
    <cellStyle name="Total 4 3 3 3 3 4" xfId="37886"/>
    <cellStyle name="Total 4 3 3 3 4" xfId="20590"/>
    <cellStyle name="Total 4 3 3 3 4 2" xfId="46112"/>
    <cellStyle name="Total 4 3 3 3 4 3" xfId="50018"/>
    <cellStyle name="Total 4 3 3 3 4 4" xfId="38003"/>
    <cellStyle name="Total 4 3 3 3 5" xfId="21266"/>
    <cellStyle name="Total 4 3 3 3 5 2" xfId="46788"/>
    <cellStyle name="Total 4 3 3 3 5 3" xfId="50694"/>
    <cellStyle name="Total 4 3 3 3 5 4" xfId="38658"/>
    <cellStyle name="Total 4 3 3 3 6" xfId="21919"/>
    <cellStyle name="Total 4 3 3 3 6 2" xfId="47441"/>
    <cellStyle name="Total 4 3 3 3 6 3" xfId="51347"/>
    <cellStyle name="Total 4 3 3 3 7" xfId="41244"/>
    <cellStyle name="Total 4 3 3 3 8" xfId="41392"/>
    <cellStyle name="Total 4 3 3 4" xfId="15283"/>
    <cellStyle name="Total 4 3 3 4 2" xfId="43138"/>
    <cellStyle name="Total 4 3 3 4 3" xfId="40279"/>
    <cellStyle name="Total 4 3 3 4 4" xfId="32904"/>
    <cellStyle name="Total 4 3 3 5" xfId="12046"/>
    <cellStyle name="Total 4 3 3 5 2" xfId="41781"/>
    <cellStyle name="Total 4 3 3 5 3" xfId="40318"/>
    <cellStyle name="Total 4 3 3 5 4" xfId="29711"/>
    <cellStyle name="Total 4 3 3 6" xfId="19443"/>
    <cellStyle name="Total 4 3 3 6 2" xfId="44965"/>
    <cellStyle name="Total 4 3 3 6 3" xfId="48871"/>
    <cellStyle name="Total 4 3 3 6 4" xfId="36989"/>
    <cellStyle name="Total 4 3 3 7" xfId="19376"/>
    <cellStyle name="Total 4 3 3 7 2" xfId="44898"/>
    <cellStyle name="Total 4 3 3 7 3" xfId="48804"/>
    <cellStyle name="Total 4 3 3 7 4" xfId="36927"/>
    <cellStyle name="Total 4 3 3 8" xfId="20324"/>
    <cellStyle name="Total 4 3 3 8 2" xfId="45846"/>
    <cellStyle name="Total 4 3 3 8 3" xfId="49752"/>
    <cellStyle name="Total 4 3 3 9" xfId="39998"/>
    <cellStyle name="Total 4 3 4" xfId="12147"/>
    <cellStyle name="Total 4 3 4 2" xfId="41872"/>
    <cellStyle name="Total 4 3 4 3" xfId="43175"/>
    <cellStyle name="Total 4 3 4 4" xfId="29805"/>
    <cellStyle name="Total 4 3 5" xfId="12678"/>
    <cellStyle name="Total 4 3 5 2" xfId="42138"/>
    <cellStyle name="Total 4 3 5 3" xfId="42775"/>
    <cellStyle name="Total 4 3 5 4" xfId="30325"/>
    <cellStyle name="Total 4 3 6" xfId="53433"/>
    <cellStyle name="Total 4 4" xfId="5457"/>
    <cellStyle name="Total 4 4 2" xfId="6127"/>
    <cellStyle name="Total 4 4 2 2" xfId="10477"/>
    <cellStyle name="Total 4 4 2 2 2" xfId="18264"/>
    <cellStyle name="Total 4 4 2 2 2 2" xfId="43796"/>
    <cellStyle name="Total 4 4 2 2 2 3" xfId="47705"/>
    <cellStyle name="Total 4 4 2 2 2 4" xfId="35887"/>
    <cellStyle name="Total 4 4 2 2 3" xfId="19754"/>
    <cellStyle name="Total 4 4 2 2 3 2" xfId="45276"/>
    <cellStyle name="Total 4 4 2 2 3 3" xfId="49182"/>
    <cellStyle name="Total 4 4 2 2 3 4" xfId="37267"/>
    <cellStyle name="Total 4 4 2 2 4" xfId="12640"/>
    <cellStyle name="Total 4 4 2 2 4 2" xfId="42100"/>
    <cellStyle name="Total 4 4 2 2 4 3" xfId="43664"/>
    <cellStyle name="Total 4 4 2 2 4 4" xfId="30291"/>
    <cellStyle name="Total 4 4 2 2 5" xfId="20677"/>
    <cellStyle name="Total 4 4 2 2 5 2" xfId="46199"/>
    <cellStyle name="Total 4 4 2 2 5 3" xfId="50105"/>
    <cellStyle name="Total 4 4 2 2 5 4" xfId="38069"/>
    <cellStyle name="Total 4 4 2 2 6" xfId="21330"/>
    <cellStyle name="Total 4 4 2 2 6 2" xfId="46852"/>
    <cellStyle name="Total 4 4 2 2 6 3" xfId="50758"/>
    <cellStyle name="Total 4 4 2 2 7" xfId="40655"/>
    <cellStyle name="Total 4 4 2 2 8" xfId="42829"/>
    <cellStyle name="Total 4 4 2 3" xfId="9340"/>
    <cellStyle name="Total 4 4 2 3 2" xfId="17129"/>
    <cellStyle name="Total 4 4 2 3 2 2" xfId="43522"/>
    <cellStyle name="Total 4 4 2 3 2 3" xfId="47642"/>
    <cellStyle name="Total 4 4 2 3 2 4" xfId="34751"/>
    <cellStyle name="Total 4 4 2 3 3" xfId="19450"/>
    <cellStyle name="Total 4 4 2 3 3 2" xfId="44972"/>
    <cellStyle name="Total 4 4 2 3 3 3" xfId="48878"/>
    <cellStyle name="Total 4 4 2 3 3 4" xfId="36994"/>
    <cellStyle name="Total 4 4 2 3 4" xfId="12088"/>
    <cellStyle name="Total 4 4 2 3 4 2" xfId="41813"/>
    <cellStyle name="Total 4 4 2 3 4 3" xfId="39108"/>
    <cellStyle name="Total 4 4 2 3 4 4" xfId="29747"/>
    <cellStyle name="Total 4 4 2 3 5" xfId="20501"/>
    <cellStyle name="Total 4 4 2 3 5 2" xfId="46023"/>
    <cellStyle name="Total 4 4 2 3 5 3" xfId="49929"/>
    <cellStyle name="Total 4 4 2 3 5 4" xfId="37923"/>
    <cellStyle name="Total 4 4 2 3 6" xfId="11553"/>
    <cellStyle name="Total 4 4 2 3 6 2" xfId="41544"/>
    <cellStyle name="Total 4 4 2 3 6 3" xfId="42687"/>
    <cellStyle name="Total 4 4 2 3 7" xfId="40385"/>
    <cellStyle name="Total 4 4 2 3 8" xfId="39179"/>
    <cellStyle name="Total 4 4 2 4" xfId="13911"/>
    <cellStyle name="Total 4 4 2 4 2" xfId="42627"/>
    <cellStyle name="Total 4 4 2 4 3" xfId="43648"/>
    <cellStyle name="Total 4 4 2 4 4" xfId="31533"/>
    <cellStyle name="Total 4 4 2 5" xfId="11789"/>
    <cellStyle name="Total 4 4 2 5 2" xfId="41719"/>
    <cellStyle name="Total 4 4 2 5 3" xfId="39124"/>
    <cellStyle name="Total 4 4 2 5 4" xfId="29461"/>
    <cellStyle name="Total 4 4 3" xfId="7502"/>
    <cellStyle name="Total 4 4 3 10" xfId="40475"/>
    <cellStyle name="Total 4 4 3 2" xfId="10772"/>
    <cellStyle name="Total 4 4 3 2 2" xfId="18559"/>
    <cellStyle name="Total 4 4 3 2 2 2" xfId="44091"/>
    <cellStyle name="Total 4 4 3 2 2 3" xfId="48000"/>
    <cellStyle name="Total 4 4 3 2 2 4" xfId="36182"/>
    <cellStyle name="Total 4 4 3 2 3" xfId="11501"/>
    <cellStyle name="Total 4 4 3 2 3 2" xfId="41492"/>
    <cellStyle name="Total 4 4 3 2 3 3" xfId="39442"/>
    <cellStyle name="Total 4 4 3 2 3 4" xfId="29202"/>
    <cellStyle name="Total 4 4 3 2 4" xfId="20238"/>
    <cellStyle name="Total 4 4 3 2 4 2" xfId="45760"/>
    <cellStyle name="Total 4 4 3 2 4 3" xfId="49666"/>
    <cellStyle name="Total 4 4 3 2 4 4" xfId="37695"/>
    <cellStyle name="Total 4 4 3 2 5" xfId="20972"/>
    <cellStyle name="Total 4 4 3 2 5 2" xfId="46494"/>
    <cellStyle name="Total 4 4 3 2 5 3" xfId="50400"/>
    <cellStyle name="Total 4 4 3 2 5 4" xfId="38364"/>
    <cellStyle name="Total 4 4 3 2 6" xfId="21625"/>
    <cellStyle name="Total 4 4 3 2 6 2" xfId="47147"/>
    <cellStyle name="Total 4 4 3 2 6 3" xfId="51053"/>
    <cellStyle name="Total 4 4 3 2 7" xfId="40950"/>
    <cellStyle name="Total 4 4 3 2 8" xfId="40353"/>
    <cellStyle name="Total 4 4 3 3" xfId="11067"/>
    <cellStyle name="Total 4 4 3 3 2" xfId="18854"/>
    <cellStyle name="Total 4 4 3 3 2 2" xfId="44386"/>
    <cellStyle name="Total 4 4 3 3 2 3" xfId="48295"/>
    <cellStyle name="Total 4 4 3 3 2 4" xfId="36477"/>
    <cellStyle name="Total 4 4 3 3 3" xfId="20447"/>
    <cellStyle name="Total 4 4 3 3 3 2" xfId="45969"/>
    <cellStyle name="Total 4 4 3 3 3 3" xfId="49875"/>
    <cellStyle name="Total 4 4 3 3 3 4" xfId="37887"/>
    <cellStyle name="Total 4 4 3 3 4" xfId="20591"/>
    <cellStyle name="Total 4 4 3 3 4 2" xfId="46113"/>
    <cellStyle name="Total 4 4 3 3 4 3" xfId="50019"/>
    <cellStyle name="Total 4 4 3 3 4 4" xfId="38004"/>
    <cellStyle name="Total 4 4 3 3 5" xfId="21267"/>
    <cellStyle name="Total 4 4 3 3 5 2" xfId="46789"/>
    <cellStyle name="Total 4 4 3 3 5 3" xfId="50695"/>
    <cellStyle name="Total 4 4 3 3 5 4" xfId="38659"/>
    <cellStyle name="Total 4 4 3 3 6" xfId="21920"/>
    <cellStyle name="Total 4 4 3 3 6 2" xfId="47442"/>
    <cellStyle name="Total 4 4 3 3 6 3" xfId="51348"/>
    <cellStyle name="Total 4 4 3 3 7" xfId="41245"/>
    <cellStyle name="Total 4 4 3 3 8" xfId="43195"/>
    <cellStyle name="Total 4 4 3 4" xfId="15284"/>
    <cellStyle name="Total 4 4 3 4 2" xfId="43139"/>
    <cellStyle name="Total 4 4 3 4 3" xfId="39396"/>
    <cellStyle name="Total 4 4 3 4 4" xfId="32905"/>
    <cellStyle name="Total 4 4 3 5" xfId="11368"/>
    <cellStyle name="Total 4 4 3 5 2" xfId="41384"/>
    <cellStyle name="Total 4 4 3 5 3" xfId="43329"/>
    <cellStyle name="Total 4 4 3 5 4" xfId="29077"/>
    <cellStyle name="Total 4 4 3 6" xfId="18978"/>
    <cellStyle name="Total 4 4 3 6 2" xfId="44500"/>
    <cellStyle name="Total 4 4 3 6 3" xfId="48406"/>
    <cellStyle name="Total 4 4 3 6 4" xfId="36586"/>
    <cellStyle name="Total 4 4 3 7" xfId="12479"/>
    <cellStyle name="Total 4 4 3 7 2" xfId="41980"/>
    <cellStyle name="Total 4 4 3 7 3" xfId="41955"/>
    <cellStyle name="Total 4 4 3 7 4" xfId="30136"/>
    <cellStyle name="Total 4 4 3 8" xfId="19313"/>
    <cellStyle name="Total 4 4 3 8 2" xfId="44835"/>
    <cellStyle name="Total 4 4 3 8 3" xfId="48741"/>
    <cellStyle name="Total 4 4 3 9" xfId="39999"/>
    <cellStyle name="Total 4 5" xfId="5458"/>
    <cellStyle name="Total 4 6" xfId="5454"/>
    <cellStyle name="Total 4 7" xfId="7499"/>
    <cellStyle name="Total 4 7 10" xfId="39929"/>
    <cellStyle name="Total 4 7 2" xfId="10769"/>
    <cellStyle name="Total 4 7 2 2" xfId="18556"/>
    <cellStyle name="Total 4 7 2 2 2" xfId="44088"/>
    <cellStyle name="Total 4 7 2 2 3" xfId="47997"/>
    <cellStyle name="Total 4 7 2 2 4" xfId="36179"/>
    <cellStyle name="Total 4 7 2 3" xfId="19716"/>
    <cellStyle name="Total 4 7 2 3 2" xfId="45238"/>
    <cellStyle name="Total 4 7 2 3 3" xfId="49144"/>
    <cellStyle name="Total 4 7 2 3 4" xfId="37229"/>
    <cellStyle name="Total 4 7 2 4" xfId="20193"/>
    <cellStyle name="Total 4 7 2 4 2" xfId="45715"/>
    <cellStyle name="Total 4 7 2 4 3" xfId="49621"/>
    <cellStyle name="Total 4 7 2 4 4" xfId="37660"/>
    <cellStyle name="Total 4 7 2 5" xfId="20969"/>
    <cellStyle name="Total 4 7 2 5 2" xfId="46491"/>
    <cellStyle name="Total 4 7 2 5 3" xfId="50397"/>
    <cellStyle name="Total 4 7 2 5 4" xfId="38361"/>
    <cellStyle name="Total 4 7 2 6" xfId="21622"/>
    <cellStyle name="Total 4 7 2 6 2" xfId="47144"/>
    <cellStyle name="Total 4 7 2 6 3" xfId="51050"/>
    <cellStyle name="Total 4 7 2 7" xfId="40947"/>
    <cellStyle name="Total 4 7 2 8" xfId="39569"/>
    <cellStyle name="Total 4 7 3" xfId="11064"/>
    <cellStyle name="Total 4 7 3 2" xfId="18851"/>
    <cellStyle name="Total 4 7 3 2 2" xfId="44383"/>
    <cellStyle name="Total 4 7 3 2 3" xfId="48292"/>
    <cellStyle name="Total 4 7 3 2 4" xfId="36474"/>
    <cellStyle name="Total 4 7 3 3" xfId="20444"/>
    <cellStyle name="Total 4 7 3 3 2" xfId="45966"/>
    <cellStyle name="Total 4 7 3 3 3" xfId="49872"/>
    <cellStyle name="Total 4 7 3 3 4" xfId="37884"/>
    <cellStyle name="Total 4 7 3 4" xfId="20588"/>
    <cellStyle name="Total 4 7 3 4 2" xfId="46110"/>
    <cellStyle name="Total 4 7 3 4 3" xfId="50016"/>
    <cellStyle name="Total 4 7 3 4 4" xfId="38001"/>
    <cellStyle name="Total 4 7 3 5" xfId="21264"/>
    <cellStyle name="Total 4 7 3 5 2" xfId="46786"/>
    <cellStyle name="Total 4 7 3 5 3" xfId="50692"/>
    <cellStyle name="Total 4 7 3 5 4" xfId="38656"/>
    <cellStyle name="Total 4 7 3 6" xfId="21917"/>
    <cellStyle name="Total 4 7 3 6 2" xfId="47439"/>
    <cellStyle name="Total 4 7 3 6 3" xfId="51345"/>
    <cellStyle name="Total 4 7 3 7" xfId="41242"/>
    <cellStyle name="Total 4 7 3 8" xfId="39337"/>
    <cellStyle name="Total 4 7 4" xfId="15281"/>
    <cellStyle name="Total 4 7 4 2" xfId="43136"/>
    <cellStyle name="Total 4 7 4 3" xfId="42506"/>
    <cellStyle name="Total 4 7 4 4" xfId="32902"/>
    <cellStyle name="Total 4 7 5" xfId="13242"/>
    <cellStyle name="Total 4 7 5 2" xfId="42403"/>
    <cellStyle name="Total 4 7 5 3" xfId="39415"/>
    <cellStyle name="Total 4 7 5 4" xfId="30873"/>
    <cellStyle name="Total 4 7 6" xfId="20054"/>
    <cellStyle name="Total 4 7 6 2" xfId="45576"/>
    <cellStyle name="Total 4 7 6 3" xfId="49482"/>
    <cellStyle name="Total 4 7 6 4" xfId="37534"/>
    <cellStyle name="Total 4 7 7" xfId="20118"/>
    <cellStyle name="Total 4 7 7 2" xfId="45640"/>
    <cellStyle name="Total 4 7 7 3" xfId="49546"/>
    <cellStyle name="Total 4 7 7 4" xfId="37590"/>
    <cellStyle name="Total 4 7 8" xfId="19335"/>
    <cellStyle name="Total 4 7 8 2" xfId="44857"/>
    <cellStyle name="Total 4 7 8 3" xfId="48763"/>
    <cellStyle name="Total 4 7 9" xfId="39996"/>
    <cellStyle name="Total 4 8" xfId="12145"/>
    <cellStyle name="Total 4 8 2" xfId="41870"/>
    <cellStyle name="Total 4 8 3" xfId="39230"/>
    <cellStyle name="Total 4 8 4" xfId="29803"/>
    <cellStyle name="Total 4 9" xfId="18955"/>
    <cellStyle name="Total 4 9 2" xfId="44477"/>
    <cellStyle name="Total 4 9 3" xfId="48383"/>
    <cellStyle name="Total 4 9 4" xfId="36567"/>
    <cellStyle name="Total 5" xfId="3421"/>
    <cellStyle name="Total 5 2" xfId="5460"/>
    <cellStyle name="Total 5 2 2" xfId="53333"/>
    <cellStyle name="Total 5 3" xfId="5461"/>
    <cellStyle name="Total 5 3 2" xfId="53435"/>
    <cellStyle name="Total 5 4" xfId="5459"/>
    <cellStyle name="Total 5 5" xfId="22641"/>
    <cellStyle name="Total 5 5 2" xfId="47543"/>
    <cellStyle name="Total 5 5 3" xfId="51392"/>
    <cellStyle name="Total 5 6" xfId="53332"/>
    <cellStyle name="Total 6" xfId="5443"/>
    <cellStyle name="Total 6 2" xfId="22642"/>
    <cellStyle name="Total 6 2 2" xfId="47544"/>
    <cellStyle name="Total 6 2 2 2" xfId="53436"/>
    <cellStyle name="Total 6 2 3" xfId="51393"/>
    <cellStyle name="Total 6 2 4" xfId="53335"/>
    <cellStyle name="Total 6 3" xfId="53334"/>
    <cellStyle name="Total 7" xfId="22643"/>
    <cellStyle name="Total 7 2" xfId="47545"/>
    <cellStyle name="Total 7 2 2" xfId="53437"/>
    <cellStyle name="Total 7 3" xfId="51394"/>
    <cellStyle name="Total 8" xfId="22644"/>
    <cellStyle name="Total 8 2" xfId="22645"/>
    <cellStyle name="Total 8 2 2" xfId="47547"/>
    <cellStyle name="Total 8 2 2 2" xfId="53438"/>
    <cellStyle name="Total 8 2 3" xfId="51396"/>
    <cellStyle name="Total 8 3" xfId="47546"/>
    <cellStyle name="Total 8 3 2" xfId="53439"/>
    <cellStyle name="Total 8 4" xfId="51395"/>
    <cellStyle name="Total 9" xfId="22646"/>
    <cellStyle name="Total 9 2" xfId="47548"/>
    <cellStyle name="Total 9 2 2" xfId="53440"/>
    <cellStyle name="Total 9 3" xfId="51397"/>
    <cellStyle name="Warning Text 2" xfId="145"/>
    <cellStyle name="Warning Text 2 10" xfId="3423"/>
    <cellStyle name="Warning Text 2 10 2" xfId="5464"/>
    <cellStyle name="Warning Text 2 11" xfId="3424"/>
    <cellStyle name="Warning Text 2 11 2" xfId="5465"/>
    <cellStyle name="Warning Text 2 12" xfId="3425"/>
    <cellStyle name="Warning Text 2 12 2" xfId="5466"/>
    <cellStyle name="Warning Text 2 13" xfId="3426"/>
    <cellStyle name="Warning Text 2 13 2" xfId="5467"/>
    <cellStyle name="Warning Text 2 14" xfId="3427"/>
    <cellStyle name="Warning Text 2 14 2" xfId="5468"/>
    <cellStyle name="Warning Text 2 15" xfId="5469"/>
    <cellStyle name="Warning Text 2 15 2" xfId="6128"/>
    <cellStyle name="Warning Text 2 16" xfId="5470"/>
    <cellStyle name="Warning Text 2 16 2" xfId="6129"/>
    <cellStyle name="Warning Text 2 17" xfId="5471"/>
    <cellStyle name="Warning Text 2 18" xfId="5463"/>
    <cellStyle name="Warning Text 2 19" xfId="3422"/>
    <cellStyle name="Warning Text 2 2" xfId="3428"/>
    <cellStyle name="Warning Text 2 2 2" xfId="3429"/>
    <cellStyle name="Warning Text 2 2 2 2" xfId="5473"/>
    <cellStyle name="Warning Text 2 2 3" xfId="3430"/>
    <cellStyle name="Warning Text 2 2 3 2" xfId="5474"/>
    <cellStyle name="Warning Text 2 2 4" xfId="5475"/>
    <cellStyle name="Warning Text 2 2 4 2" xfId="6130"/>
    <cellStyle name="Warning Text 2 2 5" xfId="5476"/>
    <cellStyle name="Warning Text 2 2 6" xfId="5472"/>
    <cellStyle name="Warning Text 2 2_Sheet1" xfId="3431"/>
    <cellStyle name="Warning Text 2 3" xfId="3432"/>
    <cellStyle name="Warning Text 2 3 2" xfId="5477"/>
    <cellStyle name="Warning Text 2 4" xfId="3433"/>
    <cellStyle name="Warning Text 2 4 2" xfId="5478"/>
    <cellStyle name="Warning Text 2 5" xfId="3434"/>
    <cellStyle name="Warning Text 2 5 2" xfId="5479"/>
    <cellStyle name="Warning Text 2 6" xfId="3435"/>
    <cellStyle name="Warning Text 2 6 2" xfId="5480"/>
    <cellStyle name="Warning Text 2 7" xfId="3436"/>
    <cellStyle name="Warning Text 2 7 2" xfId="5481"/>
    <cellStyle name="Warning Text 2 8" xfId="3437"/>
    <cellStyle name="Warning Text 2 8 2" xfId="5482"/>
    <cellStyle name="Warning Text 2 9" xfId="3438"/>
    <cellStyle name="Warning Text 2 9 2" xfId="5483"/>
    <cellStyle name="Warning Text 2_BallGrid" xfId="3439"/>
    <cellStyle name="Warning Text 3" xfId="146"/>
    <cellStyle name="Warning Text 3 2" xfId="3440"/>
    <cellStyle name="Warning Text 3 2 2" xfId="5485"/>
    <cellStyle name="Warning Text 3 3" xfId="3441"/>
    <cellStyle name="Warning Text 3 3 2" xfId="5486"/>
    <cellStyle name="Warning Text 3 4" xfId="5487"/>
    <cellStyle name="Warning Text 3 4 2" xfId="6131"/>
    <cellStyle name="Warning Text 3 5" xfId="5484"/>
    <cellStyle name="Warning Text 4" xfId="147"/>
    <cellStyle name="Warning Text 4 2" xfId="3442"/>
    <cellStyle name="Warning Text 4 2 2" xfId="5490"/>
    <cellStyle name="Warning Text 4 2 3" xfId="5491"/>
    <cellStyle name="Warning Text 4 2 4" xfId="5489"/>
    <cellStyle name="Warning Text 4 3" xfId="3443"/>
    <cellStyle name="Warning Text 4 3 2" xfId="5493"/>
    <cellStyle name="Warning Text 4 3 3" xfId="5494"/>
    <cellStyle name="Warning Text 4 3 4" xfId="5492"/>
    <cellStyle name="Warning Text 4 4" xfId="5495"/>
    <cellStyle name="Warning Text 4 4 2" xfId="5496"/>
    <cellStyle name="Warning Text 4 4 3" xfId="6132"/>
    <cellStyle name="Warning Text 4 5" xfId="5497"/>
    <cellStyle name="Warning Text 4 6" xfId="5498"/>
    <cellStyle name="Warning Text 4 7" xfId="5499"/>
    <cellStyle name="Warning Text 4 8" xfId="5488"/>
    <cellStyle name="Warning Text 5" xfId="3444"/>
    <cellStyle name="Warning Text 5 2" xfId="5501"/>
    <cellStyle name="Warning Text 5 3" xfId="5502"/>
    <cellStyle name="Warning Text 5 4" xfId="5503"/>
    <cellStyle name="Warning Text 5 5" xfId="5504"/>
    <cellStyle name="Warning Text 5 6" xfId="5500"/>
    <cellStyle name="Warning Text 5 7" xfId="22649"/>
    <cellStyle name="Warning Text 6" xfId="5462"/>
    <cellStyle name="Warning Text 6 2" xfId="22650"/>
    <cellStyle name="Warning Text 7" xfId="22651"/>
    <cellStyle name="Warning Text 8" xfId="22652"/>
    <cellStyle name="Warning Text 9" xfId="22647"/>
    <cellStyle name="标题" xfId="149" builtinId="15" customBuiltin="1"/>
    <cellStyle name="标题 1" xfId="150" builtinId="16" customBuiltin="1"/>
    <cellStyle name="标题 2" xfId="151" builtinId="17" customBuiltin="1"/>
    <cellStyle name="标题 3" xfId="152" builtinId="18" customBuiltin="1"/>
    <cellStyle name="标题 4" xfId="153" builtinId="19" customBuiltin="1"/>
    <cellStyle name="標準_NOR+SDRAM-PoP_Pin要求仕様_20070117" xfId="21993"/>
    <cellStyle name="差" xfId="1" builtinId="27" customBuiltin="1"/>
    <cellStyle name="常规" xfId="0" builtinId="0"/>
    <cellStyle name="好" xfId="154" builtinId="26" customBuiltin="1"/>
    <cellStyle name="汇总" xfId="162" builtinId="25" customBuiltin="1"/>
    <cellStyle name="计算" xfId="156" builtinId="22" customBuiltin="1"/>
    <cellStyle name="检查单元格" xfId="158" builtinId="23" customBuiltin="1"/>
    <cellStyle name="解释性文本" xfId="161" builtinId="53" customBuiltin="1"/>
    <cellStyle name="警告文本" xfId="159" builtinId="11" customBuiltin="1"/>
    <cellStyle name="链接单元格" xfId="157" builtinId="24" customBuiltin="1"/>
    <cellStyle name="强调文字颜色 1" xfId="163" builtinId="29" customBuiltin="1"/>
    <cellStyle name="强调文字颜色 2" xfId="167" builtinId="33" customBuiltin="1"/>
    <cellStyle name="强调文字颜色 3" xfId="171" builtinId="37" customBuiltin="1"/>
    <cellStyle name="强调文字颜色 4" xfId="175" builtinId="41" customBuiltin="1"/>
    <cellStyle name="强调文字颜色 5" xfId="179" builtinId="45" customBuiltin="1"/>
    <cellStyle name="强调文字颜色 6" xfId="183" builtinId="49" customBuiltin="1"/>
    <cellStyle name="适中" xfId="148" builtinId="28" customBuiltin="1"/>
    <cellStyle name="输出" xfId="155" builtinId="21" customBuiltin="1"/>
    <cellStyle name="输入" xfId="3" builtinId="20" customBuiltin="1"/>
    <cellStyle name="一般_MCP73_79_ballout_31x31_0922" xfId="3445"/>
    <cellStyle name="注释" xfId="160" builtinId="10" customBuiltin="1"/>
  </cellStyles>
  <dxfs count="1486">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FFC7CE"/>
      <color rgb="FFFFCC99"/>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4"/>
  <dimension ref="B9:I104"/>
  <sheetViews>
    <sheetView topLeftCell="A11" workbookViewId="0">
      <selection activeCell="D23" sqref="D23"/>
    </sheetView>
  </sheetViews>
  <sheetFormatPr defaultColWidth="17.875" defaultRowHeight="13.5"/>
  <cols>
    <col min="1" max="1" width="17.875" customWidth="1"/>
    <col min="2" max="2" width="19.875" style="162" customWidth="1"/>
    <col min="3" max="3" width="51" style="155" customWidth="1"/>
    <col min="4" max="4" width="33.25" style="155" customWidth="1"/>
    <col min="5" max="6" width="17.875" style="155"/>
    <col min="7" max="7" width="24.625" style="155" customWidth="1"/>
  </cols>
  <sheetData>
    <row r="9" spans="2:7" ht="15.75">
      <c r="B9" s="298" t="s">
        <v>3784</v>
      </c>
      <c r="C9" s="304">
        <f>MAX(C12:C104)</f>
        <v>1.05</v>
      </c>
    </row>
    <row r="10" spans="2:7" ht="15.75">
      <c r="B10" s="153" t="s">
        <v>292</v>
      </c>
      <c r="C10" s="154"/>
      <c r="D10" s="154"/>
    </row>
    <row r="11" spans="2:7" ht="14.25">
      <c r="B11" s="156" t="s">
        <v>293</v>
      </c>
      <c r="C11" s="157" t="s">
        <v>61</v>
      </c>
      <c r="D11" s="158" t="s">
        <v>62</v>
      </c>
    </row>
    <row r="12" spans="2:7" ht="30" customHeight="1">
      <c r="B12" s="159">
        <v>42856</v>
      </c>
      <c r="C12" s="299">
        <v>1</v>
      </c>
      <c r="D12" s="353" t="s">
        <v>3790</v>
      </c>
      <c r="E12" s="353"/>
      <c r="F12" s="353"/>
      <c r="G12" s="353"/>
    </row>
    <row r="13" spans="2:7" ht="39" customHeight="1">
      <c r="B13" s="160">
        <v>42927</v>
      </c>
      <c r="C13" s="300">
        <v>1.01</v>
      </c>
      <c r="D13" s="354" t="s">
        <v>3786</v>
      </c>
      <c r="E13" s="354"/>
      <c r="F13" s="354"/>
      <c r="G13" s="354"/>
    </row>
    <row r="14" spans="2:7" ht="33" customHeight="1">
      <c r="B14" s="160"/>
      <c r="C14" s="300"/>
      <c r="D14" s="354" t="s">
        <v>3780</v>
      </c>
      <c r="E14" s="355"/>
      <c r="F14" s="355"/>
      <c r="G14" s="355"/>
    </row>
    <row r="15" spans="2:7" ht="32.25" customHeight="1">
      <c r="B15" s="160"/>
      <c r="C15" s="300"/>
      <c r="D15" s="354" t="s">
        <v>3785</v>
      </c>
      <c r="E15" s="356"/>
      <c r="F15" s="356"/>
      <c r="G15" s="356"/>
    </row>
    <row r="16" spans="2:7" ht="33.75" customHeight="1">
      <c r="B16" s="160"/>
      <c r="C16" s="300"/>
      <c r="D16" s="354" t="s">
        <v>3814</v>
      </c>
      <c r="E16" s="357"/>
      <c r="F16" s="357"/>
      <c r="G16" s="357"/>
    </row>
    <row r="17" spans="2:9">
      <c r="B17" s="161">
        <v>43007</v>
      </c>
      <c r="C17" s="301">
        <v>1.02</v>
      </c>
      <c r="D17" s="155" t="s">
        <v>3815</v>
      </c>
    </row>
    <row r="18" spans="2:9" ht="15" customHeight="1">
      <c r="C18" s="302"/>
      <c r="D18" s="310" t="s">
        <v>3792</v>
      </c>
    </row>
    <row r="19" spans="2:9">
      <c r="B19" s="161">
        <v>43026</v>
      </c>
      <c r="C19" s="304">
        <v>1.03</v>
      </c>
      <c r="D19" s="310" t="s">
        <v>3816</v>
      </c>
    </row>
    <row r="20" spans="2:9">
      <c r="C20" s="302"/>
      <c r="D20" s="155" t="s">
        <v>3817</v>
      </c>
    </row>
    <row r="21" spans="2:9">
      <c r="C21" s="302"/>
      <c r="D21" s="155" t="s">
        <v>3818</v>
      </c>
    </row>
    <row r="22" spans="2:9">
      <c r="B22" s="161">
        <v>43069</v>
      </c>
      <c r="C22" s="304">
        <v>1.04</v>
      </c>
      <c r="D22" s="155" t="s">
        <v>3980</v>
      </c>
    </row>
    <row r="23" spans="2:9">
      <c r="B23" s="161">
        <v>43130</v>
      </c>
      <c r="C23" s="304">
        <v>1.05</v>
      </c>
      <c r="D23" s="155" t="s">
        <v>3981</v>
      </c>
    </row>
    <row r="24" spans="2:9">
      <c r="C24" s="302"/>
    </row>
    <row r="25" spans="2:9" ht="22.5">
      <c r="B25"/>
      <c r="C25" s="303"/>
      <c r="D25" s="359" t="s">
        <v>45</v>
      </c>
      <c r="E25" s="359"/>
      <c r="F25" s="359"/>
      <c r="G25" s="359"/>
      <c r="H25" s="155"/>
      <c r="I25" s="155"/>
    </row>
    <row r="26" spans="2:9">
      <c r="B26"/>
      <c r="C26" s="302"/>
      <c r="D26" s="162"/>
      <c r="H26" s="155"/>
      <c r="I26" s="155"/>
    </row>
    <row r="27" spans="2:9" ht="61.5" customHeight="1">
      <c r="B27"/>
      <c r="C27" s="302"/>
      <c r="D27" s="358" t="s">
        <v>3779</v>
      </c>
      <c r="E27" s="358"/>
      <c r="F27" s="358"/>
      <c r="H27" s="155"/>
      <c r="I27" s="155"/>
    </row>
    <row r="28" spans="2:9" ht="35.25" customHeight="1">
      <c r="B28"/>
      <c r="C28" s="302"/>
      <c r="D28" s="358" t="s">
        <v>47</v>
      </c>
      <c r="E28" s="358"/>
      <c r="F28" s="358"/>
      <c r="H28" s="155"/>
      <c r="I28" s="155"/>
    </row>
    <row r="29" spans="2:9" ht="55.5" customHeight="1">
      <c r="B29"/>
      <c r="C29" s="302"/>
      <c r="D29" s="358" t="s">
        <v>46</v>
      </c>
      <c r="E29" s="358"/>
      <c r="F29" s="358"/>
      <c r="H29" s="155"/>
      <c r="I29" s="155"/>
    </row>
    <row r="30" spans="2:9">
      <c r="B30"/>
      <c r="C30" s="302"/>
      <c r="D30" s="155" t="s">
        <v>42</v>
      </c>
      <c r="H30" s="155"/>
    </row>
    <row r="31" spans="2:9">
      <c r="B31"/>
      <c r="C31" s="302"/>
      <c r="D31" s="155" t="s">
        <v>43</v>
      </c>
      <c r="H31" s="155"/>
    </row>
    <row r="32" spans="2:9">
      <c r="B32"/>
      <c r="C32" s="302"/>
      <c r="D32" s="155" t="s">
        <v>44</v>
      </c>
      <c r="H32" s="155"/>
    </row>
    <row r="33" spans="2:9" ht="45.75" customHeight="1">
      <c r="B33"/>
      <c r="C33" s="302"/>
      <c r="D33" s="358"/>
      <c r="E33" s="358"/>
      <c r="F33" s="358"/>
      <c r="H33" s="155"/>
      <c r="I33" s="155"/>
    </row>
    <row r="34" spans="2:9" ht="75" customHeight="1">
      <c r="B34"/>
      <c r="C34" s="302"/>
      <c r="D34" s="358"/>
      <c r="E34" s="358"/>
      <c r="F34" s="358"/>
      <c r="H34" s="155"/>
      <c r="I34" s="155"/>
    </row>
    <row r="35" spans="2:9" ht="15.75">
      <c r="B35"/>
      <c r="C35" s="302"/>
      <c r="D35" s="163" t="s">
        <v>294</v>
      </c>
      <c r="E35" s="154"/>
      <c r="F35" s="154"/>
      <c r="H35" s="155"/>
      <c r="I35" s="155"/>
    </row>
    <row r="36" spans="2:9" ht="190.5" customHeight="1">
      <c r="B36"/>
      <c r="C36" s="302"/>
      <c r="D36" s="352" t="s">
        <v>295</v>
      </c>
      <c r="E36" s="352"/>
      <c r="F36" s="352"/>
      <c r="H36" s="155"/>
      <c r="I36" s="155"/>
    </row>
    <row r="37" spans="2:9">
      <c r="C37" s="302"/>
    </row>
    <row r="38" spans="2:9">
      <c r="C38" s="302"/>
    </row>
    <row r="39" spans="2:9">
      <c r="C39" s="302"/>
    </row>
    <row r="40" spans="2:9">
      <c r="C40" s="302"/>
    </row>
    <row r="41" spans="2:9">
      <c r="C41" s="302"/>
    </row>
    <row r="42" spans="2:9">
      <c r="C42" s="302"/>
    </row>
    <row r="43" spans="2:9">
      <c r="C43" s="302"/>
    </row>
    <row r="44" spans="2:9">
      <c r="C44" s="302"/>
    </row>
    <row r="45" spans="2:9">
      <c r="C45" s="302"/>
    </row>
    <row r="46" spans="2:9">
      <c r="C46" s="302"/>
    </row>
    <row r="47" spans="2:9">
      <c r="C47" s="302"/>
    </row>
    <row r="48" spans="2:9">
      <c r="C48" s="302"/>
    </row>
    <row r="49" spans="3:3">
      <c r="C49" s="302"/>
    </row>
    <row r="50" spans="3:3">
      <c r="C50" s="302"/>
    </row>
    <row r="51" spans="3:3">
      <c r="C51" s="302"/>
    </row>
    <row r="52" spans="3:3">
      <c r="C52" s="302"/>
    </row>
    <row r="53" spans="3:3">
      <c r="C53" s="302"/>
    </row>
    <row r="54" spans="3:3">
      <c r="C54" s="302"/>
    </row>
    <row r="55" spans="3:3">
      <c r="C55" s="302"/>
    </row>
    <row r="56" spans="3:3">
      <c r="C56" s="302"/>
    </row>
    <row r="57" spans="3:3">
      <c r="C57" s="302"/>
    </row>
    <row r="58" spans="3:3">
      <c r="C58" s="302"/>
    </row>
    <row r="59" spans="3:3">
      <c r="C59" s="302"/>
    </row>
    <row r="60" spans="3:3">
      <c r="C60" s="302"/>
    </row>
    <row r="61" spans="3:3">
      <c r="C61" s="302"/>
    </row>
    <row r="62" spans="3:3">
      <c r="C62" s="302"/>
    </row>
    <row r="63" spans="3:3">
      <c r="C63" s="302"/>
    </row>
    <row r="64" spans="3:3">
      <c r="C64" s="302"/>
    </row>
    <row r="65" spans="3:3">
      <c r="C65" s="302"/>
    </row>
    <row r="66" spans="3:3">
      <c r="C66" s="302"/>
    </row>
    <row r="67" spans="3:3">
      <c r="C67" s="302"/>
    </row>
    <row r="68" spans="3:3">
      <c r="C68" s="302"/>
    </row>
    <row r="69" spans="3:3">
      <c r="C69" s="302"/>
    </row>
    <row r="70" spans="3:3">
      <c r="C70" s="302"/>
    </row>
    <row r="71" spans="3:3">
      <c r="C71" s="302"/>
    </row>
    <row r="72" spans="3:3">
      <c r="C72" s="302"/>
    </row>
    <row r="73" spans="3:3">
      <c r="C73" s="302"/>
    </row>
    <row r="74" spans="3:3">
      <c r="C74" s="302"/>
    </row>
    <row r="75" spans="3:3">
      <c r="C75" s="302"/>
    </row>
    <row r="76" spans="3:3">
      <c r="C76" s="302"/>
    </row>
    <row r="77" spans="3:3">
      <c r="C77" s="302"/>
    </row>
    <row r="78" spans="3:3">
      <c r="C78" s="302"/>
    </row>
    <row r="79" spans="3:3">
      <c r="C79" s="302"/>
    </row>
    <row r="80" spans="3:3">
      <c r="C80" s="302"/>
    </row>
    <row r="81" spans="3:3">
      <c r="C81" s="302"/>
    </row>
    <row r="82" spans="3:3">
      <c r="C82" s="302"/>
    </row>
    <row r="83" spans="3:3">
      <c r="C83" s="302"/>
    </row>
    <row r="84" spans="3:3">
      <c r="C84" s="302"/>
    </row>
    <row r="85" spans="3:3">
      <c r="C85" s="302"/>
    </row>
    <row r="86" spans="3:3">
      <c r="C86" s="302"/>
    </row>
    <row r="87" spans="3:3">
      <c r="C87" s="302"/>
    </row>
    <row r="88" spans="3:3">
      <c r="C88" s="302"/>
    </row>
    <row r="89" spans="3:3">
      <c r="C89" s="302"/>
    </row>
    <row r="90" spans="3:3">
      <c r="C90" s="302"/>
    </row>
    <row r="91" spans="3:3">
      <c r="C91" s="302"/>
    </row>
    <row r="92" spans="3:3">
      <c r="C92" s="302"/>
    </row>
    <row r="93" spans="3:3">
      <c r="C93" s="302"/>
    </row>
    <row r="94" spans="3:3">
      <c r="C94" s="302"/>
    </row>
    <row r="95" spans="3:3">
      <c r="C95" s="302"/>
    </row>
    <row r="96" spans="3:3">
      <c r="C96" s="302"/>
    </row>
    <row r="97" spans="3:3">
      <c r="C97" s="302"/>
    </row>
    <row r="98" spans="3:3">
      <c r="C98" s="302"/>
    </row>
    <row r="99" spans="3:3">
      <c r="C99" s="302"/>
    </row>
    <row r="100" spans="3:3">
      <c r="C100" s="302"/>
    </row>
    <row r="101" spans="3:3">
      <c r="C101" s="302"/>
    </row>
    <row r="102" spans="3:3">
      <c r="C102" s="302"/>
    </row>
    <row r="103" spans="3:3">
      <c r="C103" s="302"/>
    </row>
    <row r="104" spans="3:3">
      <c r="C104" s="302"/>
    </row>
  </sheetData>
  <mergeCells count="12">
    <mergeCell ref="D36:F36"/>
    <mergeCell ref="D12:G12"/>
    <mergeCell ref="D13:G13"/>
    <mergeCell ref="D14:G14"/>
    <mergeCell ref="D15:G15"/>
    <mergeCell ref="D16:G16"/>
    <mergeCell ref="D27:F27"/>
    <mergeCell ref="D28:F28"/>
    <mergeCell ref="D29:F29"/>
    <mergeCell ref="D33:F33"/>
    <mergeCell ref="D34:F34"/>
    <mergeCell ref="D25:G25"/>
  </mergeCells>
  <phoneticPr fontId="67"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sheetPr codeName="Sheet31"/>
  <dimension ref="A1:CE803"/>
  <sheetViews>
    <sheetView tabSelected="1" topLeftCell="A216" zoomScale="130" zoomScaleNormal="130" workbookViewId="0">
      <selection activeCell="AQ228" sqref="AQ228"/>
    </sheetView>
  </sheetViews>
  <sheetFormatPr defaultColWidth="9.125" defaultRowHeight="10.5"/>
  <cols>
    <col min="1" max="1" width="28.25" style="21" customWidth="1"/>
    <col min="2" max="2" width="10.25" style="21" customWidth="1"/>
    <col min="3" max="3" width="17" style="21" bestFit="1" customWidth="1"/>
    <col min="4" max="5" width="6.75" style="21" hidden="1" customWidth="1"/>
    <col min="6" max="6" width="24" style="21" hidden="1" customWidth="1"/>
    <col min="7" max="7" width="12.75" style="125" hidden="1" customWidth="1"/>
    <col min="8" max="8" width="18.25" style="125" hidden="1" customWidth="1"/>
    <col min="9" max="9" width="15.625" style="125" hidden="1" customWidth="1"/>
    <col min="10" max="10" width="15.375" style="125" hidden="1" customWidth="1"/>
    <col min="11" max="11" width="15" style="125" hidden="1" customWidth="1"/>
    <col min="12" max="12" width="4.875" style="21" hidden="1" customWidth="1"/>
    <col min="13" max="14" width="5.125" style="21" hidden="1" customWidth="1"/>
    <col min="15" max="15" width="5.25" style="21" hidden="1" customWidth="1"/>
    <col min="16" max="16" width="4.875" style="21" hidden="1" customWidth="1"/>
    <col min="17" max="22" width="17.75" style="21" hidden="1" customWidth="1"/>
    <col min="23" max="23" width="16" style="21" customWidth="1"/>
    <col min="24" max="24" width="6.25" style="137" customWidth="1"/>
    <col min="25" max="25" width="6.25" style="137" hidden="1" customWidth="1"/>
    <col min="26" max="26" width="12.125" style="124" customWidth="1"/>
    <col min="27" max="27" width="32" style="124" hidden="1" customWidth="1"/>
    <col min="28" max="28" width="10.875" style="124" customWidth="1"/>
    <col min="29" max="29" width="7.25" style="124" customWidth="1"/>
    <col min="30" max="30" width="12" style="124" hidden="1" customWidth="1"/>
    <col min="31" max="31" width="8.875" style="124" hidden="1" customWidth="1"/>
    <col min="32" max="32" width="10.625" style="124" hidden="1" customWidth="1"/>
    <col min="33" max="33" width="10.25" style="124" hidden="1" customWidth="1"/>
    <col min="34" max="34" width="9.875" style="124" hidden="1" customWidth="1"/>
    <col min="35" max="35" width="7.875" style="124" hidden="1" customWidth="1"/>
    <col min="36" max="42" width="12.25" style="124" hidden="1" customWidth="1"/>
    <col min="43" max="43" width="26.375" style="21" customWidth="1"/>
    <col min="44" max="44" width="11.375" style="21" customWidth="1"/>
    <col min="45" max="45" width="8.375" style="165" customWidth="1"/>
    <col min="46" max="46" width="7.25" style="165" customWidth="1"/>
    <col min="47" max="47" width="8.375" style="165" hidden="1" customWidth="1"/>
    <col min="48" max="48" width="10.125" style="165" customWidth="1"/>
    <col min="49" max="49" width="9.125" style="165" customWidth="1"/>
    <col min="50" max="50" width="9.875" style="297" customWidth="1"/>
    <col min="51" max="53" width="8.375" style="165" customWidth="1"/>
    <col min="54" max="54" width="10.125" style="141" customWidth="1"/>
    <col min="55" max="55" width="34.125" style="165" customWidth="1"/>
    <col min="56" max="56" width="25" style="137" hidden="1" customWidth="1"/>
    <col min="57" max="16384" width="9.125" style="21"/>
  </cols>
  <sheetData>
    <row r="1" spans="1:83" s="25" customFormat="1" ht="18.75" customHeight="1">
      <c r="C1" s="24"/>
      <c r="D1" s="369"/>
      <c r="E1" s="369"/>
      <c r="F1" s="369"/>
      <c r="G1" s="369"/>
      <c r="H1" s="369"/>
      <c r="I1" s="369"/>
      <c r="J1" s="369"/>
      <c r="K1" s="369"/>
      <c r="L1" s="202"/>
      <c r="M1" s="202"/>
      <c r="N1" s="202"/>
      <c r="O1" s="202"/>
      <c r="P1" s="202"/>
      <c r="Q1" s="202"/>
      <c r="R1" s="202"/>
      <c r="S1" s="202"/>
      <c r="T1" s="202"/>
      <c r="U1" s="202"/>
      <c r="V1" s="202"/>
      <c r="X1" s="128"/>
      <c r="Y1" s="128"/>
      <c r="Z1" s="27"/>
      <c r="AA1" s="27"/>
      <c r="AB1" s="27"/>
      <c r="AC1" s="27"/>
      <c r="AD1" s="27"/>
      <c r="AE1" s="27"/>
      <c r="AF1" s="27"/>
      <c r="AG1" s="27"/>
      <c r="AH1" s="27"/>
      <c r="AI1" s="27"/>
      <c r="AJ1" s="27"/>
      <c r="AK1" s="27"/>
      <c r="AL1" s="27"/>
      <c r="AM1" s="27"/>
      <c r="AN1" s="27"/>
      <c r="AO1" s="27"/>
      <c r="AP1" s="27"/>
      <c r="AS1" s="26" t="s">
        <v>362</v>
      </c>
      <c r="AT1" s="26"/>
      <c r="AU1" s="26"/>
      <c r="AV1" s="26"/>
      <c r="AW1" s="26"/>
      <c r="AX1" s="280"/>
      <c r="AY1" s="26"/>
      <c r="AZ1" s="26"/>
      <c r="BA1" s="26"/>
      <c r="BB1" s="17"/>
      <c r="BC1" s="26"/>
      <c r="BD1" s="147" t="s">
        <v>68</v>
      </c>
    </row>
    <row r="2" spans="1:83" s="25" customFormat="1" ht="15" customHeight="1">
      <c r="C2" s="24"/>
      <c r="D2" s="369" t="s">
        <v>363</v>
      </c>
      <c r="E2" s="369"/>
      <c r="F2" s="369"/>
      <c r="G2" s="369"/>
      <c r="H2" s="369"/>
      <c r="I2" s="369"/>
      <c r="J2" s="369"/>
      <c r="K2" s="369"/>
      <c r="L2" s="369"/>
      <c r="M2" s="202"/>
      <c r="N2" s="202"/>
      <c r="O2" s="202"/>
      <c r="P2" s="202"/>
      <c r="Q2" s="202"/>
      <c r="R2" s="202"/>
      <c r="S2" s="202"/>
      <c r="T2" s="202"/>
      <c r="U2" s="202"/>
      <c r="V2" s="202"/>
      <c r="X2" s="128"/>
      <c r="Y2" s="128"/>
      <c r="Z2" s="27"/>
      <c r="AA2" s="27"/>
      <c r="AB2" s="27"/>
      <c r="AC2" s="27"/>
      <c r="AD2" s="27"/>
      <c r="AE2" s="27"/>
      <c r="AF2" s="27"/>
      <c r="AG2" s="27"/>
      <c r="AH2" s="27"/>
      <c r="AI2" s="27"/>
      <c r="AJ2" s="27"/>
      <c r="AK2" s="27"/>
      <c r="AL2" s="27"/>
      <c r="AM2" s="27"/>
      <c r="AN2" s="27"/>
      <c r="AO2" s="27"/>
      <c r="AP2" s="27"/>
      <c r="AS2" s="166" t="s">
        <v>364</v>
      </c>
      <c r="AT2" s="26"/>
      <c r="AU2" s="26"/>
      <c r="AV2" s="26"/>
      <c r="AW2" s="26"/>
      <c r="AX2" s="280"/>
      <c r="AY2" s="26"/>
      <c r="AZ2" s="26"/>
      <c r="BA2" s="26"/>
      <c r="BB2" s="17"/>
      <c r="BC2" s="26"/>
      <c r="BD2" s="148" t="s">
        <v>69</v>
      </c>
    </row>
    <row r="3" spans="1:83" s="25" customFormat="1" ht="15" customHeight="1">
      <c r="A3" s="25" t="s">
        <v>3783</v>
      </c>
      <c r="B3" s="305">
        <f>'Customer-Readme'!C9</f>
        <v>1.05</v>
      </c>
      <c r="C3" s="24" t="s">
        <v>1429</v>
      </c>
      <c r="D3" s="369"/>
      <c r="E3" s="369"/>
      <c r="F3" s="369"/>
      <c r="G3" s="369"/>
      <c r="H3" s="369"/>
      <c r="I3" s="369"/>
      <c r="J3" s="369"/>
      <c r="K3" s="369"/>
      <c r="L3" s="202"/>
      <c r="M3" s="202"/>
      <c r="N3" s="202"/>
      <c r="O3" s="202"/>
      <c r="P3" s="202"/>
      <c r="Q3" s="202"/>
      <c r="R3" s="202"/>
      <c r="S3" s="202"/>
      <c r="T3" s="202"/>
      <c r="U3" s="202"/>
      <c r="V3" s="202"/>
      <c r="X3" s="128"/>
      <c r="Y3" s="128"/>
      <c r="Z3" s="27"/>
      <c r="AA3" s="27"/>
      <c r="AB3" s="27"/>
      <c r="AC3" s="27"/>
      <c r="AD3" s="27"/>
      <c r="AE3" s="27"/>
      <c r="AF3" s="27"/>
      <c r="AG3" s="27"/>
      <c r="AH3" s="27"/>
      <c r="AI3" s="27"/>
      <c r="AJ3" s="27"/>
      <c r="AK3" s="27"/>
      <c r="AL3" s="27"/>
      <c r="AM3" s="27"/>
      <c r="AN3" s="27"/>
      <c r="AO3" s="27"/>
      <c r="AP3" s="27"/>
      <c r="AS3" s="167" t="s">
        <v>365</v>
      </c>
      <c r="AT3" s="26"/>
      <c r="AU3" s="26"/>
      <c r="AV3" s="26"/>
      <c r="AW3" s="26"/>
      <c r="AX3" s="280"/>
      <c r="AY3" s="26"/>
      <c r="AZ3" s="26"/>
      <c r="BA3" s="26"/>
      <c r="BB3" s="17"/>
      <c r="BC3" s="26"/>
      <c r="BD3" s="149" t="s">
        <v>70</v>
      </c>
    </row>
    <row r="4" spans="1:83" s="25" customFormat="1" ht="15" customHeight="1">
      <c r="C4" s="24"/>
      <c r="D4" s="369"/>
      <c r="E4" s="369"/>
      <c r="F4" s="369"/>
      <c r="G4" s="369"/>
      <c r="H4" s="369"/>
      <c r="I4" s="369"/>
      <c r="J4" s="369"/>
      <c r="K4" s="369"/>
      <c r="L4" s="202"/>
      <c r="M4" s="202"/>
      <c r="N4" s="202"/>
      <c r="O4" s="202"/>
      <c r="P4" s="202"/>
      <c r="Q4" s="202"/>
      <c r="R4" s="202"/>
      <c r="S4" s="202"/>
      <c r="T4" s="202"/>
      <c r="U4" s="202"/>
      <c r="V4" s="202"/>
      <c r="X4" s="128"/>
      <c r="Y4" s="128"/>
      <c r="Z4" s="27"/>
      <c r="AA4" s="27"/>
      <c r="AB4" s="27"/>
      <c r="AC4" s="27"/>
      <c r="AD4" s="27"/>
      <c r="AE4" s="27"/>
      <c r="AF4" s="27"/>
      <c r="AG4" s="27"/>
      <c r="AH4" s="27"/>
      <c r="AI4" s="27"/>
      <c r="AJ4" s="27"/>
      <c r="AK4" s="27"/>
      <c r="AL4" s="27"/>
      <c r="AM4" s="27"/>
      <c r="AN4" s="27"/>
      <c r="AO4" s="27"/>
      <c r="AP4" s="27"/>
      <c r="AS4" s="26"/>
      <c r="AT4" s="26"/>
      <c r="AU4" s="26"/>
      <c r="AV4" s="26"/>
      <c r="AW4" s="26"/>
      <c r="AX4" s="280"/>
      <c r="AY4" s="26"/>
      <c r="AZ4" s="26"/>
      <c r="BA4" s="26"/>
      <c r="BB4" s="17"/>
      <c r="BC4" s="26"/>
      <c r="BD4" s="150" t="s">
        <v>71</v>
      </c>
    </row>
    <row r="5" spans="1:83" s="25" customFormat="1" ht="15" customHeight="1">
      <c r="C5" s="24"/>
      <c r="D5" s="369"/>
      <c r="E5" s="369"/>
      <c r="F5" s="369"/>
      <c r="G5" s="369"/>
      <c r="H5" s="369"/>
      <c r="I5" s="369"/>
      <c r="J5" s="369"/>
      <c r="K5" s="369"/>
      <c r="L5" s="202"/>
      <c r="M5" s="202"/>
      <c r="N5" s="202"/>
      <c r="O5" s="202"/>
      <c r="P5" s="202"/>
      <c r="Q5" s="202"/>
      <c r="R5" s="202"/>
      <c r="S5" s="202"/>
      <c r="T5" s="202"/>
      <c r="U5" s="202"/>
      <c r="V5" s="202"/>
      <c r="X5" s="128"/>
      <c r="Y5" s="128"/>
      <c r="Z5" s="27"/>
      <c r="AA5" s="27"/>
      <c r="AB5" s="27"/>
      <c r="AC5" s="27"/>
      <c r="AD5" s="27"/>
      <c r="AE5" s="27"/>
      <c r="AF5" s="27"/>
      <c r="AG5" s="27"/>
      <c r="AH5" s="27"/>
      <c r="AI5" s="27"/>
      <c r="AJ5" s="27"/>
      <c r="AK5" s="27"/>
      <c r="AL5" s="27"/>
      <c r="AM5" s="27"/>
      <c r="AN5" s="27"/>
      <c r="AO5" s="27"/>
      <c r="AP5" s="27"/>
      <c r="AS5" s="26"/>
      <c r="AT5" s="26"/>
      <c r="AU5" s="26"/>
      <c r="AV5" s="26"/>
      <c r="AW5" s="26"/>
      <c r="AX5" s="280"/>
      <c r="AY5" s="26"/>
      <c r="AZ5" s="26"/>
      <c r="BA5" s="26"/>
      <c r="BB5" s="17"/>
      <c r="BC5" s="26"/>
      <c r="BD5" s="151"/>
    </row>
    <row r="6" spans="1:83" s="25" customFormat="1" ht="15" customHeight="1">
      <c r="A6" s="362" t="s">
        <v>3493</v>
      </c>
      <c r="B6" s="362"/>
      <c r="C6" s="362"/>
      <c r="D6" s="363" t="s">
        <v>72</v>
      </c>
      <c r="E6" s="363"/>
      <c r="F6" s="28"/>
      <c r="G6" s="364" t="s">
        <v>73</v>
      </c>
      <c r="H6" s="365"/>
      <c r="I6" s="365"/>
      <c r="J6" s="365"/>
      <c r="K6" s="366"/>
      <c r="L6" s="367" t="s">
        <v>74</v>
      </c>
      <c r="M6" s="363"/>
      <c r="N6" s="363"/>
      <c r="O6" s="363"/>
      <c r="P6" s="368"/>
      <c r="Q6" s="367" t="s">
        <v>75</v>
      </c>
      <c r="R6" s="363"/>
      <c r="S6" s="363"/>
      <c r="T6" s="363"/>
      <c r="U6" s="363"/>
      <c r="V6" s="203"/>
      <c r="W6" s="367" t="s">
        <v>0</v>
      </c>
      <c r="X6" s="363"/>
      <c r="Y6" s="368"/>
      <c r="Z6" s="374" t="s">
        <v>1472</v>
      </c>
      <c r="AA6" s="375"/>
      <c r="AB6" s="376"/>
      <c r="AC6" s="29" t="s">
        <v>60</v>
      </c>
      <c r="AD6" s="377" t="s">
        <v>76</v>
      </c>
      <c r="AE6" s="378"/>
      <c r="AF6" s="378"/>
      <c r="AG6" s="378"/>
      <c r="AH6" s="378"/>
      <c r="AI6" s="379"/>
      <c r="AJ6" s="377" t="s">
        <v>77</v>
      </c>
      <c r="AK6" s="378"/>
      <c r="AL6" s="378"/>
      <c r="AM6" s="378"/>
      <c r="AN6" s="378"/>
      <c r="AO6" s="378"/>
      <c r="AP6" s="379"/>
      <c r="AQ6" s="370" t="s">
        <v>78</v>
      </c>
      <c r="AR6" s="371"/>
      <c r="AS6" s="371"/>
      <c r="AT6" s="371"/>
      <c r="AU6" s="371"/>
      <c r="AV6" s="371"/>
      <c r="AW6" s="371"/>
      <c r="AX6" s="371"/>
      <c r="AY6" s="371"/>
      <c r="AZ6" s="371"/>
      <c r="BA6" s="371"/>
      <c r="BB6" s="142"/>
      <c r="BC6" s="30"/>
      <c r="BD6" s="372" t="s">
        <v>754</v>
      </c>
    </row>
    <row r="7" spans="1:83" s="23" customFormat="1" ht="60.75">
      <c r="A7" s="360" t="s">
        <v>3670</v>
      </c>
      <c r="B7" s="361"/>
      <c r="C7" s="31" t="s">
        <v>3671</v>
      </c>
      <c r="D7" s="32" t="s">
        <v>238</v>
      </c>
      <c r="E7" s="32" t="s">
        <v>765</v>
      </c>
      <c r="F7" s="32" t="s">
        <v>79</v>
      </c>
      <c r="G7" s="33" t="s">
        <v>69</v>
      </c>
      <c r="H7" s="34" t="s">
        <v>80</v>
      </c>
      <c r="I7" s="34" t="s">
        <v>1</v>
      </c>
      <c r="J7" s="34" t="s">
        <v>2</v>
      </c>
      <c r="K7" s="35" t="s">
        <v>3</v>
      </c>
      <c r="L7" s="32" t="s">
        <v>69</v>
      </c>
      <c r="M7" s="32" t="s">
        <v>80</v>
      </c>
      <c r="N7" s="32" t="s">
        <v>1</v>
      </c>
      <c r="O7" s="32" t="s">
        <v>2</v>
      </c>
      <c r="P7" s="36" t="s">
        <v>3</v>
      </c>
      <c r="Q7" s="32" t="s">
        <v>81</v>
      </c>
      <c r="R7" s="32" t="s">
        <v>82</v>
      </c>
      <c r="S7" s="32" t="s">
        <v>83</v>
      </c>
      <c r="T7" s="32" t="s">
        <v>84</v>
      </c>
      <c r="U7" s="32" t="s">
        <v>85</v>
      </c>
      <c r="V7" s="32" t="s">
        <v>1428</v>
      </c>
      <c r="W7" s="31" t="s">
        <v>86</v>
      </c>
      <c r="X7" s="128" t="s">
        <v>48</v>
      </c>
      <c r="Y7" s="128" t="s">
        <v>361</v>
      </c>
      <c r="Z7" s="197" t="s">
        <v>1470</v>
      </c>
      <c r="AA7" s="198" t="s">
        <v>65</v>
      </c>
      <c r="AB7" s="199" t="s">
        <v>1473</v>
      </c>
      <c r="AC7" s="196" t="s">
        <v>5</v>
      </c>
      <c r="AD7" s="38" t="s">
        <v>87</v>
      </c>
      <c r="AE7" s="39" t="s">
        <v>88</v>
      </c>
      <c r="AF7" s="40" t="s">
        <v>4</v>
      </c>
      <c r="AG7" s="40" t="s">
        <v>89</v>
      </c>
      <c r="AH7" s="40" t="s">
        <v>90</v>
      </c>
      <c r="AI7" s="41" t="s">
        <v>91</v>
      </c>
      <c r="AJ7" s="39" t="s">
        <v>757</v>
      </c>
      <c r="AK7" s="39" t="s">
        <v>758</v>
      </c>
      <c r="AL7" s="39" t="s">
        <v>92</v>
      </c>
      <c r="AM7" s="39" t="s">
        <v>759</v>
      </c>
      <c r="AN7" s="39" t="s">
        <v>760</v>
      </c>
      <c r="AO7" s="39" t="s">
        <v>761</v>
      </c>
      <c r="AP7" s="39" t="s">
        <v>756</v>
      </c>
      <c r="AQ7" s="42" t="s">
        <v>93</v>
      </c>
      <c r="AR7" s="37" t="s">
        <v>94</v>
      </c>
      <c r="AS7" s="37" t="s">
        <v>66</v>
      </c>
      <c r="AT7" s="37" t="s">
        <v>95</v>
      </c>
      <c r="AU7" s="37" t="s">
        <v>96</v>
      </c>
      <c r="AV7" s="37" t="s">
        <v>560</v>
      </c>
      <c r="AW7" s="37" t="s">
        <v>1474</v>
      </c>
      <c r="AX7" s="281" t="s">
        <v>1475</v>
      </c>
      <c r="AY7" s="37" t="s">
        <v>289</v>
      </c>
      <c r="AZ7" s="37" t="s">
        <v>290</v>
      </c>
      <c r="BA7" s="139" t="s">
        <v>97</v>
      </c>
      <c r="BB7" s="143" t="s">
        <v>285</v>
      </c>
      <c r="BC7" s="43" t="s">
        <v>3672</v>
      </c>
      <c r="BD7" s="373"/>
    </row>
    <row r="8" spans="1:83" s="23" customFormat="1" ht="14.25">
      <c r="A8" s="88"/>
      <c r="B8" s="88"/>
      <c r="C8" s="88" t="s">
        <v>98</v>
      </c>
      <c r="D8" s="89"/>
      <c r="E8" s="89"/>
      <c r="F8" s="89"/>
      <c r="G8" s="90"/>
      <c r="H8" s="90"/>
      <c r="I8" s="90"/>
      <c r="J8" s="90"/>
      <c r="K8" s="90"/>
      <c r="L8" s="89"/>
      <c r="M8" s="89"/>
      <c r="N8" s="89"/>
      <c r="O8" s="89"/>
      <c r="P8" s="89"/>
      <c r="Q8" s="89"/>
      <c r="R8" s="89"/>
      <c r="S8" s="89"/>
      <c r="T8" s="89"/>
      <c r="U8" s="89"/>
      <c r="V8" s="89"/>
      <c r="W8" s="89"/>
      <c r="X8" s="134"/>
      <c r="Y8" s="134"/>
      <c r="Z8" s="91"/>
      <c r="AA8" s="91"/>
      <c r="AB8" s="91"/>
      <c r="AC8" s="91"/>
      <c r="AD8" s="91"/>
      <c r="AE8" s="91"/>
      <c r="AF8" s="91"/>
      <c r="AG8" s="91"/>
      <c r="AH8" s="91"/>
      <c r="AI8" s="91"/>
      <c r="AJ8" s="91"/>
      <c r="AK8" s="91"/>
      <c r="AL8" s="91"/>
      <c r="AM8" s="91"/>
      <c r="AN8" s="91"/>
      <c r="AO8" s="91"/>
      <c r="AP8" s="91"/>
      <c r="AQ8" s="92"/>
      <c r="AR8" s="92"/>
      <c r="AS8" s="93"/>
      <c r="AT8" s="93"/>
      <c r="AU8" s="93"/>
      <c r="AV8" s="93"/>
      <c r="AW8" s="93"/>
      <c r="AX8" s="282"/>
      <c r="AY8" s="93"/>
      <c r="AZ8" s="93"/>
      <c r="BA8" s="93"/>
      <c r="BB8" s="103"/>
      <c r="BC8" s="93"/>
      <c r="BD8" s="183"/>
      <c r="BE8" s="306"/>
    </row>
    <row r="9" spans="1:83" s="50" customFormat="1" ht="18" customHeight="1">
      <c r="A9" s="170" t="s">
        <v>3551</v>
      </c>
      <c r="B9" s="170" t="s">
        <v>3552</v>
      </c>
      <c r="C9" s="170"/>
      <c r="D9" s="45"/>
      <c r="E9" s="45"/>
      <c r="F9" s="45"/>
      <c r="G9" s="46"/>
      <c r="H9" s="46"/>
      <c r="I9" s="46"/>
      <c r="J9" s="46"/>
      <c r="K9" s="46"/>
      <c r="L9" s="45"/>
      <c r="M9" s="45"/>
      <c r="N9" s="45"/>
      <c r="O9" s="45"/>
      <c r="P9" s="45"/>
      <c r="Q9" s="45"/>
      <c r="R9" s="45"/>
      <c r="S9" s="45"/>
      <c r="T9" s="45"/>
      <c r="U9" s="45"/>
      <c r="V9" s="45"/>
      <c r="W9" s="45"/>
      <c r="X9" s="129"/>
      <c r="Y9" s="129"/>
      <c r="Z9" s="47"/>
      <c r="AA9" s="47"/>
      <c r="AB9" s="47"/>
      <c r="AC9" s="47"/>
      <c r="AD9" s="47"/>
      <c r="AE9" s="47"/>
      <c r="AF9" s="47"/>
      <c r="AG9" s="47"/>
      <c r="AH9" s="47"/>
      <c r="AI9" s="47"/>
      <c r="AJ9" s="47"/>
      <c r="AK9" s="47"/>
      <c r="AL9" s="47"/>
      <c r="AM9" s="47"/>
      <c r="AN9" s="47"/>
      <c r="AO9" s="47"/>
      <c r="AP9" s="47"/>
      <c r="AQ9" s="48"/>
      <c r="AR9" s="48"/>
      <c r="AS9" s="49"/>
      <c r="AT9" s="49"/>
      <c r="AU9" s="49"/>
      <c r="AV9" s="49"/>
      <c r="AW9" s="49"/>
      <c r="AX9" s="283"/>
      <c r="AY9" s="49"/>
      <c r="AZ9" s="49"/>
      <c r="BA9" s="49"/>
      <c r="BB9" s="168" t="s">
        <v>49</v>
      </c>
      <c r="BC9" s="307"/>
      <c r="BD9" s="173"/>
    </row>
    <row r="10" spans="1:83" ht="12.95" customHeight="1">
      <c r="A10" s="21" t="s">
        <v>306</v>
      </c>
      <c r="B10" s="21" t="s">
        <v>3637</v>
      </c>
      <c r="C10" s="51" t="s">
        <v>301</v>
      </c>
      <c r="D10" s="52" t="s">
        <v>1578</v>
      </c>
      <c r="E10" s="52" t="s">
        <v>1579</v>
      </c>
      <c r="F10" s="53" t="s">
        <v>553</v>
      </c>
      <c r="G10" s="179"/>
      <c r="H10" s="180" t="s">
        <v>1477</v>
      </c>
      <c r="I10" s="55" t="s">
        <v>1429</v>
      </c>
      <c r="J10" s="55" t="s">
        <v>1429</v>
      </c>
      <c r="K10" s="56" t="s">
        <v>1429</v>
      </c>
      <c r="L10" s="54" t="s">
        <v>1580</v>
      </c>
      <c r="M10" s="55" t="s">
        <v>1581</v>
      </c>
      <c r="N10" s="55" t="s">
        <v>1429</v>
      </c>
      <c r="O10" s="55" t="s">
        <v>1429</v>
      </c>
      <c r="P10" s="56" t="s">
        <v>1429</v>
      </c>
      <c r="Q10" s="52" t="s">
        <v>119</v>
      </c>
      <c r="R10" s="52" t="s">
        <v>113</v>
      </c>
      <c r="S10" s="52" t="s">
        <v>99</v>
      </c>
      <c r="T10" s="52" t="s">
        <v>100</v>
      </c>
      <c r="U10" s="57" t="s">
        <v>113</v>
      </c>
      <c r="V10" s="145" t="s">
        <v>1582</v>
      </c>
      <c r="W10" s="51" t="s">
        <v>1583</v>
      </c>
      <c r="X10" s="130" t="s">
        <v>1429</v>
      </c>
      <c r="Y10" s="130" t="s">
        <v>1584</v>
      </c>
      <c r="Z10" s="51" t="s">
        <v>1585</v>
      </c>
      <c r="AA10" s="51" t="s">
        <v>1586</v>
      </c>
      <c r="AB10" s="51" t="s">
        <v>1435</v>
      </c>
      <c r="AC10" s="51" t="s">
        <v>1587</v>
      </c>
      <c r="AD10" s="59" t="str">
        <f t="shared" ref="AD10:AD23" si="0">IF(OR($AQ10="",$AQ10=$F10),$U10,IF($AQ10=$G10,SUBSTITUTE(SUBSTITUTE($AQ10,"GPIO3_","GPIO_"),".0",""),IF($AQ10=$H10,$Q10,IF($AQ10=$I10,$R10,IF($AQ10=$J10,$S10,IF($AQ10=$K10,$T10,"INVALID"))))))</f>
        <v>UARTD</v>
      </c>
      <c r="AE10" s="66"/>
      <c r="AF10" s="61" t="str">
        <f t="shared" ref="AF10:AF23" si="1">IF(AND(OR($AS10="Int PU",$AS10="Int PD"),OR(AND($AY10&lt;&gt;"",$AY10&lt;&gt;"0"),AND($AZ10&lt;&gt;"",$AZ10&lt;&gt;"0"))),"INVALID",IF(OR($AQ10=$F10,$AS10="Int PD"),"PULL_DOWN",IF(OR($AS10="Int PU",AND($AE10="YES",OR($AY10="",$AY10="0"),OR($AZ10="",$AZ10="0"),OR($AR10="Input",$AR10="Bidirectional"))),"PULL_UP","NORMAL")))</f>
        <v>NORMAL</v>
      </c>
      <c r="AG10" s="61" t="str">
        <f>IF($AR10="Input", "TRISTATE", IF($AS10="Z","TRISTATE",IF($AQ10=$F10,"TRISTATE","NORMAL")))</f>
        <v>NORMAL</v>
      </c>
      <c r="AH10" s="61" t="str">
        <f t="shared" ref="AH10:AH23" si="2">IF(OR($AQ10=$F10,$AR10="Output"),"DISABLE","ENABLE")</f>
        <v>DISABLE</v>
      </c>
      <c r="AI10" s="67" t="str">
        <f t="shared" ref="AI10:AI23" si="3">IF($AQ10&lt;&gt;$G10,"N/A",IF($AS10="Drive 1", "1", IF($AS10="Drive 0", "0", "")))</f>
        <v>N/A</v>
      </c>
      <c r="AJ10" s="176" t="b">
        <v>1</v>
      </c>
      <c r="AK10" s="176" t="b">
        <v>1</v>
      </c>
      <c r="AL10" s="176" t="b">
        <v>1</v>
      </c>
      <c r="AM10" s="176" t="b">
        <v>1</v>
      </c>
      <c r="AN10" s="176" t="b">
        <v>1</v>
      </c>
      <c r="AO10" s="176" t="b">
        <v>1</v>
      </c>
      <c r="AP10" s="64" t="str">
        <f t="shared" ref="AP10:AP23" si="4">IF(AND($AJ10:$AO10), "VALID", "INVALID")</f>
        <v>VALID</v>
      </c>
      <c r="AQ10" s="211" t="s">
        <v>1477</v>
      </c>
      <c r="AR10" s="182" t="s">
        <v>3495</v>
      </c>
      <c r="AS10" s="181"/>
      <c r="AT10" s="5"/>
      <c r="AU10" s="5"/>
      <c r="AV10" s="5"/>
      <c r="AW10" s="181" t="s">
        <v>125</v>
      </c>
      <c r="AX10" s="284"/>
      <c r="AY10" s="181"/>
      <c r="AZ10" s="181"/>
      <c r="BA10" s="7"/>
      <c r="BB10" s="212"/>
      <c r="BC10" s="10" t="s">
        <v>3673</v>
      </c>
      <c r="BD10" s="238"/>
      <c r="BE10" s="239"/>
      <c r="BF10" s="239"/>
      <c r="BG10" s="239"/>
      <c r="BH10" s="239"/>
      <c r="BI10" s="239"/>
      <c r="BJ10" s="239"/>
      <c r="BK10" s="239"/>
      <c r="BL10" s="239"/>
      <c r="BM10" s="239"/>
      <c r="BN10" s="239"/>
      <c r="BO10" s="239"/>
      <c r="BP10" s="239"/>
      <c r="BQ10" s="239"/>
      <c r="BR10" s="239"/>
      <c r="BS10" s="239"/>
      <c r="BT10" s="239"/>
      <c r="BU10" s="239"/>
      <c r="BV10" s="239"/>
      <c r="BW10" s="239"/>
      <c r="BX10" s="239"/>
      <c r="BY10" s="239"/>
      <c r="BZ10" s="239"/>
      <c r="CA10" s="239"/>
      <c r="CB10" s="239"/>
      <c r="CC10" s="239"/>
      <c r="CD10" s="239"/>
      <c r="CE10" s="239"/>
    </row>
    <row r="11" spans="1:83" ht="12.95" customHeight="1">
      <c r="A11" s="21" t="s">
        <v>307</v>
      </c>
      <c r="B11" s="21" t="s">
        <v>3636</v>
      </c>
      <c r="C11" s="51" t="s">
        <v>302</v>
      </c>
      <c r="D11" s="52" t="s">
        <v>1588</v>
      </c>
      <c r="E11" s="52" t="s">
        <v>1589</v>
      </c>
      <c r="F11" s="53" t="s">
        <v>554</v>
      </c>
      <c r="G11" s="179"/>
      <c r="H11" s="180" t="s">
        <v>1478</v>
      </c>
      <c r="I11" s="55" t="s">
        <v>1429</v>
      </c>
      <c r="J11" s="55" t="s">
        <v>1429</v>
      </c>
      <c r="K11" s="56" t="s">
        <v>1429</v>
      </c>
      <c r="L11" s="54" t="s">
        <v>1580</v>
      </c>
      <c r="M11" s="55" t="s">
        <v>1590</v>
      </c>
      <c r="N11" s="55" t="s">
        <v>1429</v>
      </c>
      <c r="O11" s="55" t="s">
        <v>1429</v>
      </c>
      <c r="P11" s="56" t="s">
        <v>1429</v>
      </c>
      <c r="Q11" s="52" t="s">
        <v>119</v>
      </c>
      <c r="R11" s="52" t="s">
        <v>113</v>
      </c>
      <c r="S11" s="52" t="s">
        <v>99</v>
      </c>
      <c r="T11" s="52" t="s">
        <v>100</v>
      </c>
      <c r="U11" s="57" t="s">
        <v>113</v>
      </c>
      <c r="V11" s="146" t="s">
        <v>1591</v>
      </c>
      <c r="W11" s="51" t="s">
        <v>1583</v>
      </c>
      <c r="X11" s="130" t="s">
        <v>1429</v>
      </c>
      <c r="Y11" s="130" t="s">
        <v>1429</v>
      </c>
      <c r="Z11" s="51" t="s">
        <v>1585</v>
      </c>
      <c r="AA11" s="51" t="s">
        <v>1586</v>
      </c>
      <c r="AB11" s="51" t="s">
        <v>1435</v>
      </c>
      <c r="AC11" s="51" t="s">
        <v>1587</v>
      </c>
      <c r="AD11" s="59" t="str">
        <f t="shared" si="0"/>
        <v>UARTD</v>
      </c>
      <c r="AE11" s="66"/>
      <c r="AF11" s="61" t="str">
        <f t="shared" si="1"/>
        <v>PULL_UP</v>
      </c>
      <c r="AG11" s="61" t="str">
        <f t="shared" ref="AG11:AG76" si="5">IF($AR11="Input", "TRISTATE", IF($AS11="Z","TRISTATE",IF($AQ11=$F11,"TRISTATE","NORMAL")))</f>
        <v>TRISTATE</v>
      </c>
      <c r="AH11" s="61" t="str">
        <f t="shared" si="2"/>
        <v>ENABLE</v>
      </c>
      <c r="AI11" s="67" t="str">
        <f t="shared" si="3"/>
        <v>N/A</v>
      </c>
      <c r="AJ11" s="176" t="b">
        <v>1</v>
      </c>
      <c r="AK11" s="176" t="b">
        <v>1</v>
      </c>
      <c r="AL11" s="176" t="b">
        <v>1</v>
      </c>
      <c r="AM11" s="176" t="b">
        <v>1</v>
      </c>
      <c r="AN11" s="176" t="b">
        <v>1</v>
      </c>
      <c r="AO11" s="176" t="b">
        <v>1</v>
      </c>
      <c r="AP11" s="64" t="str">
        <f t="shared" si="4"/>
        <v>VALID</v>
      </c>
      <c r="AQ11" s="211" t="s">
        <v>1478</v>
      </c>
      <c r="AR11" s="182" t="s">
        <v>3496</v>
      </c>
      <c r="AS11" s="181" t="s">
        <v>3497</v>
      </c>
      <c r="AT11" s="5"/>
      <c r="AU11" s="5"/>
      <c r="AV11" s="5"/>
      <c r="AW11" s="181" t="s">
        <v>125</v>
      </c>
      <c r="AX11" s="284"/>
      <c r="AY11" s="181"/>
      <c r="AZ11" s="181"/>
      <c r="BA11" s="7"/>
      <c r="BB11" s="212"/>
      <c r="BC11" s="10" t="s">
        <v>3674</v>
      </c>
      <c r="BD11" s="238"/>
      <c r="BE11" s="239"/>
      <c r="BF11" s="239"/>
      <c r="BG11" s="239"/>
      <c r="BH11" s="239"/>
      <c r="BI11" s="239"/>
      <c r="BJ11" s="239"/>
      <c r="BK11" s="239"/>
      <c r="BL11" s="239"/>
      <c r="BM11" s="239"/>
      <c r="BN11" s="239"/>
      <c r="BO11" s="239"/>
      <c r="BP11" s="239"/>
      <c r="BQ11" s="239"/>
      <c r="BR11" s="239"/>
      <c r="BS11" s="239"/>
      <c r="BT11" s="239"/>
      <c r="BU11" s="239"/>
      <c r="BV11" s="239"/>
      <c r="BW11" s="239"/>
      <c r="BX11" s="239"/>
      <c r="BY11" s="239"/>
      <c r="BZ11" s="239"/>
      <c r="CA11" s="239"/>
      <c r="CB11" s="239"/>
      <c r="CC11" s="239"/>
      <c r="CD11" s="239"/>
      <c r="CE11" s="239"/>
    </row>
    <row r="12" spans="1:83" ht="12.95" customHeight="1">
      <c r="A12" s="21" t="s">
        <v>3311</v>
      </c>
      <c r="B12" s="21" t="s">
        <v>3635</v>
      </c>
      <c r="C12" s="51" t="s">
        <v>283</v>
      </c>
      <c r="D12" s="52" t="s">
        <v>1592</v>
      </c>
      <c r="E12" s="52" t="s">
        <v>1593</v>
      </c>
      <c r="F12" s="53" t="s">
        <v>555</v>
      </c>
      <c r="G12" s="179"/>
      <c r="H12" s="180" t="s">
        <v>1479</v>
      </c>
      <c r="I12" s="55" t="s">
        <v>1429</v>
      </c>
      <c r="J12" s="55" t="s">
        <v>1429</v>
      </c>
      <c r="K12" s="56" t="s">
        <v>1429</v>
      </c>
      <c r="L12" s="54" t="s">
        <v>1580</v>
      </c>
      <c r="M12" s="55" t="s">
        <v>1581</v>
      </c>
      <c r="N12" s="55" t="s">
        <v>1429</v>
      </c>
      <c r="O12" s="55" t="s">
        <v>1429</v>
      </c>
      <c r="P12" s="56" t="s">
        <v>1429</v>
      </c>
      <c r="Q12" s="52" t="s">
        <v>119</v>
      </c>
      <c r="R12" s="52" t="s">
        <v>113</v>
      </c>
      <c r="S12" s="52" t="s">
        <v>99</v>
      </c>
      <c r="T12" s="52" t="s">
        <v>100</v>
      </c>
      <c r="U12" s="57" t="s">
        <v>113</v>
      </c>
      <c r="V12" s="146" t="s">
        <v>1594</v>
      </c>
      <c r="W12" s="51" t="s">
        <v>1583</v>
      </c>
      <c r="X12" s="130" t="s">
        <v>1429</v>
      </c>
      <c r="Y12" s="130" t="s">
        <v>1595</v>
      </c>
      <c r="Z12" s="51" t="s">
        <v>1585</v>
      </c>
      <c r="AA12" s="51" t="s">
        <v>1586</v>
      </c>
      <c r="AB12" s="51" t="s">
        <v>1435</v>
      </c>
      <c r="AC12" s="51" t="s">
        <v>1587</v>
      </c>
      <c r="AD12" s="59" t="str">
        <f t="shared" si="0"/>
        <v>UARTD</v>
      </c>
      <c r="AE12" s="66"/>
      <c r="AF12" s="61" t="str">
        <f t="shared" si="1"/>
        <v>NORMAL</v>
      </c>
      <c r="AG12" s="61" t="str">
        <f t="shared" si="5"/>
        <v>NORMAL</v>
      </c>
      <c r="AH12" s="61" t="str">
        <f t="shared" si="2"/>
        <v>DISABLE</v>
      </c>
      <c r="AI12" s="67" t="str">
        <f t="shared" si="3"/>
        <v>N/A</v>
      </c>
      <c r="AJ12" s="176" t="b">
        <v>1</v>
      </c>
      <c r="AK12" s="176" t="b">
        <v>1</v>
      </c>
      <c r="AL12" s="176" t="b">
        <v>1</v>
      </c>
      <c r="AM12" s="176" t="b">
        <v>1</v>
      </c>
      <c r="AN12" s="176" t="b">
        <v>1</v>
      </c>
      <c r="AO12" s="176" t="b">
        <v>1</v>
      </c>
      <c r="AP12" s="64" t="str">
        <f t="shared" si="4"/>
        <v>VALID</v>
      </c>
      <c r="AQ12" s="211" t="s">
        <v>1479</v>
      </c>
      <c r="AR12" s="182" t="s">
        <v>3495</v>
      </c>
      <c r="AS12" s="181"/>
      <c r="AT12" s="5"/>
      <c r="AU12" s="5"/>
      <c r="AV12" s="5"/>
      <c r="AW12" s="181" t="s">
        <v>125</v>
      </c>
      <c r="AX12" s="284"/>
      <c r="AY12" s="181"/>
      <c r="AZ12" s="181"/>
      <c r="BA12" s="7"/>
      <c r="BB12" s="212"/>
      <c r="BC12" s="10" t="s">
        <v>3675</v>
      </c>
      <c r="BD12" s="238"/>
      <c r="BE12" s="239"/>
      <c r="BF12" s="239"/>
      <c r="BG12" s="239"/>
      <c r="BH12" s="239"/>
      <c r="BI12" s="239"/>
      <c r="BJ12" s="239"/>
      <c r="BK12" s="239"/>
      <c r="BL12" s="239"/>
      <c r="BM12" s="239"/>
      <c r="BN12" s="239"/>
      <c r="BO12" s="239"/>
      <c r="BP12" s="239"/>
      <c r="BQ12" s="239"/>
      <c r="BR12" s="239"/>
      <c r="BS12" s="239"/>
      <c r="BT12" s="239"/>
      <c r="BU12" s="239"/>
      <c r="BV12" s="239"/>
      <c r="BW12" s="239"/>
      <c r="BX12" s="239"/>
      <c r="BY12" s="239"/>
      <c r="BZ12" s="239"/>
      <c r="CA12" s="239"/>
      <c r="CB12" s="239"/>
      <c r="CC12" s="239"/>
      <c r="CD12" s="239"/>
      <c r="CE12" s="239"/>
    </row>
    <row r="13" spans="1:83" ht="12.95" customHeight="1">
      <c r="A13" s="21" t="s">
        <v>3310</v>
      </c>
      <c r="B13" s="21" t="s">
        <v>2329</v>
      </c>
      <c r="C13" s="51" t="s">
        <v>282</v>
      </c>
      <c r="D13" s="52" t="s">
        <v>1596</v>
      </c>
      <c r="E13" s="52" t="s">
        <v>1597</v>
      </c>
      <c r="F13" s="53" t="s">
        <v>556</v>
      </c>
      <c r="G13" s="179"/>
      <c r="H13" s="180" t="s">
        <v>1480</v>
      </c>
      <c r="I13" s="55" t="s">
        <v>1429</v>
      </c>
      <c r="J13" s="55" t="s">
        <v>1429</v>
      </c>
      <c r="K13" s="56" t="s">
        <v>1429</v>
      </c>
      <c r="L13" s="54" t="s">
        <v>1580</v>
      </c>
      <c r="M13" s="55" t="s">
        <v>1590</v>
      </c>
      <c r="N13" s="55" t="s">
        <v>1429</v>
      </c>
      <c r="O13" s="55" t="s">
        <v>1429</v>
      </c>
      <c r="P13" s="56" t="s">
        <v>1429</v>
      </c>
      <c r="Q13" s="52" t="s">
        <v>119</v>
      </c>
      <c r="R13" s="52" t="s">
        <v>113</v>
      </c>
      <c r="S13" s="52" t="s">
        <v>99</v>
      </c>
      <c r="T13" s="52" t="s">
        <v>100</v>
      </c>
      <c r="U13" s="57" t="s">
        <v>113</v>
      </c>
      <c r="V13" s="146" t="s">
        <v>1598</v>
      </c>
      <c r="W13" s="51" t="s">
        <v>1583</v>
      </c>
      <c r="X13" s="130" t="s">
        <v>1599</v>
      </c>
      <c r="Y13" s="130" t="s">
        <v>1429</v>
      </c>
      <c r="Z13" s="51" t="s">
        <v>1585</v>
      </c>
      <c r="AA13" s="51" t="s">
        <v>1600</v>
      </c>
      <c r="AB13" s="51" t="s">
        <v>1435</v>
      </c>
      <c r="AC13" s="51" t="s">
        <v>1587</v>
      </c>
      <c r="AD13" s="59" t="str">
        <f t="shared" si="0"/>
        <v>UARTD</v>
      </c>
      <c r="AE13" s="66"/>
      <c r="AF13" s="61" t="str">
        <f t="shared" si="1"/>
        <v>PULL_UP</v>
      </c>
      <c r="AG13" s="61" t="str">
        <f t="shared" si="5"/>
        <v>TRISTATE</v>
      </c>
      <c r="AH13" s="61" t="str">
        <f t="shared" si="2"/>
        <v>ENABLE</v>
      </c>
      <c r="AI13" s="67" t="str">
        <f t="shared" si="3"/>
        <v>N/A</v>
      </c>
      <c r="AJ13" s="176" t="b">
        <v>1</v>
      </c>
      <c r="AK13" s="176" t="b">
        <v>1</v>
      </c>
      <c r="AL13" s="176" t="b">
        <v>1</v>
      </c>
      <c r="AM13" s="176" t="b">
        <v>1</v>
      </c>
      <c r="AN13" s="176" t="b">
        <v>1</v>
      </c>
      <c r="AO13" s="176" t="b">
        <v>1</v>
      </c>
      <c r="AP13" s="64" t="str">
        <f t="shared" si="4"/>
        <v>VALID</v>
      </c>
      <c r="AQ13" s="211" t="s">
        <v>1480</v>
      </c>
      <c r="AR13" s="182" t="s">
        <v>3496</v>
      </c>
      <c r="AS13" s="181" t="s">
        <v>3497</v>
      </c>
      <c r="AT13" s="181" t="s">
        <v>104</v>
      </c>
      <c r="AU13" s="5"/>
      <c r="AV13" s="5"/>
      <c r="AW13" s="181" t="s">
        <v>125</v>
      </c>
      <c r="AX13" s="284"/>
      <c r="AY13" s="181"/>
      <c r="AZ13" s="181"/>
      <c r="BA13" s="7"/>
      <c r="BB13" s="212"/>
      <c r="BC13" s="10" t="s">
        <v>3676</v>
      </c>
      <c r="BD13" s="238"/>
      <c r="BE13" s="239"/>
      <c r="BF13" s="239"/>
      <c r="BG13" s="239"/>
      <c r="BH13" s="239"/>
      <c r="BI13" s="239"/>
      <c r="BJ13" s="239"/>
      <c r="BK13" s="239"/>
      <c r="BL13" s="239"/>
      <c r="BM13" s="239"/>
      <c r="BN13" s="239"/>
      <c r="BO13" s="239"/>
      <c r="BP13" s="239"/>
      <c r="BQ13" s="239"/>
      <c r="BR13" s="239"/>
      <c r="BS13" s="239"/>
      <c r="BT13" s="239"/>
      <c r="BU13" s="239"/>
      <c r="BV13" s="239"/>
      <c r="BW13" s="239"/>
      <c r="BX13" s="239"/>
      <c r="BY13" s="239"/>
      <c r="BZ13" s="239"/>
      <c r="CA13" s="239"/>
      <c r="CB13" s="239"/>
      <c r="CC13" s="239"/>
      <c r="CD13" s="239"/>
      <c r="CE13" s="239"/>
    </row>
    <row r="14" spans="1:83" ht="12.95" customHeight="1">
      <c r="A14" s="21" t="s">
        <v>3793</v>
      </c>
      <c r="B14" s="21" t="s">
        <v>1868</v>
      </c>
      <c r="C14" s="51" t="s">
        <v>912</v>
      </c>
      <c r="D14" s="52" t="s">
        <v>1601</v>
      </c>
      <c r="E14" s="52" t="s">
        <v>1602</v>
      </c>
      <c r="F14" s="53" t="s">
        <v>1205</v>
      </c>
      <c r="G14" s="179" t="s">
        <v>1481</v>
      </c>
      <c r="H14" s="180" t="s">
        <v>1429</v>
      </c>
      <c r="I14" s="55" t="s">
        <v>1429</v>
      </c>
      <c r="J14" s="55" t="s">
        <v>1429</v>
      </c>
      <c r="K14" s="56" t="s">
        <v>1429</v>
      </c>
      <c r="L14" s="54" t="s">
        <v>1580</v>
      </c>
      <c r="M14" s="55" t="s">
        <v>1429</v>
      </c>
      <c r="N14" s="55" t="s">
        <v>1429</v>
      </c>
      <c r="O14" s="55" t="s">
        <v>1429</v>
      </c>
      <c r="P14" s="56" t="s">
        <v>1429</v>
      </c>
      <c r="Q14" s="52" t="s">
        <v>755</v>
      </c>
      <c r="R14" s="52" t="s">
        <v>113</v>
      </c>
      <c r="S14" s="52" t="s">
        <v>99</v>
      </c>
      <c r="T14" s="52" t="s">
        <v>100</v>
      </c>
      <c r="U14" s="57" t="s">
        <v>755</v>
      </c>
      <c r="V14" s="146" t="s">
        <v>1603</v>
      </c>
      <c r="W14" s="51" t="s">
        <v>1583</v>
      </c>
      <c r="X14" s="130" t="s">
        <v>1429</v>
      </c>
      <c r="Y14" s="130" t="s">
        <v>1429</v>
      </c>
      <c r="Z14" s="51" t="s">
        <v>1585</v>
      </c>
      <c r="AA14" s="51" t="s">
        <v>1586</v>
      </c>
      <c r="AB14" s="51" t="s">
        <v>1435</v>
      </c>
      <c r="AC14" s="51" t="s">
        <v>1587</v>
      </c>
      <c r="AD14" s="59" t="str">
        <f t="shared" si="0"/>
        <v>GPIO_PB4</v>
      </c>
      <c r="AE14" s="66"/>
      <c r="AF14" s="61" t="str">
        <f t="shared" si="1"/>
        <v>NORMAL</v>
      </c>
      <c r="AG14" s="61" t="str">
        <f t="shared" si="5"/>
        <v>NORMAL</v>
      </c>
      <c r="AH14" s="61" t="str">
        <f t="shared" si="2"/>
        <v>DISABLE</v>
      </c>
      <c r="AI14" s="67" t="str">
        <f t="shared" si="3"/>
        <v>1</v>
      </c>
      <c r="AJ14" s="176" t="b">
        <v>1</v>
      </c>
      <c r="AK14" s="176" t="b">
        <v>1</v>
      </c>
      <c r="AL14" s="176" t="b">
        <v>1</v>
      </c>
      <c r="AM14" s="176" t="b">
        <v>1</v>
      </c>
      <c r="AN14" s="176" t="b">
        <v>1</v>
      </c>
      <c r="AO14" s="176" t="b">
        <v>1</v>
      </c>
      <c r="AP14" s="64" t="str">
        <f t="shared" si="4"/>
        <v>VALID</v>
      </c>
      <c r="AQ14" s="211" t="s">
        <v>1481</v>
      </c>
      <c r="AR14" s="182" t="s">
        <v>3495</v>
      </c>
      <c r="AS14" s="181" t="s">
        <v>3498</v>
      </c>
      <c r="AT14" s="5"/>
      <c r="AU14" s="5"/>
      <c r="AV14" s="5"/>
      <c r="AW14" s="181" t="s">
        <v>125</v>
      </c>
      <c r="AX14" s="284"/>
      <c r="AY14" s="181"/>
      <c r="AZ14" s="181"/>
      <c r="BA14" s="7"/>
      <c r="BB14" s="212"/>
      <c r="BC14" s="10" t="s">
        <v>3506</v>
      </c>
      <c r="BD14" s="240"/>
      <c r="BE14" s="239"/>
      <c r="BF14" s="239"/>
      <c r="BG14" s="239"/>
      <c r="BH14" s="239"/>
      <c r="BI14" s="239"/>
      <c r="BJ14" s="239"/>
      <c r="BK14" s="239"/>
      <c r="BL14" s="239"/>
      <c r="BM14" s="239"/>
      <c r="BN14" s="239"/>
      <c r="BO14" s="239"/>
      <c r="BP14" s="239"/>
      <c r="BQ14" s="239"/>
      <c r="BR14" s="239"/>
      <c r="BS14" s="239"/>
      <c r="BT14" s="239"/>
      <c r="BU14" s="239"/>
      <c r="BV14" s="239"/>
      <c r="BW14" s="239"/>
      <c r="BX14" s="239"/>
      <c r="BY14" s="239"/>
      <c r="BZ14" s="239"/>
      <c r="CA14" s="239"/>
      <c r="CB14" s="239"/>
      <c r="CC14" s="239"/>
      <c r="CD14" s="239"/>
      <c r="CE14" s="239"/>
    </row>
    <row r="15" spans="1:83" ht="12.95" customHeight="1">
      <c r="A15" s="21" t="s">
        <v>3794</v>
      </c>
      <c r="B15" s="21" t="s">
        <v>3566</v>
      </c>
      <c r="C15" s="51" t="s">
        <v>913</v>
      </c>
      <c r="D15" s="52" t="s">
        <v>1604</v>
      </c>
      <c r="E15" s="52" t="s">
        <v>1605</v>
      </c>
      <c r="F15" s="53" t="s">
        <v>1206</v>
      </c>
      <c r="G15" s="179" t="s">
        <v>1482</v>
      </c>
      <c r="H15" s="180" t="s">
        <v>1429</v>
      </c>
      <c r="I15" s="55" t="s">
        <v>1429</v>
      </c>
      <c r="J15" s="55" t="s">
        <v>1429</v>
      </c>
      <c r="K15" s="56" t="s">
        <v>1429</v>
      </c>
      <c r="L15" s="54" t="s">
        <v>1580</v>
      </c>
      <c r="M15" s="55" t="s">
        <v>1429</v>
      </c>
      <c r="N15" s="55" t="s">
        <v>1429</v>
      </c>
      <c r="O15" s="55" t="s">
        <v>1429</v>
      </c>
      <c r="P15" s="56" t="s">
        <v>1429</v>
      </c>
      <c r="Q15" s="52" t="s">
        <v>755</v>
      </c>
      <c r="R15" s="52" t="s">
        <v>113</v>
      </c>
      <c r="S15" s="52" t="s">
        <v>99</v>
      </c>
      <c r="T15" s="52" t="s">
        <v>100</v>
      </c>
      <c r="U15" s="57" t="s">
        <v>755</v>
      </c>
      <c r="V15" s="146" t="s">
        <v>1606</v>
      </c>
      <c r="W15" s="51" t="s">
        <v>1583</v>
      </c>
      <c r="X15" s="130" t="s">
        <v>1607</v>
      </c>
      <c r="Y15" s="130" t="s">
        <v>1429</v>
      </c>
      <c r="Z15" s="51" t="s">
        <v>1585</v>
      </c>
      <c r="AA15" s="51" t="s">
        <v>1600</v>
      </c>
      <c r="AB15" s="51" t="s">
        <v>1435</v>
      </c>
      <c r="AC15" s="51" t="s">
        <v>1587</v>
      </c>
      <c r="AD15" s="59" t="str">
        <f t="shared" si="0"/>
        <v>GPIO_PB5</v>
      </c>
      <c r="AE15" s="66"/>
      <c r="AF15" s="61" t="str">
        <f t="shared" si="1"/>
        <v>PULL_UP</v>
      </c>
      <c r="AG15" s="61" t="str">
        <f t="shared" si="5"/>
        <v>TRISTATE</v>
      </c>
      <c r="AH15" s="61" t="str">
        <f t="shared" si="2"/>
        <v>ENABLE</v>
      </c>
      <c r="AI15" s="67" t="str">
        <f t="shared" si="3"/>
        <v/>
      </c>
      <c r="AJ15" s="176" t="b">
        <v>1</v>
      </c>
      <c r="AK15" s="176" t="b">
        <v>1</v>
      </c>
      <c r="AL15" s="176" t="b">
        <v>1</v>
      </c>
      <c r="AM15" s="176" t="b">
        <v>1</v>
      </c>
      <c r="AN15" s="176" t="b">
        <v>1</v>
      </c>
      <c r="AO15" s="176" t="b">
        <v>1</v>
      </c>
      <c r="AP15" s="64" t="str">
        <f t="shared" si="4"/>
        <v>VALID</v>
      </c>
      <c r="AQ15" s="211" t="s">
        <v>1482</v>
      </c>
      <c r="AR15" s="182" t="s">
        <v>3496</v>
      </c>
      <c r="AS15" s="181" t="s">
        <v>3497</v>
      </c>
      <c r="AT15" s="181" t="s">
        <v>3499</v>
      </c>
      <c r="AU15" s="5"/>
      <c r="AV15" s="5"/>
      <c r="AW15" s="181" t="s">
        <v>125</v>
      </c>
      <c r="AX15" s="284"/>
      <c r="AY15" s="181"/>
      <c r="AZ15" s="181"/>
      <c r="BA15" s="7"/>
      <c r="BB15" s="212"/>
      <c r="BC15" s="10" t="s">
        <v>3507</v>
      </c>
      <c r="BD15" s="240"/>
      <c r="BE15" s="239"/>
      <c r="BF15" s="239"/>
      <c r="BG15" s="239"/>
      <c r="BH15" s="239"/>
      <c r="BI15" s="239"/>
      <c r="BJ15" s="239"/>
      <c r="BK15" s="239"/>
      <c r="BL15" s="239"/>
      <c r="BM15" s="239"/>
      <c r="BN15" s="239"/>
      <c r="BO15" s="239"/>
      <c r="BP15" s="239"/>
      <c r="BQ15" s="239"/>
      <c r="BR15" s="239"/>
      <c r="BS15" s="239"/>
      <c r="BT15" s="239"/>
      <c r="BU15" s="239"/>
      <c r="BV15" s="239"/>
      <c r="BW15" s="239"/>
      <c r="BX15" s="239"/>
      <c r="BY15" s="239"/>
      <c r="BZ15" s="239"/>
      <c r="CA15" s="239"/>
      <c r="CB15" s="239"/>
      <c r="CC15" s="239"/>
      <c r="CD15" s="239"/>
      <c r="CE15" s="239"/>
    </row>
    <row r="16" spans="1:83" ht="12.95" customHeight="1">
      <c r="A16" s="21" t="s">
        <v>3312</v>
      </c>
      <c r="B16" s="21" t="s">
        <v>2165</v>
      </c>
      <c r="C16" s="51" t="s">
        <v>914</v>
      </c>
      <c r="D16" s="52" t="s">
        <v>1608</v>
      </c>
      <c r="E16" s="52" t="s">
        <v>1609</v>
      </c>
      <c r="F16" s="53" t="s">
        <v>1207</v>
      </c>
      <c r="G16" s="179" t="s">
        <v>1483</v>
      </c>
      <c r="H16" s="180" t="s">
        <v>1429</v>
      </c>
      <c r="I16" s="55" t="s">
        <v>1429</v>
      </c>
      <c r="J16" s="55" t="s">
        <v>1429</v>
      </c>
      <c r="K16" s="56" t="s">
        <v>1429</v>
      </c>
      <c r="L16" s="54" t="s">
        <v>1580</v>
      </c>
      <c r="M16" s="55" t="s">
        <v>1429</v>
      </c>
      <c r="N16" s="55" t="s">
        <v>1429</v>
      </c>
      <c r="O16" s="55" t="s">
        <v>1429</v>
      </c>
      <c r="P16" s="56" t="s">
        <v>1429</v>
      </c>
      <c r="Q16" s="52" t="s">
        <v>755</v>
      </c>
      <c r="R16" s="52" t="s">
        <v>113</v>
      </c>
      <c r="S16" s="52" t="s">
        <v>99</v>
      </c>
      <c r="T16" s="52" t="s">
        <v>100</v>
      </c>
      <c r="U16" s="57" t="s">
        <v>755</v>
      </c>
      <c r="V16" s="146" t="s">
        <v>1610</v>
      </c>
      <c r="W16" s="51" t="s">
        <v>1583</v>
      </c>
      <c r="X16" s="130" t="s">
        <v>1429</v>
      </c>
      <c r="Y16" s="130" t="s">
        <v>1429</v>
      </c>
      <c r="Z16" s="51" t="s">
        <v>1585</v>
      </c>
      <c r="AA16" s="51" t="s">
        <v>1586</v>
      </c>
      <c r="AB16" s="51" t="s">
        <v>1435</v>
      </c>
      <c r="AC16" s="51" t="s">
        <v>1587</v>
      </c>
      <c r="AD16" s="59" t="str">
        <f t="shared" si="0"/>
        <v>GPIO_PB6</v>
      </c>
      <c r="AE16" s="66"/>
      <c r="AF16" s="61" t="str">
        <f t="shared" si="1"/>
        <v>NORMAL</v>
      </c>
      <c r="AG16" s="61" t="str">
        <f t="shared" si="5"/>
        <v>NORMAL</v>
      </c>
      <c r="AH16" s="61" t="str">
        <f t="shared" si="2"/>
        <v>DISABLE</v>
      </c>
      <c r="AI16" s="67" t="str">
        <f t="shared" si="3"/>
        <v>0</v>
      </c>
      <c r="AJ16" s="176" t="b">
        <v>1</v>
      </c>
      <c r="AK16" s="176" t="b">
        <v>1</v>
      </c>
      <c r="AL16" s="176" t="b">
        <v>1</v>
      </c>
      <c r="AM16" s="176" t="b">
        <v>1</v>
      </c>
      <c r="AN16" s="176" t="b">
        <v>1</v>
      </c>
      <c r="AO16" s="176" t="b">
        <v>1</v>
      </c>
      <c r="AP16" s="64" t="str">
        <f t="shared" si="4"/>
        <v>VALID</v>
      </c>
      <c r="AQ16" s="211" t="s">
        <v>1483</v>
      </c>
      <c r="AR16" s="182" t="s">
        <v>3495</v>
      </c>
      <c r="AS16" s="181" t="s">
        <v>3500</v>
      </c>
      <c r="AT16" s="5"/>
      <c r="AU16" s="5"/>
      <c r="AV16" s="5"/>
      <c r="AW16" s="181" t="s">
        <v>125</v>
      </c>
      <c r="AX16" s="284"/>
      <c r="AY16" s="181"/>
      <c r="AZ16" s="181"/>
      <c r="BA16" s="7"/>
      <c r="BB16" s="212"/>
      <c r="BC16" s="10" t="s">
        <v>3508</v>
      </c>
      <c r="BD16" s="240"/>
      <c r="BE16" s="239"/>
      <c r="BF16" s="239"/>
      <c r="BG16" s="239"/>
      <c r="BH16" s="239"/>
      <c r="BI16" s="239"/>
      <c r="BJ16" s="239"/>
      <c r="BK16" s="239"/>
      <c r="BL16" s="239"/>
      <c r="BM16" s="239"/>
      <c r="BN16" s="239"/>
      <c r="BO16" s="239"/>
      <c r="BP16" s="239"/>
      <c r="BQ16" s="239"/>
      <c r="BR16" s="239"/>
      <c r="BS16" s="239"/>
      <c r="BT16" s="239"/>
      <c r="BU16" s="239"/>
      <c r="BV16" s="239"/>
      <c r="BW16" s="239"/>
      <c r="BX16" s="239"/>
      <c r="BY16" s="239"/>
      <c r="BZ16" s="239"/>
      <c r="CA16" s="239"/>
      <c r="CB16" s="239"/>
      <c r="CC16" s="239"/>
      <c r="CD16" s="239"/>
      <c r="CE16" s="239"/>
    </row>
    <row r="17" spans="1:83" ht="12.95" customHeight="1">
      <c r="A17" s="21" t="s">
        <v>3795</v>
      </c>
      <c r="B17" s="21" t="s">
        <v>1880</v>
      </c>
      <c r="C17" s="51" t="s">
        <v>915</v>
      </c>
      <c r="D17" s="52" t="s">
        <v>1611</v>
      </c>
      <c r="E17" s="52" t="s">
        <v>1612</v>
      </c>
      <c r="F17" s="53" t="s">
        <v>1208</v>
      </c>
      <c r="G17" s="179" t="s">
        <v>1613</v>
      </c>
      <c r="H17" s="180" t="s">
        <v>1429</v>
      </c>
      <c r="I17" s="55" t="s">
        <v>1429</v>
      </c>
      <c r="J17" s="55" t="s">
        <v>1429</v>
      </c>
      <c r="K17" s="56" t="s">
        <v>1429</v>
      </c>
      <c r="L17" s="54" t="s">
        <v>1580</v>
      </c>
      <c r="M17" s="55" t="s">
        <v>1429</v>
      </c>
      <c r="N17" s="55" t="s">
        <v>1429</v>
      </c>
      <c r="O17" s="55" t="s">
        <v>1429</v>
      </c>
      <c r="P17" s="56" t="s">
        <v>1429</v>
      </c>
      <c r="Q17" s="52" t="s">
        <v>755</v>
      </c>
      <c r="R17" s="52" t="s">
        <v>113</v>
      </c>
      <c r="S17" s="52" t="s">
        <v>99</v>
      </c>
      <c r="T17" s="52" t="s">
        <v>100</v>
      </c>
      <c r="U17" s="57" t="s">
        <v>755</v>
      </c>
      <c r="V17" s="146" t="s">
        <v>1614</v>
      </c>
      <c r="W17" s="51" t="s">
        <v>1583</v>
      </c>
      <c r="X17" s="130" t="s">
        <v>1615</v>
      </c>
      <c r="Y17" s="130" t="s">
        <v>1429</v>
      </c>
      <c r="Z17" s="51" t="s">
        <v>1585</v>
      </c>
      <c r="AA17" s="146" t="s">
        <v>1600</v>
      </c>
      <c r="AB17" s="51" t="s">
        <v>1435</v>
      </c>
      <c r="AC17" s="51" t="s">
        <v>1587</v>
      </c>
      <c r="AD17" s="59" t="str">
        <f t="shared" si="0"/>
        <v>GPIO_PC0</v>
      </c>
      <c r="AE17" s="66"/>
      <c r="AF17" s="61" t="str">
        <f t="shared" si="1"/>
        <v>PULL_UP</v>
      </c>
      <c r="AG17" s="61" t="str">
        <f t="shared" si="5"/>
        <v>TRISTATE</v>
      </c>
      <c r="AH17" s="61" t="str">
        <f t="shared" si="2"/>
        <v>ENABLE</v>
      </c>
      <c r="AI17" s="67" t="str">
        <f t="shared" si="3"/>
        <v/>
      </c>
      <c r="AJ17" s="176" t="b">
        <v>1</v>
      </c>
      <c r="AK17" s="176" t="b">
        <v>1</v>
      </c>
      <c r="AL17" s="176" t="b">
        <v>1</v>
      </c>
      <c r="AM17" s="176" t="b">
        <v>1</v>
      </c>
      <c r="AN17" s="176" t="b">
        <v>1</v>
      </c>
      <c r="AO17" s="176" t="b">
        <v>1</v>
      </c>
      <c r="AP17" s="64" t="str">
        <f t="shared" si="4"/>
        <v>VALID</v>
      </c>
      <c r="AQ17" s="211" t="s">
        <v>1613</v>
      </c>
      <c r="AR17" s="182" t="s">
        <v>3496</v>
      </c>
      <c r="AS17" s="181" t="s">
        <v>3497</v>
      </c>
      <c r="AT17" s="181" t="s">
        <v>3499</v>
      </c>
      <c r="AU17" s="5"/>
      <c r="AV17" s="5"/>
      <c r="AW17" s="181" t="s">
        <v>125</v>
      </c>
      <c r="AX17" s="284"/>
      <c r="AY17" s="181"/>
      <c r="AZ17" s="181"/>
      <c r="BA17" s="7"/>
      <c r="BB17" s="212"/>
      <c r="BC17" s="10" t="s">
        <v>3509</v>
      </c>
      <c r="BD17" s="240"/>
      <c r="BE17" s="239"/>
      <c r="BF17" s="239"/>
      <c r="BG17" s="239"/>
      <c r="BH17" s="239"/>
      <c r="BI17" s="239"/>
      <c r="BJ17" s="239"/>
      <c r="BK17" s="239"/>
      <c r="BL17" s="239"/>
      <c r="BM17" s="239"/>
      <c r="BN17" s="239"/>
      <c r="BO17" s="239"/>
      <c r="BP17" s="239"/>
      <c r="BQ17" s="239"/>
      <c r="BR17" s="239"/>
      <c r="BS17" s="239"/>
      <c r="BT17" s="239"/>
      <c r="BU17" s="239"/>
      <c r="BV17" s="239"/>
      <c r="BW17" s="239"/>
      <c r="BX17" s="239"/>
      <c r="BY17" s="239"/>
      <c r="BZ17" s="239"/>
      <c r="CA17" s="239"/>
      <c r="CB17" s="239"/>
      <c r="CC17" s="239"/>
      <c r="CD17" s="239"/>
      <c r="CE17" s="239"/>
    </row>
    <row r="18" spans="1:83" ht="12.95" customHeight="1">
      <c r="A18" s="21" t="s">
        <v>3313</v>
      </c>
      <c r="B18" s="21" t="s">
        <v>2372</v>
      </c>
      <c r="C18" s="51" t="s">
        <v>13</v>
      </c>
      <c r="D18" s="52" t="s">
        <v>1616</v>
      </c>
      <c r="E18" s="52" t="s">
        <v>1617</v>
      </c>
      <c r="F18" s="53" t="s">
        <v>110</v>
      </c>
      <c r="G18" s="179"/>
      <c r="H18" s="180" t="s">
        <v>1484</v>
      </c>
      <c r="I18" s="55" t="s">
        <v>1429</v>
      </c>
      <c r="J18" s="55" t="s">
        <v>1429</v>
      </c>
      <c r="K18" s="56" t="s">
        <v>1429</v>
      </c>
      <c r="L18" s="54" t="s">
        <v>1580</v>
      </c>
      <c r="M18" s="55" t="s">
        <v>1580</v>
      </c>
      <c r="N18" s="55" t="s">
        <v>1429</v>
      </c>
      <c r="O18" s="55" t="s">
        <v>1429</v>
      </c>
      <c r="P18" s="56" t="s">
        <v>1429</v>
      </c>
      <c r="Q18" s="52" t="s">
        <v>115</v>
      </c>
      <c r="R18" s="52" t="s">
        <v>113</v>
      </c>
      <c r="S18" s="52" t="s">
        <v>99</v>
      </c>
      <c r="T18" s="52" t="s">
        <v>100</v>
      </c>
      <c r="U18" s="57" t="s">
        <v>113</v>
      </c>
      <c r="V18" s="146" t="s">
        <v>1618</v>
      </c>
      <c r="W18" s="51" t="s">
        <v>1583</v>
      </c>
      <c r="X18" s="130" t="s">
        <v>1429</v>
      </c>
      <c r="Y18" s="130" t="s">
        <v>1429</v>
      </c>
      <c r="Z18" s="51" t="s">
        <v>1585</v>
      </c>
      <c r="AA18" s="51" t="s">
        <v>1586</v>
      </c>
      <c r="AB18" s="51" t="s">
        <v>1435</v>
      </c>
      <c r="AC18" s="51" t="s">
        <v>1587</v>
      </c>
      <c r="AD18" s="59" t="str">
        <f t="shared" si="0"/>
        <v>I2S2</v>
      </c>
      <c r="AE18" s="66"/>
      <c r="AF18" s="61" t="str">
        <f t="shared" si="1"/>
        <v>NORMAL</v>
      </c>
      <c r="AG18" s="61" t="str">
        <f t="shared" si="5"/>
        <v>NORMAL</v>
      </c>
      <c r="AH18" s="61" t="str">
        <f t="shared" si="2"/>
        <v>DISABLE</v>
      </c>
      <c r="AI18" s="67" t="str">
        <f t="shared" si="3"/>
        <v>N/A</v>
      </c>
      <c r="AJ18" s="176" t="b">
        <v>1</v>
      </c>
      <c r="AK18" s="176" t="b">
        <v>1</v>
      </c>
      <c r="AL18" s="176" t="b">
        <v>1</v>
      </c>
      <c r="AM18" s="176" t="b">
        <v>1</v>
      </c>
      <c r="AN18" s="176" t="b">
        <v>1</v>
      </c>
      <c r="AO18" s="176" t="b">
        <v>1</v>
      </c>
      <c r="AP18" s="64" t="str">
        <f t="shared" si="4"/>
        <v>VALID</v>
      </c>
      <c r="AQ18" s="211" t="s">
        <v>1484</v>
      </c>
      <c r="AR18" s="182" t="s">
        <v>3495</v>
      </c>
      <c r="AS18" s="181"/>
      <c r="AT18" s="5"/>
      <c r="AU18" s="5"/>
      <c r="AV18" s="5"/>
      <c r="AW18" s="181" t="s">
        <v>125</v>
      </c>
      <c r="AX18" s="284"/>
      <c r="AY18" s="181"/>
      <c r="AZ18" s="181"/>
      <c r="BA18" s="7"/>
      <c r="BB18" s="212"/>
      <c r="BC18" s="10" t="s">
        <v>3677</v>
      </c>
      <c r="BD18" s="238"/>
      <c r="BE18" s="239"/>
      <c r="BF18" s="239"/>
      <c r="BG18" s="239"/>
      <c r="BH18" s="239"/>
      <c r="BI18" s="239"/>
      <c r="BJ18" s="239"/>
      <c r="BK18" s="239"/>
      <c r="BL18" s="239"/>
      <c r="BM18" s="239"/>
      <c r="BN18" s="239"/>
      <c r="BO18" s="239"/>
      <c r="BP18" s="239"/>
      <c r="BQ18" s="239"/>
      <c r="BR18" s="239"/>
      <c r="BS18" s="239"/>
      <c r="BT18" s="239"/>
      <c r="BU18" s="239"/>
      <c r="BV18" s="239"/>
      <c r="BW18" s="239"/>
      <c r="BX18" s="239"/>
      <c r="BY18" s="239"/>
      <c r="BZ18" s="239"/>
      <c r="CA18" s="239"/>
      <c r="CB18" s="239"/>
      <c r="CC18" s="239"/>
      <c r="CD18" s="239"/>
      <c r="CE18" s="239"/>
    </row>
    <row r="19" spans="1:83" ht="12.95" customHeight="1">
      <c r="A19" s="21" t="s">
        <v>3314</v>
      </c>
      <c r="B19" s="21" t="s">
        <v>2349</v>
      </c>
      <c r="C19" s="51" t="s">
        <v>11</v>
      </c>
      <c r="D19" s="52" t="s">
        <v>1619</v>
      </c>
      <c r="E19" s="52" t="s">
        <v>1620</v>
      </c>
      <c r="F19" s="53" t="s">
        <v>108</v>
      </c>
      <c r="G19" s="179"/>
      <c r="H19" s="180" t="s">
        <v>1485</v>
      </c>
      <c r="I19" s="55" t="s">
        <v>1429</v>
      </c>
      <c r="J19" s="55" t="s">
        <v>1429</v>
      </c>
      <c r="K19" s="56" t="s">
        <v>1429</v>
      </c>
      <c r="L19" s="54" t="s">
        <v>1580</v>
      </c>
      <c r="M19" s="55" t="s">
        <v>1580</v>
      </c>
      <c r="N19" s="55" t="s">
        <v>1429</v>
      </c>
      <c r="O19" s="55" t="s">
        <v>1429</v>
      </c>
      <c r="P19" s="56" t="s">
        <v>1429</v>
      </c>
      <c r="Q19" s="52" t="s">
        <v>115</v>
      </c>
      <c r="R19" s="52" t="s">
        <v>113</v>
      </c>
      <c r="S19" s="52" t="s">
        <v>99</v>
      </c>
      <c r="T19" s="52" t="s">
        <v>100</v>
      </c>
      <c r="U19" s="57" t="s">
        <v>113</v>
      </c>
      <c r="V19" s="146" t="s">
        <v>1621</v>
      </c>
      <c r="W19" s="51" t="s">
        <v>1583</v>
      </c>
      <c r="X19" s="130" t="s">
        <v>1429</v>
      </c>
      <c r="Y19" s="130" t="s">
        <v>1429</v>
      </c>
      <c r="Z19" s="51" t="s">
        <v>1585</v>
      </c>
      <c r="AA19" s="51" t="s">
        <v>1586</v>
      </c>
      <c r="AB19" s="51" t="s">
        <v>1435</v>
      </c>
      <c r="AC19" s="51" t="s">
        <v>1587</v>
      </c>
      <c r="AD19" s="59" t="str">
        <f t="shared" si="0"/>
        <v>I2S2</v>
      </c>
      <c r="AE19" s="66"/>
      <c r="AF19" s="61" t="str">
        <f t="shared" si="1"/>
        <v>NORMAL</v>
      </c>
      <c r="AG19" s="61" t="str">
        <f t="shared" si="5"/>
        <v>NORMAL</v>
      </c>
      <c r="AH19" s="61" t="str">
        <f t="shared" si="2"/>
        <v>DISABLE</v>
      </c>
      <c r="AI19" s="67" t="str">
        <f t="shared" si="3"/>
        <v>N/A</v>
      </c>
      <c r="AJ19" s="176" t="b">
        <v>1</v>
      </c>
      <c r="AK19" s="176" t="b">
        <v>1</v>
      </c>
      <c r="AL19" s="176" t="b">
        <v>1</v>
      </c>
      <c r="AM19" s="176" t="b">
        <v>1</v>
      </c>
      <c r="AN19" s="176" t="b">
        <v>1</v>
      </c>
      <c r="AO19" s="176" t="b">
        <v>1</v>
      </c>
      <c r="AP19" s="64" t="str">
        <f t="shared" si="4"/>
        <v>VALID</v>
      </c>
      <c r="AQ19" s="211" t="s">
        <v>1485</v>
      </c>
      <c r="AR19" s="182" t="s">
        <v>3495</v>
      </c>
      <c r="AS19" s="181"/>
      <c r="AT19" s="5"/>
      <c r="AU19" s="5"/>
      <c r="AV19" s="5"/>
      <c r="AW19" s="181" t="s">
        <v>125</v>
      </c>
      <c r="AX19" s="284"/>
      <c r="AY19" s="181"/>
      <c r="AZ19" s="181"/>
      <c r="BA19" s="7"/>
      <c r="BB19" s="212"/>
      <c r="BC19" s="10" t="s">
        <v>3678</v>
      </c>
      <c r="BD19" s="238"/>
      <c r="BE19" s="239"/>
      <c r="BF19" s="239"/>
      <c r="BG19" s="239"/>
      <c r="BH19" s="239"/>
      <c r="BI19" s="239"/>
      <c r="BJ19" s="239"/>
      <c r="BK19" s="239"/>
      <c r="BL19" s="239"/>
      <c r="BM19" s="239"/>
      <c r="BN19" s="239"/>
      <c r="BO19" s="239"/>
      <c r="BP19" s="239"/>
      <c r="BQ19" s="239"/>
      <c r="BR19" s="239"/>
      <c r="BS19" s="239"/>
      <c r="BT19" s="239"/>
      <c r="BU19" s="239"/>
      <c r="BV19" s="239"/>
      <c r="BW19" s="239"/>
      <c r="BX19" s="239"/>
      <c r="BY19" s="239"/>
      <c r="BZ19" s="239"/>
      <c r="CA19" s="239"/>
      <c r="CB19" s="239"/>
      <c r="CC19" s="239"/>
      <c r="CD19" s="239"/>
      <c r="CE19" s="239"/>
    </row>
    <row r="20" spans="1:83" ht="12.95" customHeight="1">
      <c r="A20" s="21" t="s">
        <v>3316</v>
      </c>
      <c r="B20" s="21" t="s">
        <v>2367</v>
      </c>
      <c r="C20" s="51" t="s">
        <v>10</v>
      </c>
      <c r="D20" s="52" t="s">
        <v>1622</v>
      </c>
      <c r="E20" s="52" t="s">
        <v>1623</v>
      </c>
      <c r="F20" s="53" t="s">
        <v>107</v>
      </c>
      <c r="G20" s="179"/>
      <c r="H20" s="180" t="s">
        <v>1486</v>
      </c>
      <c r="I20" s="55" t="s">
        <v>1429</v>
      </c>
      <c r="J20" s="55" t="s">
        <v>1429</v>
      </c>
      <c r="K20" s="56" t="s">
        <v>1429</v>
      </c>
      <c r="L20" s="54" t="s">
        <v>1580</v>
      </c>
      <c r="M20" s="55" t="s">
        <v>1590</v>
      </c>
      <c r="N20" s="55" t="s">
        <v>1429</v>
      </c>
      <c r="O20" s="55" t="s">
        <v>1429</v>
      </c>
      <c r="P20" s="56" t="s">
        <v>1429</v>
      </c>
      <c r="Q20" s="52" t="s">
        <v>115</v>
      </c>
      <c r="R20" s="52" t="s">
        <v>113</v>
      </c>
      <c r="S20" s="52" t="s">
        <v>99</v>
      </c>
      <c r="T20" s="52" t="s">
        <v>100</v>
      </c>
      <c r="U20" s="57" t="s">
        <v>113</v>
      </c>
      <c r="V20" s="146" t="s">
        <v>1624</v>
      </c>
      <c r="W20" s="51" t="s">
        <v>1583</v>
      </c>
      <c r="X20" s="130" t="s">
        <v>1429</v>
      </c>
      <c r="Y20" s="130" t="s">
        <v>1429</v>
      </c>
      <c r="Z20" s="51" t="s">
        <v>1585</v>
      </c>
      <c r="AA20" s="51" t="s">
        <v>1586</v>
      </c>
      <c r="AB20" s="51" t="s">
        <v>1435</v>
      </c>
      <c r="AC20" s="51" t="s">
        <v>1587</v>
      </c>
      <c r="AD20" s="59" t="str">
        <f t="shared" si="0"/>
        <v>I2S2</v>
      </c>
      <c r="AE20" s="66"/>
      <c r="AF20" s="61" t="str">
        <f t="shared" si="1"/>
        <v>PULL_UP</v>
      </c>
      <c r="AG20" s="61" t="str">
        <f t="shared" si="5"/>
        <v>TRISTATE</v>
      </c>
      <c r="AH20" s="61" t="str">
        <f t="shared" si="2"/>
        <v>ENABLE</v>
      </c>
      <c r="AI20" s="67" t="str">
        <f t="shared" si="3"/>
        <v>N/A</v>
      </c>
      <c r="AJ20" s="176" t="b">
        <v>1</v>
      </c>
      <c r="AK20" s="176" t="b">
        <v>1</v>
      </c>
      <c r="AL20" s="176" t="b">
        <v>1</v>
      </c>
      <c r="AM20" s="176" t="b">
        <v>1</v>
      </c>
      <c r="AN20" s="176" t="b">
        <v>1</v>
      </c>
      <c r="AO20" s="176" t="b">
        <v>1</v>
      </c>
      <c r="AP20" s="64" t="str">
        <f t="shared" si="4"/>
        <v>VALID</v>
      </c>
      <c r="AQ20" s="211" t="s">
        <v>1486</v>
      </c>
      <c r="AR20" s="182" t="s">
        <v>3496</v>
      </c>
      <c r="AS20" s="181" t="s">
        <v>3497</v>
      </c>
      <c r="AT20" s="5"/>
      <c r="AU20" s="5"/>
      <c r="AV20" s="5"/>
      <c r="AW20" s="181" t="s">
        <v>125</v>
      </c>
      <c r="AX20" s="284"/>
      <c r="AY20" s="181"/>
      <c r="AZ20" s="181"/>
      <c r="BA20" s="7"/>
      <c r="BB20" s="212"/>
      <c r="BC20" s="10" t="s">
        <v>3679</v>
      </c>
      <c r="BD20" s="238"/>
      <c r="BE20" s="239"/>
      <c r="BF20" s="239"/>
      <c r="BG20" s="239"/>
      <c r="BH20" s="239"/>
      <c r="BI20" s="239"/>
      <c r="BJ20" s="239"/>
      <c r="BK20" s="239"/>
      <c r="BL20" s="239"/>
      <c r="BM20" s="239"/>
      <c r="BN20" s="239"/>
      <c r="BO20" s="239"/>
      <c r="BP20" s="239"/>
      <c r="BQ20" s="239"/>
      <c r="BR20" s="239"/>
      <c r="BS20" s="239"/>
      <c r="BT20" s="239"/>
      <c r="BU20" s="239"/>
      <c r="BV20" s="239"/>
      <c r="BW20" s="239"/>
      <c r="BX20" s="239"/>
      <c r="BY20" s="239"/>
      <c r="BZ20" s="239"/>
      <c r="CA20" s="239"/>
      <c r="CB20" s="239"/>
      <c r="CC20" s="239"/>
      <c r="CD20" s="239"/>
      <c r="CE20" s="239"/>
    </row>
    <row r="21" spans="1:83" ht="12.95" customHeight="1">
      <c r="A21" s="21" t="s">
        <v>3315</v>
      </c>
      <c r="B21" s="21" t="s">
        <v>2422</v>
      </c>
      <c r="C21" s="51" t="s">
        <v>12</v>
      </c>
      <c r="D21" s="52" t="s">
        <v>1625</v>
      </c>
      <c r="E21" s="52" t="s">
        <v>1626</v>
      </c>
      <c r="F21" s="53" t="s">
        <v>109</v>
      </c>
      <c r="G21" s="179"/>
      <c r="H21" s="180" t="s">
        <v>1487</v>
      </c>
      <c r="I21" s="55" t="s">
        <v>1429</v>
      </c>
      <c r="J21" s="55" t="s">
        <v>1429</v>
      </c>
      <c r="K21" s="56" t="s">
        <v>1429</v>
      </c>
      <c r="L21" s="54" t="s">
        <v>1580</v>
      </c>
      <c r="M21" s="55" t="s">
        <v>1580</v>
      </c>
      <c r="N21" s="55" t="s">
        <v>1429</v>
      </c>
      <c r="O21" s="55" t="s">
        <v>1429</v>
      </c>
      <c r="P21" s="56" t="s">
        <v>1429</v>
      </c>
      <c r="Q21" s="52" t="s">
        <v>115</v>
      </c>
      <c r="R21" s="52" t="s">
        <v>113</v>
      </c>
      <c r="S21" s="52" t="s">
        <v>99</v>
      </c>
      <c r="T21" s="52" t="s">
        <v>100</v>
      </c>
      <c r="U21" s="57" t="s">
        <v>113</v>
      </c>
      <c r="V21" s="146" t="s">
        <v>1627</v>
      </c>
      <c r="W21" s="51" t="s">
        <v>1583</v>
      </c>
      <c r="X21" s="130" t="s">
        <v>1429</v>
      </c>
      <c r="Y21" s="130" t="s">
        <v>1429</v>
      </c>
      <c r="Z21" s="51" t="s">
        <v>1585</v>
      </c>
      <c r="AA21" s="51" t="s">
        <v>1586</v>
      </c>
      <c r="AB21" s="51" t="s">
        <v>1435</v>
      </c>
      <c r="AC21" s="51" t="s">
        <v>1587</v>
      </c>
      <c r="AD21" s="59" t="str">
        <f t="shared" si="0"/>
        <v>I2S2</v>
      </c>
      <c r="AE21" s="66"/>
      <c r="AF21" s="61" t="str">
        <f t="shared" si="1"/>
        <v>NORMAL</v>
      </c>
      <c r="AG21" s="61" t="str">
        <f t="shared" si="5"/>
        <v>NORMAL</v>
      </c>
      <c r="AH21" s="61" t="str">
        <f t="shared" si="2"/>
        <v>DISABLE</v>
      </c>
      <c r="AI21" s="67" t="str">
        <f t="shared" si="3"/>
        <v>N/A</v>
      </c>
      <c r="AJ21" s="176" t="b">
        <v>1</v>
      </c>
      <c r="AK21" s="176" t="b">
        <v>1</v>
      </c>
      <c r="AL21" s="176" t="b">
        <v>1</v>
      </c>
      <c r="AM21" s="176" t="b">
        <v>1</v>
      </c>
      <c r="AN21" s="176" t="b">
        <v>1</v>
      </c>
      <c r="AO21" s="176" t="b">
        <v>1</v>
      </c>
      <c r="AP21" s="64" t="str">
        <f t="shared" si="4"/>
        <v>VALID</v>
      </c>
      <c r="AQ21" s="211" t="s">
        <v>1487</v>
      </c>
      <c r="AR21" s="182" t="s">
        <v>3495</v>
      </c>
      <c r="AS21" s="181"/>
      <c r="AT21" s="5"/>
      <c r="AU21" s="5"/>
      <c r="AV21" s="5"/>
      <c r="AW21" s="181" t="s">
        <v>125</v>
      </c>
      <c r="AX21" s="284"/>
      <c r="AY21" s="181"/>
      <c r="AZ21" s="181"/>
      <c r="BA21" s="7"/>
      <c r="BB21" s="212"/>
      <c r="BC21" s="10" t="s">
        <v>3680</v>
      </c>
      <c r="BD21" s="238"/>
      <c r="BE21" s="239"/>
      <c r="BF21" s="239"/>
      <c r="BG21" s="239"/>
      <c r="BH21" s="239"/>
      <c r="BI21" s="239"/>
      <c r="BJ21" s="239"/>
      <c r="BK21" s="239"/>
      <c r="BL21" s="239"/>
      <c r="BM21" s="239"/>
      <c r="BN21" s="239"/>
      <c r="BO21" s="239"/>
      <c r="BP21" s="239"/>
      <c r="BQ21" s="239"/>
      <c r="BR21" s="239"/>
      <c r="BS21" s="239"/>
      <c r="BT21" s="239"/>
      <c r="BU21" s="239"/>
      <c r="BV21" s="239"/>
      <c r="BW21" s="239"/>
      <c r="BX21" s="239"/>
      <c r="BY21" s="239"/>
      <c r="BZ21" s="239"/>
      <c r="CA21" s="239"/>
      <c r="CB21" s="239"/>
      <c r="CC21" s="239"/>
      <c r="CD21" s="239"/>
      <c r="CE21" s="239"/>
    </row>
    <row r="22" spans="1:83" ht="12.95" customHeight="1">
      <c r="A22" s="21" t="s">
        <v>3317</v>
      </c>
      <c r="B22" s="21" t="s">
        <v>1883</v>
      </c>
      <c r="C22" s="51" t="s">
        <v>40</v>
      </c>
      <c r="D22" s="52" t="s">
        <v>1628</v>
      </c>
      <c r="E22" s="52" t="s">
        <v>1629</v>
      </c>
      <c r="F22" s="53" t="s">
        <v>163</v>
      </c>
      <c r="G22" s="179"/>
      <c r="H22" s="180" t="s">
        <v>1488</v>
      </c>
      <c r="I22" s="55" t="s">
        <v>1429</v>
      </c>
      <c r="J22" s="55" t="s">
        <v>1429</v>
      </c>
      <c r="K22" s="56" t="s">
        <v>1429</v>
      </c>
      <c r="L22" s="54" t="s">
        <v>1580</v>
      </c>
      <c r="M22" s="55" t="s">
        <v>1580</v>
      </c>
      <c r="N22" s="55" t="s">
        <v>1429</v>
      </c>
      <c r="O22" s="55" t="s">
        <v>1429</v>
      </c>
      <c r="P22" s="56" t="s">
        <v>1429</v>
      </c>
      <c r="Q22" s="52" t="s">
        <v>114</v>
      </c>
      <c r="R22" s="52" t="s">
        <v>113</v>
      </c>
      <c r="S22" s="52" t="s">
        <v>99</v>
      </c>
      <c r="T22" s="52" t="s">
        <v>100</v>
      </c>
      <c r="U22" s="57" t="s">
        <v>113</v>
      </c>
      <c r="V22" s="146" t="s">
        <v>1630</v>
      </c>
      <c r="W22" s="51" t="s">
        <v>1583</v>
      </c>
      <c r="X22" s="130" t="s">
        <v>1429</v>
      </c>
      <c r="Y22" s="130" t="s">
        <v>1429</v>
      </c>
      <c r="Z22" s="51" t="s">
        <v>1631</v>
      </c>
      <c r="AA22" s="51" t="s">
        <v>1632</v>
      </c>
      <c r="AB22" s="51" t="s">
        <v>1435</v>
      </c>
      <c r="AC22" s="51" t="s">
        <v>1633</v>
      </c>
      <c r="AD22" s="59" t="str">
        <f t="shared" si="0"/>
        <v>I2C1</v>
      </c>
      <c r="AE22" s="66"/>
      <c r="AF22" s="61" t="str">
        <f t="shared" si="1"/>
        <v>NORMAL</v>
      </c>
      <c r="AG22" s="61" t="str">
        <f t="shared" si="5"/>
        <v>NORMAL</v>
      </c>
      <c r="AH22" s="61" t="str">
        <f t="shared" si="2"/>
        <v>ENABLE</v>
      </c>
      <c r="AI22" s="67" t="str">
        <f t="shared" si="3"/>
        <v>N/A</v>
      </c>
      <c r="AJ22" s="176" t="b">
        <v>1</v>
      </c>
      <c r="AK22" s="176" t="b">
        <v>1</v>
      </c>
      <c r="AL22" s="176" t="b">
        <v>1</v>
      </c>
      <c r="AM22" s="176" t="b">
        <v>1</v>
      </c>
      <c r="AN22" s="176" t="b">
        <v>1</v>
      </c>
      <c r="AO22" s="176" t="b">
        <v>1</v>
      </c>
      <c r="AP22" s="64" t="str">
        <f t="shared" si="4"/>
        <v>VALID</v>
      </c>
      <c r="AQ22" s="211" t="s">
        <v>1488</v>
      </c>
      <c r="AR22" s="182" t="s">
        <v>3501</v>
      </c>
      <c r="AS22" s="181"/>
      <c r="AT22" s="5"/>
      <c r="AU22" s="5"/>
      <c r="AV22" s="200" t="s">
        <v>3502</v>
      </c>
      <c r="AW22" s="181" t="s">
        <v>125</v>
      </c>
      <c r="AX22" s="284"/>
      <c r="AY22" s="181" t="s">
        <v>67</v>
      </c>
      <c r="AZ22" s="181"/>
      <c r="BA22" s="7"/>
      <c r="BB22" s="212"/>
      <c r="BC22" s="10" t="s">
        <v>3681</v>
      </c>
      <c r="BD22" s="238"/>
      <c r="BE22" s="239"/>
      <c r="BF22" s="239"/>
      <c r="BG22" s="239"/>
      <c r="BH22" s="239"/>
      <c r="BI22" s="239"/>
      <c r="BJ22" s="239"/>
      <c r="BK22" s="239"/>
      <c r="BL22" s="239"/>
      <c r="BM22" s="239"/>
      <c r="BN22" s="239"/>
      <c r="BO22" s="239"/>
      <c r="BP22" s="239"/>
      <c r="BQ22" s="239"/>
      <c r="BR22" s="239"/>
      <c r="BS22" s="239"/>
      <c r="BT22" s="239"/>
      <c r="BU22" s="239"/>
      <c r="BV22" s="239"/>
      <c r="BW22" s="239"/>
      <c r="BX22" s="239"/>
      <c r="BY22" s="239"/>
      <c r="BZ22" s="239"/>
      <c r="CA22" s="239"/>
      <c r="CB22" s="239"/>
      <c r="CC22" s="239"/>
      <c r="CD22" s="239"/>
      <c r="CE22" s="239"/>
    </row>
    <row r="23" spans="1:83" ht="12.95" customHeight="1">
      <c r="A23" s="21" t="s">
        <v>3318</v>
      </c>
      <c r="B23" s="21" t="s">
        <v>1877</v>
      </c>
      <c r="C23" s="51" t="s">
        <v>41</v>
      </c>
      <c r="D23" s="52" t="s">
        <v>1589</v>
      </c>
      <c r="E23" s="52" t="s">
        <v>1634</v>
      </c>
      <c r="F23" s="53" t="s">
        <v>164</v>
      </c>
      <c r="G23" s="179"/>
      <c r="H23" s="180" t="s">
        <v>1489</v>
      </c>
      <c r="I23" s="55" t="s">
        <v>1429</v>
      </c>
      <c r="J23" s="55" t="s">
        <v>1429</v>
      </c>
      <c r="K23" s="56" t="s">
        <v>1429</v>
      </c>
      <c r="L23" s="54" t="s">
        <v>1580</v>
      </c>
      <c r="M23" s="55" t="s">
        <v>1580</v>
      </c>
      <c r="N23" s="55" t="s">
        <v>1429</v>
      </c>
      <c r="O23" s="55" t="s">
        <v>1429</v>
      </c>
      <c r="P23" s="56" t="s">
        <v>1429</v>
      </c>
      <c r="Q23" s="52" t="s">
        <v>114</v>
      </c>
      <c r="R23" s="52" t="s">
        <v>113</v>
      </c>
      <c r="S23" s="52" t="s">
        <v>99</v>
      </c>
      <c r="T23" s="52" t="s">
        <v>100</v>
      </c>
      <c r="U23" s="57" t="s">
        <v>113</v>
      </c>
      <c r="V23" s="189" t="s">
        <v>1635</v>
      </c>
      <c r="W23" s="51" t="s">
        <v>1583</v>
      </c>
      <c r="X23" s="130" t="s">
        <v>1636</v>
      </c>
      <c r="Y23" s="130" t="s">
        <v>1429</v>
      </c>
      <c r="Z23" s="51" t="s">
        <v>1631</v>
      </c>
      <c r="AA23" s="51" t="s">
        <v>1632</v>
      </c>
      <c r="AB23" s="51" t="s">
        <v>1435</v>
      </c>
      <c r="AC23" s="51" t="s">
        <v>1633</v>
      </c>
      <c r="AD23" s="59" t="str">
        <f t="shared" si="0"/>
        <v>I2C1</v>
      </c>
      <c r="AE23" s="66"/>
      <c r="AF23" s="61" t="str">
        <f t="shared" si="1"/>
        <v>NORMAL</v>
      </c>
      <c r="AG23" s="61" t="str">
        <f t="shared" si="5"/>
        <v>NORMAL</v>
      </c>
      <c r="AH23" s="61" t="str">
        <f t="shared" si="2"/>
        <v>ENABLE</v>
      </c>
      <c r="AI23" s="67" t="str">
        <f t="shared" si="3"/>
        <v>N/A</v>
      </c>
      <c r="AJ23" s="176" t="b">
        <v>1</v>
      </c>
      <c r="AK23" s="176" t="b">
        <v>1</v>
      </c>
      <c r="AL23" s="176" t="b">
        <v>1</v>
      </c>
      <c r="AM23" s="176" t="b">
        <v>1</v>
      </c>
      <c r="AN23" s="176" t="b">
        <v>1</v>
      </c>
      <c r="AO23" s="176" t="b">
        <v>1</v>
      </c>
      <c r="AP23" s="64" t="str">
        <f t="shared" si="4"/>
        <v>VALID</v>
      </c>
      <c r="AQ23" s="211" t="s">
        <v>1489</v>
      </c>
      <c r="AR23" s="182" t="s">
        <v>3501</v>
      </c>
      <c r="AS23" s="181"/>
      <c r="AT23" s="181" t="s">
        <v>104</v>
      </c>
      <c r="AU23" s="5"/>
      <c r="AV23" s="181" t="s">
        <v>3502</v>
      </c>
      <c r="AW23" s="181" t="s">
        <v>125</v>
      </c>
      <c r="AX23" s="284"/>
      <c r="AY23" s="181" t="s">
        <v>67</v>
      </c>
      <c r="AZ23" s="181"/>
      <c r="BA23" s="7"/>
      <c r="BB23" s="212"/>
      <c r="BC23" s="10" t="s">
        <v>3682</v>
      </c>
      <c r="BD23" s="238"/>
      <c r="BE23" s="239"/>
      <c r="BF23" s="239"/>
      <c r="BG23" s="239"/>
      <c r="BH23" s="239"/>
      <c r="BI23" s="239"/>
      <c r="BJ23" s="239"/>
      <c r="BK23" s="239"/>
      <c r="BL23" s="239"/>
      <c r="BM23" s="239"/>
      <c r="BN23" s="239"/>
      <c r="BO23" s="239"/>
      <c r="BP23" s="239"/>
      <c r="BQ23" s="239"/>
      <c r="BR23" s="239"/>
      <c r="BS23" s="239"/>
      <c r="BT23" s="239"/>
      <c r="BU23" s="239"/>
      <c r="BV23" s="239"/>
      <c r="BW23" s="239"/>
      <c r="BX23" s="239"/>
      <c r="BY23" s="239"/>
      <c r="BZ23" s="239"/>
      <c r="CA23" s="239"/>
      <c r="CB23" s="239"/>
      <c r="CC23" s="239"/>
      <c r="CD23" s="239"/>
      <c r="CE23" s="239"/>
    </row>
    <row r="24" spans="1:83" s="50" customFormat="1" ht="18" customHeight="1">
      <c r="A24" s="44" t="s">
        <v>51</v>
      </c>
      <c r="B24" s="44"/>
      <c r="C24" s="44"/>
      <c r="D24" s="45"/>
      <c r="E24" s="45"/>
      <c r="F24" s="45"/>
      <c r="G24" s="46"/>
      <c r="H24" s="46"/>
      <c r="I24" s="46"/>
      <c r="J24" s="46"/>
      <c r="K24" s="46"/>
      <c r="L24" s="45"/>
      <c r="M24" s="45"/>
      <c r="N24" s="45"/>
      <c r="O24" s="45"/>
      <c r="P24" s="45"/>
      <c r="Q24" s="45"/>
      <c r="R24" s="45"/>
      <c r="S24" s="45"/>
      <c r="T24" s="45"/>
      <c r="U24" s="45"/>
      <c r="V24" s="45"/>
      <c r="W24" s="45"/>
      <c r="X24" s="129"/>
      <c r="Y24" s="129"/>
      <c r="Z24" s="47"/>
      <c r="AA24" s="47"/>
      <c r="AB24" s="47"/>
      <c r="AC24" s="47"/>
      <c r="AD24" s="47"/>
      <c r="AE24" s="47"/>
      <c r="AF24" s="47"/>
      <c r="AG24" s="47"/>
      <c r="AH24" s="47"/>
      <c r="AI24" s="47"/>
      <c r="AJ24" s="47"/>
      <c r="AK24" s="47"/>
      <c r="AL24" s="47"/>
      <c r="AM24" s="47"/>
      <c r="AN24" s="47"/>
      <c r="AO24" s="47"/>
      <c r="AP24" s="47"/>
      <c r="AQ24" s="72"/>
      <c r="AR24" s="72"/>
      <c r="AS24" s="241"/>
      <c r="AT24" s="241"/>
      <c r="AU24" s="241"/>
      <c r="AV24" s="241"/>
      <c r="AW24" s="241"/>
      <c r="AX24" s="285"/>
      <c r="AY24" s="241"/>
      <c r="AZ24" s="241"/>
      <c r="BA24" s="241"/>
      <c r="BB24" s="168" t="s">
        <v>49</v>
      </c>
      <c r="BC24" s="241"/>
      <c r="BD24" s="242"/>
      <c r="BE24" s="308"/>
      <c r="BF24" s="243"/>
      <c r="BG24" s="243"/>
      <c r="BH24" s="243"/>
      <c r="BI24" s="243"/>
      <c r="BJ24" s="243"/>
      <c r="BK24" s="243"/>
      <c r="BL24" s="243"/>
      <c r="BM24" s="243"/>
      <c r="BN24" s="243"/>
      <c r="BO24" s="243"/>
      <c r="BP24" s="243"/>
      <c r="BQ24" s="243"/>
      <c r="BR24" s="243"/>
      <c r="BS24" s="243"/>
      <c r="BT24" s="243"/>
      <c r="BU24" s="243"/>
      <c r="BV24" s="243"/>
      <c r="BW24" s="243"/>
      <c r="BX24" s="243"/>
      <c r="BY24" s="243"/>
      <c r="BZ24" s="243"/>
      <c r="CA24" s="243"/>
      <c r="CB24" s="243"/>
      <c r="CC24" s="243"/>
      <c r="CD24" s="243"/>
      <c r="CE24" s="243"/>
    </row>
    <row r="25" spans="1:83" ht="12.95" customHeight="1">
      <c r="A25" s="21" t="s">
        <v>3319</v>
      </c>
      <c r="B25" s="21" t="s">
        <v>3601</v>
      </c>
      <c r="C25" s="51" t="s">
        <v>9</v>
      </c>
      <c r="D25" s="52" t="s">
        <v>1637</v>
      </c>
      <c r="E25" s="52" t="s">
        <v>1638</v>
      </c>
      <c r="F25" s="53" t="s">
        <v>740</v>
      </c>
      <c r="G25" s="179" t="s">
        <v>1639</v>
      </c>
      <c r="H25" s="180" t="s">
        <v>1490</v>
      </c>
      <c r="I25" s="55" t="s">
        <v>1429</v>
      </c>
      <c r="J25" s="55" t="s">
        <v>1429</v>
      </c>
      <c r="K25" s="56" t="s">
        <v>1429</v>
      </c>
      <c r="L25" s="54" t="s">
        <v>1580</v>
      </c>
      <c r="M25" s="55" t="s">
        <v>1580</v>
      </c>
      <c r="N25" s="55" t="s">
        <v>1429</v>
      </c>
      <c r="O25" s="55" t="s">
        <v>1429</v>
      </c>
      <c r="P25" s="56" t="s">
        <v>1429</v>
      </c>
      <c r="Q25" s="52" t="s">
        <v>106</v>
      </c>
      <c r="R25" s="52" t="s">
        <v>113</v>
      </c>
      <c r="S25" s="52" t="s">
        <v>99</v>
      </c>
      <c r="T25" s="52" t="s">
        <v>100</v>
      </c>
      <c r="U25" s="105" t="s">
        <v>113</v>
      </c>
      <c r="V25" s="145" t="s">
        <v>1640</v>
      </c>
      <c r="W25" s="51" t="s">
        <v>1641</v>
      </c>
      <c r="X25" s="130" t="s">
        <v>1429</v>
      </c>
      <c r="Y25" s="130" t="s">
        <v>1429</v>
      </c>
      <c r="Z25" s="51" t="s">
        <v>1585</v>
      </c>
      <c r="AA25" s="51" t="s">
        <v>1586</v>
      </c>
      <c r="AB25" s="51" t="s">
        <v>1435</v>
      </c>
      <c r="AC25" s="51" t="s">
        <v>1587</v>
      </c>
      <c r="AD25" s="59" t="str">
        <f t="shared" ref="AD25:AD70" si="6">IF(OR($AQ25="",$AQ25=$F25),$U25,IF($AQ25=$G25,SUBSTITUTE(SUBSTITUTE($AQ25,"GPIO3_","GPIO_"),".0",""),IF($AQ25=$H25,$Q25,IF($AQ25=$I25,$R25,IF($AQ25=$J25,$S25,IF($AQ25=$K25,$T25,"INVALID"))))))</f>
        <v>I2S1</v>
      </c>
      <c r="AE25" s="60"/>
      <c r="AF25" s="61" t="str">
        <f t="shared" ref="AF25:AF80" si="7">IF(AND(OR($AS25="Int PU",$AS25="Int PD"),OR(AND($AY25&lt;&gt;"",$AY25&lt;&gt;"0"),AND($AZ25&lt;&gt;"",$AZ25&lt;&gt;"0"))),"INVALID",IF(OR($AQ25=$F25,$AS25="Int PD"),"PULL_DOWN",IF(OR($AS25="Int PU",AND($AE25="YES",OR($AY25="",$AY25="0"),OR($AZ25="",$AZ25="0"),OR($AR25="Input",$AR25="Bidirectional"))),"PULL_UP","NORMAL")))</f>
        <v>NORMAL</v>
      </c>
      <c r="AG25" s="61" t="str">
        <f t="shared" si="5"/>
        <v>NORMAL</v>
      </c>
      <c r="AH25" s="62" t="str">
        <f t="shared" ref="AH25:AH80" si="8">IF(OR($AQ25=$F25,$AR25="Output"),"DISABLE","ENABLE")</f>
        <v>DISABLE</v>
      </c>
      <c r="AI25" s="63" t="str">
        <f>IF($AQ25&lt;&gt;$G25,"N/A",IF($AS25="Drive 1", "1", IF($AS25="Drive 0", "0", "")))</f>
        <v>N/A</v>
      </c>
      <c r="AJ25" s="176" t="b">
        <v>1</v>
      </c>
      <c r="AK25" s="176" t="b">
        <v>1</v>
      </c>
      <c r="AL25" s="176" t="b">
        <v>1</v>
      </c>
      <c r="AM25" s="176" t="b">
        <v>1</v>
      </c>
      <c r="AN25" s="176" t="b">
        <v>1</v>
      </c>
      <c r="AO25" s="176" t="b">
        <v>1</v>
      </c>
      <c r="AP25" s="64" t="str">
        <f t="shared" ref="AP25:AP33" si="9">IF(AND($AJ25:$AO25), "VALID", "INVALID")</f>
        <v>VALID</v>
      </c>
      <c r="AQ25" s="213" t="s">
        <v>1490</v>
      </c>
      <c r="AR25" s="3" t="s">
        <v>3495</v>
      </c>
      <c r="AS25" s="181"/>
      <c r="AT25" s="214"/>
      <c r="AU25" s="214"/>
      <c r="AV25" s="214"/>
      <c r="AW25" s="181" t="s">
        <v>125</v>
      </c>
      <c r="AX25" s="286"/>
      <c r="AY25" s="4"/>
      <c r="AZ25" s="4"/>
      <c r="BA25" s="12"/>
      <c r="BB25" s="216"/>
      <c r="BC25" s="15" t="s">
        <v>3683</v>
      </c>
      <c r="BD25" s="238"/>
      <c r="BE25" s="239"/>
      <c r="BF25" s="239"/>
      <c r="BG25" s="239"/>
      <c r="BH25" s="239"/>
      <c r="BI25" s="239"/>
      <c r="BJ25" s="239"/>
      <c r="BK25" s="239"/>
      <c r="BL25" s="239"/>
      <c r="BM25" s="239"/>
      <c r="BN25" s="239"/>
      <c r="BO25" s="239"/>
      <c r="BP25" s="239"/>
      <c r="BQ25" s="239"/>
      <c r="BR25" s="239"/>
      <c r="BS25" s="239"/>
      <c r="BT25" s="239"/>
      <c r="BU25" s="239"/>
      <c r="BV25" s="239"/>
      <c r="BW25" s="239"/>
      <c r="BX25" s="239"/>
      <c r="BY25" s="239"/>
      <c r="BZ25" s="239"/>
      <c r="CA25" s="239"/>
      <c r="CB25" s="239"/>
      <c r="CC25" s="239"/>
      <c r="CD25" s="239"/>
      <c r="CE25" s="239"/>
    </row>
    <row r="26" spans="1:83" ht="12.95" customHeight="1">
      <c r="A26" s="21" t="s">
        <v>3322</v>
      </c>
      <c r="B26" s="21" t="s">
        <v>2255</v>
      </c>
      <c r="C26" s="51" t="s">
        <v>7</v>
      </c>
      <c r="D26" s="52" t="s">
        <v>1642</v>
      </c>
      <c r="E26" s="52" t="s">
        <v>1643</v>
      </c>
      <c r="F26" s="53" t="s">
        <v>103</v>
      </c>
      <c r="G26" s="179" t="s">
        <v>1644</v>
      </c>
      <c r="H26" s="180" t="s">
        <v>1491</v>
      </c>
      <c r="I26" s="55" t="s">
        <v>1429</v>
      </c>
      <c r="J26" s="55" t="s">
        <v>1429</v>
      </c>
      <c r="K26" s="56" t="s">
        <v>1429</v>
      </c>
      <c r="L26" s="54" t="s">
        <v>1580</v>
      </c>
      <c r="M26" s="55" t="s">
        <v>1580</v>
      </c>
      <c r="N26" s="55" t="s">
        <v>1429</v>
      </c>
      <c r="O26" s="55" t="s">
        <v>1429</v>
      </c>
      <c r="P26" s="56" t="s">
        <v>1429</v>
      </c>
      <c r="Q26" s="52" t="s">
        <v>106</v>
      </c>
      <c r="R26" s="52" t="s">
        <v>113</v>
      </c>
      <c r="S26" s="52" t="s">
        <v>99</v>
      </c>
      <c r="T26" s="52" t="s">
        <v>100</v>
      </c>
      <c r="U26" s="57" t="s">
        <v>113</v>
      </c>
      <c r="V26" s="146" t="s">
        <v>1645</v>
      </c>
      <c r="W26" s="51" t="s">
        <v>1641</v>
      </c>
      <c r="X26" s="130" t="s">
        <v>1429</v>
      </c>
      <c r="Y26" s="130" t="s">
        <v>1429</v>
      </c>
      <c r="Z26" s="51" t="s">
        <v>1585</v>
      </c>
      <c r="AA26" s="51" t="s">
        <v>1586</v>
      </c>
      <c r="AB26" s="51" t="s">
        <v>1435</v>
      </c>
      <c r="AC26" s="51" t="s">
        <v>1587</v>
      </c>
      <c r="AD26" s="59" t="str">
        <f t="shared" si="6"/>
        <v>I2S1</v>
      </c>
      <c r="AE26" s="66"/>
      <c r="AF26" s="61" t="str">
        <f t="shared" si="7"/>
        <v>NORMAL</v>
      </c>
      <c r="AG26" s="61" t="str">
        <f t="shared" si="5"/>
        <v>NORMAL</v>
      </c>
      <c r="AH26" s="61" t="str">
        <f t="shared" si="8"/>
        <v>DISABLE</v>
      </c>
      <c r="AI26" s="67" t="str">
        <f t="shared" ref="AI26:AI87" si="10">IF($AQ26&lt;&gt;$G26,"N/A",IF($AS26="Drive 1", "1", IF($AS26="Drive 0", "0", "")))</f>
        <v>N/A</v>
      </c>
      <c r="AJ26" s="176" t="b">
        <v>1</v>
      </c>
      <c r="AK26" s="176" t="b">
        <v>1</v>
      </c>
      <c r="AL26" s="176" t="b">
        <v>1</v>
      </c>
      <c r="AM26" s="176" t="b">
        <v>1</v>
      </c>
      <c r="AN26" s="176" t="b">
        <v>1</v>
      </c>
      <c r="AO26" s="176" t="b">
        <v>1</v>
      </c>
      <c r="AP26" s="64" t="str">
        <f t="shared" si="9"/>
        <v>VALID</v>
      </c>
      <c r="AQ26" s="211" t="s">
        <v>1491</v>
      </c>
      <c r="AR26" s="182" t="s">
        <v>3495</v>
      </c>
      <c r="AS26" s="181"/>
      <c r="AT26" s="5"/>
      <c r="AU26" s="5"/>
      <c r="AV26" s="5"/>
      <c r="AW26" s="181" t="s">
        <v>125</v>
      </c>
      <c r="AX26" s="284"/>
      <c r="AY26" s="181"/>
      <c r="AZ26" s="181"/>
      <c r="BA26" s="7"/>
      <c r="BB26" s="212"/>
      <c r="BC26" s="10" t="s">
        <v>3684</v>
      </c>
      <c r="BD26" s="238"/>
      <c r="BE26" s="239"/>
      <c r="BF26" s="239"/>
      <c r="BG26" s="239"/>
      <c r="BH26" s="239"/>
      <c r="BI26" s="239"/>
      <c r="BJ26" s="239"/>
      <c r="BK26" s="239"/>
      <c r="BL26" s="239"/>
      <c r="BM26" s="239"/>
      <c r="BN26" s="239"/>
      <c r="BO26" s="239"/>
      <c r="BP26" s="239"/>
      <c r="BQ26" s="239"/>
      <c r="BR26" s="239"/>
      <c r="BS26" s="239"/>
      <c r="BT26" s="239"/>
      <c r="BU26" s="239"/>
      <c r="BV26" s="239"/>
      <c r="BW26" s="239"/>
      <c r="BX26" s="239"/>
      <c r="BY26" s="239"/>
      <c r="BZ26" s="239"/>
      <c r="CA26" s="239"/>
      <c r="CB26" s="239"/>
      <c r="CC26" s="239"/>
      <c r="CD26" s="239"/>
      <c r="CE26" s="239"/>
    </row>
    <row r="27" spans="1:83" ht="12.95" customHeight="1">
      <c r="A27" s="21" t="s">
        <v>3321</v>
      </c>
      <c r="B27" s="21" t="s">
        <v>3600</v>
      </c>
      <c r="C27" s="51" t="s">
        <v>6</v>
      </c>
      <c r="D27" s="52" t="s">
        <v>1646</v>
      </c>
      <c r="E27" s="52" t="s">
        <v>1647</v>
      </c>
      <c r="F27" s="53" t="s">
        <v>102</v>
      </c>
      <c r="G27" s="179" t="s">
        <v>1648</v>
      </c>
      <c r="H27" s="180" t="s">
        <v>1492</v>
      </c>
      <c r="I27" s="55" t="s">
        <v>1429</v>
      </c>
      <c r="J27" s="55" t="s">
        <v>1429</v>
      </c>
      <c r="K27" s="56" t="s">
        <v>1429</v>
      </c>
      <c r="L27" s="54" t="s">
        <v>1580</v>
      </c>
      <c r="M27" s="55" t="s">
        <v>1590</v>
      </c>
      <c r="N27" s="55" t="s">
        <v>1429</v>
      </c>
      <c r="O27" s="55" t="s">
        <v>1429</v>
      </c>
      <c r="P27" s="56" t="s">
        <v>1429</v>
      </c>
      <c r="Q27" s="52" t="s">
        <v>106</v>
      </c>
      <c r="R27" s="52" t="s">
        <v>113</v>
      </c>
      <c r="S27" s="52" t="s">
        <v>99</v>
      </c>
      <c r="T27" s="52" t="s">
        <v>100</v>
      </c>
      <c r="U27" s="57" t="s">
        <v>113</v>
      </c>
      <c r="V27" s="146" t="s">
        <v>1649</v>
      </c>
      <c r="W27" s="51" t="s">
        <v>1641</v>
      </c>
      <c r="X27" s="130" t="s">
        <v>1429</v>
      </c>
      <c r="Y27" s="130" t="s">
        <v>1429</v>
      </c>
      <c r="Z27" s="51" t="s">
        <v>1585</v>
      </c>
      <c r="AA27" s="51" t="s">
        <v>1586</v>
      </c>
      <c r="AB27" s="51" t="s">
        <v>1435</v>
      </c>
      <c r="AC27" s="51" t="s">
        <v>1587</v>
      </c>
      <c r="AD27" s="59" t="str">
        <f t="shared" si="6"/>
        <v>I2S1</v>
      </c>
      <c r="AE27" s="66"/>
      <c r="AF27" s="61" t="str">
        <f t="shared" si="7"/>
        <v>PULL_UP</v>
      </c>
      <c r="AG27" s="61" t="str">
        <f t="shared" si="5"/>
        <v>TRISTATE</v>
      </c>
      <c r="AH27" s="61" t="str">
        <f t="shared" si="8"/>
        <v>ENABLE</v>
      </c>
      <c r="AI27" s="67" t="str">
        <f t="shared" si="10"/>
        <v>N/A</v>
      </c>
      <c r="AJ27" s="176" t="b">
        <v>1</v>
      </c>
      <c r="AK27" s="176" t="b">
        <v>1</v>
      </c>
      <c r="AL27" s="176" t="b">
        <v>1</v>
      </c>
      <c r="AM27" s="176" t="b">
        <v>1</v>
      </c>
      <c r="AN27" s="176" t="b">
        <v>1</v>
      </c>
      <c r="AO27" s="176" t="b">
        <v>1</v>
      </c>
      <c r="AP27" s="64" t="str">
        <f t="shared" si="9"/>
        <v>VALID</v>
      </c>
      <c r="AQ27" s="211" t="s">
        <v>1492</v>
      </c>
      <c r="AR27" s="182" t="s">
        <v>3496</v>
      </c>
      <c r="AS27" s="181" t="s">
        <v>3497</v>
      </c>
      <c r="AT27" s="5"/>
      <c r="AU27" s="5"/>
      <c r="AV27" s="5"/>
      <c r="AW27" s="181" t="s">
        <v>125</v>
      </c>
      <c r="AX27" s="284"/>
      <c r="AY27" s="181"/>
      <c r="AZ27" s="181"/>
      <c r="BA27" s="7"/>
      <c r="BB27" s="212"/>
      <c r="BC27" s="10" t="s">
        <v>3685</v>
      </c>
      <c r="BD27" s="238"/>
      <c r="BE27" s="239"/>
      <c r="BF27" s="239"/>
      <c r="BG27" s="239"/>
      <c r="BH27" s="239"/>
      <c r="BI27" s="239"/>
      <c r="BJ27" s="239"/>
      <c r="BK27" s="239"/>
      <c r="BL27" s="239"/>
      <c r="BM27" s="239"/>
      <c r="BN27" s="239"/>
      <c r="BO27" s="239"/>
      <c r="BP27" s="239"/>
      <c r="BQ27" s="239"/>
      <c r="BR27" s="239"/>
      <c r="BS27" s="239"/>
      <c r="BT27" s="239"/>
      <c r="BU27" s="239"/>
      <c r="BV27" s="239"/>
      <c r="BW27" s="239"/>
      <c r="BX27" s="239"/>
      <c r="BY27" s="239"/>
      <c r="BZ27" s="239"/>
      <c r="CA27" s="239"/>
      <c r="CB27" s="239"/>
      <c r="CC27" s="239"/>
      <c r="CD27" s="239"/>
      <c r="CE27" s="239"/>
    </row>
    <row r="28" spans="1:83" ht="12.95" customHeight="1">
      <c r="A28" s="21" t="s">
        <v>3320</v>
      </c>
      <c r="B28" s="21" t="s">
        <v>2252</v>
      </c>
      <c r="C28" s="51" t="s">
        <v>8</v>
      </c>
      <c r="D28" s="52" t="s">
        <v>1650</v>
      </c>
      <c r="E28" s="52" t="s">
        <v>1651</v>
      </c>
      <c r="F28" s="53" t="s">
        <v>105</v>
      </c>
      <c r="G28" s="179" t="s">
        <v>1652</v>
      </c>
      <c r="H28" s="180" t="s">
        <v>1493</v>
      </c>
      <c r="I28" s="55" t="s">
        <v>1429</v>
      </c>
      <c r="J28" s="55" t="s">
        <v>1429</v>
      </c>
      <c r="K28" s="56" t="s">
        <v>1429</v>
      </c>
      <c r="L28" s="54" t="s">
        <v>1580</v>
      </c>
      <c r="M28" s="55" t="s">
        <v>1580</v>
      </c>
      <c r="N28" s="55" t="s">
        <v>1429</v>
      </c>
      <c r="O28" s="55" t="s">
        <v>1429</v>
      </c>
      <c r="P28" s="56" t="s">
        <v>1429</v>
      </c>
      <c r="Q28" s="52" t="s">
        <v>106</v>
      </c>
      <c r="R28" s="52" t="s">
        <v>113</v>
      </c>
      <c r="S28" s="52" t="s">
        <v>99</v>
      </c>
      <c r="T28" s="52" t="s">
        <v>100</v>
      </c>
      <c r="U28" s="57" t="s">
        <v>113</v>
      </c>
      <c r="V28" s="146" t="s">
        <v>1653</v>
      </c>
      <c r="W28" s="51" t="s">
        <v>1641</v>
      </c>
      <c r="X28" s="130" t="s">
        <v>1429</v>
      </c>
      <c r="Y28" s="130" t="s">
        <v>1429</v>
      </c>
      <c r="Z28" s="51" t="s">
        <v>1585</v>
      </c>
      <c r="AA28" s="51" t="s">
        <v>1586</v>
      </c>
      <c r="AB28" s="51" t="s">
        <v>1435</v>
      </c>
      <c r="AC28" s="51" t="s">
        <v>1587</v>
      </c>
      <c r="AD28" s="59" t="str">
        <f t="shared" si="6"/>
        <v>I2S1</v>
      </c>
      <c r="AE28" s="66"/>
      <c r="AF28" s="61" t="str">
        <f t="shared" si="7"/>
        <v>NORMAL</v>
      </c>
      <c r="AG28" s="61" t="str">
        <f t="shared" si="5"/>
        <v>NORMAL</v>
      </c>
      <c r="AH28" s="61" t="str">
        <f t="shared" si="8"/>
        <v>DISABLE</v>
      </c>
      <c r="AI28" s="67" t="str">
        <f t="shared" si="10"/>
        <v>N/A</v>
      </c>
      <c r="AJ28" s="176" t="b">
        <v>1</v>
      </c>
      <c r="AK28" s="176" t="b">
        <v>1</v>
      </c>
      <c r="AL28" s="176" t="b">
        <v>1</v>
      </c>
      <c r="AM28" s="176" t="b">
        <v>1</v>
      </c>
      <c r="AN28" s="176" t="b">
        <v>1</v>
      </c>
      <c r="AO28" s="176" t="b">
        <v>1</v>
      </c>
      <c r="AP28" s="64" t="str">
        <f t="shared" si="9"/>
        <v>VALID</v>
      </c>
      <c r="AQ28" s="211" t="s">
        <v>1493</v>
      </c>
      <c r="AR28" s="182" t="s">
        <v>3495</v>
      </c>
      <c r="AS28" s="181"/>
      <c r="AT28" s="5"/>
      <c r="AU28" s="5"/>
      <c r="AV28" s="5"/>
      <c r="AW28" s="181" t="s">
        <v>125</v>
      </c>
      <c r="AX28" s="284"/>
      <c r="AY28" s="181"/>
      <c r="AZ28" s="181"/>
      <c r="BA28" s="7"/>
      <c r="BB28" s="212"/>
      <c r="BC28" s="10" t="s">
        <v>3686</v>
      </c>
      <c r="BD28" s="238"/>
      <c r="BE28" s="239"/>
      <c r="BF28" s="239"/>
      <c r="BG28" s="239"/>
      <c r="BH28" s="239"/>
      <c r="BI28" s="239"/>
      <c r="BJ28" s="239"/>
      <c r="BK28" s="239"/>
      <c r="BL28" s="239"/>
      <c r="BM28" s="239"/>
      <c r="BN28" s="239"/>
      <c r="BO28" s="239"/>
      <c r="BP28" s="239"/>
      <c r="BQ28" s="239"/>
      <c r="BR28" s="239"/>
      <c r="BS28" s="239"/>
      <c r="BT28" s="239"/>
      <c r="BU28" s="239"/>
      <c r="BV28" s="239"/>
      <c r="BW28" s="239"/>
      <c r="BX28" s="239"/>
      <c r="BY28" s="239"/>
      <c r="BZ28" s="239"/>
      <c r="CA28" s="239"/>
      <c r="CB28" s="239"/>
      <c r="CC28" s="239"/>
      <c r="CD28" s="239"/>
      <c r="CE28" s="239"/>
    </row>
    <row r="29" spans="1:83" ht="12.95" customHeight="1">
      <c r="A29" s="21" t="s">
        <v>1386</v>
      </c>
      <c r="B29" s="21" t="s">
        <v>82</v>
      </c>
      <c r="C29" s="51" t="s">
        <v>276</v>
      </c>
      <c r="D29" s="52" t="s">
        <v>1654</v>
      </c>
      <c r="E29" s="52" t="s">
        <v>1655</v>
      </c>
      <c r="F29" s="53" t="s">
        <v>762</v>
      </c>
      <c r="G29" s="179" t="s">
        <v>1656</v>
      </c>
      <c r="H29" s="180" t="s">
        <v>276</v>
      </c>
      <c r="I29" s="55" t="s">
        <v>1429</v>
      </c>
      <c r="J29" s="55" t="s">
        <v>1429</v>
      </c>
      <c r="K29" s="56" t="s">
        <v>1429</v>
      </c>
      <c r="L29" s="54" t="s">
        <v>1580</v>
      </c>
      <c r="M29" s="55" t="s">
        <v>1581</v>
      </c>
      <c r="N29" s="55" t="s">
        <v>1429</v>
      </c>
      <c r="O29" s="55" t="s">
        <v>1429</v>
      </c>
      <c r="P29" s="56" t="s">
        <v>1429</v>
      </c>
      <c r="Q29" s="52" t="s">
        <v>741</v>
      </c>
      <c r="R29" s="52" t="s">
        <v>113</v>
      </c>
      <c r="S29" s="52" t="s">
        <v>99</v>
      </c>
      <c r="T29" s="52" t="s">
        <v>100</v>
      </c>
      <c r="U29" s="57" t="s">
        <v>113</v>
      </c>
      <c r="V29" s="146" t="s">
        <v>1657</v>
      </c>
      <c r="W29" s="51" t="s">
        <v>1641</v>
      </c>
      <c r="X29" s="130" t="s">
        <v>1429</v>
      </c>
      <c r="Y29" s="130" t="s">
        <v>1429</v>
      </c>
      <c r="Z29" s="51" t="s">
        <v>1585</v>
      </c>
      <c r="AA29" s="51" t="s">
        <v>1586</v>
      </c>
      <c r="AB29" s="51" t="s">
        <v>1435</v>
      </c>
      <c r="AC29" s="51" t="s">
        <v>1587</v>
      </c>
      <c r="AD29" s="59" t="str">
        <f t="shared" si="6"/>
        <v>AUD</v>
      </c>
      <c r="AE29" s="66"/>
      <c r="AF29" s="61" t="str">
        <f t="shared" si="7"/>
        <v>NORMAL</v>
      </c>
      <c r="AG29" s="61" t="str">
        <f t="shared" si="5"/>
        <v>NORMAL</v>
      </c>
      <c r="AH29" s="61" t="str">
        <f t="shared" si="8"/>
        <v>DISABLE</v>
      </c>
      <c r="AI29" s="67" t="str">
        <f t="shared" si="10"/>
        <v>N/A</v>
      </c>
      <c r="AJ29" s="176" t="b">
        <v>1</v>
      </c>
      <c r="AK29" s="176" t="b">
        <v>1</v>
      </c>
      <c r="AL29" s="176" t="b">
        <v>1</v>
      </c>
      <c r="AM29" s="176" t="b">
        <v>1</v>
      </c>
      <c r="AN29" s="176" t="b">
        <v>1</v>
      </c>
      <c r="AO29" s="176" t="b">
        <v>1</v>
      </c>
      <c r="AP29" s="64" t="str">
        <f t="shared" si="9"/>
        <v>VALID</v>
      </c>
      <c r="AQ29" s="211" t="s">
        <v>276</v>
      </c>
      <c r="AR29" s="182" t="s">
        <v>3495</v>
      </c>
      <c r="AS29" s="181"/>
      <c r="AT29" s="5"/>
      <c r="AU29" s="5"/>
      <c r="AV29" s="5"/>
      <c r="AW29" s="181" t="s">
        <v>125</v>
      </c>
      <c r="AX29" s="284"/>
      <c r="AY29" s="181"/>
      <c r="AZ29" s="181"/>
      <c r="BA29" s="7"/>
      <c r="BB29" s="212"/>
      <c r="BC29" s="10" t="s">
        <v>3687</v>
      </c>
      <c r="BD29" s="238"/>
      <c r="BE29" s="239"/>
      <c r="BF29" s="239"/>
      <c r="BG29" s="239"/>
      <c r="BH29" s="239"/>
      <c r="BI29" s="239"/>
      <c r="BJ29" s="239"/>
      <c r="BK29" s="239"/>
      <c r="BL29" s="239"/>
      <c r="BM29" s="239"/>
      <c r="BN29" s="239"/>
      <c r="BO29" s="239"/>
      <c r="BP29" s="239"/>
      <c r="BQ29" s="239"/>
      <c r="BR29" s="239"/>
      <c r="BS29" s="239"/>
      <c r="BT29" s="239"/>
      <c r="BU29" s="239"/>
      <c r="BV29" s="239"/>
      <c r="BW29" s="239"/>
      <c r="BX29" s="239"/>
      <c r="BY29" s="239"/>
      <c r="BZ29" s="239"/>
      <c r="CA29" s="239"/>
      <c r="CB29" s="239"/>
      <c r="CC29" s="239"/>
      <c r="CD29" s="239"/>
      <c r="CE29" s="239"/>
    </row>
    <row r="30" spans="1:83" ht="12.95" customHeight="1">
      <c r="A30" s="21" t="s">
        <v>3796</v>
      </c>
      <c r="B30" s="21" t="s">
        <v>2265</v>
      </c>
      <c r="C30" s="51" t="s">
        <v>916</v>
      </c>
      <c r="D30" s="52" t="s">
        <v>1658</v>
      </c>
      <c r="E30" s="52" t="s">
        <v>1659</v>
      </c>
      <c r="F30" s="53" t="s">
        <v>1209</v>
      </c>
      <c r="G30" s="179" t="s">
        <v>1494</v>
      </c>
      <c r="H30" s="180" t="s">
        <v>1429</v>
      </c>
      <c r="I30" s="55" t="s">
        <v>1429</v>
      </c>
      <c r="J30" s="55" t="s">
        <v>1429</v>
      </c>
      <c r="K30" s="56" t="s">
        <v>1429</v>
      </c>
      <c r="L30" s="54" t="s">
        <v>1580</v>
      </c>
      <c r="M30" s="55" t="s">
        <v>1429</v>
      </c>
      <c r="N30" s="55" t="s">
        <v>1429</v>
      </c>
      <c r="O30" s="55" t="s">
        <v>1429</v>
      </c>
      <c r="P30" s="56" t="s">
        <v>1429</v>
      </c>
      <c r="Q30" s="52" t="s">
        <v>755</v>
      </c>
      <c r="R30" s="52" t="s">
        <v>113</v>
      </c>
      <c r="S30" s="52" t="s">
        <v>99</v>
      </c>
      <c r="T30" s="52" t="s">
        <v>100</v>
      </c>
      <c r="U30" s="57" t="s">
        <v>755</v>
      </c>
      <c r="V30" s="146" t="s">
        <v>1660</v>
      </c>
      <c r="W30" s="51" t="s">
        <v>1641</v>
      </c>
      <c r="X30" s="130" t="s">
        <v>1661</v>
      </c>
      <c r="Y30" s="130" t="s">
        <v>1429</v>
      </c>
      <c r="Z30" s="51" t="s">
        <v>1585</v>
      </c>
      <c r="AA30" s="51" t="s">
        <v>1600</v>
      </c>
      <c r="AB30" s="51" t="s">
        <v>1435</v>
      </c>
      <c r="AC30" s="51" t="s">
        <v>1587</v>
      </c>
      <c r="AD30" s="59" t="str">
        <f t="shared" si="6"/>
        <v>GPIO_PJ5</v>
      </c>
      <c r="AE30" s="66"/>
      <c r="AF30" s="61" t="str">
        <f t="shared" si="7"/>
        <v>PULL_UP</v>
      </c>
      <c r="AG30" s="61" t="str">
        <f t="shared" si="5"/>
        <v>TRISTATE</v>
      </c>
      <c r="AH30" s="61" t="str">
        <f t="shared" si="8"/>
        <v>ENABLE</v>
      </c>
      <c r="AI30" s="67" t="str">
        <f t="shared" si="10"/>
        <v/>
      </c>
      <c r="AJ30" s="176" t="b">
        <v>1</v>
      </c>
      <c r="AK30" s="176" t="b">
        <v>1</v>
      </c>
      <c r="AL30" s="176" t="b">
        <v>1</v>
      </c>
      <c r="AM30" s="176" t="b">
        <v>1</v>
      </c>
      <c r="AN30" s="176" t="b">
        <v>1</v>
      </c>
      <c r="AO30" s="176" t="b">
        <v>1</v>
      </c>
      <c r="AP30" s="64" t="str">
        <f t="shared" si="9"/>
        <v>VALID</v>
      </c>
      <c r="AQ30" s="211" t="s">
        <v>1494</v>
      </c>
      <c r="AR30" s="182" t="s">
        <v>3496</v>
      </c>
      <c r="AS30" s="181" t="s">
        <v>3497</v>
      </c>
      <c r="AT30" s="181" t="s">
        <v>3499</v>
      </c>
      <c r="AU30" s="5"/>
      <c r="AV30" s="5"/>
      <c r="AW30" s="181" t="s">
        <v>125</v>
      </c>
      <c r="AX30" s="284"/>
      <c r="AY30" s="181"/>
      <c r="AZ30" s="181"/>
      <c r="BA30" s="7"/>
      <c r="BB30" s="212"/>
      <c r="BC30" s="10" t="s">
        <v>3688</v>
      </c>
      <c r="BD30" s="240"/>
      <c r="BE30" s="239"/>
      <c r="BF30" s="239"/>
      <c r="BG30" s="239"/>
      <c r="BH30" s="239"/>
      <c r="BI30" s="239"/>
      <c r="BJ30" s="239"/>
      <c r="BK30" s="239"/>
      <c r="BL30" s="239"/>
      <c r="BM30" s="239"/>
      <c r="BN30" s="239"/>
      <c r="BO30" s="239"/>
      <c r="BP30" s="239"/>
      <c r="BQ30" s="239"/>
      <c r="BR30" s="239"/>
      <c r="BS30" s="239"/>
      <c r="BT30" s="239"/>
      <c r="BU30" s="239"/>
      <c r="BV30" s="239"/>
      <c r="BW30" s="239"/>
      <c r="BX30" s="239"/>
      <c r="BY30" s="239"/>
      <c r="BZ30" s="239"/>
      <c r="CA30" s="239"/>
      <c r="CB30" s="239"/>
      <c r="CC30" s="239"/>
      <c r="CD30" s="239"/>
      <c r="CE30" s="239"/>
    </row>
    <row r="31" spans="1:83" ht="12.95" customHeight="1">
      <c r="A31" s="21" t="s">
        <v>3797</v>
      </c>
      <c r="B31" s="21" t="s">
        <v>83</v>
      </c>
      <c r="C31" s="51" t="s">
        <v>917</v>
      </c>
      <c r="D31" s="52" t="s">
        <v>1643</v>
      </c>
      <c r="E31" s="52" t="s">
        <v>1662</v>
      </c>
      <c r="F31" s="53" t="s">
        <v>1210</v>
      </c>
      <c r="G31" s="179" t="s">
        <v>1495</v>
      </c>
      <c r="H31" s="180" t="s">
        <v>1429</v>
      </c>
      <c r="I31" s="55" t="s">
        <v>1429</v>
      </c>
      <c r="J31" s="55" t="s">
        <v>1429</v>
      </c>
      <c r="K31" s="56" t="s">
        <v>1429</v>
      </c>
      <c r="L31" s="54" t="s">
        <v>1580</v>
      </c>
      <c r="M31" s="55" t="s">
        <v>1429</v>
      </c>
      <c r="N31" s="55" t="s">
        <v>1429</v>
      </c>
      <c r="O31" s="55" t="s">
        <v>1429</v>
      </c>
      <c r="P31" s="56" t="s">
        <v>1429</v>
      </c>
      <c r="Q31" s="52" t="s">
        <v>755</v>
      </c>
      <c r="R31" s="52" t="s">
        <v>113</v>
      </c>
      <c r="S31" s="52" t="s">
        <v>99</v>
      </c>
      <c r="T31" s="52" t="s">
        <v>100</v>
      </c>
      <c r="U31" s="57" t="s">
        <v>755</v>
      </c>
      <c r="V31" s="146" t="s">
        <v>1663</v>
      </c>
      <c r="W31" s="51" t="s">
        <v>1641</v>
      </c>
      <c r="X31" s="130" t="s">
        <v>1664</v>
      </c>
      <c r="Y31" s="130" t="s">
        <v>1429</v>
      </c>
      <c r="Z31" s="51" t="s">
        <v>1585</v>
      </c>
      <c r="AA31" s="51" t="s">
        <v>1600</v>
      </c>
      <c r="AB31" s="51" t="s">
        <v>1435</v>
      </c>
      <c r="AC31" s="51" t="s">
        <v>1587</v>
      </c>
      <c r="AD31" s="59" t="str">
        <f t="shared" si="6"/>
        <v>GPIO_PJ6</v>
      </c>
      <c r="AE31" s="66"/>
      <c r="AF31" s="61" t="str">
        <f t="shared" si="7"/>
        <v>NORMAL</v>
      </c>
      <c r="AG31" s="61" t="str">
        <f t="shared" si="5"/>
        <v>NORMAL</v>
      </c>
      <c r="AH31" s="61" t="str">
        <f t="shared" si="8"/>
        <v>DISABLE</v>
      </c>
      <c r="AI31" s="67" t="str">
        <f t="shared" si="10"/>
        <v>0</v>
      </c>
      <c r="AJ31" s="176" t="b">
        <v>1</v>
      </c>
      <c r="AK31" s="176" t="b">
        <v>1</v>
      </c>
      <c r="AL31" s="176" t="b">
        <v>1</v>
      </c>
      <c r="AM31" s="176" t="b">
        <v>1</v>
      </c>
      <c r="AN31" s="176" t="b">
        <v>1</v>
      </c>
      <c r="AO31" s="176" t="b">
        <v>1</v>
      </c>
      <c r="AP31" s="64" t="str">
        <f t="shared" si="9"/>
        <v>VALID</v>
      </c>
      <c r="AQ31" s="211" t="s">
        <v>1495</v>
      </c>
      <c r="AR31" s="182" t="s">
        <v>3495</v>
      </c>
      <c r="AS31" s="181" t="s">
        <v>3500</v>
      </c>
      <c r="AT31" s="181" t="s">
        <v>104</v>
      </c>
      <c r="AU31" s="5"/>
      <c r="AV31" s="5"/>
      <c r="AW31" s="181" t="s">
        <v>125</v>
      </c>
      <c r="AX31" s="284"/>
      <c r="AY31" s="181"/>
      <c r="AZ31" s="181"/>
      <c r="BA31" s="7"/>
      <c r="BB31" s="212"/>
      <c r="BC31" s="10" t="s">
        <v>3510</v>
      </c>
      <c r="BD31" s="240"/>
      <c r="BE31" s="239"/>
      <c r="BF31" s="239"/>
      <c r="BG31" s="239"/>
      <c r="BH31" s="239"/>
      <c r="BI31" s="239"/>
      <c r="BJ31" s="239"/>
      <c r="BK31" s="239"/>
      <c r="BL31" s="239"/>
      <c r="BM31" s="239"/>
      <c r="BN31" s="239"/>
      <c r="BO31" s="239"/>
      <c r="BP31" s="239"/>
      <c r="BQ31" s="239"/>
      <c r="BR31" s="239"/>
      <c r="BS31" s="239"/>
      <c r="BT31" s="239"/>
      <c r="BU31" s="239"/>
      <c r="BV31" s="239"/>
      <c r="BW31" s="239"/>
      <c r="BX31" s="239"/>
      <c r="BY31" s="239"/>
      <c r="BZ31" s="239"/>
      <c r="CA31" s="239"/>
      <c r="CB31" s="239"/>
      <c r="CC31" s="239"/>
      <c r="CD31" s="239"/>
      <c r="CE31" s="239"/>
    </row>
    <row r="32" spans="1:83" ht="12.95" customHeight="1">
      <c r="A32" s="21" t="s">
        <v>3324</v>
      </c>
      <c r="B32" s="21" t="s">
        <v>2236</v>
      </c>
      <c r="C32" s="51" t="s">
        <v>918</v>
      </c>
      <c r="D32" s="52" t="s">
        <v>1665</v>
      </c>
      <c r="E32" s="52" t="s">
        <v>1665</v>
      </c>
      <c r="F32" s="53" t="s">
        <v>1211</v>
      </c>
      <c r="G32" s="179" t="s">
        <v>1496</v>
      </c>
      <c r="H32" s="180" t="s">
        <v>1429</v>
      </c>
      <c r="I32" s="55" t="s">
        <v>1387</v>
      </c>
      <c r="J32" s="55" t="s">
        <v>1666</v>
      </c>
      <c r="K32" s="56" t="s">
        <v>1429</v>
      </c>
      <c r="L32" s="54" t="s">
        <v>1580</v>
      </c>
      <c r="M32" s="55" t="s">
        <v>1429</v>
      </c>
      <c r="N32" s="55" t="s">
        <v>1581</v>
      </c>
      <c r="O32" s="55" t="s">
        <v>1590</v>
      </c>
      <c r="P32" s="56" t="s">
        <v>1429</v>
      </c>
      <c r="Q32" s="52" t="s">
        <v>755</v>
      </c>
      <c r="R32" s="52" t="s">
        <v>1353</v>
      </c>
      <c r="S32" s="52" t="s">
        <v>136</v>
      </c>
      <c r="T32" s="52" t="s">
        <v>100</v>
      </c>
      <c r="U32" s="57" t="s">
        <v>755</v>
      </c>
      <c r="V32" s="146" t="s">
        <v>1667</v>
      </c>
      <c r="W32" s="51" t="s">
        <v>1641</v>
      </c>
      <c r="X32" s="130" t="s">
        <v>1668</v>
      </c>
      <c r="Y32" s="130" t="s">
        <v>1429</v>
      </c>
      <c r="Z32" s="51" t="s">
        <v>1585</v>
      </c>
      <c r="AA32" s="51" t="s">
        <v>1600</v>
      </c>
      <c r="AB32" s="51" t="s">
        <v>1435</v>
      </c>
      <c r="AC32" s="51" t="s">
        <v>1587</v>
      </c>
      <c r="AD32" s="59" t="str">
        <f t="shared" si="6"/>
        <v>DSPK1</v>
      </c>
      <c r="AE32" s="66"/>
      <c r="AF32" s="61" t="str">
        <f t="shared" si="7"/>
        <v>NORMAL</v>
      </c>
      <c r="AG32" s="61" t="str">
        <f t="shared" si="5"/>
        <v>NORMAL</v>
      </c>
      <c r="AH32" s="61" t="str">
        <f t="shared" si="8"/>
        <v>DISABLE</v>
      </c>
      <c r="AI32" s="67" t="str">
        <f t="shared" si="10"/>
        <v>N/A</v>
      </c>
      <c r="AJ32" s="176" t="b">
        <v>1</v>
      </c>
      <c r="AK32" s="176" t="b">
        <v>1</v>
      </c>
      <c r="AL32" s="176" t="b">
        <v>1</v>
      </c>
      <c r="AM32" s="176" t="b">
        <v>1</v>
      </c>
      <c r="AN32" s="176" t="b">
        <v>1</v>
      </c>
      <c r="AO32" s="176" t="b">
        <v>1</v>
      </c>
      <c r="AP32" s="64" t="str">
        <f t="shared" si="9"/>
        <v>VALID</v>
      </c>
      <c r="AQ32" s="211" t="s">
        <v>1387</v>
      </c>
      <c r="AR32" s="182" t="s">
        <v>3495</v>
      </c>
      <c r="AS32" s="181"/>
      <c r="AT32" s="181" t="s">
        <v>104</v>
      </c>
      <c r="AU32" s="5"/>
      <c r="AV32" s="5"/>
      <c r="AW32" s="181" t="s">
        <v>125</v>
      </c>
      <c r="AX32" s="284"/>
      <c r="AY32" s="181"/>
      <c r="AZ32" s="181"/>
      <c r="BA32" s="7"/>
      <c r="BB32" s="212"/>
      <c r="BC32" s="10" t="s">
        <v>3689</v>
      </c>
      <c r="BD32" s="238"/>
      <c r="BE32" s="239"/>
      <c r="BF32" s="239"/>
      <c r="BG32" s="239"/>
      <c r="BH32" s="239"/>
      <c r="BI32" s="239"/>
      <c r="BJ32" s="239"/>
      <c r="BK32" s="239"/>
      <c r="BL32" s="239"/>
      <c r="BM32" s="239"/>
      <c r="BN32" s="239"/>
      <c r="BO32" s="239"/>
      <c r="BP32" s="239"/>
      <c r="BQ32" s="239"/>
      <c r="BR32" s="239"/>
      <c r="BS32" s="239"/>
      <c r="BT32" s="239"/>
      <c r="BU32" s="239"/>
      <c r="BV32" s="239"/>
      <c r="BW32" s="239"/>
      <c r="BX32" s="239"/>
      <c r="BY32" s="239"/>
      <c r="BZ32" s="239"/>
      <c r="CA32" s="239"/>
      <c r="CB32" s="239"/>
      <c r="CC32" s="239"/>
      <c r="CD32" s="239"/>
      <c r="CE32" s="239"/>
    </row>
    <row r="33" spans="1:83" ht="12.95" customHeight="1">
      <c r="A33" s="21" t="s">
        <v>3323</v>
      </c>
      <c r="B33" s="21" t="s">
        <v>2245</v>
      </c>
      <c r="C33" s="51" t="s">
        <v>919</v>
      </c>
      <c r="D33" s="52" t="s">
        <v>1669</v>
      </c>
      <c r="E33" s="52" t="s">
        <v>1670</v>
      </c>
      <c r="F33" s="53" t="s">
        <v>1212</v>
      </c>
      <c r="G33" s="179" t="s">
        <v>1497</v>
      </c>
      <c r="H33" s="180" t="s">
        <v>1429</v>
      </c>
      <c r="I33" s="55" t="s">
        <v>1388</v>
      </c>
      <c r="J33" s="55" t="s">
        <v>1671</v>
      </c>
      <c r="K33" s="56" t="s">
        <v>1429</v>
      </c>
      <c r="L33" s="54" t="s">
        <v>1580</v>
      </c>
      <c r="M33" s="55" t="s">
        <v>1429</v>
      </c>
      <c r="N33" s="55" t="s">
        <v>1581</v>
      </c>
      <c r="O33" s="55" t="s">
        <v>1581</v>
      </c>
      <c r="P33" s="56" t="s">
        <v>1429</v>
      </c>
      <c r="Q33" s="52" t="s">
        <v>755</v>
      </c>
      <c r="R33" s="52" t="s">
        <v>1353</v>
      </c>
      <c r="S33" s="52" t="s">
        <v>136</v>
      </c>
      <c r="T33" s="52" t="s">
        <v>100</v>
      </c>
      <c r="U33" s="57" t="s">
        <v>755</v>
      </c>
      <c r="V33" s="189" t="s">
        <v>1672</v>
      </c>
      <c r="W33" s="51" t="s">
        <v>1641</v>
      </c>
      <c r="X33" s="130" t="s">
        <v>1673</v>
      </c>
      <c r="Y33" s="130" t="s">
        <v>1429</v>
      </c>
      <c r="Z33" s="51" t="s">
        <v>1585</v>
      </c>
      <c r="AA33" s="51" t="s">
        <v>1600</v>
      </c>
      <c r="AB33" s="51" t="s">
        <v>1435</v>
      </c>
      <c r="AC33" s="51" t="s">
        <v>1674</v>
      </c>
      <c r="AD33" s="59" t="str">
        <f t="shared" si="6"/>
        <v>DSPK1</v>
      </c>
      <c r="AE33" s="66"/>
      <c r="AF33" s="61" t="str">
        <f t="shared" si="7"/>
        <v>NORMAL</v>
      </c>
      <c r="AG33" s="61" t="str">
        <f t="shared" si="5"/>
        <v>NORMAL</v>
      </c>
      <c r="AH33" s="61" t="str">
        <f t="shared" si="8"/>
        <v>DISABLE</v>
      </c>
      <c r="AI33" s="74" t="str">
        <f t="shared" si="10"/>
        <v>N/A</v>
      </c>
      <c r="AJ33" s="176" t="b">
        <v>1</v>
      </c>
      <c r="AK33" s="176" t="b">
        <v>1</v>
      </c>
      <c r="AL33" s="176" t="b">
        <v>1</v>
      </c>
      <c r="AM33" s="176" t="b">
        <v>1</v>
      </c>
      <c r="AN33" s="176" t="b">
        <v>1</v>
      </c>
      <c r="AO33" s="176" t="b">
        <v>1</v>
      </c>
      <c r="AP33" s="64" t="str">
        <f t="shared" si="9"/>
        <v>VALID</v>
      </c>
      <c r="AQ33" s="211" t="s">
        <v>1388</v>
      </c>
      <c r="AR33" s="182" t="s">
        <v>3495</v>
      </c>
      <c r="AS33" s="181"/>
      <c r="AT33" s="181" t="s">
        <v>104</v>
      </c>
      <c r="AU33" s="5"/>
      <c r="AV33" s="5"/>
      <c r="AW33" s="181" t="s">
        <v>125</v>
      </c>
      <c r="AX33" s="284"/>
      <c r="AY33" s="181"/>
      <c r="AZ33" s="181"/>
      <c r="BA33" s="7"/>
      <c r="BB33" s="212"/>
      <c r="BC33" s="10" t="s">
        <v>3690</v>
      </c>
      <c r="BD33" s="238"/>
      <c r="BE33" s="239"/>
      <c r="BF33" s="239"/>
      <c r="BG33" s="239"/>
      <c r="BH33" s="239"/>
      <c r="BI33" s="239"/>
      <c r="BJ33" s="239"/>
      <c r="BK33" s="239"/>
      <c r="BL33" s="239"/>
      <c r="BM33" s="239"/>
      <c r="BN33" s="239"/>
      <c r="BO33" s="239"/>
      <c r="BP33" s="239"/>
      <c r="BQ33" s="239"/>
      <c r="BR33" s="239"/>
      <c r="BS33" s="239"/>
      <c r="BT33" s="239"/>
      <c r="BU33" s="239"/>
      <c r="BV33" s="239"/>
      <c r="BW33" s="239"/>
      <c r="BX33" s="239"/>
      <c r="BY33" s="239"/>
      <c r="BZ33" s="239"/>
      <c r="CA33" s="239"/>
      <c r="CB33" s="239"/>
      <c r="CC33" s="239"/>
      <c r="CD33" s="239"/>
      <c r="CE33" s="239"/>
    </row>
    <row r="34" spans="1:83" s="50" customFormat="1" ht="18" customHeight="1">
      <c r="A34" s="170" t="s">
        <v>318</v>
      </c>
      <c r="B34" s="170"/>
      <c r="C34" s="170"/>
      <c r="D34" s="45"/>
      <c r="E34" s="45"/>
      <c r="F34" s="45"/>
      <c r="G34" s="46"/>
      <c r="H34" s="46"/>
      <c r="I34" s="46"/>
      <c r="J34" s="46"/>
      <c r="K34" s="46"/>
      <c r="L34" s="45"/>
      <c r="M34" s="45"/>
      <c r="N34" s="45"/>
      <c r="O34" s="45"/>
      <c r="P34" s="45"/>
      <c r="Q34" s="45"/>
      <c r="R34" s="45"/>
      <c r="S34" s="45"/>
      <c r="T34" s="45"/>
      <c r="U34" s="45"/>
      <c r="V34" s="45"/>
      <c r="W34" s="45"/>
      <c r="X34" s="129"/>
      <c r="Y34" s="129"/>
      <c r="Z34" s="47"/>
      <c r="AA34" s="47"/>
      <c r="AB34" s="47"/>
      <c r="AC34" s="47"/>
      <c r="AD34" s="47"/>
      <c r="AE34" s="47"/>
      <c r="AF34" s="47"/>
      <c r="AG34" s="47"/>
      <c r="AH34" s="47"/>
      <c r="AI34" s="47"/>
      <c r="AJ34" s="47"/>
      <c r="AK34" s="47"/>
      <c r="AL34" s="47"/>
      <c r="AM34" s="47"/>
      <c r="AN34" s="47"/>
      <c r="AO34" s="47"/>
      <c r="AP34" s="47"/>
      <c r="AQ34" s="72"/>
      <c r="AR34" s="72"/>
      <c r="AS34" s="241"/>
      <c r="AT34" s="241"/>
      <c r="AU34" s="241"/>
      <c r="AV34" s="241"/>
      <c r="AW34" s="241"/>
      <c r="AX34" s="285"/>
      <c r="AY34" s="241"/>
      <c r="AZ34" s="241"/>
      <c r="BA34" s="241"/>
      <c r="BB34" s="168" t="s">
        <v>49</v>
      </c>
      <c r="BC34" s="244"/>
      <c r="BD34" s="245"/>
      <c r="BE34" s="308"/>
      <c r="BF34" s="243"/>
      <c r="BG34" s="243"/>
      <c r="BH34" s="243"/>
      <c r="BI34" s="243"/>
      <c r="BJ34" s="243"/>
      <c r="BK34" s="243"/>
      <c r="BL34" s="243"/>
      <c r="BM34" s="243"/>
      <c r="BN34" s="243"/>
      <c r="BO34" s="243"/>
      <c r="BP34" s="243"/>
      <c r="BQ34" s="243"/>
      <c r="BR34" s="243"/>
      <c r="BS34" s="243"/>
      <c r="BT34" s="243"/>
      <c r="BU34" s="243"/>
      <c r="BV34" s="243"/>
      <c r="BW34" s="243"/>
      <c r="BX34" s="243"/>
      <c r="BY34" s="243"/>
      <c r="BZ34" s="243"/>
      <c r="CA34" s="243"/>
      <c r="CB34" s="243"/>
      <c r="CC34" s="243"/>
      <c r="CD34" s="243"/>
      <c r="CE34" s="243"/>
    </row>
    <row r="35" spans="1:83" ht="12.95" customHeight="1">
      <c r="A35" s="21" t="s">
        <v>3327</v>
      </c>
      <c r="B35" s="21" t="s">
        <v>2242</v>
      </c>
      <c r="C35" s="51" t="s">
        <v>296</v>
      </c>
      <c r="D35" s="52" t="s">
        <v>1675</v>
      </c>
      <c r="E35" s="52" t="s">
        <v>1642</v>
      </c>
      <c r="F35" s="53" t="s">
        <v>518</v>
      </c>
      <c r="G35" s="179"/>
      <c r="H35" s="180"/>
      <c r="I35" s="55" t="s">
        <v>1390</v>
      </c>
      <c r="J35" s="55" t="s">
        <v>1429</v>
      </c>
      <c r="K35" s="56" t="s">
        <v>1429</v>
      </c>
      <c r="L35" s="54" t="s">
        <v>1580</v>
      </c>
      <c r="M35" s="55" t="s">
        <v>1581</v>
      </c>
      <c r="N35" s="55" t="s">
        <v>1580</v>
      </c>
      <c r="O35" s="55" t="s">
        <v>1429</v>
      </c>
      <c r="P35" s="56" t="s">
        <v>1429</v>
      </c>
      <c r="Q35" s="52" t="s">
        <v>742</v>
      </c>
      <c r="R35" s="52" t="s">
        <v>158</v>
      </c>
      <c r="S35" s="52" t="s">
        <v>99</v>
      </c>
      <c r="T35" s="52" t="s">
        <v>100</v>
      </c>
      <c r="U35" s="57" t="s">
        <v>99</v>
      </c>
      <c r="V35" s="145" t="s">
        <v>1676</v>
      </c>
      <c r="W35" s="51" t="s">
        <v>1677</v>
      </c>
      <c r="X35" s="130" t="s">
        <v>1429</v>
      </c>
      <c r="Y35" s="130" t="s">
        <v>1429</v>
      </c>
      <c r="Z35" s="51" t="s">
        <v>1678</v>
      </c>
      <c r="AA35" s="51" t="s">
        <v>1679</v>
      </c>
      <c r="AB35" s="51" t="s">
        <v>3664</v>
      </c>
      <c r="AC35" s="51" t="s">
        <v>1587</v>
      </c>
      <c r="AD35" s="59" t="str">
        <f t="shared" si="6"/>
        <v>I2S3</v>
      </c>
      <c r="AE35" s="66"/>
      <c r="AF35" s="61" t="str">
        <f t="shared" si="7"/>
        <v>NORMAL</v>
      </c>
      <c r="AG35" s="61" t="str">
        <f t="shared" si="5"/>
        <v>NORMAL</v>
      </c>
      <c r="AH35" s="61" t="str">
        <f t="shared" si="8"/>
        <v>DISABLE</v>
      </c>
      <c r="AI35" s="67" t="str">
        <f t="shared" si="10"/>
        <v>N/A</v>
      </c>
      <c r="AJ35" s="176" t="b">
        <v>1</v>
      </c>
      <c r="AK35" s="176" t="b">
        <v>1</v>
      </c>
      <c r="AL35" s="176" t="b">
        <v>1</v>
      </c>
      <c r="AM35" s="176" t="b">
        <v>1</v>
      </c>
      <c r="AN35" s="176" t="b">
        <v>1</v>
      </c>
      <c r="AO35" s="176" t="b">
        <v>1</v>
      </c>
      <c r="AP35" s="64" t="str">
        <f t="shared" ref="AP35:AP44" si="11">IF(AND($AJ35:$AO35), "VALID", "INVALID")</f>
        <v>VALID</v>
      </c>
      <c r="AQ35" s="211" t="s">
        <v>1390</v>
      </c>
      <c r="AR35" s="182" t="s">
        <v>3495</v>
      </c>
      <c r="AS35" s="181"/>
      <c r="AT35" s="5"/>
      <c r="AU35" s="5"/>
      <c r="AV35" s="5"/>
      <c r="AW35" s="5"/>
      <c r="AX35" s="284"/>
      <c r="AY35" s="181"/>
      <c r="AZ35" s="181"/>
      <c r="BA35" s="7"/>
      <c r="BB35" s="212"/>
      <c r="BC35" s="10" t="s">
        <v>3691</v>
      </c>
      <c r="BD35" s="238"/>
      <c r="BE35" s="239"/>
      <c r="BF35" s="239"/>
      <c r="BG35" s="239"/>
      <c r="BH35" s="239"/>
      <c r="BI35" s="239"/>
      <c r="BJ35" s="239"/>
      <c r="BK35" s="239"/>
      <c r="BL35" s="239"/>
      <c r="BM35" s="239"/>
      <c r="BN35" s="239"/>
      <c r="BO35" s="239"/>
      <c r="BP35" s="239"/>
      <c r="BQ35" s="239"/>
      <c r="BR35" s="239"/>
      <c r="BS35" s="239"/>
      <c r="BT35" s="239"/>
      <c r="BU35" s="239"/>
      <c r="BV35" s="239"/>
      <c r="BW35" s="239"/>
      <c r="BX35" s="239"/>
      <c r="BY35" s="239"/>
      <c r="BZ35" s="239"/>
      <c r="CA35" s="239"/>
      <c r="CB35" s="239"/>
      <c r="CC35" s="239"/>
      <c r="CD35" s="239"/>
      <c r="CE35" s="239"/>
    </row>
    <row r="36" spans="1:83" ht="12.95" customHeight="1">
      <c r="A36" s="21" t="s">
        <v>3328</v>
      </c>
      <c r="B36" s="21" t="s">
        <v>2440</v>
      </c>
      <c r="C36" s="51" t="s">
        <v>298</v>
      </c>
      <c r="D36" s="52" t="s">
        <v>1680</v>
      </c>
      <c r="E36" s="52" t="s">
        <v>1669</v>
      </c>
      <c r="F36" s="53" t="s">
        <v>519</v>
      </c>
      <c r="G36" s="179"/>
      <c r="H36" s="180"/>
      <c r="I36" s="55" t="s">
        <v>1389</v>
      </c>
      <c r="J36" s="55" t="s">
        <v>1429</v>
      </c>
      <c r="K36" s="56" t="s">
        <v>1429</v>
      </c>
      <c r="L36" s="54" t="s">
        <v>1580</v>
      </c>
      <c r="M36" s="55" t="s">
        <v>1590</v>
      </c>
      <c r="N36" s="55" t="s">
        <v>1590</v>
      </c>
      <c r="O36" s="55" t="s">
        <v>1429</v>
      </c>
      <c r="P36" s="56" t="s">
        <v>1429</v>
      </c>
      <c r="Q36" s="52" t="s">
        <v>742</v>
      </c>
      <c r="R36" s="52" t="s">
        <v>158</v>
      </c>
      <c r="S36" s="52" t="s">
        <v>99</v>
      </c>
      <c r="T36" s="52" t="s">
        <v>100</v>
      </c>
      <c r="U36" s="57" t="s">
        <v>99</v>
      </c>
      <c r="V36" s="146" t="s">
        <v>1681</v>
      </c>
      <c r="W36" s="51" t="s">
        <v>1677</v>
      </c>
      <c r="X36" s="130" t="s">
        <v>1429</v>
      </c>
      <c r="Y36" s="130" t="s">
        <v>1429</v>
      </c>
      <c r="Z36" s="51" t="s">
        <v>1678</v>
      </c>
      <c r="AA36" s="51" t="s">
        <v>1679</v>
      </c>
      <c r="AB36" s="51" t="s">
        <v>3664</v>
      </c>
      <c r="AC36" s="51" t="s">
        <v>1587</v>
      </c>
      <c r="AD36" s="59" t="str">
        <f t="shared" si="6"/>
        <v>I2S3</v>
      </c>
      <c r="AE36" s="66"/>
      <c r="AF36" s="61" t="str">
        <f t="shared" si="7"/>
        <v>PULL_UP</v>
      </c>
      <c r="AG36" s="61" t="str">
        <f t="shared" si="5"/>
        <v>TRISTATE</v>
      </c>
      <c r="AH36" s="61" t="str">
        <f t="shared" si="8"/>
        <v>ENABLE</v>
      </c>
      <c r="AI36" s="67" t="str">
        <f t="shared" si="10"/>
        <v>N/A</v>
      </c>
      <c r="AJ36" s="176" t="b">
        <v>1</v>
      </c>
      <c r="AK36" s="176" t="b">
        <v>1</v>
      </c>
      <c r="AL36" s="176" t="b">
        <v>1</v>
      </c>
      <c r="AM36" s="176" t="b">
        <v>1</v>
      </c>
      <c r="AN36" s="176" t="b">
        <v>1</v>
      </c>
      <c r="AO36" s="176" t="b">
        <v>1</v>
      </c>
      <c r="AP36" s="64" t="str">
        <f t="shared" si="11"/>
        <v>VALID</v>
      </c>
      <c r="AQ36" s="211" t="s">
        <v>1389</v>
      </c>
      <c r="AR36" s="182" t="s">
        <v>3496</v>
      </c>
      <c r="AS36" s="181" t="s">
        <v>3497</v>
      </c>
      <c r="AT36" s="5"/>
      <c r="AU36" s="5"/>
      <c r="AV36" s="5"/>
      <c r="AW36" s="5"/>
      <c r="AX36" s="284"/>
      <c r="AY36" s="181"/>
      <c r="AZ36" s="181"/>
      <c r="BA36" s="7"/>
      <c r="BB36" s="212"/>
      <c r="BC36" s="10" t="s">
        <v>3692</v>
      </c>
      <c r="BD36" s="238"/>
      <c r="BE36" s="239"/>
      <c r="BF36" s="239"/>
      <c r="BG36" s="239"/>
      <c r="BH36" s="239"/>
      <c r="BI36" s="239"/>
      <c r="BJ36" s="239"/>
      <c r="BK36" s="239"/>
      <c r="BL36" s="239"/>
      <c r="BM36" s="239"/>
      <c r="BN36" s="239"/>
      <c r="BO36" s="239"/>
      <c r="BP36" s="239"/>
      <c r="BQ36" s="239"/>
      <c r="BR36" s="239"/>
      <c r="BS36" s="239"/>
      <c r="BT36" s="239"/>
      <c r="BU36" s="239"/>
      <c r="BV36" s="239"/>
      <c r="BW36" s="239"/>
      <c r="BX36" s="239"/>
      <c r="BY36" s="239"/>
      <c r="BZ36" s="239"/>
      <c r="CA36" s="239"/>
      <c r="CB36" s="239"/>
      <c r="CC36" s="239"/>
      <c r="CD36" s="239"/>
      <c r="CE36" s="239"/>
    </row>
    <row r="37" spans="1:83" ht="12.95" customHeight="1">
      <c r="A37" s="21" t="s">
        <v>3326</v>
      </c>
      <c r="B37" s="21" t="s">
        <v>2260</v>
      </c>
      <c r="C37" s="51" t="s">
        <v>297</v>
      </c>
      <c r="D37" s="52" t="s">
        <v>1682</v>
      </c>
      <c r="E37" s="52" t="s">
        <v>1683</v>
      </c>
      <c r="F37" s="53" t="s">
        <v>520</v>
      </c>
      <c r="G37" s="179"/>
      <c r="H37" s="180"/>
      <c r="I37" s="55" t="s">
        <v>1392</v>
      </c>
      <c r="J37" s="55" t="s">
        <v>1429</v>
      </c>
      <c r="K37" s="56" t="s">
        <v>1429</v>
      </c>
      <c r="L37" s="54" t="s">
        <v>1580</v>
      </c>
      <c r="M37" s="55" t="s">
        <v>1581</v>
      </c>
      <c r="N37" s="55" t="s">
        <v>1580</v>
      </c>
      <c r="O37" s="55" t="s">
        <v>1429</v>
      </c>
      <c r="P37" s="56" t="s">
        <v>1429</v>
      </c>
      <c r="Q37" s="52" t="s">
        <v>743</v>
      </c>
      <c r="R37" s="52" t="s">
        <v>158</v>
      </c>
      <c r="S37" s="52" t="s">
        <v>99</v>
      </c>
      <c r="T37" s="52" t="s">
        <v>100</v>
      </c>
      <c r="U37" s="57" t="s">
        <v>99</v>
      </c>
      <c r="V37" s="146" t="s">
        <v>1684</v>
      </c>
      <c r="W37" s="51" t="s">
        <v>1677</v>
      </c>
      <c r="X37" s="130" t="s">
        <v>1429</v>
      </c>
      <c r="Y37" s="130" t="s">
        <v>1429</v>
      </c>
      <c r="Z37" s="51" t="s">
        <v>1678</v>
      </c>
      <c r="AA37" s="51" t="s">
        <v>1679</v>
      </c>
      <c r="AB37" s="51" t="s">
        <v>3664</v>
      </c>
      <c r="AC37" s="51" t="s">
        <v>1587</v>
      </c>
      <c r="AD37" s="59" t="str">
        <f t="shared" si="6"/>
        <v>I2S3</v>
      </c>
      <c r="AE37" s="66"/>
      <c r="AF37" s="61" t="str">
        <f t="shared" si="7"/>
        <v>NORMAL</v>
      </c>
      <c r="AG37" s="61" t="str">
        <f t="shared" si="5"/>
        <v>NORMAL</v>
      </c>
      <c r="AH37" s="61" t="str">
        <f t="shared" si="8"/>
        <v>DISABLE</v>
      </c>
      <c r="AI37" s="67" t="str">
        <f t="shared" si="10"/>
        <v>N/A</v>
      </c>
      <c r="AJ37" s="176" t="b">
        <v>1</v>
      </c>
      <c r="AK37" s="176" t="b">
        <v>1</v>
      </c>
      <c r="AL37" s="176" t="b">
        <v>1</v>
      </c>
      <c r="AM37" s="176" t="b">
        <v>1</v>
      </c>
      <c r="AN37" s="176" t="b">
        <v>1</v>
      </c>
      <c r="AO37" s="176" t="b">
        <v>1</v>
      </c>
      <c r="AP37" s="64" t="str">
        <f t="shared" si="11"/>
        <v>VALID</v>
      </c>
      <c r="AQ37" s="211" t="s">
        <v>1392</v>
      </c>
      <c r="AR37" s="182" t="s">
        <v>3495</v>
      </c>
      <c r="AS37" s="181"/>
      <c r="AT37" s="5"/>
      <c r="AU37" s="5"/>
      <c r="AV37" s="5"/>
      <c r="AW37" s="5"/>
      <c r="AX37" s="284"/>
      <c r="AY37" s="181"/>
      <c r="AZ37" s="181"/>
      <c r="BA37" s="7"/>
      <c r="BB37" s="212"/>
      <c r="BC37" s="10" t="s">
        <v>3693</v>
      </c>
      <c r="BD37" s="238"/>
      <c r="BE37" s="239"/>
      <c r="BF37" s="239"/>
      <c r="BG37" s="239"/>
      <c r="BH37" s="239"/>
      <c r="BI37" s="239"/>
      <c r="BJ37" s="239"/>
      <c r="BK37" s="239"/>
      <c r="BL37" s="239"/>
      <c r="BM37" s="239"/>
      <c r="BN37" s="239"/>
      <c r="BO37" s="239"/>
      <c r="BP37" s="239"/>
      <c r="BQ37" s="239"/>
      <c r="BR37" s="239"/>
      <c r="BS37" s="239"/>
      <c r="BT37" s="239"/>
      <c r="BU37" s="239"/>
      <c r="BV37" s="239"/>
      <c r="BW37" s="239"/>
      <c r="BX37" s="239"/>
      <c r="BY37" s="239"/>
      <c r="BZ37" s="239"/>
      <c r="CA37" s="239"/>
      <c r="CB37" s="239"/>
      <c r="CC37" s="239"/>
      <c r="CD37" s="239"/>
      <c r="CE37" s="239"/>
    </row>
    <row r="38" spans="1:83" ht="12.95" customHeight="1">
      <c r="A38" s="21" t="s">
        <v>3325</v>
      </c>
      <c r="B38" s="21" t="s">
        <v>2443</v>
      </c>
      <c r="C38" s="51" t="s">
        <v>299</v>
      </c>
      <c r="D38" s="52" t="s">
        <v>1685</v>
      </c>
      <c r="E38" s="52" t="s">
        <v>1675</v>
      </c>
      <c r="F38" s="53" t="s">
        <v>521</v>
      </c>
      <c r="G38" s="179"/>
      <c r="H38" s="180"/>
      <c r="I38" s="55" t="s">
        <v>1391</v>
      </c>
      <c r="J38" s="55" t="s">
        <v>1429</v>
      </c>
      <c r="K38" s="56" t="s">
        <v>1429</v>
      </c>
      <c r="L38" s="54" t="s">
        <v>1580</v>
      </c>
      <c r="M38" s="55" t="s">
        <v>1590</v>
      </c>
      <c r="N38" s="55" t="s">
        <v>1580</v>
      </c>
      <c r="O38" s="55" t="s">
        <v>1429</v>
      </c>
      <c r="P38" s="56" t="s">
        <v>1429</v>
      </c>
      <c r="Q38" s="52" t="s">
        <v>743</v>
      </c>
      <c r="R38" s="52" t="s">
        <v>158</v>
      </c>
      <c r="S38" s="52" t="s">
        <v>99</v>
      </c>
      <c r="T38" s="52" t="s">
        <v>100</v>
      </c>
      <c r="U38" s="57" t="s">
        <v>99</v>
      </c>
      <c r="V38" s="146" t="s">
        <v>1686</v>
      </c>
      <c r="W38" s="51" t="s">
        <v>1677</v>
      </c>
      <c r="X38" s="130" t="s">
        <v>1429</v>
      </c>
      <c r="Y38" s="130" t="s">
        <v>1429</v>
      </c>
      <c r="Z38" s="51" t="s">
        <v>1678</v>
      </c>
      <c r="AA38" s="51" t="s">
        <v>1679</v>
      </c>
      <c r="AB38" s="51" t="s">
        <v>3664</v>
      </c>
      <c r="AC38" s="51" t="s">
        <v>1587</v>
      </c>
      <c r="AD38" s="59" t="str">
        <f t="shared" si="6"/>
        <v>I2S3</v>
      </c>
      <c r="AE38" s="66"/>
      <c r="AF38" s="61" t="str">
        <f t="shared" si="7"/>
        <v>NORMAL</v>
      </c>
      <c r="AG38" s="61" t="str">
        <f t="shared" si="5"/>
        <v>NORMAL</v>
      </c>
      <c r="AH38" s="61" t="str">
        <f t="shared" si="8"/>
        <v>DISABLE</v>
      </c>
      <c r="AI38" s="67" t="str">
        <f t="shared" si="10"/>
        <v>N/A</v>
      </c>
      <c r="AJ38" s="176" t="b">
        <v>1</v>
      </c>
      <c r="AK38" s="176" t="b">
        <v>1</v>
      </c>
      <c r="AL38" s="176" t="b">
        <v>1</v>
      </c>
      <c r="AM38" s="176" t="b">
        <v>1</v>
      </c>
      <c r="AN38" s="176" t="b">
        <v>1</v>
      </c>
      <c r="AO38" s="176" t="b">
        <v>1</v>
      </c>
      <c r="AP38" s="64" t="str">
        <f t="shared" si="11"/>
        <v>VALID</v>
      </c>
      <c r="AQ38" s="211" t="s">
        <v>1391</v>
      </c>
      <c r="AR38" s="182" t="s">
        <v>3495</v>
      </c>
      <c r="AS38" s="181"/>
      <c r="AT38" s="5"/>
      <c r="AU38" s="5"/>
      <c r="AV38" s="5"/>
      <c r="AW38" s="5"/>
      <c r="AX38" s="284"/>
      <c r="AY38" s="181"/>
      <c r="AZ38" s="181"/>
      <c r="BA38" s="7"/>
      <c r="BB38" s="212"/>
      <c r="BC38" s="10" t="s">
        <v>3694</v>
      </c>
      <c r="BD38" s="238"/>
      <c r="BE38" s="239"/>
      <c r="BF38" s="239"/>
      <c r="BG38" s="239"/>
      <c r="BH38" s="239"/>
      <c r="BI38" s="239"/>
      <c r="BJ38" s="239"/>
      <c r="BK38" s="239"/>
      <c r="BL38" s="239"/>
      <c r="BM38" s="239"/>
      <c r="BN38" s="239"/>
      <c r="BO38" s="239"/>
      <c r="BP38" s="239"/>
      <c r="BQ38" s="239"/>
      <c r="BR38" s="239"/>
      <c r="BS38" s="239"/>
      <c r="BT38" s="239"/>
      <c r="BU38" s="239"/>
      <c r="BV38" s="239"/>
      <c r="BW38" s="239"/>
      <c r="BX38" s="239"/>
      <c r="BY38" s="239"/>
      <c r="BZ38" s="239"/>
      <c r="CA38" s="239"/>
      <c r="CB38" s="239"/>
      <c r="CC38" s="239"/>
      <c r="CD38" s="239"/>
      <c r="CE38" s="239"/>
    </row>
    <row r="39" spans="1:83" ht="12.95" customHeight="1">
      <c r="A39" s="1"/>
      <c r="B39" s="1"/>
      <c r="C39" s="51" t="s">
        <v>920</v>
      </c>
      <c r="D39" s="52" t="s">
        <v>1687</v>
      </c>
      <c r="E39" s="52" t="s">
        <v>1688</v>
      </c>
      <c r="F39" s="53" t="s">
        <v>1213</v>
      </c>
      <c r="G39" s="179" t="s">
        <v>1498</v>
      </c>
      <c r="H39" s="180"/>
      <c r="I39" s="55"/>
      <c r="J39" s="55" t="s">
        <v>1429</v>
      </c>
      <c r="K39" s="56" t="s">
        <v>1429</v>
      </c>
      <c r="L39" s="54" t="s">
        <v>1580</v>
      </c>
      <c r="M39" s="55" t="s">
        <v>1581</v>
      </c>
      <c r="N39" s="55" t="s">
        <v>1581</v>
      </c>
      <c r="O39" s="55" t="s">
        <v>1429</v>
      </c>
      <c r="P39" s="56" t="s">
        <v>1429</v>
      </c>
      <c r="Q39" s="52" t="s">
        <v>1354</v>
      </c>
      <c r="R39" s="52" t="s">
        <v>1355</v>
      </c>
      <c r="S39" s="52" t="s">
        <v>99</v>
      </c>
      <c r="T39" s="52" t="s">
        <v>100</v>
      </c>
      <c r="U39" s="57" t="s">
        <v>99</v>
      </c>
      <c r="V39" s="146" t="s">
        <v>1689</v>
      </c>
      <c r="W39" s="51" t="s">
        <v>1677</v>
      </c>
      <c r="X39" s="130" t="s">
        <v>1690</v>
      </c>
      <c r="Y39" s="130" t="s">
        <v>1429</v>
      </c>
      <c r="Z39" s="51" t="s">
        <v>1678</v>
      </c>
      <c r="AA39" s="51" t="s">
        <v>1679</v>
      </c>
      <c r="AB39" s="51" t="s">
        <v>3664</v>
      </c>
      <c r="AC39" s="51" t="s">
        <v>1587</v>
      </c>
      <c r="AD39" s="59" t="str">
        <f t="shared" si="6"/>
        <v>GPIO_PM5</v>
      </c>
      <c r="AE39" s="66"/>
      <c r="AF39" s="61" t="str">
        <f t="shared" si="7"/>
        <v>PULL_UP</v>
      </c>
      <c r="AG39" s="61" t="str">
        <f t="shared" si="5"/>
        <v>TRISTATE</v>
      </c>
      <c r="AH39" s="61" t="str">
        <f t="shared" si="8"/>
        <v>ENABLE</v>
      </c>
      <c r="AI39" s="67" t="str">
        <f t="shared" si="10"/>
        <v/>
      </c>
      <c r="AJ39" s="176" t="b">
        <v>1</v>
      </c>
      <c r="AK39" s="176" t="b">
        <v>1</v>
      </c>
      <c r="AL39" s="176" t="b">
        <v>1</v>
      </c>
      <c r="AM39" s="176" t="b">
        <v>1</v>
      </c>
      <c r="AN39" s="176" t="b">
        <v>1</v>
      </c>
      <c r="AO39" s="176" t="b">
        <v>1</v>
      </c>
      <c r="AP39" s="64" t="str">
        <f t="shared" si="11"/>
        <v>VALID</v>
      </c>
      <c r="AQ39" s="341" t="s">
        <v>1498</v>
      </c>
      <c r="AR39" s="336" t="s">
        <v>3496</v>
      </c>
      <c r="AS39" s="337" t="s">
        <v>3497</v>
      </c>
      <c r="AT39" s="337" t="s">
        <v>3499</v>
      </c>
      <c r="AU39" s="342"/>
      <c r="AV39" s="342"/>
      <c r="AW39" s="342"/>
      <c r="AX39" s="342"/>
      <c r="AY39" s="337"/>
      <c r="AZ39" s="337"/>
      <c r="BA39" s="343"/>
      <c r="BB39" s="338"/>
      <c r="BC39" s="344" t="s">
        <v>3511</v>
      </c>
      <c r="BD39" s="238"/>
      <c r="BE39" s="239"/>
      <c r="BF39" s="239"/>
      <c r="BG39" s="239"/>
      <c r="BH39" s="239"/>
      <c r="BI39" s="239"/>
      <c r="BJ39" s="239"/>
      <c r="BK39" s="239"/>
      <c r="BL39" s="239"/>
      <c r="BM39" s="239"/>
      <c r="BN39" s="239"/>
      <c r="BO39" s="239"/>
      <c r="BP39" s="239"/>
      <c r="BQ39" s="239"/>
      <c r="BR39" s="239"/>
      <c r="BS39" s="239"/>
      <c r="BT39" s="239"/>
      <c r="BU39" s="239"/>
      <c r="BV39" s="239"/>
      <c r="BW39" s="239"/>
      <c r="BX39" s="239"/>
      <c r="BY39" s="239"/>
      <c r="BZ39" s="239"/>
      <c r="CA39" s="239"/>
      <c r="CB39" s="239"/>
      <c r="CC39" s="239"/>
      <c r="CD39" s="239"/>
      <c r="CE39" s="239"/>
    </row>
    <row r="40" spans="1:83" ht="12.95" customHeight="1">
      <c r="A40" s="1"/>
      <c r="B40" s="1"/>
      <c r="C40" s="51" t="s">
        <v>921</v>
      </c>
      <c r="D40" s="52" t="s">
        <v>1691</v>
      </c>
      <c r="E40" s="52" t="s">
        <v>1692</v>
      </c>
      <c r="F40" s="53" t="s">
        <v>1214</v>
      </c>
      <c r="G40" s="179" t="s">
        <v>1499</v>
      </c>
      <c r="H40" s="180"/>
      <c r="I40" s="55"/>
      <c r="J40" s="55" t="s">
        <v>1429</v>
      </c>
      <c r="K40" s="56" t="s">
        <v>1429</v>
      </c>
      <c r="L40" s="54" t="s">
        <v>1580</v>
      </c>
      <c r="M40" s="55" t="s">
        <v>1590</v>
      </c>
      <c r="N40" s="55" t="s">
        <v>1581</v>
      </c>
      <c r="O40" s="55" t="s">
        <v>1429</v>
      </c>
      <c r="P40" s="56" t="s">
        <v>1429</v>
      </c>
      <c r="Q40" s="52" t="s">
        <v>1354</v>
      </c>
      <c r="R40" s="52" t="s">
        <v>1355</v>
      </c>
      <c r="S40" s="52" t="s">
        <v>99</v>
      </c>
      <c r="T40" s="52" t="s">
        <v>100</v>
      </c>
      <c r="U40" s="57" t="s">
        <v>99</v>
      </c>
      <c r="V40" s="146" t="s">
        <v>1693</v>
      </c>
      <c r="W40" s="51" t="s">
        <v>1677</v>
      </c>
      <c r="X40" s="130" t="s">
        <v>1429</v>
      </c>
      <c r="Y40" s="130" t="s">
        <v>1429</v>
      </c>
      <c r="Z40" s="51" t="s">
        <v>1678</v>
      </c>
      <c r="AA40" s="51" t="s">
        <v>1679</v>
      </c>
      <c r="AB40" s="51" t="s">
        <v>3664</v>
      </c>
      <c r="AC40" s="51" t="s">
        <v>1587</v>
      </c>
      <c r="AD40" s="59" t="str">
        <f t="shared" si="6"/>
        <v>GPIO_PM4</v>
      </c>
      <c r="AE40" s="66"/>
      <c r="AF40" s="61" t="str">
        <f t="shared" si="7"/>
        <v>NORMAL</v>
      </c>
      <c r="AG40" s="61" t="str">
        <f t="shared" si="5"/>
        <v>NORMAL</v>
      </c>
      <c r="AH40" s="61" t="str">
        <f t="shared" si="8"/>
        <v>DISABLE</v>
      </c>
      <c r="AI40" s="67" t="str">
        <f t="shared" si="10"/>
        <v>0</v>
      </c>
      <c r="AJ40" s="176" t="b">
        <v>1</v>
      </c>
      <c r="AK40" s="176" t="b">
        <v>1</v>
      </c>
      <c r="AL40" s="176" t="b">
        <v>1</v>
      </c>
      <c r="AM40" s="176" t="b">
        <v>1</v>
      </c>
      <c r="AN40" s="176" t="b">
        <v>1</v>
      </c>
      <c r="AO40" s="176" t="b">
        <v>1</v>
      </c>
      <c r="AP40" s="64" t="str">
        <f t="shared" si="11"/>
        <v>VALID</v>
      </c>
      <c r="AQ40" s="341" t="s">
        <v>1499</v>
      </c>
      <c r="AR40" s="336" t="s">
        <v>3495</v>
      </c>
      <c r="AS40" s="337" t="s">
        <v>3500</v>
      </c>
      <c r="AT40" s="342"/>
      <c r="AU40" s="342"/>
      <c r="AV40" s="342"/>
      <c r="AW40" s="342"/>
      <c r="AX40" s="342"/>
      <c r="AY40" s="337"/>
      <c r="AZ40" s="337"/>
      <c r="BA40" s="343"/>
      <c r="BB40" s="338"/>
      <c r="BC40" s="344" t="s">
        <v>3512</v>
      </c>
      <c r="BD40" s="238"/>
      <c r="BE40" s="239"/>
      <c r="BF40" s="239"/>
      <c r="BG40" s="239"/>
      <c r="BH40" s="239"/>
      <c r="BI40" s="239"/>
      <c r="BJ40" s="239"/>
      <c r="BK40" s="239"/>
      <c r="BL40" s="239"/>
      <c r="BM40" s="239"/>
      <c r="BN40" s="239"/>
      <c r="BO40" s="239"/>
      <c r="BP40" s="239"/>
      <c r="BQ40" s="239"/>
      <c r="BR40" s="239"/>
      <c r="BS40" s="239"/>
      <c r="BT40" s="239"/>
      <c r="BU40" s="239"/>
      <c r="BV40" s="239"/>
      <c r="BW40" s="239"/>
      <c r="BX40" s="239"/>
      <c r="BY40" s="239"/>
      <c r="BZ40" s="239"/>
      <c r="CA40" s="239"/>
      <c r="CB40" s="239"/>
      <c r="CC40" s="239"/>
      <c r="CD40" s="239"/>
      <c r="CE40" s="239"/>
    </row>
    <row r="41" spans="1:83" ht="12.95" customHeight="1">
      <c r="A41" s="21" t="s">
        <v>3329</v>
      </c>
      <c r="B41" s="21" t="s">
        <v>2296</v>
      </c>
      <c r="C41" s="51" t="s">
        <v>39</v>
      </c>
      <c r="D41" s="52" t="s">
        <v>1694</v>
      </c>
      <c r="E41" s="52" t="s">
        <v>1695</v>
      </c>
      <c r="F41" s="53" t="s">
        <v>162</v>
      </c>
      <c r="G41" s="179"/>
      <c r="H41" s="180" t="s">
        <v>1500</v>
      </c>
      <c r="I41" s="55" t="s">
        <v>1429</v>
      </c>
      <c r="J41" s="55" t="s">
        <v>1429</v>
      </c>
      <c r="K41" s="56" t="s">
        <v>1429</v>
      </c>
      <c r="L41" s="54" t="s">
        <v>1580</v>
      </c>
      <c r="M41" s="55" t="s">
        <v>1580</v>
      </c>
      <c r="N41" s="55" t="s">
        <v>1429</v>
      </c>
      <c r="O41" s="55" t="s">
        <v>1429</v>
      </c>
      <c r="P41" s="56" t="s">
        <v>1429</v>
      </c>
      <c r="Q41" s="52" t="s">
        <v>1356</v>
      </c>
      <c r="R41" s="52" t="s">
        <v>113</v>
      </c>
      <c r="S41" s="52" t="s">
        <v>99</v>
      </c>
      <c r="T41" s="52" t="s">
        <v>100</v>
      </c>
      <c r="U41" s="57" t="s">
        <v>113</v>
      </c>
      <c r="V41" s="146" t="s">
        <v>1696</v>
      </c>
      <c r="W41" s="51" t="s">
        <v>1677</v>
      </c>
      <c r="X41" s="130" t="s">
        <v>1429</v>
      </c>
      <c r="Y41" s="130" t="s">
        <v>1429</v>
      </c>
      <c r="Z41" s="51" t="s">
        <v>1678</v>
      </c>
      <c r="AA41" s="51" t="s">
        <v>1679</v>
      </c>
      <c r="AB41" s="51" t="s">
        <v>3664</v>
      </c>
      <c r="AC41" s="51" t="s">
        <v>1587</v>
      </c>
      <c r="AD41" s="59" t="str">
        <f t="shared" si="6"/>
        <v>I2S4</v>
      </c>
      <c r="AE41" s="66"/>
      <c r="AF41" s="61" t="str">
        <f t="shared" si="7"/>
        <v>NORMAL</v>
      </c>
      <c r="AG41" s="61" t="str">
        <f t="shared" si="5"/>
        <v>NORMAL</v>
      </c>
      <c r="AH41" s="61" t="str">
        <f t="shared" si="8"/>
        <v>DISABLE</v>
      </c>
      <c r="AI41" s="67" t="str">
        <f t="shared" si="10"/>
        <v>N/A</v>
      </c>
      <c r="AJ41" s="176" t="b">
        <v>1</v>
      </c>
      <c r="AK41" s="176" t="b">
        <v>1</v>
      </c>
      <c r="AL41" s="176" t="b">
        <v>1</v>
      </c>
      <c r="AM41" s="176" t="b">
        <v>1</v>
      </c>
      <c r="AN41" s="176" t="b">
        <v>1</v>
      </c>
      <c r="AO41" s="176" t="b">
        <v>1</v>
      </c>
      <c r="AP41" s="64" t="str">
        <f t="shared" si="11"/>
        <v>VALID</v>
      </c>
      <c r="AQ41" s="211" t="s">
        <v>1500</v>
      </c>
      <c r="AR41" s="182" t="s">
        <v>3495</v>
      </c>
      <c r="AS41" s="181"/>
      <c r="AT41" s="5"/>
      <c r="AU41" s="5"/>
      <c r="AV41" s="5"/>
      <c r="AW41" s="5"/>
      <c r="AX41" s="284"/>
      <c r="AY41" s="181"/>
      <c r="AZ41" s="181"/>
      <c r="BA41" s="7"/>
      <c r="BB41" s="212"/>
      <c r="BC41" s="10" t="s">
        <v>3695</v>
      </c>
      <c r="BD41" s="238"/>
      <c r="BE41" s="239"/>
      <c r="BF41" s="239"/>
      <c r="BG41" s="239"/>
      <c r="BH41" s="239"/>
      <c r="BI41" s="239"/>
      <c r="BJ41" s="239"/>
      <c r="BK41" s="239"/>
      <c r="BL41" s="239"/>
      <c r="BM41" s="239"/>
      <c r="BN41" s="239"/>
      <c r="BO41" s="239"/>
      <c r="BP41" s="239"/>
      <c r="BQ41" s="239"/>
      <c r="BR41" s="239"/>
      <c r="BS41" s="239"/>
      <c r="BT41" s="239"/>
      <c r="BU41" s="239"/>
      <c r="BV41" s="239"/>
      <c r="BW41" s="239"/>
      <c r="BX41" s="239"/>
      <c r="BY41" s="239"/>
      <c r="BZ41" s="239"/>
      <c r="CA41" s="239"/>
      <c r="CB41" s="239"/>
      <c r="CC41" s="239"/>
      <c r="CD41" s="239"/>
      <c r="CE41" s="239"/>
    </row>
    <row r="42" spans="1:83" ht="12.95" customHeight="1">
      <c r="A42" s="21" t="s">
        <v>3332</v>
      </c>
      <c r="B42" s="21" t="s">
        <v>2299</v>
      </c>
      <c r="C42" s="51" t="s">
        <v>37</v>
      </c>
      <c r="D42" s="52" t="s">
        <v>1697</v>
      </c>
      <c r="E42" s="52" t="s">
        <v>1698</v>
      </c>
      <c r="F42" s="53" t="s">
        <v>160</v>
      </c>
      <c r="G42" s="179"/>
      <c r="H42" s="180" t="s">
        <v>1501</v>
      </c>
      <c r="I42" s="55" t="s">
        <v>1429</v>
      </c>
      <c r="J42" s="55" t="s">
        <v>1429</v>
      </c>
      <c r="K42" s="56" t="s">
        <v>1429</v>
      </c>
      <c r="L42" s="54" t="s">
        <v>1580</v>
      </c>
      <c r="M42" s="55" t="s">
        <v>1580</v>
      </c>
      <c r="N42" s="55" t="s">
        <v>1429</v>
      </c>
      <c r="O42" s="55" t="s">
        <v>1429</v>
      </c>
      <c r="P42" s="56" t="s">
        <v>1429</v>
      </c>
      <c r="Q42" s="52" t="s">
        <v>1356</v>
      </c>
      <c r="R42" s="52" t="s">
        <v>113</v>
      </c>
      <c r="S42" s="52" t="s">
        <v>99</v>
      </c>
      <c r="T42" s="52" t="s">
        <v>100</v>
      </c>
      <c r="U42" s="57" t="s">
        <v>113</v>
      </c>
      <c r="V42" s="146" t="s">
        <v>1699</v>
      </c>
      <c r="W42" s="51" t="s">
        <v>1677</v>
      </c>
      <c r="X42" s="130" t="s">
        <v>1429</v>
      </c>
      <c r="Y42" s="130" t="s">
        <v>1429</v>
      </c>
      <c r="Z42" s="51" t="s">
        <v>1678</v>
      </c>
      <c r="AA42" s="51" t="s">
        <v>1679</v>
      </c>
      <c r="AB42" s="51" t="s">
        <v>3664</v>
      </c>
      <c r="AC42" s="51" t="s">
        <v>1587</v>
      </c>
      <c r="AD42" s="59" t="str">
        <f t="shared" si="6"/>
        <v>I2S4</v>
      </c>
      <c r="AE42" s="66"/>
      <c r="AF42" s="61" t="str">
        <f t="shared" si="7"/>
        <v>NORMAL</v>
      </c>
      <c r="AG42" s="61" t="str">
        <f t="shared" si="5"/>
        <v>NORMAL</v>
      </c>
      <c r="AH42" s="61" t="str">
        <f t="shared" si="8"/>
        <v>DISABLE</v>
      </c>
      <c r="AI42" s="67" t="str">
        <f t="shared" si="10"/>
        <v>N/A</v>
      </c>
      <c r="AJ42" s="176" t="b">
        <v>1</v>
      </c>
      <c r="AK42" s="176" t="b">
        <v>1</v>
      </c>
      <c r="AL42" s="176" t="b">
        <v>1</v>
      </c>
      <c r="AM42" s="176" t="b">
        <v>1</v>
      </c>
      <c r="AN42" s="176" t="b">
        <v>1</v>
      </c>
      <c r="AO42" s="176" t="b">
        <v>1</v>
      </c>
      <c r="AP42" s="64" t="str">
        <f t="shared" si="11"/>
        <v>VALID</v>
      </c>
      <c r="AQ42" s="211" t="s">
        <v>1501</v>
      </c>
      <c r="AR42" s="182" t="s">
        <v>3495</v>
      </c>
      <c r="AS42" s="181"/>
      <c r="AT42" s="5"/>
      <c r="AU42" s="5"/>
      <c r="AV42" s="5"/>
      <c r="AW42" s="5"/>
      <c r="AX42" s="284"/>
      <c r="AY42" s="181"/>
      <c r="AZ42" s="181"/>
      <c r="BA42" s="7"/>
      <c r="BB42" s="212"/>
      <c r="BC42" s="10" t="s">
        <v>3696</v>
      </c>
      <c r="BD42" s="238"/>
      <c r="BE42" s="239"/>
      <c r="BF42" s="239"/>
      <c r="BG42" s="239"/>
      <c r="BH42" s="239"/>
      <c r="BI42" s="239"/>
      <c r="BJ42" s="239"/>
      <c r="BK42" s="239"/>
      <c r="BL42" s="239"/>
      <c r="BM42" s="239"/>
      <c r="BN42" s="239"/>
      <c r="BO42" s="239"/>
      <c r="BP42" s="239"/>
      <c r="BQ42" s="239"/>
      <c r="BR42" s="239"/>
      <c r="BS42" s="239"/>
      <c r="BT42" s="239"/>
      <c r="BU42" s="239"/>
      <c r="BV42" s="239"/>
      <c r="BW42" s="239"/>
      <c r="BX42" s="239"/>
      <c r="BY42" s="239"/>
      <c r="BZ42" s="239"/>
      <c r="CA42" s="239"/>
      <c r="CB42" s="239"/>
      <c r="CC42" s="239"/>
      <c r="CD42" s="239"/>
      <c r="CE42" s="239"/>
    </row>
    <row r="43" spans="1:83" ht="12.95" customHeight="1">
      <c r="A43" s="21" t="s">
        <v>3331</v>
      </c>
      <c r="B43" s="21" t="s">
        <v>2442</v>
      </c>
      <c r="C43" s="51" t="s">
        <v>36</v>
      </c>
      <c r="D43" s="52" t="s">
        <v>1700</v>
      </c>
      <c r="E43" s="52" t="s">
        <v>1701</v>
      </c>
      <c r="F43" s="53" t="s">
        <v>159</v>
      </c>
      <c r="G43" s="179"/>
      <c r="H43" s="180" t="s">
        <v>1502</v>
      </c>
      <c r="I43" s="55" t="s">
        <v>1429</v>
      </c>
      <c r="J43" s="55" t="s">
        <v>1429</v>
      </c>
      <c r="K43" s="56" t="s">
        <v>1429</v>
      </c>
      <c r="L43" s="54" t="s">
        <v>1580</v>
      </c>
      <c r="M43" s="55" t="s">
        <v>1590</v>
      </c>
      <c r="N43" s="55" t="s">
        <v>1429</v>
      </c>
      <c r="O43" s="55" t="s">
        <v>1429</v>
      </c>
      <c r="P43" s="56" t="s">
        <v>1429</v>
      </c>
      <c r="Q43" s="52" t="s">
        <v>1356</v>
      </c>
      <c r="R43" s="52" t="s">
        <v>113</v>
      </c>
      <c r="S43" s="52" t="s">
        <v>99</v>
      </c>
      <c r="T43" s="52" t="s">
        <v>100</v>
      </c>
      <c r="U43" s="57" t="s">
        <v>113</v>
      </c>
      <c r="V43" s="146" t="s">
        <v>1702</v>
      </c>
      <c r="W43" s="51" t="s">
        <v>1677</v>
      </c>
      <c r="X43" s="130" t="s">
        <v>1429</v>
      </c>
      <c r="Y43" s="130" t="s">
        <v>1429</v>
      </c>
      <c r="Z43" s="51" t="s">
        <v>1678</v>
      </c>
      <c r="AA43" s="51" t="s">
        <v>1679</v>
      </c>
      <c r="AB43" s="51" t="s">
        <v>3664</v>
      </c>
      <c r="AC43" s="51" t="s">
        <v>1587</v>
      </c>
      <c r="AD43" s="59" t="str">
        <f t="shared" si="6"/>
        <v>I2S4</v>
      </c>
      <c r="AE43" s="66"/>
      <c r="AF43" s="61" t="str">
        <f t="shared" si="7"/>
        <v>PULL_UP</v>
      </c>
      <c r="AG43" s="61" t="str">
        <f t="shared" si="5"/>
        <v>TRISTATE</v>
      </c>
      <c r="AH43" s="61" t="str">
        <f t="shared" si="8"/>
        <v>ENABLE</v>
      </c>
      <c r="AI43" s="67" t="str">
        <f t="shared" si="10"/>
        <v>N/A</v>
      </c>
      <c r="AJ43" s="176" t="b">
        <v>1</v>
      </c>
      <c r="AK43" s="176" t="b">
        <v>1</v>
      </c>
      <c r="AL43" s="176" t="b">
        <v>1</v>
      </c>
      <c r="AM43" s="176" t="b">
        <v>1</v>
      </c>
      <c r="AN43" s="176" t="b">
        <v>1</v>
      </c>
      <c r="AO43" s="176" t="b">
        <v>1</v>
      </c>
      <c r="AP43" s="64" t="str">
        <f t="shared" si="11"/>
        <v>VALID</v>
      </c>
      <c r="AQ43" s="211" t="s">
        <v>1502</v>
      </c>
      <c r="AR43" s="182" t="s">
        <v>3496</v>
      </c>
      <c r="AS43" s="181" t="s">
        <v>3497</v>
      </c>
      <c r="AT43" s="5"/>
      <c r="AU43" s="5"/>
      <c r="AV43" s="5"/>
      <c r="AW43" s="5"/>
      <c r="AX43" s="284"/>
      <c r="AY43" s="181"/>
      <c r="AZ43" s="181"/>
      <c r="BA43" s="7"/>
      <c r="BB43" s="212"/>
      <c r="BC43" s="10" t="s">
        <v>3697</v>
      </c>
      <c r="BD43" s="238"/>
      <c r="BE43" s="239"/>
      <c r="BF43" s="239"/>
      <c r="BG43" s="239"/>
      <c r="BH43" s="239"/>
      <c r="BI43" s="239"/>
      <c r="BJ43" s="239"/>
      <c r="BK43" s="239"/>
      <c r="BL43" s="239"/>
      <c r="BM43" s="239"/>
      <c r="BN43" s="239"/>
      <c r="BO43" s="239"/>
      <c r="BP43" s="239"/>
      <c r="BQ43" s="239"/>
      <c r="BR43" s="239"/>
      <c r="BS43" s="239"/>
      <c r="BT43" s="239"/>
      <c r="BU43" s="239"/>
      <c r="BV43" s="239"/>
      <c r="BW43" s="239"/>
      <c r="BX43" s="239"/>
      <c r="BY43" s="239"/>
      <c r="BZ43" s="239"/>
      <c r="CA43" s="239"/>
      <c r="CB43" s="239"/>
      <c r="CC43" s="239"/>
      <c r="CD43" s="239"/>
      <c r="CE43" s="239"/>
    </row>
    <row r="44" spans="1:83" ht="12.95" customHeight="1">
      <c r="A44" s="21" t="s">
        <v>3330</v>
      </c>
      <c r="B44" s="21" t="s">
        <v>2257</v>
      </c>
      <c r="C44" s="51" t="s">
        <v>38</v>
      </c>
      <c r="D44" s="52" t="s">
        <v>1703</v>
      </c>
      <c r="E44" s="52" t="s">
        <v>1704</v>
      </c>
      <c r="F44" s="53" t="s">
        <v>161</v>
      </c>
      <c r="G44" s="179"/>
      <c r="H44" s="180" t="s">
        <v>1503</v>
      </c>
      <c r="I44" s="55" t="s">
        <v>1429</v>
      </c>
      <c r="J44" s="55" t="s">
        <v>1429</v>
      </c>
      <c r="K44" s="56" t="s">
        <v>1429</v>
      </c>
      <c r="L44" s="54" t="s">
        <v>1580</v>
      </c>
      <c r="M44" s="55" t="s">
        <v>1580</v>
      </c>
      <c r="N44" s="55" t="s">
        <v>1429</v>
      </c>
      <c r="O44" s="55" t="s">
        <v>1429</v>
      </c>
      <c r="P44" s="56" t="s">
        <v>1429</v>
      </c>
      <c r="Q44" s="52" t="s">
        <v>1356</v>
      </c>
      <c r="R44" s="52" t="s">
        <v>113</v>
      </c>
      <c r="S44" s="52" t="s">
        <v>99</v>
      </c>
      <c r="T44" s="52" t="s">
        <v>100</v>
      </c>
      <c r="U44" s="57" t="s">
        <v>113</v>
      </c>
      <c r="V44" s="189" t="s">
        <v>1705</v>
      </c>
      <c r="W44" s="51" t="s">
        <v>1677</v>
      </c>
      <c r="X44" s="130" t="s">
        <v>1429</v>
      </c>
      <c r="Y44" s="130" t="s">
        <v>1429</v>
      </c>
      <c r="Z44" s="51" t="s">
        <v>1678</v>
      </c>
      <c r="AA44" s="51" t="s">
        <v>1679</v>
      </c>
      <c r="AB44" s="51" t="s">
        <v>3664</v>
      </c>
      <c r="AC44" s="51" t="s">
        <v>1587</v>
      </c>
      <c r="AD44" s="59" t="str">
        <f t="shared" si="6"/>
        <v>I2S4</v>
      </c>
      <c r="AE44" s="66"/>
      <c r="AF44" s="61" t="str">
        <f t="shared" si="7"/>
        <v>NORMAL</v>
      </c>
      <c r="AG44" s="61" t="str">
        <f t="shared" si="5"/>
        <v>NORMAL</v>
      </c>
      <c r="AH44" s="61" t="str">
        <f t="shared" si="8"/>
        <v>DISABLE</v>
      </c>
      <c r="AI44" s="67" t="str">
        <f t="shared" si="10"/>
        <v>N/A</v>
      </c>
      <c r="AJ44" s="176" t="b">
        <v>1</v>
      </c>
      <c r="AK44" s="176" t="b">
        <v>1</v>
      </c>
      <c r="AL44" s="176" t="b">
        <v>1</v>
      </c>
      <c r="AM44" s="176" t="b">
        <v>1</v>
      </c>
      <c r="AN44" s="176" t="b">
        <v>1</v>
      </c>
      <c r="AO44" s="176" t="b">
        <v>1</v>
      </c>
      <c r="AP44" s="64" t="str">
        <f t="shared" si="11"/>
        <v>VALID</v>
      </c>
      <c r="AQ44" s="211" t="s">
        <v>1503</v>
      </c>
      <c r="AR44" s="182" t="s">
        <v>3495</v>
      </c>
      <c r="AS44" s="181"/>
      <c r="AT44" s="5"/>
      <c r="AU44" s="5"/>
      <c r="AV44" s="5"/>
      <c r="AW44" s="5"/>
      <c r="AX44" s="284"/>
      <c r="AY44" s="181"/>
      <c r="AZ44" s="181"/>
      <c r="BA44" s="7"/>
      <c r="BB44" s="212"/>
      <c r="BC44" s="10" t="s">
        <v>3698</v>
      </c>
      <c r="BD44" s="238"/>
      <c r="BE44" s="239"/>
      <c r="BF44" s="239"/>
      <c r="BG44" s="239"/>
      <c r="BH44" s="239"/>
      <c r="BI44" s="239"/>
      <c r="BJ44" s="239"/>
      <c r="BK44" s="239"/>
      <c r="BL44" s="239"/>
      <c r="BM44" s="239"/>
      <c r="BN44" s="239"/>
      <c r="BO44" s="239"/>
      <c r="BP44" s="239"/>
      <c r="BQ44" s="239"/>
      <c r="BR44" s="239"/>
      <c r="BS44" s="239"/>
      <c r="BT44" s="239"/>
      <c r="BU44" s="239"/>
      <c r="BV44" s="239"/>
      <c r="BW44" s="239"/>
      <c r="BX44" s="239"/>
      <c r="BY44" s="239"/>
      <c r="BZ44" s="239"/>
      <c r="CA44" s="239"/>
      <c r="CB44" s="239"/>
      <c r="CC44" s="239"/>
      <c r="CD44" s="239"/>
      <c r="CE44" s="239"/>
    </row>
    <row r="45" spans="1:83" s="50" customFormat="1" ht="18" customHeight="1">
      <c r="A45" s="44" t="s">
        <v>922</v>
      </c>
      <c r="B45" s="44"/>
      <c r="C45" s="44"/>
      <c r="D45" s="45"/>
      <c r="E45" s="45"/>
      <c r="F45" s="45"/>
      <c r="G45" s="46"/>
      <c r="H45" s="46"/>
      <c r="I45" s="46"/>
      <c r="J45" s="46"/>
      <c r="K45" s="46"/>
      <c r="L45" s="45"/>
      <c r="M45" s="45"/>
      <c r="N45" s="45"/>
      <c r="O45" s="45"/>
      <c r="P45" s="45"/>
      <c r="Q45" s="45"/>
      <c r="R45" s="45"/>
      <c r="S45" s="45"/>
      <c r="T45" s="45"/>
      <c r="U45" s="45"/>
      <c r="V45" s="45"/>
      <c r="W45" s="45"/>
      <c r="X45" s="129"/>
      <c r="Y45" s="129"/>
      <c r="Z45" s="47"/>
      <c r="AA45" s="47"/>
      <c r="AB45" s="47"/>
      <c r="AC45" s="47"/>
      <c r="AD45" s="47"/>
      <c r="AE45" s="47"/>
      <c r="AF45" s="47"/>
      <c r="AG45" s="47"/>
      <c r="AH45" s="47"/>
      <c r="AI45" s="47"/>
      <c r="AJ45" s="47"/>
      <c r="AK45" s="47"/>
      <c r="AL45" s="47"/>
      <c r="AM45" s="47"/>
      <c r="AN45" s="47"/>
      <c r="AO45" s="47"/>
      <c r="AP45" s="47"/>
      <c r="AQ45" s="72"/>
      <c r="AR45" s="72"/>
      <c r="AS45" s="241"/>
      <c r="AT45" s="241"/>
      <c r="AU45" s="241"/>
      <c r="AV45" s="241"/>
      <c r="AW45" s="241"/>
      <c r="AX45" s="285"/>
      <c r="AY45" s="241"/>
      <c r="AZ45" s="241"/>
      <c r="BA45" s="241"/>
      <c r="BB45" s="168" t="s">
        <v>49</v>
      </c>
      <c r="BC45" s="242"/>
      <c r="BD45" s="245"/>
      <c r="BE45" s="243"/>
      <c r="BF45" s="243"/>
      <c r="BG45" s="243"/>
      <c r="BH45" s="243"/>
      <c r="BI45" s="243"/>
      <c r="BJ45" s="243"/>
      <c r="BK45" s="243"/>
      <c r="BL45" s="243"/>
      <c r="BM45" s="243"/>
      <c r="BN45" s="243"/>
      <c r="BO45" s="243"/>
      <c r="BP45" s="243"/>
      <c r="BQ45" s="243"/>
      <c r="BR45" s="243"/>
      <c r="BS45" s="243"/>
      <c r="BT45" s="243"/>
      <c r="BU45" s="243"/>
      <c r="BV45" s="243"/>
      <c r="BW45" s="243"/>
      <c r="BX45" s="243"/>
      <c r="BY45" s="243"/>
      <c r="BZ45" s="243"/>
      <c r="CA45" s="243"/>
      <c r="CB45" s="243"/>
      <c r="CC45" s="243"/>
      <c r="CD45" s="243"/>
      <c r="CE45" s="243"/>
    </row>
    <row r="46" spans="1:83" ht="12.95" customHeight="1">
      <c r="A46" s="208"/>
      <c r="B46" s="208"/>
      <c r="C46" s="2" t="s">
        <v>923</v>
      </c>
      <c r="D46" s="52" t="s">
        <v>1706</v>
      </c>
      <c r="E46" s="52" t="s">
        <v>1707</v>
      </c>
      <c r="F46" s="53" t="s">
        <v>1215</v>
      </c>
      <c r="G46" s="179"/>
      <c r="H46" s="180" t="s">
        <v>1429</v>
      </c>
      <c r="I46" s="55"/>
      <c r="J46" s="55" t="s">
        <v>1393</v>
      </c>
      <c r="K46" s="56" t="s">
        <v>1429</v>
      </c>
      <c r="L46" s="54" t="s">
        <v>1580</v>
      </c>
      <c r="M46" s="55" t="s">
        <v>1429</v>
      </c>
      <c r="N46" s="55" t="s">
        <v>1590</v>
      </c>
      <c r="O46" s="55" t="s">
        <v>1580</v>
      </c>
      <c r="P46" s="56" t="s">
        <v>1429</v>
      </c>
      <c r="Q46" s="52" t="s">
        <v>755</v>
      </c>
      <c r="R46" s="52" t="s">
        <v>751</v>
      </c>
      <c r="S46" s="52" t="s">
        <v>1357</v>
      </c>
      <c r="T46" s="52" t="s">
        <v>100</v>
      </c>
      <c r="U46" s="57" t="s">
        <v>755</v>
      </c>
      <c r="V46" s="145" t="s">
        <v>1708</v>
      </c>
      <c r="W46" s="51" t="s">
        <v>1709</v>
      </c>
      <c r="X46" s="130" t="s">
        <v>1429</v>
      </c>
      <c r="Y46" s="130" t="s">
        <v>1429</v>
      </c>
      <c r="Z46" s="51" t="s">
        <v>1678</v>
      </c>
      <c r="AA46" s="51" t="s">
        <v>1710</v>
      </c>
      <c r="AB46" s="51" t="s">
        <v>3664</v>
      </c>
      <c r="AC46" s="51" t="s">
        <v>1587</v>
      </c>
      <c r="AD46" s="59" t="str">
        <f t="shared" si="6"/>
        <v>I2S6</v>
      </c>
      <c r="AE46" s="66"/>
      <c r="AF46" s="61" t="str">
        <f t="shared" si="7"/>
        <v>PULL_DOWN</v>
      </c>
      <c r="AG46" s="61" t="str">
        <f t="shared" si="5"/>
        <v>NORMAL</v>
      </c>
      <c r="AH46" s="61" t="str">
        <f t="shared" si="8"/>
        <v>DISABLE</v>
      </c>
      <c r="AI46" s="67" t="str">
        <f t="shared" si="10"/>
        <v>N/A</v>
      </c>
      <c r="AJ46" s="176" t="b">
        <v>1</v>
      </c>
      <c r="AK46" s="176" t="b">
        <v>1</v>
      </c>
      <c r="AL46" s="176" t="b">
        <v>1</v>
      </c>
      <c r="AM46" s="176" t="b">
        <v>1</v>
      </c>
      <c r="AN46" s="176" t="b">
        <v>1</v>
      </c>
      <c r="AO46" s="176" t="b">
        <v>1</v>
      </c>
      <c r="AP46" s="64" t="str">
        <f t="shared" ref="AP46:AP53" si="12">IF(AND($AJ46:$AO46), "VALID", "INVALID")</f>
        <v>VALID</v>
      </c>
      <c r="AQ46" s="341" t="s">
        <v>1393</v>
      </c>
      <c r="AR46" s="336" t="s">
        <v>3495</v>
      </c>
      <c r="AS46" s="337" t="s">
        <v>3503</v>
      </c>
      <c r="AT46" s="342"/>
      <c r="AU46" s="342"/>
      <c r="AV46" s="342"/>
      <c r="AW46" s="342"/>
      <c r="AX46" s="342"/>
      <c r="AY46" s="337"/>
      <c r="AZ46" s="337"/>
      <c r="BA46" s="343"/>
      <c r="BB46" s="338"/>
      <c r="BC46" s="344" t="s">
        <v>1393</v>
      </c>
      <c r="BD46" s="238"/>
      <c r="BE46" s="239"/>
      <c r="BF46" s="239"/>
      <c r="BG46" s="239"/>
      <c r="BH46" s="239"/>
      <c r="BI46" s="239"/>
      <c r="BJ46" s="239"/>
      <c r="BK46" s="239"/>
      <c r="BL46" s="239"/>
      <c r="BM46" s="239"/>
      <c r="BN46" s="239"/>
      <c r="BO46" s="239"/>
      <c r="BP46" s="239"/>
      <c r="BQ46" s="239"/>
      <c r="BR46" s="239"/>
      <c r="BS46" s="239"/>
      <c r="BT46" s="239"/>
      <c r="BU46" s="239"/>
      <c r="BV46" s="239"/>
      <c r="BW46" s="239"/>
      <c r="BX46" s="239"/>
      <c r="BY46" s="239"/>
      <c r="BZ46" s="239"/>
      <c r="CA46" s="239"/>
      <c r="CB46" s="239"/>
      <c r="CC46" s="239"/>
      <c r="CD46" s="239"/>
      <c r="CE46" s="239"/>
    </row>
    <row r="47" spans="1:83" ht="12.95" customHeight="1">
      <c r="A47" s="208"/>
      <c r="B47" s="208"/>
      <c r="C47" s="2" t="s">
        <v>924</v>
      </c>
      <c r="D47" s="52" t="s">
        <v>1711</v>
      </c>
      <c r="E47" s="52" t="s">
        <v>1712</v>
      </c>
      <c r="F47" s="53" t="s">
        <v>1216</v>
      </c>
      <c r="G47" s="179"/>
      <c r="H47" s="180" t="s">
        <v>1429</v>
      </c>
      <c r="I47" s="55"/>
      <c r="J47" s="55" t="s">
        <v>1394</v>
      </c>
      <c r="K47" s="56" t="s">
        <v>1429</v>
      </c>
      <c r="L47" s="54" t="s">
        <v>1580</v>
      </c>
      <c r="M47" s="55" t="s">
        <v>1429</v>
      </c>
      <c r="N47" s="55" t="s">
        <v>1590</v>
      </c>
      <c r="O47" s="55" t="s">
        <v>1580</v>
      </c>
      <c r="P47" s="56" t="s">
        <v>1429</v>
      </c>
      <c r="Q47" s="52" t="s">
        <v>755</v>
      </c>
      <c r="R47" s="52" t="s">
        <v>751</v>
      </c>
      <c r="S47" s="52" t="s">
        <v>1357</v>
      </c>
      <c r="T47" s="52" t="s">
        <v>100</v>
      </c>
      <c r="U47" s="57" t="s">
        <v>755</v>
      </c>
      <c r="V47" s="146" t="s">
        <v>1713</v>
      </c>
      <c r="W47" s="51" t="s">
        <v>1709</v>
      </c>
      <c r="X47" s="130" t="s">
        <v>1429</v>
      </c>
      <c r="Y47" s="130" t="s">
        <v>1429</v>
      </c>
      <c r="Z47" s="51" t="s">
        <v>1678</v>
      </c>
      <c r="AA47" s="51" t="s">
        <v>1710</v>
      </c>
      <c r="AB47" s="51" t="s">
        <v>3664</v>
      </c>
      <c r="AC47" s="51" t="s">
        <v>1587</v>
      </c>
      <c r="AD47" s="59" t="str">
        <f t="shared" si="6"/>
        <v>I2S6</v>
      </c>
      <c r="AE47" s="66"/>
      <c r="AF47" s="61" t="str">
        <f t="shared" si="7"/>
        <v>PULL_DOWN</v>
      </c>
      <c r="AG47" s="61" t="str">
        <f t="shared" si="5"/>
        <v>NORMAL</v>
      </c>
      <c r="AH47" s="61" t="str">
        <f t="shared" si="8"/>
        <v>DISABLE</v>
      </c>
      <c r="AI47" s="67" t="str">
        <f t="shared" si="10"/>
        <v>N/A</v>
      </c>
      <c r="AJ47" s="176" t="b">
        <v>1</v>
      </c>
      <c r="AK47" s="176" t="b">
        <v>1</v>
      </c>
      <c r="AL47" s="176" t="b">
        <v>1</v>
      </c>
      <c r="AM47" s="176" t="b">
        <v>1</v>
      </c>
      <c r="AN47" s="176" t="b">
        <v>1</v>
      </c>
      <c r="AO47" s="176" t="b">
        <v>1</v>
      </c>
      <c r="AP47" s="64" t="str">
        <f t="shared" si="12"/>
        <v>VALID</v>
      </c>
      <c r="AQ47" s="341" t="s">
        <v>1394</v>
      </c>
      <c r="AR47" s="336" t="s">
        <v>3495</v>
      </c>
      <c r="AS47" s="337" t="s">
        <v>3503</v>
      </c>
      <c r="AT47" s="342"/>
      <c r="AU47" s="342"/>
      <c r="AV47" s="342"/>
      <c r="AW47" s="342"/>
      <c r="AX47" s="342"/>
      <c r="AY47" s="337"/>
      <c r="AZ47" s="337"/>
      <c r="BA47" s="343"/>
      <c r="BB47" s="338"/>
      <c r="BC47" s="344" t="s">
        <v>1394</v>
      </c>
      <c r="BD47" s="238"/>
      <c r="BE47" s="239"/>
      <c r="BF47" s="239"/>
      <c r="BG47" s="239"/>
      <c r="BH47" s="239"/>
      <c r="BI47" s="239"/>
      <c r="BJ47" s="239"/>
      <c r="BK47" s="239"/>
      <c r="BL47" s="239"/>
      <c r="BM47" s="239"/>
      <c r="BN47" s="239"/>
      <c r="BO47" s="239"/>
      <c r="BP47" s="239"/>
      <c r="BQ47" s="239"/>
      <c r="BR47" s="239"/>
      <c r="BS47" s="239"/>
      <c r="BT47" s="239"/>
      <c r="BU47" s="239"/>
      <c r="BV47" s="239"/>
      <c r="BW47" s="239"/>
      <c r="BX47" s="239"/>
      <c r="BY47" s="239"/>
      <c r="BZ47" s="239"/>
      <c r="CA47" s="239"/>
      <c r="CB47" s="239"/>
      <c r="CC47" s="239"/>
      <c r="CD47" s="239"/>
      <c r="CE47" s="239"/>
    </row>
    <row r="48" spans="1:83" ht="12.95" customHeight="1">
      <c r="A48" s="208"/>
      <c r="B48" s="208"/>
      <c r="C48" s="2" t="s">
        <v>925</v>
      </c>
      <c r="D48" s="52" t="s">
        <v>1714</v>
      </c>
      <c r="E48" s="52" t="s">
        <v>1715</v>
      </c>
      <c r="F48" s="53" t="s">
        <v>1217</v>
      </c>
      <c r="G48" s="179"/>
      <c r="H48" s="180" t="s">
        <v>1429</v>
      </c>
      <c r="I48" s="55"/>
      <c r="J48" s="55" t="s">
        <v>1395</v>
      </c>
      <c r="K48" s="56" t="s">
        <v>1429</v>
      </c>
      <c r="L48" s="54" t="s">
        <v>1580</v>
      </c>
      <c r="M48" s="55" t="s">
        <v>1429</v>
      </c>
      <c r="N48" s="55" t="s">
        <v>1590</v>
      </c>
      <c r="O48" s="55" t="s">
        <v>1590</v>
      </c>
      <c r="P48" s="56" t="s">
        <v>1429</v>
      </c>
      <c r="Q48" s="52" t="s">
        <v>755</v>
      </c>
      <c r="R48" s="52" t="s">
        <v>751</v>
      </c>
      <c r="S48" s="52" t="s">
        <v>1357</v>
      </c>
      <c r="T48" s="52" t="s">
        <v>100</v>
      </c>
      <c r="U48" s="57" t="s">
        <v>755</v>
      </c>
      <c r="V48" s="146" t="s">
        <v>1716</v>
      </c>
      <c r="W48" s="51" t="s">
        <v>1709</v>
      </c>
      <c r="X48" s="130" t="s">
        <v>1429</v>
      </c>
      <c r="Y48" s="130" t="s">
        <v>1429</v>
      </c>
      <c r="Z48" s="51" t="s">
        <v>1678</v>
      </c>
      <c r="AA48" s="51" t="s">
        <v>1710</v>
      </c>
      <c r="AB48" s="51" t="s">
        <v>3664</v>
      </c>
      <c r="AC48" s="51" t="s">
        <v>1587</v>
      </c>
      <c r="AD48" s="59" t="str">
        <f t="shared" si="6"/>
        <v>I2S6</v>
      </c>
      <c r="AE48" s="66"/>
      <c r="AF48" s="61" t="str">
        <f t="shared" si="7"/>
        <v>PULL_DOWN</v>
      </c>
      <c r="AG48" s="61" t="str">
        <f t="shared" si="5"/>
        <v>TRISTATE</v>
      </c>
      <c r="AH48" s="61" t="str">
        <f t="shared" si="8"/>
        <v>ENABLE</v>
      </c>
      <c r="AI48" s="67" t="str">
        <f t="shared" si="10"/>
        <v>N/A</v>
      </c>
      <c r="AJ48" s="176" t="b">
        <v>1</v>
      </c>
      <c r="AK48" s="176" t="b">
        <v>1</v>
      </c>
      <c r="AL48" s="176" t="b">
        <v>1</v>
      </c>
      <c r="AM48" s="176" t="b">
        <v>1</v>
      </c>
      <c r="AN48" s="176" t="b">
        <v>1</v>
      </c>
      <c r="AO48" s="176" t="b">
        <v>1</v>
      </c>
      <c r="AP48" s="64" t="str">
        <f t="shared" si="12"/>
        <v>VALID</v>
      </c>
      <c r="AQ48" s="341" t="s">
        <v>1395</v>
      </c>
      <c r="AR48" s="336" t="s">
        <v>3496</v>
      </c>
      <c r="AS48" s="337" t="s">
        <v>3503</v>
      </c>
      <c r="AT48" s="342"/>
      <c r="AU48" s="342"/>
      <c r="AV48" s="342"/>
      <c r="AW48" s="342"/>
      <c r="AX48" s="342"/>
      <c r="AY48" s="337"/>
      <c r="AZ48" s="337"/>
      <c r="BA48" s="343"/>
      <c r="BB48" s="338"/>
      <c r="BC48" s="344" t="s">
        <v>1395</v>
      </c>
      <c r="BD48" s="238"/>
      <c r="BE48" s="239"/>
      <c r="BF48" s="239"/>
      <c r="BG48" s="239"/>
      <c r="BH48" s="239"/>
      <c r="BI48" s="239"/>
      <c r="BJ48" s="239"/>
      <c r="BK48" s="239"/>
      <c r="BL48" s="239"/>
      <c r="BM48" s="239"/>
      <c r="BN48" s="239"/>
      <c r="BO48" s="239"/>
      <c r="BP48" s="239"/>
      <c r="BQ48" s="239"/>
      <c r="BR48" s="239"/>
      <c r="BS48" s="239"/>
      <c r="BT48" s="239"/>
      <c r="BU48" s="239"/>
      <c r="BV48" s="239"/>
      <c r="BW48" s="239"/>
      <c r="BX48" s="239"/>
      <c r="BY48" s="239"/>
      <c r="BZ48" s="239"/>
      <c r="CA48" s="239"/>
      <c r="CB48" s="239"/>
      <c r="CC48" s="239"/>
      <c r="CD48" s="239"/>
      <c r="CE48" s="239"/>
    </row>
    <row r="49" spans="1:83" ht="14.25" customHeight="1">
      <c r="A49" s="208"/>
      <c r="B49" s="208"/>
      <c r="C49" s="2" t="s">
        <v>926</v>
      </c>
      <c r="D49" s="52" t="s">
        <v>1717</v>
      </c>
      <c r="E49" s="52" t="s">
        <v>1718</v>
      </c>
      <c r="F49" s="53" t="s">
        <v>1218</v>
      </c>
      <c r="G49" s="179"/>
      <c r="H49" s="180" t="s">
        <v>1429</v>
      </c>
      <c r="I49" s="55"/>
      <c r="J49" s="55" t="s">
        <v>1396</v>
      </c>
      <c r="K49" s="56" t="s">
        <v>1429</v>
      </c>
      <c r="L49" s="54" t="s">
        <v>1580</v>
      </c>
      <c r="M49" s="55" t="s">
        <v>1429</v>
      </c>
      <c r="N49" s="55" t="s">
        <v>1590</v>
      </c>
      <c r="O49" s="55" t="s">
        <v>1580</v>
      </c>
      <c r="P49" s="56" t="s">
        <v>1429</v>
      </c>
      <c r="Q49" s="52" t="s">
        <v>755</v>
      </c>
      <c r="R49" s="52" t="s">
        <v>751</v>
      </c>
      <c r="S49" s="52" t="s">
        <v>1357</v>
      </c>
      <c r="T49" s="52" t="s">
        <v>100</v>
      </c>
      <c r="U49" s="57" t="s">
        <v>755</v>
      </c>
      <c r="V49" s="146" t="s">
        <v>1719</v>
      </c>
      <c r="W49" s="51" t="s">
        <v>1709</v>
      </c>
      <c r="X49" s="130" t="s">
        <v>1429</v>
      </c>
      <c r="Y49" s="130" t="s">
        <v>1429</v>
      </c>
      <c r="Z49" s="51" t="s">
        <v>1678</v>
      </c>
      <c r="AA49" s="51" t="s">
        <v>1710</v>
      </c>
      <c r="AB49" s="51" t="s">
        <v>3664</v>
      </c>
      <c r="AC49" s="51" t="s">
        <v>1587</v>
      </c>
      <c r="AD49" s="59" t="str">
        <f t="shared" si="6"/>
        <v>I2S6</v>
      </c>
      <c r="AE49" s="66"/>
      <c r="AF49" s="61" t="str">
        <f t="shared" si="7"/>
        <v>PULL_DOWN</v>
      </c>
      <c r="AG49" s="61" t="str">
        <f t="shared" si="5"/>
        <v>NORMAL</v>
      </c>
      <c r="AH49" s="61" t="str">
        <f t="shared" si="8"/>
        <v>DISABLE</v>
      </c>
      <c r="AI49" s="67" t="str">
        <f t="shared" si="10"/>
        <v>N/A</v>
      </c>
      <c r="AJ49" s="176" t="b">
        <v>1</v>
      </c>
      <c r="AK49" s="176" t="b">
        <v>1</v>
      </c>
      <c r="AL49" s="176" t="b">
        <v>1</v>
      </c>
      <c r="AM49" s="176" t="b">
        <v>1</v>
      </c>
      <c r="AN49" s="176" t="b">
        <v>1</v>
      </c>
      <c r="AO49" s="176" t="b">
        <v>1</v>
      </c>
      <c r="AP49" s="64" t="str">
        <f t="shared" si="12"/>
        <v>VALID</v>
      </c>
      <c r="AQ49" s="341" t="s">
        <v>1396</v>
      </c>
      <c r="AR49" s="336" t="s">
        <v>3495</v>
      </c>
      <c r="AS49" s="337" t="s">
        <v>3503</v>
      </c>
      <c r="AT49" s="342"/>
      <c r="AU49" s="342"/>
      <c r="AV49" s="342"/>
      <c r="AW49" s="342"/>
      <c r="AX49" s="342"/>
      <c r="AY49" s="337"/>
      <c r="AZ49" s="337"/>
      <c r="BA49" s="343"/>
      <c r="BB49" s="338"/>
      <c r="BC49" s="344" t="s">
        <v>1396</v>
      </c>
      <c r="BD49" s="238"/>
      <c r="BE49" s="239"/>
      <c r="BF49" s="239"/>
      <c r="BG49" s="239"/>
      <c r="BH49" s="239"/>
      <c r="BI49" s="239"/>
      <c r="BJ49" s="239"/>
      <c r="BK49" s="239"/>
      <c r="BL49" s="239"/>
      <c r="BM49" s="239"/>
      <c r="BN49" s="239"/>
      <c r="BO49" s="239"/>
      <c r="BP49" s="239"/>
      <c r="BQ49" s="239"/>
      <c r="BR49" s="239"/>
      <c r="BS49" s="239"/>
      <c r="BT49" s="239"/>
      <c r="BU49" s="239"/>
      <c r="BV49" s="239"/>
      <c r="BW49" s="239"/>
      <c r="BX49" s="239"/>
      <c r="BY49" s="239"/>
      <c r="BZ49" s="239"/>
      <c r="CA49" s="239"/>
      <c r="CB49" s="239"/>
      <c r="CC49" s="239"/>
      <c r="CD49" s="239"/>
      <c r="CE49" s="239"/>
    </row>
    <row r="50" spans="1:83" ht="12.95" customHeight="1">
      <c r="A50" s="21" t="s">
        <v>3798</v>
      </c>
      <c r="B50" s="21" t="s">
        <v>3619</v>
      </c>
      <c r="C50" s="2" t="s">
        <v>927</v>
      </c>
      <c r="D50" s="52" t="s">
        <v>1720</v>
      </c>
      <c r="E50" s="52" t="s">
        <v>1721</v>
      </c>
      <c r="F50" s="53" t="s">
        <v>1219</v>
      </c>
      <c r="G50" s="179" t="s">
        <v>1504</v>
      </c>
      <c r="H50" s="180" t="s">
        <v>1429</v>
      </c>
      <c r="I50" s="55"/>
      <c r="J50" s="55"/>
      <c r="K50" s="56" t="s">
        <v>1429</v>
      </c>
      <c r="L50" s="54" t="s">
        <v>1580</v>
      </c>
      <c r="M50" s="55" t="s">
        <v>1429</v>
      </c>
      <c r="N50" s="55" t="s">
        <v>1590</v>
      </c>
      <c r="O50" s="55" t="s">
        <v>1590</v>
      </c>
      <c r="P50" s="56" t="s">
        <v>1429</v>
      </c>
      <c r="Q50" s="52" t="s">
        <v>755</v>
      </c>
      <c r="R50" s="52" t="s">
        <v>752</v>
      </c>
      <c r="S50" s="52" t="s">
        <v>133</v>
      </c>
      <c r="T50" s="52" t="s">
        <v>100</v>
      </c>
      <c r="U50" s="57" t="s">
        <v>755</v>
      </c>
      <c r="V50" s="146" t="s">
        <v>1722</v>
      </c>
      <c r="W50" s="51" t="s">
        <v>1709</v>
      </c>
      <c r="X50" s="130" t="s">
        <v>1723</v>
      </c>
      <c r="Y50" s="130" t="s">
        <v>1429</v>
      </c>
      <c r="Z50" s="51" t="s">
        <v>1678</v>
      </c>
      <c r="AA50" s="51" t="s">
        <v>1710</v>
      </c>
      <c r="AB50" s="51" t="s">
        <v>3664</v>
      </c>
      <c r="AC50" s="51" t="s">
        <v>1587</v>
      </c>
      <c r="AD50" s="59" t="str">
        <f t="shared" si="6"/>
        <v>GPIO_PI4</v>
      </c>
      <c r="AE50" s="66"/>
      <c r="AF50" s="61" t="str">
        <f t="shared" si="7"/>
        <v>PULL_UP</v>
      </c>
      <c r="AG50" s="61" t="str">
        <f t="shared" si="5"/>
        <v>TRISTATE</v>
      </c>
      <c r="AH50" s="61" t="str">
        <f t="shared" si="8"/>
        <v>ENABLE</v>
      </c>
      <c r="AI50" s="67" t="str">
        <f t="shared" si="10"/>
        <v/>
      </c>
      <c r="AJ50" s="176" t="b">
        <v>1</v>
      </c>
      <c r="AK50" s="176" t="b">
        <v>1</v>
      </c>
      <c r="AL50" s="176" t="b">
        <v>1</v>
      </c>
      <c r="AM50" s="176" t="b">
        <v>1</v>
      </c>
      <c r="AN50" s="176" t="b">
        <v>1</v>
      </c>
      <c r="AO50" s="176" t="b">
        <v>1</v>
      </c>
      <c r="AP50" s="64" t="str">
        <f t="shared" si="12"/>
        <v>VALID</v>
      </c>
      <c r="AQ50" s="211" t="s">
        <v>1504</v>
      </c>
      <c r="AR50" s="182" t="s">
        <v>3496</v>
      </c>
      <c r="AS50" s="181" t="s">
        <v>3497</v>
      </c>
      <c r="AT50" s="181" t="s">
        <v>3499</v>
      </c>
      <c r="AU50" s="5"/>
      <c r="AV50" s="5"/>
      <c r="AW50" s="5"/>
      <c r="AX50" s="284"/>
      <c r="AY50" s="181"/>
      <c r="AZ50" s="181"/>
      <c r="BA50" s="7"/>
      <c r="BB50" s="212"/>
      <c r="BC50" s="10" t="s">
        <v>3699</v>
      </c>
      <c r="BD50" s="240"/>
      <c r="BE50" s="239"/>
      <c r="BF50" s="239"/>
      <c r="BG50" s="239"/>
      <c r="BH50" s="239"/>
      <c r="BI50" s="239"/>
      <c r="BJ50" s="239"/>
      <c r="BK50" s="239"/>
      <c r="BL50" s="239"/>
      <c r="BM50" s="239"/>
      <c r="BN50" s="239"/>
      <c r="BO50" s="239"/>
      <c r="BP50" s="239"/>
      <c r="BQ50" s="239"/>
      <c r="BR50" s="239"/>
      <c r="BS50" s="239"/>
      <c r="BT50" s="239"/>
      <c r="BU50" s="239"/>
      <c r="BV50" s="239"/>
      <c r="BW50" s="239"/>
      <c r="BX50" s="239"/>
      <c r="BY50" s="239"/>
      <c r="BZ50" s="239"/>
      <c r="CA50" s="239"/>
      <c r="CB50" s="239"/>
      <c r="CC50" s="239"/>
      <c r="CD50" s="239"/>
      <c r="CE50" s="239"/>
    </row>
    <row r="51" spans="1:83" ht="12.95" customHeight="1">
      <c r="A51" s="21" t="s">
        <v>3799</v>
      </c>
      <c r="B51" s="21" t="s">
        <v>3565</v>
      </c>
      <c r="C51" s="2" t="s">
        <v>928</v>
      </c>
      <c r="D51" s="52" t="s">
        <v>1724</v>
      </c>
      <c r="E51" s="52" t="s">
        <v>1725</v>
      </c>
      <c r="F51" s="53" t="s">
        <v>1220</v>
      </c>
      <c r="G51" s="179" t="s">
        <v>1505</v>
      </c>
      <c r="H51" s="180" t="s">
        <v>1429</v>
      </c>
      <c r="I51" s="55"/>
      <c r="J51" s="55"/>
      <c r="K51" s="56" t="s">
        <v>1429</v>
      </c>
      <c r="L51" s="54" t="s">
        <v>1580</v>
      </c>
      <c r="M51" s="55" t="s">
        <v>1429</v>
      </c>
      <c r="N51" s="55" t="s">
        <v>1590</v>
      </c>
      <c r="O51" s="55" t="s">
        <v>1590</v>
      </c>
      <c r="P51" s="56" t="s">
        <v>1429</v>
      </c>
      <c r="Q51" s="52" t="s">
        <v>755</v>
      </c>
      <c r="R51" s="52" t="s">
        <v>752</v>
      </c>
      <c r="S51" s="52" t="s">
        <v>133</v>
      </c>
      <c r="T51" s="52" t="s">
        <v>100</v>
      </c>
      <c r="U51" s="57" t="s">
        <v>755</v>
      </c>
      <c r="V51" s="146" t="s">
        <v>1726</v>
      </c>
      <c r="W51" s="51" t="s">
        <v>1709</v>
      </c>
      <c r="X51" s="130" t="s">
        <v>1429</v>
      </c>
      <c r="Y51" s="130" t="s">
        <v>1429</v>
      </c>
      <c r="Z51" s="51" t="s">
        <v>1678</v>
      </c>
      <c r="AA51" s="51" t="s">
        <v>1710</v>
      </c>
      <c r="AB51" s="51" t="s">
        <v>3664</v>
      </c>
      <c r="AC51" s="51" t="s">
        <v>1587</v>
      </c>
      <c r="AD51" s="59" t="str">
        <f t="shared" si="6"/>
        <v>GPIO_PI5</v>
      </c>
      <c r="AE51" s="66"/>
      <c r="AF51" s="61" t="str">
        <f t="shared" si="7"/>
        <v>NORMAL</v>
      </c>
      <c r="AG51" s="61" t="str">
        <f t="shared" si="5"/>
        <v>NORMAL</v>
      </c>
      <c r="AH51" s="61" t="str">
        <f t="shared" si="8"/>
        <v>DISABLE</v>
      </c>
      <c r="AI51" s="67" t="str">
        <f t="shared" si="10"/>
        <v>0</v>
      </c>
      <c r="AJ51" s="176" t="b">
        <v>1</v>
      </c>
      <c r="AK51" s="176" t="b">
        <v>1</v>
      </c>
      <c r="AL51" s="176" t="b">
        <v>1</v>
      </c>
      <c r="AM51" s="176" t="b">
        <v>1</v>
      </c>
      <c r="AN51" s="176" t="b">
        <v>1</v>
      </c>
      <c r="AO51" s="176" t="b">
        <v>1</v>
      </c>
      <c r="AP51" s="64" t="str">
        <f t="shared" si="12"/>
        <v>VALID</v>
      </c>
      <c r="AQ51" s="246" t="s">
        <v>1505</v>
      </c>
      <c r="AR51" s="164" t="s">
        <v>3495</v>
      </c>
      <c r="AS51" s="9" t="s">
        <v>3500</v>
      </c>
      <c r="AT51" s="219"/>
      <c r="AU51" s="219"/>
      <c r="AV51" s="219"/>
      <c r="AW51" s="219"/>
      <c r="AX51" s="287"/>
      <c r="AY51" s="9"/>
      <c r="AZ51" s="9"/>
      <c r="BA51" s="13"/>
      <c r="BB51" s="220"/>
      <c r="BC51" s="11" t="s">
        <v>3700</v>
      </c>
      <c r="BD51" s="240"/>
      <c r="BE51" s="239"/>
      <c r="BF51" s="239"/>
      <c r="BG51" s="239"/>
      <c r="BH51" s="239"/>
      <c r="BI51" s="239"/>
      <c r="BJ51" s="239"/>
      <c r="BK51" s="239"/>
      <c r="BL51" s="239"/>
      <c r="BM51" s="239"/>
      <c r="BN51" s="239"/>
      <c r="BO51" s="239"/>
      <c r="BP51" s="239"/>
      <c r="BQ51" s="239"/>
      <c r="BR51" s="239"/>
      <c r="BS51" s="239"/>
      <c r="BT51" s="239"/>
      <c r="BU51" s="239"/>
      <c r="BV51" s="239"/>
      <c r="BW51" s="239"/>
      <c r="BX51" s="239"/>
      <c r="BY51" s="239"/>
      <c r="BZ51" s="239"/>
      <c r="CA51" s="239"/>
      <c r="CB51" s="239"/>
      <c r="CC51" s="239"/>
      <c r="CD51" s="239"/>
      <c r="CE51" s="239"/>
    </row>
    <row r="52" spans="1:83" ht="12.95" customHeight="1">
      <c r="A52" s="21" t="s">
        <v>3800</v>
      </c>
      <c r="B52" s="21" t="s">
        <v>3562</v>
      </c>
      <c r="C52" s="2" t="s">
        <v>929</v>
      </c>
      <c r="D52" s="52" t="s">
        <v>1727</v>
      </c>
      <c r="E52" s="52" t="s">
        <v>1728</v>
      </c>
      <c r="F52" s="53" t="s">
        <v>1221</v>
      </c>
      <c r="G52" s="179" t="s">
        <v>1506</v>
      </c>
      <c r="H52" s="180" t="s">
        <v>1429</v>
      </c>
      <c r="I52" s="55"/>
      <c r="J52" s="55"/>
      <c r="K52" s="56" t="s">
        <v>1429</v>
      </c>
      <c r="L52" s="54" t="s">
        <v>1580</v>
      </c>
      <c r="M52" s="55" t="s">
        <v>1429</v>
      </c>
      <c r="N52" s="55" t="s">
        <v>1590</v>
      </c>
      <c r="O52" s="55" t="s">
        <v>1590</v>
      </c>
      <c r="P52" s="56" t="s">
        <v>1429</v>
      </c>
      <c r="Q52" s="52" t="s">
        <v>755</v>
      </c>
      <c r="R52" s="52" t="s">
        <v>752</v>
      </c>
      <c r="S52" s="52" t="s">
        <v>133</v>
      </c>
      <c r="T52" s="52" t="s">
        <v>100</v>
      </c>
      <c r="U52" s="57" t="s">
        <v>755</v>
      </c>
      <c r="V52" s="146" t="s">
        <v>1729</v>
      </c>
      <c r="W52" s="51" t="s">
        <v>1709</v>
      </c>
      <c r="X52" s="130" t="s">
        <v>1730</v>
      </c>
      <c r="Y52" s="130" t="s">
        <v>1429</v>
      </c>
      <c r="Z52" s="51" t="s">
        <v>1678</v>
      </c>
      <c r="AA52" s="51" t="s">
        <v>1710</v>
      </c>
      <c r="AB52" s="51" t="s">
        <v>3664</v>
      </c>
      <c r="AC52" s="51" t="s">
        <v>1587</v>
      </c>
      <c r="AD52" s="59" t="str">
        <f t="shared" si="6"/>
        <v>GPIO_PI6</v>
      </c>
      <c r="AE52" s="66"/>
      <c r="AF52" s="61" t="str">
        <f t="shared" si="7"/>
        <v>PULL_UP</v>
      </c>
      <c r="AG52" s="61" t="str">
        <f t="shared" si="5"/>
        <v>TRISTATE</v>
      </c>
      <c r="AH52" s="61" t="str">
        <f t="shared" si="8"/>
        <v>ENABLE</v>
      </c>
      <c r="AI52" s="67" t="str">
        <f t="shared" si="10"/>
        <v/>
      </c>
      <c r="AJ52" s="176" t="b">
        <v>1</v>
      </c>
      <c r="AK52" s="176" t="b">
        <v>1</v>
      </c>
      <c r="AL52" s="176" t="b">
        <v>1</v>
      </c>
      <c r="AM52" s="176" t="b">
        <v>1</v>
      </c>
      <c r="AN52" s="176" t="b">
        <v>1</v>
      </c>
      <c r="AO52" s="176" t="b">
        <v>1</v>
      </c>
      <c r="AP52" s="64" t="str">
        <f t="shared" si="12"/>
        <v>VALID</v>
      </c>
      <c r="AQ52" s="221" t="s">
        <v>1506</v>
      </c>
      <c r="AR52" s="182" t="s">
        <v>3496</v>
      </c>
      <c r="AS52" s="181" t="s">
        <v>3497</v>
      </c>
      <c r="AT52" s="181" t="s">
        <v>3499</v>
      </c>
      <c r="AU52" s="5"/>
      <c r="AV52" s="5"/>
      <c r="AW52" s="5"/>
      <c r="AX52" s="284"/>
      <c r="AY52" s="181"/>
      <c r="AZ52" s="181"/>
      <c r="BA52" s="14" t="s">
        <v>101</v>
      </c>
      <c r="BB52" s="222"/>
      <c r="BC52" s="16" t="s">
        <v>3701</v>
      </c>
      <c r="BD52" s="240"/>
      <c r="BE52" s="239"/>
      <c r="BF52" s="239"/>
      <c r="BG52" s="239"/>
      <c r="BH52" s="239"/>
      <c r="BI52" s="239"/>
      <c r="BJ52" s="239"/>
      <c r="BK52" s="239"/>
      <c r="BL52" s="239"/>
      <c r="BM52" s="239"/>
      <c r="BN52" s="239"/>
      <c r="BO52" s="239"/>
      <c r="BP52" s="239"/>
      <c r="BQ52" s="239"/>
      <c r="BR52" s="239"/>
      <c r="BS52" s="239"/>
      <c r="BT52" s="239"/>
      <c r="BU52" s="239"/>
      <c r="BV52" s="239"/>
      <c r="BW52" s="239"/>
      <c r="BX52" s="239"/>
      <c r="BY52" s="239"/>
      <c r="BZ52" s="239"/>
      <c r="CA52" s="239"/>
      <c r="CB52" s="239"/>
      <c r="CC52" s="239"/>
      <c r="CD52" s="239"/>
      <c r="CE52" s="239"/>
    </row>
    <row r="53" spans="1:83" ht="12.95" customHeight="1">
      <c r="A53" s="21" t="s">
        <v>3801</v>
      </c>
      <c r="B53" s="21" t="s">
        <v>2318</v>
      </c>
      <c r="C53" s="2" t="s">
        <v>930</v>
      </c>
      <c r="D53" s="52" t="s">
        <v>1731</v>
      </c>
      <c r="E53" s="52" t="s">
        <v>1732</v>
      </c>
      <c r="F53" s="53" t="s">
        <v>1222</v>
      </c>
      <c r="G53" s="179" t="s">
        <v>1507</v>
      </c>
      <c r="H53" s="180" t="s">
        <v>1429</v>
      </c>
      <c r="I53" s="55"/>
      <c r="J53" s="55"/>
      <c r="K53" s="56" t="s">
        <v>1429</v>
      </c>
      <c r="L53" s="54" t="s">
        <v>1580</v>
      </c>
      <c r="M53" s="55" t="s">
        <v>1429</v>
      </c>
      <c r="N53" s="55" t="s">
        <v>1590</v>
      </c>
      <c r="O53" s="55" t="s">
        <v>1590</v>
      </c>
      <c r="P53" s="56" t="s">
        <v>1429</v>
      </c>
      <c r="Q53" s="52" t="s">
        <v>755</v>
      </c>
      <c r="R53" s="52" t="s">
        <v>752</v>
      </c>
      <c r="S53" s="52" t="s">
        <v>133</v>
      </c>
      <c r="T53" s="52" t="s">
        <v>100</v>
      </c>
      <c r="U53" s="57" t="s">
        <v>755</v>
      </c>
      <c r="V53" s="189" t="s">
        <v>1733</v>
      </c>
      <c r="W53" s="51" t="s">
        <v>1709</v>
      </c>
      <c r="X53" s="130" t="s">
        <v>1429</v>
      </c>
      <c r="Y53" s="130" t="s">
        <v>1429</v>
      </c>
      <c r="Z53" s="51" t="s">
        <v>1678</v>
      </c>
      <c r="AA53" s="51" t="s">
        <v>1710</v>
      </c>
      <c r="AB53" s="51" t="s">
        <v>3664</v>
      </c>
      <c r="AC53" s="51" t="s">
        <v>1587</v>
      </c>
      <c r="AD53" s="59" t="str">
        <f t="shared" si="6"/>
        <v>GPIO_PI7</v>
      </c>
      <c r="AE53" s="66"/>
      <c r="AF53" s="61" t="str">
        <f t="shared" si="7"/>
        <v>PULL_DOWN</v>
      </c>
      <c r="AG53" s="61" t="str">
        <f t="shared" si="5"/>
        <v>TRISTATE</v>
      </c>
      <c r="AH53" s="61" t="str">
        <f t="shared" si="8"/>
        <v>ENABLE</v>
      </c>
      <c r="AI53" s="67" t="str">
        <f t="shared" si="10"/>
        <v/>
      </c>
      <c r="AJ53" s="176" t="b">
        <v>1</v>
      </c>
      <c r="AK53" s="176" t="b">
        <v>1</v>
      </c>
      <c r="AL53" s="176" t="b">
        <v>1</v>
      </c>
      <c r="AM53" s="176" t="b">
        <v>1</v>
      </c>
      <c r="AN53" s="176" t="b">
        <v>1</v>
      </c>
      <c r="AO53" s="176" t="b">
        <v>1</v>
      </c>
      <c r="AP53" s="64" t="str">
        <f t="shared" si="12"/>
        <v>VALID</v>
      </c>
      <c r="AQ53" s="211" t="s">
        <v>1507</v>
      </c>
      <c r="AR53" s="182" t="s">
        <v>3496</v>
      </c>
      <c r="AS53" s="181" t="s">
        <v>3503</v>
      </c>
      <c r="AT53" s="219"/>
      <c r="AU53" s="5"/>
      <c r="AV53" s="5"/>
      <c r="AW53" s="5"/>
      <c r="AX53" s="284"/>
      <c r="AY53" s="181"/>
      <c r="AZ53" s="181"/>
      <c r="BA53" s="7"/>
      <c r="BB53" s="212"/>
      <c r="BC53" s="10" t="s">
        <v>3702</v>
      </c>
      <c r="BD53" s="240"/>
      <c r="BE53" s="239"/>
      <c r="BF53" s="239"/>
      <c r="BG53" s="239"/>
      <c r="BH53" s="239"/>
      <c r="BI53" s="239"/>
      <c r="BJ53" s="239"/>
      <c r="BK53" s="239"/>
      <c r="BL53" s="239"/>
      <c r="BM53" s="239"/>
      <c r="BN53" s="239"/>
      <c r="BO53" s="239"/>
      <c r="BP53" s="239"/>
      <c r="BQ53" s="239"/>
      <c r="BR53" s="239"/>
      <c r="BS53" s="239"/>
      <c r="BT53" s="239"/>
      <c r="BU53" s="239"/>
      <c r="BV53" s="239"/>
      <c r="BW53" s="239"/>
      <c r="BX53" s="239"/>
      <c r="BY53" s="239"/>
      <c r="BZ53" s="239"/>
      <c r="CA53" s="239"/>
      <c r="CB53" s="239"/>
      <c r="CC53" s="239"/>
      <c r="CD53" s="239"/>
      <c r="CE53" s="239"/>
    </row>
    <row r="54" spans="1:83" s="50" customFormat="1" ht="18" customHeight="1">
      <c r="A54" s="44" t="s">
        <v>52</v>
      </c>
      <c r="B54" s="44"/>
      <c r="C54" s="44"/>
      <c r="D54" s="45"/>
      <c r="E54" s="45"/>
      <c r="F54" s="45"/>
      <c r="G54" s="46"/>
      <c r="H54" s="46"/>
      <c r="I54" s="46"/>
      <c r="J54" s="46"/>
      <c r="K54" s="46"/>
      <c r="L54" s="45"/>
      <c r="M54" s="45"/>
      <c r="N54" s="45"/>
      <c r="O54" s="45"/>
      <c r="P54" s="45"/>
      <c r="Q54" s="45"/>
      <c r="R54" s="45"/>
      <c r="S54" s="45"/>
      <c r="T54" s="45"/>
      <c r="U54" s="45"/>
      <c r="V54" s="45"/>
      <c r="W54" s="45"/>
      <c r="X54" s="129"/>
      <c r="Y54" s="129"/>
      <c r="Z54" s="47"/>
      <c r="AA54" s="47"/>
      <c r="AB54" s="47"/>
      <c r="AC54" s="47"/>
      <c r="AD54" s="47"/>
      <c r="AE54" s="47"/>
      <c r="AF54" s="47"/>
      <c r="AG54" s="47"/>
      <c r="AH54" s="47"/>
      <c r="AI54" s="47"/>
      <c r="AJ54" s="47"/>
      <c r="AK54" s="47"/>
      <c r="AL54" s="47"/>
      <c r="AM54" s="47"/>
      <c r="AN54" s="47"/>
      <c r="AO54" s="47"/>
      <c r="AP54" s="47"/>
      <c r="AQ54" s="72"/>
      <c r="AR54" s="72"/>
      <c r="AS54" s="241"/>
      <c r="AT54" s="241"/>
      <c r="AU54" s="241"/>
      <c r="AV54" s="241"/>
      <c r="AW54" s="241"/>
      <c r="AX54" s="285"/>
      <c r="AY54" s="241"/>
      <c r="AZ54" s="241"/>
      <c r="BA54" s="241"/>
      <c r="BB54" s="168" t="s">
        <v>49</v>
      </c>
      <c r="BC54" s="244"/>
      <c r="BD54" s="245"/>
      <c r="BE54" s="308"/>
      <c r="BF54" s="243"/>
      <c r="BG54" s="243"/>
      <c r="BH54" s="243"/>
      <c r="BI54" s="243"/>
      <c r="BJ54" s="243"/>
      <c r="BK54" s="243"/>
      <c r="BL54" s="243"/>
      <c r="BM54" s="243"/>
      <c r="BN54" s="243"/>
      <c r="BO54" s="243"/>
      <c r="BP54" s="243"/>
      <c r="BQ54" s="243"/>
      <c r="BR54" s="243"/>
      <c r="BS54" s="243"/>
      <c r="BT54" s="243"/>
      <c r="BU54" s="243"/>
      <c r="BV54" s="243"/>
      <c r="BW54" s="243"/>
      <c r="BX54" s="243"/>
      <c r="BY54" s="243"/>
      <c r="BZ54" s="243"/>
      <c r="CA54" s="243"/>
      <c r="CB54" s="243"/>
      <c r="CC54" s="243"/>
      <c r="CD54" s="243"/>
      <c r="CE54" s="243"/>
    </row>
    <row r="55" spans="1:83" ht="12.95" customHeight="1">
      <c r="A55" s="21" t="s">
        <v>1397</v>
      </c>
      <c r="B55" s="21" t="s">
        <v>2304</v>
      </c>
      <c r="C55" s="51" t="s">
        <v>931</v>
      </c>
      <c r="D55" s="52" t="s">
        <v>1734</v>
      </c>
      <c r="E55" s="52" t="s">
        <v>1735</v>
      </c>
      <c r="F55" s="53" t="s">
        <v>1223</v>
      </c>
      <c r="G55" s="179" t="s">
        <v>1508</v>
      </c>
      <c r="H55" s="180" t="s">
        <v>931</v>
      </c>
      <c r="I55" s="55" t="s">
        <v>1429</v>
      </c>
      <c r="J55" s="55" t="s">
        <v>1429</v>
      </c>
      <c r="K55" s="56" t="s">
        <v>1429</v>
      </c>
      <c r="L55" s="54" t="s">
        <v>1580</v>
      </c>
      <c r="M55" s="55" t="s">
        <v>1581</v>
      </c>
      <c r="N55" s="55" t="s">
        <v>1429</v>
      </c>
      <c r="O55" s="55" t="s">
        <v>1429</v>
      </c>
      <c r="P55" s="56" t="s">
        <v>1429</v>
      </c>
      <c r="Q55" s="52" t="s">
        <v>1358</v>
      </c>
      <c r="R55" s="52" t="s">
        <v>113</v>
      </c>
      <c r="S55" s="52" t="s">
        <v>99</v>
      </c>
      <c r="T55" s="52" t="s">
        <v>100</v>
      </c>
      <c r="U55" s="57" t="s">
        <v>113</v>
      </c>
      <c r="V55" s="145" t="s">
        <v>1736</v>
      </c>
      <c r="W55" s="51" t="s">
        <v>1737</v>
      </c>
      <c r="X55" s="130" t="s">
        <v>1429</v>
      </c>
      <c r="Y55" s="130" t="s">
        <v>1429</v>
      </c>
      <c r="Z55" s="51" t="s">
        <v>1585</v>
      </c>
      <c r="AA55" s="51" t="s">
        <v>1586</v>
      </c>
      <c r="AB55" s="51" t="s">
        <v>1435</v>
      </c>
      <c r="AC55" s="51" t="s">
        <v>1587</v>
      </c>
      <c r="AD55" s="59" t="str">
        <f t="shared" si="6"/>
        <v>EXTPERIPH1</v>
      </c>
      <c r="AE55" s="66"/>
      <c r="AF55" s="61" t="str">
        <f t="shared" si="7"/>
        <v>NORMAL</v>
      </c>
      <c r="AG55" s="61" t="str">
        <f t="shared" si="5"/>
        <v>NORMAL</v>
      </c>
      <c r="AH55" s="61" t="str">
        <f t="shared" si="8"/>
        <v>DISABLE</v>
      </c>
      <c r="AI55" s="67" t="str">
        <f t="shared" si="10"/>
        <v>N/A</v>
      </c>
      <c r="AJ55" s="176" t="b">
        <v>1</v>
      </c>
      <c r="AK55" s="176" t="b">
        <v>1</v>
      </c>
      <c r="AL55" s="176" t="b">
        <v>1</v>
      </c>
      <c r="AM55" s="176" t="b">
        <v>1</v>
      </c>
      <c r="AN55" s="176" t="b">
        <v>1</v>
      </c>
      <c r="AO55" s="176" t="b">
        <v>1</v>
      </c>
      <c r="AP55" s="64" t="str">
        <f t="shared" ref="AP55:AP65" si="13">IF(AND($AJ55:$AO55), "VALID", "INVALID")</f>
        <v>VALID</v>
      </c>
      <c r="AQ55" s="217" t="s">
        <v>931</v>
      </c>
      <c r="AR55" s="182" t="s">
        <v>3495</v>
      </c>
      <c r="AS55" s="181"/>
      <c r="AT55" s="5"/>
      <c r="AU55" s="5"/>
      <c r="AV55" s="5"/>
      <c r="AW55" s="181" t="s">
        <v>125</v>
      </c>
      <c r="AX55" s="284"/>
      <c r="AY55" s="181"/>
      <c r="AZ55" s="181"/>
      <c r="BA55" s="7"/>
      <c r="BB55" s="212"/>
      <c r="BC55" s="10" t="s">
        <v>3703</v>
      </c>
      <c r="BD55" s="238"/>
      <c r="BE55" s="239"/>
      <c r="BF55" s="239"/>
      <c r="BG55" s="239"/>
      <c r="BH55" s="239"/>
      <c r="BI55" s="239"/>
      <c r="BJ55" s="239"/>
      <c r="BK55" s="239"/>
      <c r="BL55" s="239"/>
      <c r="BM55" s="239"/>
      <c r="BN55" s="239"/>
      <c r="BO55" s="239"/>
      <c r="BP55" s="239"/>
      <c r="BQ55" s="239"/>
      <c r="BR55" s="239"/>
      <c r="BS55" s="239"/>
      <c r="BT55" s="239"/>
      <c r="BU55" s="239"/>
      <c r="BV55" s="239"/>
      <c r="BW55" s="239"/>
      <c r="BX55" s="239"/>
      <c r="BY55" s="239"/>
      <c r="BZ55" s="239"/>
      <c r="CA55" s="239"/>
      <c r="CB55" s="239"/>
      <c r="CC55" s="239"/>
      <c r="CD55" s="239"/>
      <c r="CE55" s="239"/>
    </row>
    <row r="56" spans="1:83" ht="12.95" customHeight="1">
      <c r="A56" s="21" t="s">
        <v>1398</v>
      </c>
      <c r="B56" s="21" t="s">
        <v>2298</v>
      </c>
      <c r="C56" s="51" t="s">
        <v>932</v>
      </c>
      <c r="D56" s="52" t="s">
        <v>1738</v>
      </c>
      <c r="E56" s="52" t="s">
        <v>1739</v>
      </c>
      <c r="F56" s="53" t="s">
        <v>1224</v>
      </c>
      <c r="G56" s="179" t="s">
        <v>1509</v>
      </c>
      <c r="H56" s="180" t="s">
        <v>932</v>
      </c>
      <c r="I56" s="55" t="s">
        <v>1429</v>
      </c>
      <c r="J56" s="55" t="s">
        <v>1429</v>
      </c>
      <c r="K56" s="56" t="s">
        <v>1429</v>
      </c>
      <c r="L56" s="54" t="s">
        <v>1580</v>
      </c>
      <c r="M56" s="55" t="s">
        <v>1581</v>
      </c>
      <c r="N56" s="55" t="s">
        <v>1429</v>
      </c>
      <c r="O56" s="55" t="s">
        <v>1429</v>
      </c>
      <c r="P56" s="56" t="s">
        <v>1429</v>
      </c>
      <c r="Q56" s="52" t="s">
        <v>1359</v>
      </c>
      <c r="R56" s="52" t="s">
        <v>113</v>
      </c>
      <c r="S56" s="52" t="s">
        <v>99</v>
      </c>
      <c r="T56" s="52" t="s">
        <v>100</v>
      </c>
      <c r="U56" s="57" t="s">
        <v>113</v>
      </c>
      <c r="V56" s="146" t="s">
        <v>1740</v>
      </c>
      <c r="W56" s="51" t="s">
        <v>1737</v>
      </c>
      <c r="X56" s="130" t="s">
        <v>1429</v>
      </c>
      <c r="Y56" s="130" t="s">
        <v>1429</v>
      </c>
      <c r="Z56" s="51" t="s">
        <v>1585</v>
      </c>
      <c r="AA56" s="51" t="s">
        <v>1586</v>
      </c>
      <c r="AB56" s="51" t="s">
        <v>1435</v>
      </c>
      <c r="AC56" s="51" t="s">
        <v>1587</v>
      </c>
      <c r="AD56" s="59" t="str">
        <f t="shared" si="6"/>
        <v>EXTPERIPH2</v>
      </c>
      <c r="AE56" s="66"/>
      <c r="AF56" s="61" t="str">
        <f t="shared" si="7"/>
        <v>NORMAL</v>
      </c>
      <c r="AG56" s="61" t="str">
        <f t="shared" si="5"/>
        <v>NORMAL</v>
      </c>
      <c r="AH56" s="61" t="str">
        <f t="shared" si="8"/>
        <v>DISABLE</v>
      </c>
      <c r="AI56" s="67" t="str">
        <f t="shared" si="10"/>
        <v>N/A</v>
      </c>
      <c r="AJ56" s="176" t="b">
        <v>1</v>
      </c>
      <c r="AK56" s="176" t="b">
        <v>1</v>
      </c>
      <c r="AL56" s="176" t="b">
        <v>1</v>
      </c>
      <c r="AM56" s="176" t="b">
        <v>1</v>
      </c>
      <c r="AN56" s="176" t="b">
        <v>1</v>
      </c>
      <c r="AO56" s="176" t="b">
        <v>1</v>
      </c>
      <c r="AP56" s="64" t="str">
        <f t="shared" si="13"/>
        <v>VALID</v>
      </c>
      <c r="AQ56" s="217" t="s">
        <v>932</v>
      </c>
      <c r="AR56" s="182" t="s">
        <v>3495</v>
      </c>
      <c r="AS56" s="181"/>
      <c r="AT56" s="5"/>
      <c r="AU56" s="5"/>
      <c r="AV56" s="5"/>
      <c r="AW56" s="181" t="s">
        <v>125</v>
      </c>
      <c r="AX56" s="284"/>
      <c r="AY56" s="181"/>
      <c r="AZ56" s="181"/>
      <c r="BA56" s="7"/>
      <c r="BB56" s="212"/>
      <c r="BC56" s="10" t="s">
        <v>3704</v>
      </c>
      <c r="BD56" s="238"/>
      <c r="BE56" s="239"/>
      <c r="BF56" s="239"/>
      <c r="BG56" s="239"/>
      <c r="BH56" s="239"/>
      <c r="BI56" s="239"/>
      <c r="BJ56" s="239"/>
      <c r="BK56" s="239"/>
      <c r="BL56" s="239"/>
      <c r="BM56" s="239"/>
      <c r="BN56" s="239"/>
      <c r="BO56" s="239"/>
      <c r="BP56" s="239"/>
      <c r="BQ56" s="239"/>
      <c r="BR56" s="239"/>
      <c r="BS56" s="239"/>
      <c r="BT56" s="239"/>
      <c r="BU56" s="239"/>
      <c r="BV56" s="239"/>
      <c r="BW56" s="239"/>
      <c r="BX56" s="239"/>
      <c r="BY56" s="239"/>
      <c r="BZ56" s="239"/>
      <c r="CA56" s="239"/>
      <c r="CB56" s="239"/>
      <c r="CC56" s="239"/>
      <c r="CD56" s="239"/>
      <c r="CE56" s="239"/>
    </row>
    <row r="57" spans="1:83" ht="12.95" customHeight="1">
      <c r="A57" s="1"/>
      <c r="B57" s="1"/>
      <c r="C57" s="51" t="s">
        <v>933</v>
      </c>
      <c r="D57" s="52" t="s">
        <v>1741</v>
      </c>
      <c r="E57" s="52" t="s">
        <v>1742</v>
      </c>
      <c r="F57" s="53" t="s">
        <v>1225</v>
      </c>
      <c r="G57" s="179" t="s">
        <v>1510</v>
      </c>
      <c r="H57" s="180"/>
      <c r="I57" s="55" t="s">
        <v>1429</v>
      </c>
      <c r="J57" s="55" t="s">
        <v>1429</v>
      </c>
      <c r="K57" s="56" t="s">
        <v>1429</v>
      </c>
      <c r="L57" s="54" t="s">
        <v>1580</v>
      </c>
      <c r="M57" s="55" t="s">
        <v>1580</v>
      </c>
      <c r="N57" s="55" t="s">
        <v>1429</v>
      </c>
      <c r="O57" s="55" t="s">
        <v>1429</v>
      </c>
      <c r="P57" s="56" t="s">
        <v>1429</v>
      </c>
      <c r="Q57" s="52" t="s">
        <v>122</v>
      </c>
      <c r="R57" s="52" t="s">
        <v>113</v>
      </c>
      <c r="S57" s="52" t="s">
        <v>99</v>
      </c>
      <c r="T57" s="52" t="s">
        <v>100</v>
      </c>
      <c r="U57" s="57" t="s">
        <v>113</v>
      </c>
      <c r="V57" s="146" t="s">
        <v>1743</v>
      </c>
      <c r="W57" s="51" t="s">
        <v>1737</v>
      </c>
      <c r="X57" s="130" t="s">
        <v>1429</v>
      </c>
      <c r="Y57" s="130" t="s">
        <v>1429</v>
      </c>
      <c r="Z57" s="51" t="s">
        <v>1585</v>
      </c>
      <c r="AA57" s="51" t="s">
        <v>1586</v>
      </c>
      <c r="AB57" s="51" t="s">
        <v>1435</v>
      </c>
      <c r="AC57" s="51" t="s">
        <v>1587</v>
      </c>
      <c r="AD57" s="59" t="str">
        <f t="shared" si="6"/>
        <v>GPIO_PN0</v>
      </c>
      <c r="AE57" s="66"/>
      <c r="AF57" s="61" t="str">
        <f t="shared" si="7"/>
        <v>NORMAL</v>
      </c>
      <c r="AG57" s="61" t="str">
        <f t="shared" si="5"/>
        <v>NORMAL</v>
      </c>
      <c r="AH57" s="61" t="str">
        <f t="shared" si="8"/>
        <v>DISABLE</v>
      </c>
      <c r="AI57" s="67" t="str">
        <f t="shared" si="10"/>
        <v>0</v>
      </c>
      <c r="AJ57" s="176" t="b">
        <v>1</v>
      </c>
      <c r="AK57" s="176" t="b">
        <v>1</v>
      </c>
      <c r="AL57" s="176" t="b">
        <v>1</v>
      </c>
      <c r="AM57" s="176" t="b">
        <v>1</v>
      </c>
      <c r="AN57" s="176" t="b">
        <v>1</v>
      </c>
      <c r="AO57" s="176" t="b">
        <v>1</v>
      </c>
      <c r="AP57" s="64" t="str">
        <f t="shared" si="13"/>
        <v>VALID</v>
      </c>
      <c r="AQ57" s="345" t="s">
        <v>1510</v>
      </c>
      <c r="AR57" s="336" t="s">
        <v>3495</v>
      </c>
      <c r="AS57" s="337" t="s">
        <v>3500</v>
      </c>
      <c r="AT57" s="342"/>
      <c r="AU57" s="342"/>
      <c r="AV57" s="342"/>
      <c r="AW57" s="337" t="s">
        <v>125</v>
      </c>
      <c r="AX57" s="342"/>
      <c r="AY57" s="337"/>
      <c r="AZ57" s="337"/>
      <c r="BA57" s="343"/>
      <c r="BB57" s="338"/>
      <c r="BC57" s="344" t="s">
        <v>3705</v>
      </c>
      <c r="BD57" s="238"/>
      <c r="BE57" s="239"/>
      <c r="BF57" s="239"/>
      <c r="BG57" s="239"/>
      <c r="BH57" s="239"/>
      <c r="BI57" s="239"/>
      <c r="BJ57" s="239"/>
      <c r="BK57" s="239"/>
      <c r="BL57" s="239"/>
      <c r="BM57" s="239"/>
      <c r="BN57" s="239"/>
      <c r="BO57" s="239"/>
      <c r="BP57" s="239"/>
      <c r="BQ57" s="239"/>
      <c r="BR57" s="239"/>
      <c r="BS57" s="239"/>
      <c r="BT57" s="239"/>
      <c r="BU57" s="239"/>
      <c r="BV57" s="239"/>
      <c r="BW57" s="239"/>
      <c r="BX57" s="239"/>
      <c r="BY57" s="239"/>
      <c r="BZ57" s="239"/>
      <c r="CA57" s="239"/>
      <c r="CB57" s="239"/>
      <c r="CC57" s="239"/>
      <c r="CD57" s="239"/>
      <c r="CE57" s="239"/>
    </row>
    <row r="58" spans="1:83" ht="12.95" customHeight="1">
      <c r="A58" s="21" t="s">
        <v>3333</v>
      </c>
      <c r="B58" s="21" t="s">
        <v>3638</v>
      </c>
      <c r="C58" s="51" t="s">
        <v>934</v>
      </c>
      <c r="D58" s="52" t="s">
        <v>1744</v>
      </c>
      <c r="E58" s="52" t="s">
        <v>1745</v>
      </c>
      <c r="F58" s="53" t="s">
        <v>1226</v>
      </c>
      <c r="G58" s="179" t="s">
        <v>1746</v>
      </c>
      <c r="H58" s="180" t="s">
        <v>126</v>
      </c>
      <c r="I58" s="55" t="s">
        <v>1399</v>
      </c>
      <c r="J58" s="55" t="s">
        <v>1429</v>
      </c>
      <c r="K58" s="56" t="s">
        <v>1429</v>
      </c>
      <c r="L58" s="54" t="s">
        <v>1580</v>
      </c>
      <c r="M58" s="55" t="s">
        <v>1580</v>
      </c>
      <c r="N58" s="55" t="s">
        <v>1581</v>
      </c>
      <c r="O58" s="55" t="s">
        <v>1429</v>
      </c>
      <c r="P58" s="56" t="s">
        <v>1429</v>
      </c>
      <c r="Q58" s="52" t="s">
        <v>126</v>
      </c>
      <c r="R58" s="52" t="s">
        <v>157</v>
      </c>
      <c r="S58" s="52" t="s">
        <v>99</v>
      </c>
      <c r="T58" s="52" t="s">
        <v>100</v>
      </c>
      <c r="U58" s="57" t="s">
        <v>99</v>
      </c>
      <c r="V58" s="146" t="s">
        <v>1747</v>
      </c>
      <c r="W58" s="51" t="s">
        <v>1737</v>
      </c>
      <c r="X58" s="130" t="s">
        <v>1429</v>
      </c>
      <c r="Y58" s="130" t="s">
        <v>1429</v>
      </c>
      <c r="Z58" s="51" t="s">
        <v>1585</v>
      </c>
      <c r="AA58" s="51" t="s">
        <v>1586</v>
      </c>
      <c r="AB58" s="51" t="s">
        <v>1435</v>
      </c>
      <c r="AC58" s="51" t="s">
        <v>1587</v>
      </c>
      <c r="AD58" s="59" t="str">
        <f t="shared" si="6"/>
        <v>EXTPERIPH3</v>
      </c>
      <c r="AE58" s="66"/>
      <c r="AF58" s="61" t="str">
        <f t="shared" si="7"/>
        <v>NORMAL</v>
      </c>
      <c r="AG58" s="61" t="str">
        <f t="shared" si="5"/>
        <v>NORMAL</v>
      </c>
      <c r="AH58" s="61" t="str">
        <f t="shared" si="8"/>
        <v>DISABLE</v>
      </c>
      <c r="AI58" s="67" t="str">
        <f t="shared" si="10"/>
        <v>N/A</v>
      </c>
      <c r="AJ58" s="176" t="b">
        <v>1</v>
      </c>
      <c r="AK58" s="176" t="b">
        <v>1</v>
      </c>
      <c r="AL58" s="176" t="b">
        <v>1</v>
      </c>
      <c r="AM58" s="176" t="b">
        <v>1</v>
      </c>
      <c r="AN58" s="176" t="b">
        <v>1</v>
      </c>
      <c r="AO58" s="176" t="b">
        <v>1</v>
      </c>
      <c r="AP58" s="64" t="str">
        <f t="shared" si="13"/>
        <v>VALID</v>
      </c>
      <c r="AQ58" s="217" t="s">
        <v>1399</v>
      </c>
      <c r="AR58" s="182" t="s">
        <v>3495</v>
      </c>
      <c r="AS58" s="181"/>
      <c r="AT58" s="5"/>
      <c r="AU58" s="5"/>
      <c r="AV58" s="5"/>
      <c r="AW58" s="181" t="s">
        <v>125</v>
      </c>
      <c r="AX58" s="284"/>
      <c r="AY58" s="181"/>
      <c r="AZ58" s="181"/>
      <c r="BA58" s="7"/>
      <c r="BB58" s="212"/>
      <c r="BC58" s="10" t="s">
        <v>3706</v>
      </c>
      <c r="BD58" s="238"/>
      <c r="BE58" s="239"/>
      <c r="BF58" s="239"/>
      <c r="BG58" s="239"/>
      <c r="BH58" s="239"/>
      <c r="BI58" s="239"/>
      <c r="BJ58" s="239"/>
      <c r="BK58" s="239"/>
      <c r="BL58" s="239"/>
      <c r="BM58" s="239"/>
      <c r="BN58" s="239"/>
      <c r="BO58" s="239"/>
      <c r="BP58" s="239"/>
      <c r="BQ58" s="239"/>
      <c r="BR58" s="239"/>
      <c r="BS58" s="239"/>
      <c r="BT58" s="239"/>
      <c r="BU58" s="239"/>
      <c r="BV58" s="239"/>
      <c r="BW58" s="239"/>
      <c r="BX58" s="239"/>
      <c r="BY58" s="239"/>
      <c r="BZ58" s="239"/>
      <c r="CA58" s="239"/>
      <c r="CB58" s="239"/>
      <c r="CC58" s="239"/>
      <c r="CD58" s="239"/>
      <c r="CE58" s="239"/>
    </row>
    <row r="59" spans="1:83" ht="12.95" customHeight="1">
      <c r="A59" s="210" t="s">
        <v>3802</v>
      </c>
      <c r="B59" s="210" t="s">
        <v>3595</v>
      </c>
      <c r="C59" s="51" t="s">
        <v>935</v>
      </c>
      <c r="D59" s="52" t="s">
        <v>1748</v>
      </c>
      <c r="E59" s="52" t="s">
        <v>1749</v>
      </c>
      <c r="F59" s="53" t="s">
        <v>1227</v>
      </c>
      <c r="G59" s="179" t="s">
        <v>1511</v>
      </c>
      <c r="H59" s="180" t="s">
        <v>128</v>
      </c>
      <c r="I59" s="55" t="s">
        <v>1750</v>
      </c>
      <c r="J59" s="55" t="s">
        <v>1429</v>
      </c>
      <c r="K59" s="56" t="s">
        <v>1429</v>
      </c>
      <c r="L59" s="54" t="s">
        <v>1580</v>
      </c>
      <c r="M59" s="55" t="s">
        <v>1580</v>
      </c>
      <c r="N59" s="55" t="s">
        <v>1581</v>
      </c>
      <c r="O59" s="55" t="s">
        <v>1429</v>
      </c>
      <c r="P59" s="56" t="s">
        <v>1429</v>
      </c>
      <c r="Q59" s="52" t="s">
        <v>128</v>
      </c>
      <c r="R59" s="52" t="s">
        <v>1360</v>
      </c>
      <c r="S59" s="52" t="s">
        <v>99</v>
      </c>
      <c r="T59" s="52" t="s">
        <v>100</v>
      </c>
      <c r="U59" s="57" t="s">
        <v>99</v>
      </c>
      <c r="V59" s="146" t="s">
        <v>1751</v>
      </c>
      <c r="W59" s="51" t="s">
        <v>1737</v>
      </c>
      <c r="X59" s="130" t="s">
        <v>1429</v>
      </c>
      <c r="Y59" s="130" t="s">
        <v>1429</v>
      </c>
      <c r="Z59" s="51" t="s">
        <v>1585</v>
      </c>
      <c r="AA59" s="51" t="s">
        <v>1586</v>
      </c>
      <c r="AB59" s="51" t="s">
        <v>1435</v>
      </c>
      <c r="AC59" s="51" t="s">
        <v>1587</v>
      </c>
      <c r="AD59" s="59" t="str">
        <f t="shared" si="6"/>
        <v>GPIO_PN2</v>
      </c>
      <c r="AE59" s="66"/>
      <c r="AF59" s="61" t="str">
        <f t="shared" si="7"/>
        <v>NORMAL</v>
      </c>
      <c r="AG59" s="61" t="str">
        <f t="shared" si="5"/>
        <v>NORMAL</v>
      </c>
      <c r="AH59" s="61" t="str">
        <f t="shared" si="8"/>
        <v>DISABLE</v>
      </c>
      <c r="AI59" s="67" t="str">
        <f t="shared" si="10"/>
        <v>0</v>
      </c>
      <c r="AJ59" s="176" t="b">
        <v>1</v>
      </c>
      <c r="AK59" s="176" t="b">
        <v>1</v>
      </c>
      <c r="AL59" s="176" t="b">
        <v>1</v>
      </c>
      <c r="AM59" s="176" t="b">
        <v>1</v>
      </c>
      <c r="AN59" s="176" t="b">
        <v>1</v>
      </c>
      <c r="AO59" s="176" t="b">
        <v>1</v>
      </c>
      <c r="AP59" s="64" t="str">
        <f t="shared" si="13"/>
        <v>VALID</v>
      </c>
      <c r="AQ59" s="217" t="s">
        <v>1511</v>
      </c>
      <c r="AR59" s="182" t="s">
        <v>3495</v>
      </c>
      <c r="AS59" s="181" t="s">
        <v>3500</v>
      </c>
      <c r="AT59" s="5"/>
      <c r="AU59" s="5"/>
      <c r="AV59" s="5"/>
      <c r="AW59" s="181" t="s">
        <v>125</v>
      </c>
      <c r="AX59" s="284"/>
      <c r="AY59" s="181"/>
      <c r="AZ59" s="181"/>
      <c r="BA59" s="7"/>
      <c r="BB59" s="212"/>
      <c r="BC59" s="10" t="s">
        <v>3667</v>
      </c>
      <c r="BD59" s="238"/>
      <c r="BE59" s="239"/>
      <c r="BF59" s="239"/>
      <c r="BG59" s="239"/>
      <c r="BH59" s="239"/>
      <c r="BI59" s="239"/>
      <c r="BJ59" s="239"/>
      <c r="BK59" s="239"/>
      <c r="BL59" s="239"/>
      <c r="BM59" s="239"/>
      <c r="BN59" s="239"/>
      <c r="BO59" s="239"/>
      <c r="BP59" s="239"/>
      <c r="BQ59" s="239"/>
      <c r="BR59" s="239"/>
      <c r="BS59" s="239"/>
      <c r="BT59" s="239"/>
      <c r="BU59" s="239"/>
      <c r="BV59" s="239"/>
      <c r="BW59" s="239"/>
      <c r="BX59" s="239"/>
      <c r="BY59" s="239"/>
      <c r="BZ59" s="239"/>
      <c r="CA59" s="239"/>
      <c r="CB59" s="239"/>
      <c r="CC59" s="239"/>
      <c r="CD59" s="239"/>
      <c r="CE59" s="239"/>
    </row>
    <row r="60" spans="1:83" ht="12.95" customHeight="1">
      <c r="A60" s="21" t="s">
        <v>3334</v>
      </c>
      <c r="B60" s="21" t="s">
        <v>3603</v>
      </c>
      <c r="C60" s="51" t="s">
        <v>936</v>
      </c>
      <c r="D60" s="52" t="s">
        <v>1752</v>
      </c>
      <c r="E60" s="52" t="s">
        <v>1753</v>
      </c>
      <c r="F60" s="53" t="s">
        <v>1228</v>
      </c>
      <c r="G60" s="179" t="s">
        <v>1754</v>
      </c>
      <c r="H60" s="180" t="s">
        <v>129</v>
      </c>
      <c r="I60" s="55" t="s">
        <v>1400</v>
      </c>
      <c r="J60" s="55" t="s">
        <v>1429</v>
      </c>
      <c r="K60" s="56" t="s">
        <v>1429</v>
      </c>
      <c r="L60" s="54" t="s">
        <v>1580</v>
      </c>
      <c r="M60" s="55" t="s">
        <v>1580</v>
      </c>
      <c r="N60" s="55" t="s">
        <v>1580</v>
      </c>
      <c r="O60" s="55" t="s">
        <v>1429</v>
      </c>
      <c r="P60" s="56" t="s">
        <v>1429</v>
      </c>
      <c r="Q60" s="52" t="s">
        <v>129</v>
      </c>
      <c r="R60" s="52" t="s">
        <v>132</v>
      </c>
      <c r="S60" s="52" t="s">
        <v>99</v>
      </c>
      <c r="T60" s="52" t="s">
        <v>100</v>
      </c>
      <c r="U60" s="57" t="s">
        <v>99</v>
      </c>
      <c r="V60" s="146" t="s">
        <v>1755</v>
      </c>
      <c r="W60" s="51" t="s">
        <v>1737</v>
      </c>
      <c r="X60" s="130" t="s">
        <v>1429</v>
      </c>
      <c r="Y60" s="130" t="s">
        <v>1429</v>
      </c>
      <c r="Z60" s="51" t="s">
        <v>1585</v>
      </c>
      <c r="AA60" s="51" t="s">
        <v>1586</v>
      </c>
      <c r="AB60" s="51" t="s">
        <v>1435</v>
      </c>
      <c r="AC60" s="51" t="s">
        <v>1587</v>
      </c>
      <c r="AD60" s="59" t="str">
        <f t="shared" si="6"/>
        <v>SPI4</v>
      </c>
      <c r="AE60" s="66"/>
      <c r="AF60" s="61" t="str">
        <f t="shared" si="7"/>
        <v>NORMAL</v>
      </c>
      <c r="AG60" s="61" t="str">
        <f t="shared" si="5"/>
        <v>NORMAL</v>
      </c>
      <c r="AH60" s="61" t="str">
        <f t="shared" si="8"/>
        <v>DISABLE</v>
      </c>
      <c r="AI60" s="67" t="str">
        <f t="shared" si="10"/>
        <v>N/A</v>
      </c>
      <c r="AJ60" s="176" t="b">
        <v>1</v>
      </c>
      <c r="AK60" s="176" t="b">
        <v>1</v>
      </c>
      <c r="AL60" s="176" t="b">
        <v>1</v>
      </c>
      <c r="AM60" s="176" t="b">
        <v>1</v>
      </c>
      <c r="AN60" s="176" t="b">
        <v>1</v>
      </c>
      <c r="AO60" s="176" t="b">
        <v>1</v>
      </c>
      <c r="AP60" s="64" t="str">
        <f t="shared" si="13"/>
        <v>VALID</v>
      </c>
      <c r="AQ60" s="217" t="s">
        <v>1400</v>
      </c>
      <c r="AR60" s="182" t="s">
        <v>3495</v>
      </c>
      <c r="AS60" s="181"/>
      <c r="AT60" s="5"/>
      <c r="AU60" s="5"/>
      <c r="AV60" s="5"/>
      <c r="AW60" s="181" t="s">
        <v>125</v>
      </c>
      <c r="AX60" s="284"/>
      <c r="AY60" s="181"/>
      <c r="AZ60" s="181"/>
      <c r="BA60" s="7"/>
      <c r="BB60" s="212"/>
      <c r="BC60" s="10" t="s">
        <v>1400</v>
      </c>
      <c r="BD60" s="238"/>
      <c r="BE60" s="239"/>
      <c r="BF60" s="239"/>
      <c r="BG60" s="239"/>
      <c r="BH60" s="239"/>
      <c r="BI60" s="239"/>
      <c r="BJ60" s="239"/>
      <c r="BK60" s="239"/>
      <c r="BL60" s="239"/>
      <c r="BM60" s="239"/>
      <c r="BN60" s="239"/>
      <c r="BO60" s="239"/>
      <c r="BP60" s="239"/>
      <c r="BQ60" s="239"/>
      <c r="BR60" s="239"/>
      <c r="BS60" s="239"/>
      <c r="BT60" s="239"/>
      <c r="BU60" s="239"/>
      <c r="BV60" s="239"/>
      <c r="BW60" s="239"/>
      <c r="BX60" s="239"/>
      <c r="BY60" s="239"/>
      <c r="BZ60" s="239"/>
      <c r="CA60" s="239"/>
      <c r="CB60" s="239"/>
      <c r="CC60" s="239"/>
      <c r="CD60" s="239"/>
      <c r="CE60" s="239"/>
    </row>
    <row r="61" spans="1:83" ht="12.95" customHeight="1">
      <c r="A61" s="21" t="s">
        <v>3335</v>
      </c>
      <c r="B61" s="21" t="s">
        <v>2353</v>
      </c>
      <c r="C61" s="51" t="s">
        <v>937</v>
      </c>
      <c r="D61" s="52" t="s">
        <v>1756</v>
      </c>
      <c r="E61" s="52" t="s">
        <v>1757</v>
      </c>
      <c r="F61" s="53" t="s">
        <v>1229</v>
      </c>
      <c r="G61" s="179" t="s">
        <v>1758</v>
      </c>
      <c r="H61" s="180" t="s">
        <v>130</v>
      </c>
      <c r="I61" s="55" t="s">
        <v>1512</v>
      </c>
      <c r="J61" s="55" t="s">
        <v>1429</v>
      </c>
      <c r="K61" s="56" t="s">
        <v>1429</v>
      </c>
      <c r="L61" s="54" t="s">
        <v>1580</v>
      </c>
      <c r="M61" s="55" t="s">
        <v>1580</v>
      </c>
      <c r="N61" s="55" t="s">
        <v>1580</v>
      </c>
      <c r="O61" s="55" t="s">
        <v>1429</v>
      </c>
      <c r="P61" s="56" t="s">
        <v>1429</v>
      </c>
      <c r="Q61" s="52" t="s">
        <v>130</v>
      </c>
      <c r="R61" s="52" t="s">
        <v>132</v>
      </c>
      <c r="S61" s="52" t="s">
        <v>99</v>
      </c>
      <c r="T61" s="52" t="s">
        <v>100</v>
      </c>
      <c r="U61" s="57" t="s">
        <v>99</v>
      </c>
      <c r="V61" s="146" t="s">
        <v>1759</v>
      </c>
      <c r="W61" s="51" t="s">
        <v>1737</v>
      </c>
      <c r="X61" s="130" t="s">
        <v>1429</v>
      </c>
      <c r="Y61" s="130" t="s">
        <v>1429</v>
      </c>
      <c r="Z61" s="51" t="s">
        <v>1585</v>
      </c>
      <c r="AA61" s="51" t="s">
        <v>1586</v>
      </c>
      <c r="AB61" s="51" t="s">
        <v>1435</v>
      </c>
      <c r="AC61" s="51" t="s">
        <v>1587</v>
      </c>
      <c r="AD61" s="59" t="str">
        <f t="shared" si="6"/>
        <v>SPI4</v>
      </c>
      <c r="AE61" s="66"/>
      <c r="AF61" s="61" t="str">
        <f t="shared" si="7"/>
        <v>PULL_DOWN</v>
      </c>
      <c r="AG61" s="61" t="str">
        <f t="shared" si="5"/>
        <v>TRISTATE</v>
      </c>
      <c r="AH61" s="61" t="str">
        <f t="shared" si="8"/>
        <v>ENABLE</v>
      </c>
      <c r="AI61" s="67" t="str">
        <f t="shared" si="10"/>
        <v>N/A</v>
      </c>
      <c r="AJ61" s="176" t="b">
        <v>1</v>
      </c>
      <c r="AK61" s="176" t="b">
        <v>1</v>
      </c>
      <c r="AL61" s="176" t="b">
        <v>1</v>
      </c>
      <c r="AM61" s="176" t="b">
        <v>1</v>
      </c>
      <c r="AN61" s="176" t="b">
        <v>1</v>
      </c>
      <c r="AO61" s="176" t="b">
        <v>1</v>
      </c>
      <c r="AP61" s="64" t="str">
        <f t="shared" si="13"/>
        <v>VALID</v>
      </c>
      <c r="AQ61" s="217" t="s">
        <v>1512</v>
      </c>
      <c r="AR61" s="182" t="s">
        <v>3496</v>
      </c>
      <c r="AS61" s="181" t="s">
        <v>3503</v>
      </c>
      <c r="AT61" s="5"/>
      <c r="AU61" s="5"/>
      <c r="AV61" s="5"/>
      <c r="AW61" s="181" t="s">
        <v>125</v>
      </c>
      <c r="AX61" s="284"/>
      <c r="AY61" s="181"/>
      <c r="AZ61" s="181"/>
      <c r="BA61" s="7"/>
      <c r="BB61" s="212"/>
      <c r="BC61" s="10" t="s">
        <v>3513</v>
      </c>
      <c r="BD61" s="238"/>
      <c r="BE61" s="239"/>
      <c r="BF61" s="239"/>
      <c r="BG61" s="239"/>
      <c r="BH61" s="239"/>
      <c r="BI61" s="239"/>
      <c r="BJ61" s="239"/>
      <c r="BK61" s="239"/>
      <c r="BL61" s="239"/>
      <c r="BM61" s="239"/>
      <c r="BN61" s="239"/>
      <c r="BO61" s="239"/>
      <c r="BP61" s="239"/>
      <c r="BQ61" s="239"/>
      <c r="BR61" s="239"/>
      <c r="BS61" s="239"/>
      <c r="BT61" s="239"/>
      <c r="BU61" s="239"/>
      <c r="BV61" s="239"/>
      <c r="BW61" s="239"/>
      <c r="BX61" s="239"/>
      <c r="BY61" s="239"/>
      <c r="BZ61" s="239"/>
      <c r="CA61" s="239"/>
      <c r="CB61" s="239"/>
      <c r="CC61" s="239"/>
      <c r="CD61" s="239"/>
      <c r="CE61" s="239"/>
    </row>
    <row r="62" spans="1:83" ht="12.95" customHeight="1">
      <c r="A62" s="21" t="s">
        <v>3336</v>
      </c>
      <c r="B62" s="21" t="s">
        <v>3596</v>
      </c>
      <c r="C62" s="51" t="s">
        <v>938</v>
      </c>
      <c r="D62" s="52" t="s">
        <v>1760</v>
      </c>
      <c r="E62" s="52" t="s">
        <v>1761</v>
      </c>
      <c r="F62" s="53" t="s">
        <v>1230</v>
      </c>
      <c r="G62" s="179" t="s">
        <v>1762</v>
      </c>
      <c r="H62" s="180" t="s">
        <v>131</v>
      </c>
      <c r="I62" s="55" t="s">
        <v>1513</v>
      </c>
      <c r="J62" s="55" t="s">
        <v>1429</v>
      </c>
      <c r="K62" s="56" t="s">
        <v>1429</v>
      </c>
      <c r="L62" s="54" t="s">
        <v>1580</v>
      </c>
      <c r="M62" s="55" t="s">
        <v>1580</v>
      </c>
      <c r="N62" s="55" t="s">
        <v>1580</v>
      </c>
      <c r="O62" s="55" t="s">
        <v>1429</v>
      </c>
      <c r="P62" s="56" t="s">
        <v>1429</v>
      </c>
      <c r="Q62" s="52" t="s">
        <v>131</v>
      </c>
      <c r="R62" s="52" t="s">
        <v>132</v>
      </c>
      <c r="S62" s="52" t="s">
        <v>99</v>
      </c>
      <c r="T62" s="52" t="s">
        <v>100</v>
      </c>
      <c r="U62" s="57" t="s">
        <v>99</v>
      </c>
      <c r="V62" s="146" t="s">
        <v>1763</v>
      </c>
      <c r="W62" s="51" t="s">
        <v>1737</v>
      </c>
      <c r="X62" s="130" t="s">
        <v>1429</v>
      </c>
      <c r="Y62" s="130" t="s">
        <v>1429</v>
      </c>
      <c r="Z62" s="51" t="s">
        <v>1585</v>
      </c>
      <c r="AA62" s="51" t="s">
        <v>1586</v>
      </c>
      <c r="AB62" s="51" t="s">
        <v>1435</v>
      </c>
      <c r="AC62" s="51" t="s">
        <v>1587</v>
      </c>
      <c r="AD62" s="59" t="str">
        <f t="shared" si="6"/>
        <v>SPI4</v>
      </c>
      <c r="AE62" s="66"/>
      <c r="AF62" s="61" t="str">
        <f t="shared" si="7"/>
        <v>NORMAL</v>
      </c>
      <c r="AG62" s="61" t="str">
        <f t="shared" si="5"/>
        <v>NORMAL</v>
      </c>
      <c r="AH62" s="61" t="str">
        <f t="shared" si="8"/>
        <v>DISABLE</v>
      </c>
      <c r="AI62" s="67" t="str">
        <f t="shared" si="10"/>
        <v>N/A</v>
      </c>
      <c r="AJ62" s="176" t="b">
        <v>1</v>
      </c>
      <c r="AK62" s="176" t="b">
        <v>1</v>
      </c>
      <c r="AL62" s="176" t="b">
        <v>1</v>
      </c>
      <c r="AM62" s="176" t="b">
        <v>1</v>
      </c>
      <c r="AN62" s="176" t="b">
        <v>1</v>
      </c>
      <c r="AO62" s="176" t="b">
        <v>1</v>
      </c>
      <c r="AP62" s="64" t="str">
        <f t="shared" si="13"/>
        <v>VALID</v>
      </c>
      <c r="AQ62" s="217" t="s">
        <v>1513</v>
      </c>
      <c r="AR62" s="182" t="s">
        <v>3495</v>
      </c>
      <c r="AS62" s="181"/>
      <c r="AT62" s="5"/>
      <c r="AU62" s="5"/>
      <c r="AV62" s="5"/>
      <c r="AW62" s="181" t="s">
        <v>125</v>
      </c>
      <c r="AX62" s="284"/>
      <c r="AY62" s="181"/>
      <c r="AZ62" s="181"/>
      <c r="BA62" s="7"/>
      <c r="BB62" s="212"/>
      <c r="BC62" s="10" t="s">
        <v>3514</v>
      </c>
      <c r="BD62" s="238"/>
      <c r="BE62" s="239"/>
      <c r="BF62" s="239"/>
      <c r="BG62" s="239"/>
      <c r="BH62" s="239"/>
      <c r="BI62" s="239"/>
      <c r="BJ62" s="239"/>
      <c r="BK62" s="239"/>
      <c r="BL62" s="239"/>
      <c r="BM62" s="239"/>
      <c r="BN62" s="239"/>
      <c r="BO62" s="239"/>
      <c r="BP62" s="239"/>
      <c r="BQ62" s="239"/>
      <c r="BR62" s="239"/>
      <c r="BS62" s="239"/>
      <c r="BT62" s="239"/>
      <c r="BU62" s="239"/>
      <c r="BV62" s="239"/>
      <c r="BW62" s="239"/>
      <c r="BX62" s="239"/>
      <c r="BY62" s="239"/>
      <c r="BZ62" s="239"/>
      <c r="CA62" s="239"/>
      <c r="CB62" s="239"/>
      <c r="CC62" s="239"/>
      <c r="CD62" s="239"/>
      <c r="CE62" s="239"/>
    </row>
    <row r="63" spans="1:83" ht="12.95" customHeight="1">
      <c r="A63" s="21" t="s">
        <v>3337</v>
      </c>
      <c r="B63" s="21" t="s">
        <v>2351</v>
      </c>
      <c r="C63" s="51" t="s">
        <v>939</v>
      </c>
      <c r="D63" s="52" t="s">
        <v>1764</v>
      </c>
      <c r="E63" s="52" t="s">
        <v>1765</v>
      </c>
      <c r="F63" s="53" t="s">
        <v>1231</v>
      </c>
      <c r="G63" s="179" t="s">
        <v>1766</v>
      </c>
      <c r="H63" s="180" t="s">
        <v>1429</v>
      </c>
      <c r="I63" s="55" t="s">
        <v>1401</v>
      </c>
      <c r="J63" s="55" t="s">
        <v>1429</v>
      </c>
      <c r="K63" s="56" t="s">
        <v>1429</v>
      </c>
      <c r="L63" s="54" t="s">
        <v>1580</v>
      </c>
      <c r="M63" s="55" t="s">
        <v>1429</v>
      </c>
      <c r="N63" s="55" t="s">
        <v>1580</v>
      </c>
      <c r="O63" s="55" t="s">
        <v>1429</v>
      </c>
      <c r="P63" s="56" t="s">
        <v>1429</v>
      </c>
      <c r="Q63" s="52" t="s">
        <v>755</v>
      </c>
      <c r="R63" s="52" t="s">
        <v>132</v>
      </c>
      <c r="S63" s="52" t="s">
        <v>99</v>
      </c>
      <c r="T63" s="52" t="s">
        <v>100</v>
      </c>
      <c r="U63" s="57" t="s">
        <v>755</v>
      </c>
      <c r="V63" s="146" t="s">
        <v>1767</v>
      </c>
      <c r="W63" s="51" t="s">
        <v>1737</v>
      </c>
      <c r="X63" s="130" t="s">
        <v>1429</v>
      </c>
      <c r="Y63" s="130" t="s">
        <v>1429</v>
      </c>
      <c r="Z63" s="51" t="s">
        <v>1585</v>
      </c>
      <c r="AA63" s="51" t="s">
        <v>1586</v>
      </c>
      <c r="AB63" s="51" t="s">
        <v>1435</v>
      </c>
      <c r="AC63" s="51" t="s">
        <v>1674</v>
      </c>
      <c r="AD63" s="59" t="str">
        <f t="shared" si="6"/>
        <v>SPI4</v>
      </c>
      <c r="AE63" s="66"/>
      <c r="AF63" s="61" t="str">
        <f t="shared" si="7"/>
        <v>PULL_UP</v>
      </c>
      <c r="AG63" s="61" t="str">
        <f t="shared" si="5"/>
        <v>NORMAL</v>
      </c>
      <c r="AH63" s="61" t="str">
        <f t="shared" si="8"/>
        <v>DISABLE</v>
      </c>
      <c r="AI63" s="67" t="str">
        <f t="shared" si="10"/>
        <v>N/A</v>
      </c>
      <c r="AJ63" s="176" t="b">
        <v>1</v>
      </c>
      <c r="AK63" s="176" t="b">
        <v>1</v>
      </c>
      <c r="AL63" s="176" t="b">
        <v>1</v>
      </c>
      <c r="AM63" s="176" t="b">
        <v>1</v>
      </c>
      <c r="AN63" s="176" t="b">
        <v>1</v>
      </c>
      <c r="AO63" s="176" t="b">
        <v>1</v>
      </c>
      <c r="AP63" s="64" t="str">
        <f t="shared" si="13"/>
        <v>VALID</v>
      </c>
      <c r="AQ63" s="217" t="s">
        <v>1401</v>
      </c>
      <c r="AR63" s="182" t="s">
        <v>3495</v>
      </c>
      <c r="AS63" s="181" t="s">
        <v>3497</v>
      </c>
      <c r="AT63" s="5"/>
      <c r="AU63" s="5"/>
      <c r="AV63" s="5"/>
      <c r="AW63" s="181" t="s">
        <v>125</v>
      </c>
      <c r="AX63" s="284"/>
      <c r="AY63" s="181"/>
      <c r="AZ63" s="181"/>
      <c r="BA63" s="7"/>
      <c r="BB63" s="212"/>
      <c r="BC63" s="10" t="s">
        <v>1401</v>
      </c>
      <c r="BD63" s="238"/>
      <c r="BE63" s="239"/>
      <c r="BF63" s="239"/>
      <c r="BG63" s="239"/>
      <c r="BH63" s="239"/>
      <c r="BI63" s="239"/>
      <c r="BJ63" s="239"/>
      <c r="BK63" s="239"/>
      <c r="BL63" s="239"/>
      <c r="BM63" s="239"/>
      <c r="BN63" s="239"/>
      <c r="BO63" s="239"/>
      <c r="BP63" s="239"/>
      <c r="BQ63" s="239"/>
      <c r="BR63" s="239"/>
      <c r="BS63" s="239"/>
      <c r="BT63" s="239"/>
      <c r="BU63" s="239"/>
      <c r="BV63" s="239"/>
      <c r="BW63" s="239"/>
      <c r="BX63" s="239"/>
      <c r="BY63" s="239"/>
      <c r="BZ63" s="239"/>
      <c r="CA63" s="239"/>
      <c r="CB63" s="239"/>
      <c r="CC63" s="239"/>
      <c r="CD63" s="239"/>
      <c r="CE63" s="239"/>
    </row>
    <row r="64" spans="1:83" ht="12.95" customHeight="1">
      <c r="A64" s="21" t="s">
        <v>3338</v>
      </c>
      <c r="B64" s="21" t="s">
        <v>2288</v>
      </c>
      <c r="C64" s="51" t="s">
        <v>14</v>
      </c>
      <c r="D64" s="52" t="s">
        <v>1768</v>
      </c>
      <c r="E64" s="52" t="s">
        <v>1769</v>
      </c>
      <c r="F64" s="53" t="s">
        <v>124</v>
      </c>
      <c r="G64" s="179" t="s">
        <v>1770</v>
      </c>
      <c r="H64" s="180" t="s">
        <v>1514</v>
      </c>
      <c r="I64" s="55" t="s">
        <v>1429</v>
      </c>
      <c r="J64" s="55" t="s">
        <v>1429</v>
      </c>
      <c r="K64" s="56" t="s">
        <v>1429</v>
      </c>
      <c r="L64" s="54" t="s">
        <v>1580</v>
      </c>
      <c r="M64" s="55" t="s">
        <v>1580</v>
      </c>
      <c r="N64" s="55" t="s">
        <v>1429</v>
      </c>
      <c r="O64" s="55" t="s">
        <v>1429</v>
      </c>
      <c r="P64" s="56" t="s">
        <v>1429</v>
      </c>
      <c r="Q64" s="52" t="s">
        <v>123</v>
      </c>
      <c r="R64" s="52" t="s">
        <v>113</v>
      </c>
      <c r="S64" s="52" t="s">
        <v>99</v>
      </c>
      <c r="T64" s="52" t="s">
        <v>100</v>
      </c>
      <c r="U64" s="57" t="s">
        <v>113</v>
      </c>
      <c r="V64" s="146" t="s">
        <v>1771</v>
      </c>
      <c r="W64" s="51" t="s">
        <v>1737</v>
      </c>
      <c r="X64" s="130" t="s">
        <v>1429</v>
      </c>
      <c r="Y64" s="130" t="s">
        <v>1429</v>
      </c>
      <c r="Z64" s="51" t="s">
        <v>1631</v>
      </c>
      <c r="AA64" s="51" t="s">
        <v>1632</v>
      </c>
      <c r="AB64" s="51" t="s">
        <v>1435</v>
      </c>
      <c r="AC64" s="51" t="s">
        <v>1633</v>
      </c>
      <c r="AD64" s="59" t="str">
        <f t="shared" si="6"/>
        <v>I2C3</v>
      </c>
      <c r="AE64" s="66"/>
      <c r="AF64" s="61" t="str">
        <f t="shared" si="7"/>
        <v>NORMAL</v>
      </c>
      <c r="AG64" s="61" t="str">
        <f t="shared" si="5"/>
        <v>NORMAL</v>
      </c>
      <c r="AH64" s="61" t="str">
        <f t="shared" si="8"/>
        <v>ENABLE</v>
      </c>
      <c r="AI64" s="67" t="str">
        <f t="shared" si="10"/>
        <v>N/A</v>
      </c>
      <c r="AJ64" s="176" t="b">
        <v>1</v>
      </c>
      <c r="AK64" s="176" t="b">
        <v>1</v>
      </c>
      <c r="AL64" s="176" t="b">
        <v>1</v>
      </c>
      <c r="AM64" s="176" t="b">
        <v>1</v>
      </c>
      <c r="AN64" s="176" t="b">
        <v>1</v>
      </c>
      <c r="AO64" s="176" t="b">
        <v>1</v>
      </c>
      <c r="AP64" s="64" t="str">
        <f t="shared" si="13"/>
        <v>VALID</v>
      </c>
      <c r="AQ64" s="217" t="s">
        <v>1514</v>
      </c>
      <c r="AR64" s="182" t="s">
        <v>3501</v>
      </c>
      <c r="AS64" s="181"/>
      <c r="AT64" s="5"/>
      <c r="AU64" s="5"/>
      <c r="AV64" s="181" t="s">
        <v>125</v>
      </c>
      <c r="AW64" s="181" t="s">
        <v>125</v>
      </c>
      <c r="AX64" s="284"/>
      <c r="AY64" s="181"/>
      <c r="AZ64" s="181"/>
      <c r="BA64" s="7"/>
      <c r="BB64" s="212"/>
      <c r="BC64" s="10" t="s">
        <v>14</v>
      </c>
      <c r="BD64" s="238"/>
      <c r="BE64" s="239"/>
      <c r="BF64" s="239"/>
      <c r="BG64" s="239"/>
      <c r="BH64" s="239"/>
      <c r="BI64" s="239"/>
      <c r="BJ64" s="239"/>
      <c r="BK64" s="239"/>
      <c r="BL64" s="239"/>
      <c r="BM64" s="239"/>
      <c r="BN64" s="239"/>
      <c r="BO64" s="239"/>
      <c r="BP64" s="239"/>
      <c r="BQ64" s="239"/>
      <c r="BR64" s="239"/>
      <c r="BS64" s="239"/>
      <c r="BT64" s="239"/>
      <c r="BU64" s="239"/>
      <c r="BV64" s="239"/>
      <c r="BW64" s="239"/>
      <c r="BX64" s="239"/>
      <c r="BY64" s="239"/>
      <c r="BZ64" s="239"/>
      <c r="CA64" s="239"/>
      <c r="CB64" s="239"/>
      <c r="CC64" s="239"/>
      <c r="CD64" s="239"/>
      <c r="CE64" s="239"/>
    </row>
    <row r="65" spans="1:83" ht="12.95" customHeight="1">
      <c r="A65" s="21" t="s">
        <v>3339</v>
      </c>
      <c r="B65" s="21" t="s">
        <v>2293</v>
      </c>
      <c r="C65" s="51" t="s">
        <v>15</v>
      </c>
      <c r="D65" s="52" t="s">
        <v>1772</v>
      </c>
      <c r="E65" s="52" t="s">
        <v>1773</v>
      </c>
      <c r="F65" s="53" t="s">
        <v>127</v>
      </c>
      <c r="G65" s="179" t="s">
        <v>1774</v>
      </c>
      <c r="H65" s="180" t="s">
        <v>1515</v>
      </c>
      <c r="I65" s="55" t="s">
        <v>1429</v>
      </c>
      <c r="J65" s="55" t="s">
        <v>1429</v>
      </c>
      <c r="K65" s="56" t="s">
        <v>1429</v>
      </c>
      <c r="L65" s="54" t="s">
        <v>1580</v>
      </c>
      <c r="M65" s="55" t="s">
        <v>1580</v>
      </c>
      <c r="N65" s="55" t="s">
        <v>1429</v>
      </c>
      <c r="O65" s="55" t="s">
        <v>1429</v>
      </c>
      <c r="P65" s="56" t="s">
        <v>1429</v>
      </c>
      <c r="Q65" s="52" t="s">
        <v>123</v>
      </c>
      <c r="R65" s="52" t="s">
        <v>113</v>
      </c>
      <c r="S65" s="52" t="s">
        <v>99</v>
      </c>
      <c r="T65" s="52" t="s">
        <v>100</v>
      </c>
      <c r="U65" s="57" t="s">
        <v>113</v>
      </c>
      <c r="V65" s="189" t="s">
        <v>1775</v>
      </c>
      <c r="W65" s="51" t="s">
        <v>1737</v>
      </c>
      <c r="X65" s="130" t="s">
        <v>1776</v>
      </c>
      <c r="Y65" s="130" t="s">
        <v>1429</v>
      </c>
      <c r="Z65" s="51" t="s">
        <v>1631</v>
      </c>
      <c r="AA65" s="51" t="s">
        <v>1632</v>
      </c>
      <c r="AB65" s="51" t="s">
        <v>1435</v>
      </c>
      <c r="AC65" s="51" t="s">
        <v>1633</v>
      </c>
      <c r="AD65" s="59" t="str">
        <f t="shared" si="6"/>
        <v>I2C3</v>
      </c>
      <c r="AE65" s="66"/>
      <c r="AF65" s="61" t="str">
        <f t="shared" si="7"/>
        <v>NORMAL</v>
      </c>
      <c r="AG65" s="61" t="str">
        <f t="shared" si="5"/>
        <v>NORMAL</v>
      </c>
      <c r="AH65" s="61" t="str">
        <f t="shared" si="8"/>
        <v>ENABLE</v>
      </c>
      <c r="AI65" s="67" t="str">
        <f t="shared" si="10"/>
        <v>N/A</v>
      </c>
      <c r="AJ65" s="176" t="b">
        <v>1</v>
      </c>
      <c r="AK65" s="176" t="b">
        <v>1</v>
      </c>
      <c r="AL65" s="176" t="b">
        <v>1</v>
      </c>
      <c r="AM65" s="176" t="b">
        <v>1</v>
      </c>
      <c r="AN65" s="176" t="b">
        <v>1</v>
      </c>
      <c r="AO65" s="176" t="b">
        <v>1</v>
      </c>
      <c r="AP65" s="64" t="str">
        <f t="shared" si="13"/>
        <v>VALID</v>
      </c>
      <c r="AQ65" s="217" t="s">
        <v>1515</v>
      </c>
      <c r="AR65" s="182" t="s">
        <v>3501</v>
      </c>
      <c r="AS65" s="181"/>
      <c r="AT65" s="181" t="s">
        <v>104</v>
      </c>
      <c r="AU65" s="5"/>
      <c r="AV65" s="181" t="s">
        <v>125</v>
      </c>
      <c r="AW65" s="181" t="s">
        <v>125</v>
      </c>
      <c r="AX65" s="284"/>
      <c r="AY65" s="181"/>
      <c r="AZ65" s="181"/>
      <c r="BA65" s="7"/>
      <c r="BB65" s="212"/>
      <c r="BC65" s="10" t="s">
        <v>15</v>
      </c>
      <c r="BD65" s="238"/>
      <c r="BE65" s="239"/>
      <c r="BF65" s="239"/>
      <c r="BG65" s="239"/>
      <c r="BH65" s="239"/>
      <c r="BI65" s="239"/>
      <c r="BJ65" s="239"/>
      <c r="BK65" s="239"/>
      <c r="BL65" s="239"/>
      <c r="BM65" s="239"/>
      <c r="BN65" s="239"/>
      <c r="BO65" s="239"/>
      <c r="BP65" s="239"/>
      <c r="BQ65" s="239"/>
      <c r="BR65" s="239"/>
      <c r="BS65" s="239"/>
      <c r="BT65" s="239"/>
      <c r="BU65" s="239"/>
      <c r="BV65" s="239"/>
      <c r="BW65" s="239"/>
      <c r="BX65" s="239"/>
      <c r="BY65" s="239"/>
      <c r="BZ65" s="239"/>
      <c r="CA65" s="239"/>
      <c r="CB65" s="239"/>
      <c r="CC65" s="239"/>
      <c r="CD65" s="239"/>
      <c r="CE65" s="239"/>
    </row>
    <row r="66" spans="1:83" s="50" customFormat="1" ht="18" customHeight="1">
      <c r="A66" s="44" t="s">
        <v>57</v>
      </c>
      <c r="B66" s="44"/>
      <c r="C66" s="44"/>
      <c r="D66" s="45"/>
      <c r="E66" s="45"/>
      <c r="F66" s="45"/>
      <c r="G66" s="46"/>
      <c r="H66" s="46"/>
      <c r="I66" s="46"/>
      <c r="J66" s="46"/>
      <c r="K66" s="46"/>
      <c r="L66" s="45"/>
      <c r="M66" s="45"/>
      <c r="N66" s="45"/>
      <c r="O66" s="45"/>
      <c r="P66" s="45"/>
      <c r="Q66" s="45"/>
      <c r="R66" s="45"/>
      <c r="S66" s="45"/>
      <c r="T66" s="45"/>
      <c r="U66" s="45"/>
      <c r="V66" s="45"/>
      <c r="W66" s="45"/>
      <c r="X66" s="129"/>
      <c r="Y66" s="129"/>
      <c r="Z66" s="47"/>
      <c r="AA66" s="47"/>
      <c r="AB66" s="47"/>
      <c r="AC66" s="47"/>
      <c r="AD66" s="47"/>
      <c r="AE66" s="47"/>
      <c r="AF66" s="47"/>
      <c r="AG66" s="47"/>
      <c r="AH66" s="47"/>
      <c r="AI66" s="47"/>
      <c r="AJ66" s="47"/>
      <c r="AK66" s="47"/>
      <c r="AL66" s="47"/>
      <c r="AM66" s="47"/>
      <c r="AN66" s="47"/>
      <c r="AO66" s="47"/>
      <c r="AP66" s="47"/>
      <c r="AQ66" s="72"/>
      <c r="AR66" s="72"/>
      <c r="AS66" s="241"/>
      <c r="AT66" s="241"/>
      <c r="AU66" s="241"/>
      <c r="AV66" s="241"/>
      <c r="AW66" s="241"/>
      <c r="AX66" s="285"/>
      <c r="AY66" s="241"/>
      <c r="AZ66" s="241"/>
      <c r="BA66" s="241"/>
      <c r="BB66" s="168" t="s">
        <v>49</v>
      </c>
      <c r="BC66" s="244"/>
      <c r="BD66" s="245"/>
      <c r="BE66" s="308"/>
      <c r="BF66" s="243"/>
      <c r="BG66" s="243"/>
      <c r="BH66" s="243"/>
      <c r="BI66" s="243"/>
      <c r="BJ66" s="243"/>
      <c r="BK66" s="243"/>
      <c r="BL66" s="243"/>
      <c r="BM66" s="243"/>
      <c r="BN66" s="243"/>
      <c r="BO66" s="243"/>
      <c r="BP66" s="243"/>
      <c r="BQ66" s="243"/>
      <c r="BR66" s="243"/>
      <c r="BS66" s="243"/>
      <c r="BT66" s="243"/>
      <c r="BU66" s="243"/>
      <c r="BV66" s="243"/>
      <c r="BW66" s="243"/>
      <c r="BX66" s="243"/>
      <c r="BY66" s="243"/>
      <c r="BZ66" s="243"/>
      <c r="CA66" s="243"/>
      <c r="CB66" s="243"/>
      <c r="CC66" s="243"/>
      <c r="CD66" s="243"/>
      <c r="CE66" s="243"/>
    </row>
    <row r="67" spans="1:83" ht="12.95" customHeight="1">
      <c r="A67" s="21" t="s">
        <v>1402</v>
      </c>
      <c r="B67" s="21" t="s">
        <v>3582</v>
      </c>
      <c r="C67" s="51" t="s">
        <v>17</v>
      </c>
      <c r="D67" s="52" t="s">
        <v>1777</v>
      </c>
      <c r="E67" s="52" t="s">
        <v>1778</v>
      </c>
      <c r="F67" s="53" t="s">
        <v>523</v>
      </c>
      <c r="G67" s="179"/>
      <c r="H67" s="180" t="s">
        <v>1779</v>
      </c>
      <c r="I67" s="55" t="s">
        <v>1429</v>
      </c>
      <c r="J67" s="55" t="s">
        <v>1429</v>
      </c>
      <c r="K67" s="56" t="s">
        <v>1429</v>
      </c>
      <c r="L67" s="54" t="s">
        <v>1580</v>
      </c>
      <c r="M67" s="55" t="s">
        <v>1581</v>
      </c>
      <c r="N67" s="55" t="s">
        <v>1429</v>
      </c>
      <c r="O67" s="55" t="s">
        <v>1429</v>
      </c>
      <c r="P67" s="56" t="s">
        <v>1429</v>
      </c>
      <c r="Q67" s="52" t="s">
        <v>745</v>
      </c>
      <c r="R67" s="52" t="s">
        <v>113</v>
      </c>
      <c r="S67" s="52" t="s">
        <v>99</v>
      </c>
      <c r="T67" s="52" t="s">
        <v>100</v>
      </c>
      <c r="U67" s="57" t="s">
        <v>113</v>
      </c>
      <c r="V67" s="145" t="s">
        <v>1780</v>
      </c>
      <c r="W67" s="51" t="s">
        <v>1641</v>
      </c>
      <c r="X67" s="130" t="s">
        <v>1429</v>
      </c>
      <c r="Y67" s="130" t="s">
        <v>1429</v>
      </c>
      <c r="Z67" s="51" t="s">
        <v>1631</v>
      </c>
      <c r="AA67" s="51" t="s">
        <v>1632</v>
      </c>
      <c r="AB67" s="51" t="s">
        <v>1435</v>
      </c>
      <c r="AC67" s="51">
        <v>0</v>
      </c>
      <c r="AD67" s="59" t="str">
        <f t="shared" si="6"/>
        <v>PE0</v>
      </c>
      <c r="AE67" s="66"/>
      <c r="AF67" s="61" t="str">
        <f t="shared" si="7"/>
        <v>NORMAL</v>
      </c>
      <c r="AG67" s="61" t="str">
        <f t="shared" si="5"/>
        <v>NORMAL</v>
      </c>
      <c r="AH67" s="61" t="str">
        <f t="shared" si="8"/>
        <v>DISABLE</v>
      </c>
      <c r="AI67" s="67" t="str">
        <f t="shared" si="10"/>
        <v>N/A</v>
      </c>
      <c r="AJ67" s="176" t="b">
        <v>1</v>
      </c>
      <c r="AK67" s="176" t="b">
        <v>1</v>
      </c>
      <c r="AL67" s="176" t="b">
        <v>1</v>
      </c>
      <c r="AM67" s="176" t="b">
        <v>1</v>
      </c>
      <c r="AN67" s="176" t="b">
        <v>1</v>
      </c>
      <c r="AO67" s="176" t="b">
        <v>1</v>
      </c>
      <c r="AP67" s="64" t="str">
        <f t="shared" ref="AP67:AP80" si="14">IF(AND($AJ67:$AO67), "VALID", "INVALID")</f>
        <v>VALID</v>
      </c>
      <c r="AQ67" s="217" t="s">
        <v>1779</v>
      </c>
      <c r="AR67" s="182" t="s">
        <v>3495</v>
      </c>
      <c r="AS67" s="181"/>
      <c r="AT67" s="5"/>
      <c r="AU67" s="5"/>
      <c r="AV67" s="181" t="s">
        <v>3502</v>
      </c>
      <c r="AW67" s="181" t="s">
        <v>125</v>
      </c>
      <c r="AX67" s="284"/>
      <c r="AY67" s="181"/>
      <c r="AZ67" s="181"/>
      <c r="BA67" s="7"/>
      <c r="BB67" s="212"/>
      <c r="BC67" s="10" t="s">
        <v>3707</v>
      </c>
      <c r="BD67" s="238"/>
      <c r="BE67" s="239"/>
      <c r="BF67" s="239"/>
      <c r="BG67" s="239"/>
      <c r="BH67" s="239"/>
      <c r="BI67" s="239"/>
      <c r="BJ67" s="239"/>
      <c r="BK67" s="239"/>
      <c r="BL67" s="239"/>
      <c r="BM67" s="239"/>
      <c r="BN67" s="239"/>
      <c r="BO67" s="239"/>
      <c r="BP67" s="239"/>
      <c r="BQ67" s="239"/>
      <c r="BR67" s="239"/>
      <c r="BS67" s="239"/>
      <c r="BT67" s="239"/>
      <c r="BU67" s="239"/>
      <c r="BV67" s="239"/>
      <c r="BW67" s="239"/>
      <c r="BX67" s="239"/>
      <c r="BY67" s="239"/>
      <c r="BZ67" s="239"/>
      <c r="CA67" s="239"/>
      <c r="CB67" s="239"/>
      <c r="CC67" s="239"/>
      <c r="CD67" s="239"/>
      <c r="CE67" s="239"/>
    </row>
    <row r="68" spans="1:83" ht="12.95" customHeight="1">
      <c r="A68" s="21" t="s">
        <v>1403</v>
      </c>
      <c r="B68" s="21" t="s">
        <v>3581</v>
      </c>
      <c r="C68" s="51" t="s">
        <v>16</v>
      </c>
      <c r="D68" s="52" t="s">
        <v>1781</v>
      </c>
      <c r="E68" s="52" t="s">
        <v>1782</v>
      </c>
      <c r="F68" s="53" t="s">
        <v>522</v>
      </c>
      <c r="G68" s="179"/>
      <c r="H68" s="180" t="s">
        <v>1783</v>
      </c>
      <c r="I68" s="55" t="s">
        <v>1429</v>
      </c>
      <c r="J68" s="55" t="s">
        <v>1429</v>
      </c>
      <c r="K68" s="56" t="s">
        <v>1429</v>
      </c>
      <c r="L68" s="54" t="s">
        <v>1580</v>
      </c>
      <c r="M68" s="55" t="s">
        <v>1580</v>
      </c>
      <c r="N68" s="55" t="s">
        <v>1429</v>
      </c>
      <c r="O68" s="55" t="s">
        <v>1429</v>
      </c>
      <c r="P68" s="56" t="s">
        <v>1429</v>
      </c>
      <c r="Q68" s="52" t="s">
        <v>745</v>
      </c>
      <c r="R68" s="52" t="s">
        <v>113</v>
      </c>
      <c r="S68" s="52" t="s">
        <v>99</v>
      </c>
      <c r="T68" s="52" t="s">
        <v>100</v>
      </c>
      <c r="U68" s="57" t="s">
        <v>113</v>
      </c>
      <c r="V68" s="146" t="s">
        <v>1784</v>
      </c>
      <c r="W68" s="51" t="s">
        <v>1641</v>
      </c>
      <c r="X68" s="130" t="s">
        <v>1429</v>
      </c>
      <c r="Y68" s="130" t="s">
        <v>1429</v>
      </c>
      <c r="Z68" s="51" t="s">
        <v>1631</v>
      </c>
      <c r="AA68" s="51" t="s">
        <v>1632</v>
      </c>
      <c r="AB68" s="51" t="s">
        <v>1435</v>
      </c>
      <c r="AC68" s="51" t="s">
        <v>1633</v>
      </c>
      <c r="AD68" s="59" t="str">
        <f t="shared" si="6"/>
        <v>PE0</v>
      </c>
      <c r="AE68" s="66"/>
      <c r="AF68" s="61" t="str">
        <f t="shared" si="7"/>
        <v>NORMAL</v>
      </c>
      <c r="AG68" s="61" t="str">
        <f t="shared" si="5"/>
        <v>NORMAL</v>
      </c>
      <c r="AH68" s="61" t="str">
        <f t="shared" si="8"/>
        <v>ENABLE</v>
      </c>
      <c r="AI68" s="67" t="str">
        <f t="shared" si="10"/>
        <v>N/A</v>
      </c>
      <c r="AJ68" s="176" t="b">
        <v>1</v>
      </c>
      <c r="AK68" s="176" t="b">
        <v>1</v>
      </c>
      <c r="AL68" s="176" t="b">
        <v>1</v>
      </c>
      <c r="AM68" s="176" t="b">
        <v>1</v>
      </c>
      <c r="AN68" s="176" t="b">
        <v>1</v>
      </c>
      <c r="AO68" s="176" t="b">
        <v>1</v>
      </c>
      <c r="AP68" s="64" t="str">
        <f t="shared" si="14"/>
        <v>VALID</v>
      </c>
      <c r="AQ68" s="217" t="s">
        <v>1783</v>
      </c>
      <c r="AR68" s="182" t="s">
        <v>3501</v>
      </c>
      <c r="AS68" s="181"/>
      <c r="AT68" s="5"/>
      <c r="AU68" s="5"/>
      <c r="AV68" s="181" t="s">
        <v>3502</v>
      </c>
      <c r="AW68" s="181" t="s">
        <v>125</v>
      </c>
      <c r="AX68" s="284"/>
      <c r="AY68" s="181"/>
      <c r="AZ68" s="181"/>
      <c r="BA68" s="7"/>
      <c r="BB68" s="212"/>
      <c r="BC68" s="10" t="s">
        <v>3708</v>
      </c>
      <c r="BD68" s="238"/>
      <c r="BE68" s="239"/>
      <c r="BF68" s="239"/>
      <c r="BG68" s="239"/>
      <c r="BH68" s="239"/>
      <c r="BI68" s="239"/>
      <c r="BJ68" s="239"/>
      <c r="BK68" s="239"/>
      <c r="BL68" s="239"/>
      <c r="BM68" s="239"/>
      <c r="BN68" s="239"/>
      <c r="BO68" s="239"/>
      <c r="BP68" s="239"/>
      <c r="BQ68" s="239"/>
      <c r="BR68" s="239"/>
      <c r="BS68" s="239"/>
      <c r="BT68" s="239"/>
      <c r="BU68" s="239"/>
      <c r="BV68" s="239"/>
      <c r="BW68" s="239"/>
      <c r="BX68" s="239"/>
      <c r="BY68" s="239"/>
      <c r="BZ68" s="239"/>
      <c r="CA68" s="239"/>
      <c r="CB68" s="239"/>
      <c r="CC68" s="239"/>
      <c r="CD68" s="239"/>
      <c r="CE68" s="239"/>
    </row>
    <row r="69" spans="1:83" ht="12.95" customHeight="1">
      <c r="A69" s="21" t="s">
        <v>3346</v>
      </c>
      <c r="B69" s="21" t="s">
        <v>3639</v>
      </c>
      <c r="C69" s="51" t="s">
        <v>19</v>
      </c>
      <c r="D69" s="52" t="s">
        <v>1785</v>
      </c>
      <c r="E69" s="52" t="s">
        <v>1786</v>
      </c>
      <c r="F69" s="53" t="s">
        <v>525</v>
      </c>
      <c r="G69" s="179"/>
      <c r="H69" s="180" t="s">
        <v>1516</v>
      </c>
      <c r="I69" s="55" t="s">
        <v>1429</v>
      </c>
      <c r="J69" s="55" t="s">
        <v>1429</v>
      </c>
      <c r="K69" s="56" t="s">
        <v>1429</v>
      </c>
      <c r="L69" s="54" t="s">
        <v>1580</v>
      </c>
      <c r="M69" s="55" t="s">
        <v>1581</v>
      </c>
      <c r="N69" s="55" t="s">
        <v>1429</v>
      </c>
      <c r="O69" s="55" t="s">
        <v>1429</v>
      </c>
      <c r="P69" s="56" t="s">
        <v>1429</v>
      </c>
      <c r="Q69" s="52" t="s">
        <v>746</v>
      </c>
      <c r="R69" s="52" t="s">
        <v>113</v>
      </c>
      <c r="S69" s="52" t="s">
        <v>99</v>
      </c>
      <c r="T69" s="52" t="s">
        <v>100</v>
      </c>
      <c r="U69" s="57" t="s">
        <v>113</v>
      </c>
      <c r="V69" s="146" t="s">
        <v>1787</v>
      </c>
      <c r="W69" s="51" t="s">
        <v>1641</v>
      </c>
      <c r="X69" s="130" t="s">
        <v>1429</v>
      </c>
      <c r="Y69" s="130" t="s">
        <v>1429</v>
      </c>
      <c r="Z69" s="51" t="s">
        <v>1631</v>
      </c>
      <c r="AA69" s="51" t="s">
        <v>1632</v>
      </c>
      <c r="AB69" s="51" t="s">
        <v>1435</v>
      </c>
      <c r="AC69" s="51">
        <v>0</v>
      </c>
      <c r="AD69" s="59" t="str">
        <f t="shared" si="6"/>
        <v>PE1</v>
      </c>
      <c r="AE69" s="66"/>
      <c r="AF69" s="61" t="str">
        <f t="shared" si="7"/>
        <v>NORMAL</v>
      </c>
      <c r="AG69" s="61" t="str">
        <f t="shared" si="5"/>
        <v>NORMAL</v>
      </c>
      <c r="AH69" s="61" t="str">
        <f t="shared" si="8"/>
        <v>DISABLE</v>
      </c>
      <c r="AI69" s="67" t="str">
        <f t="shared" si="10"/>
        <v>N/A</v>
      </c>
      <c r="AJ69" s="176" t="b">
        <v>1</v>
      </c>
      <c r="AK69" s="176" t="b">
        <v>1</v>
      </c>
      <c r="AL69" s="176" t="b">
        <v>1</v>
      </c>
      <c r="AM69" s="176" t="b">
        <v>1</v>
      </c>
      <c r="AN69" s="176" t="b">
        <v>1</v>
      </c>
      <c r="AO69" s="176" t="b">
        <v>1</v>
      </c>
      <c r="AP69" s="64" t="str">
        <f t="shared" si="14"/>
        <v>VALID</v>
      </c>
      <c r="AQ69" s="217" t="s">
        <v>1516</v>
      </c>
      <c r="AR69" s="182" t="s">
        <v>3495</v>
      </c>
      <c r="AS69" s="181"/>
      <c r="AT69" s="5"/>
      <c r="AU69" s="5"/>
      <c r="AV69" s="181" t="s">
        <v>3502</v>
      </c>
      <c r="AW69" s="181" t="s">
        <v>125</v>
      </c>
      <c r="AX69" s="284"/>
      <c r="AY69" s="181"/>
      <c r="AZ69" s="181"/>
      <c r="BA69" s="7"/>
      <c r="BB69" s="212"/>
      <c r="BC69" s="10" t="s">
        <v>3515</v>
      </c>
      <c r="BD69" s="238"/>
      <c r="BE69" s="239"/>
      <c r="BF69" s="239"/>
      <c r="BG69" s="239"/>
      <c r="BH69" s="239"/>
      <c r="BI69" s="239"/>
      <c r="BJ69" s="239"/>
      <c r="BK69" s="239"/>
      <c r="BL69" s="239"/>
      <c r="BM69" s="239"/>
      <c r="BN69" s="239"/>
      <c r="BO69" s="239"/>
      <c r="BP69" s="239"/>
      <c r="BQ69" s="239"/>
      <c r="BR69" s="239"/>
      <c r="BS69" s="239"/>
      <c r="BT69" s="239"/>
      <c r="BU69" s="239"/>
      <c r="BV69" s="239"/>
      <c r="BW69" s="239"/>
      <c r="BX69" s="239"/>
      <c r="BY69" s="239"/>
      <c r="BZ69" s="239"/>
      <c r="CA69" s="239"/>
      <c r="CB69" s="239"/>
      <c r="CC69" s="239"/>
      <c r="CD69" s="239"/>
      <c r="CE69" s="239"/>
    </row>
    <row r="70" spans="1:83" ht="12.95" customHeight="1">
      <c r="A70" s="21" t="s">
        <v>3819</v>
      </c>
      <c r="B70" s="21" t="s">
        <v>3822</v>
      </c>
      <c r="C70" s="51" t="s">
        <v>18</v>
      </c>
      <c r="D70" s="52" t="s">
        <v>1788</v>
      </c>
      <c r="E70" s="52" t="s">
        <v>1789</v>
      </c>
      <c r="F70" s="53" t="s">
        <v>524</v>
      </c>
      <c r="G70" s="179"/>
      <c r="H70" s="180" t="s">
        <v>1438</v>
      </c>
      <c r="I70" s="55" t="s">
        <v>1429</v>
      </c>
      <c r="J70" s="55" t="s">
        <v>1429</v>
      </c>
      <c r="K70" s="56" t="s">
        <v>1429</v>
      </c>
      <c r="L70" s="54" t="s">
        <v>1580</v>
      </c>
      <c r="M70" s="55" t="s">
        <v>1580</v>
      </c>
      <c r="N70" s="55" t="s">
        <v>1429</v>
      </c>
      <c r="O70" s="55" t="s">
        <v>1429</v>
      </c>
      <c r="P70" s="56" t="s">
        <v>1429</v>
      </c>
      <c r="Q70" s="52" t="s">
        <v>746</v>
      </c>
      <c r="R70" s="52" t="s">
        <v>113</v>
      </c>
      <c r="S70" s="52" t="s">
        <v>99</v>
      </c>
      <c r="T70" s="52" t="s">
        <v>100</v>
      </c>
      <c r="U70" s="57" t="s">
        <v>113</v>
      </c>
      <c r="V70" s="146" t="s">
        <v>1790</v>
      </c>
      <c r="W70" s="51" t="s">
        <v>1641</v>
      </c>
      <c r="X70" s="130" t="s">
        <v>1429</v>
      </c>
      <c r="Y70" s="130" t="s">
        <v>1429</v>
      </c>
      <c r="Z70" s="51" t="s">
        <v>1631</v>
      </c>
      <c r="AA70" s="51" t="s">
        <v>1632</v>
      </c>
      <c r="AB70" s="51" t="s">
        <v>1435</v>
      </c>
      <c r="AC70" s="51" t="s">
        <v>1633</v>
      </c>
      <c r="AD70" s="59" t="str">
        <f t="shared" si="6"/>
        <v>PE1</v>
      </c>
      <c r="AE70" s="66"/>
      <c r="AF70" s="61" t="str">
        <f t="shared" si="7"/>
        <v>NORMAL</v>
      </c>
      <c r="AG70" s="61" t="str">
        <f t="shared" si="5"/>
        <v>NORMAL</v>
      </c>
      <c r="AH70" s="61" t="str">
        <f t="shared" si="8"/>
        <v>ENABLE</v>
      </c>
      <c r="AI70" s="67" t="str">
        <f t="shared" si="10"/>
        <v>N/A</v>
      </c>
      <c r="AJ70" s="176" t="b">
        <v>1</v>
      </c>
      <c r="AK70" s="176" t="b">
        <v>1</v>
      </c>
      <c r="AL70" s="176" t="b">
        <v>1</v>
      </c>
      <c r="AM70" s="176" t="b">
        <v>1</v>
      </c>
      <c r="AN70" s="176" t="b">
        <v>1</v>
      </c>
      <c r="AO70" s="176" t="b">
        <v>1</v>
      </c>
      <c r="AP70" s="64" t="str">
        <f t="shared" si="14"/>
        <v>VALID</v>
      </c>
      <c r="AQ70" s="218" t="s">
        <v>1438</v>
      </c>
      <c r="AR70" s="164" t="s">
        <v>3501</v>
      </c>
      <c r="AS70" s="9"/>
      <c r="AT70" s="219"/>
      <c r="AU70" s="219"/>
      <c r="AV70" s="181" t="s">
        <v>3502</v>
      </c>
      <c r="AW70" s="181" t="s">
        <v>125</v>
      </c>
      <c r="AX70" s="284"/>
      <c r="AY70" s="9"/>
      <c r="AZ70" s="9"/>
      <c r="BA70" s="13"/>
      <c r="BB70" s="220"/>
      <c r="BC70" s="11" t="s">
        <v>1438</v>
      </c>
      <c r="BD70" s="238"/>
      <c r="BE70" s="239"/>
      <c r="BF70" s="239"/>
      <c r="BG70" s="239"/>
      <c r="BH70" s="239"/>
      <c r="BI70" s="239"/>
      <c r="BJ70" s="239"/>
      <c r="BK70" s="239"/>
      <c r="BL70" s="239"/>
      <c r="BM70" s="239"/>
      <c r="BN70" s="239"/>
      <c r="BO70" s="239"/>
      <c r="BP70" s="239"/>
      <c r="BQ70" s="239"/>
      <c r="BR70" s="239"/>
      <c r="BS70" s="239"/>
      <c r="BT70" s="239"/>
      <c r="BU70" s="239"/>
      <c r="BV70" s="239"/>
      <c r="BW70" s="239"/>
      <c r="BX70" s="239"/>
      <c r="BY70" s="239"/>
      <c r="BZ70" s="239"/>
      <c r="CA70" s="239"/>
      <c r="CB70" s="239"/>
      <c r="CC70" s="239"/>
      <c r="CD70" s="239"/>
      <c r="CE70" s="239"/>
    </row>
    <row r="71" spans="1:83" ht="12.95" customHeight="1">
      <c r="A71" s="21" t="s">
        <v>3347</v>
      </c>
      <c r="B71" s="21" t="s">
        <v>3594</v>
      </c>
      <c r="C71" s="51" t="s">
        <v>1007</v>
      </c>
      <c r="D71" s="52" t="s">
        <v>1791</v>
      </c>
      <c r="E71" s="52" t="s">
        <v>1792</v>
      </c>
      <c r="F71" s="53" t="s">
        <v>1232</v>
      </c>
      <c r="G71" s="179"/>
      <c r="H71" s="180" t="s">
        <v>1793</v>
      </c>
      <c r="I71" s="55"/>
      <c r="J71" s="55"/>
      <c r="K71" s="56" t="s">
        <v>1429</v>
      </c>
      <c r="L71" s="54" t="s">
        <v>1580</v>
      </c>
      <c r="M71" s="55" t="s">
        <v>1581</v>
      </c>
      <c r="N71" s="55" t="s">
        <v>1590</v>
      </c>
      <c r="O71" s="55" t="s">
        <v>1581</v>
      </c>
      <c r="P71" s="56" t="s">
        <v>1429</v>
      </c>
      <c r="Q71" s="52" t="s">
        <v>1361</v>
      </c>
      <c r="R71" s="52" t="s">
        <v>134</v>
      </c>
      <c r="S71" s="52" t="s">
        <v>275</v>
      </c>
      <c r="T71" s="52" t="s">
        <v>100</v>
      </c>
      <c r="U71" s="57" t="s">
        <v>100</v>
      </c>
      <c r="V71" s="146" t="s">
        <v>1794</v>
      </c>
      <c r="W71" s="51" t="s">
        <v>1641</v>
      </c>
      <c r="X71" s="130" t="s">
        <v>1795</v>
      </c>
      <c r="Y71" s="130" t="s">
        <v>1429</v>
      </c>
      <c r="Z71" s="51" t="s">
        <v>1631</v>
      </c>
      <c r="AA71" s="51" t="s">
        <v>1632</v>
      </c>
      <c r="AB71" s="51" t="s">
        <v>1435</v>
      </c>
      <c r="AC71" s="51">
        <v>0</v>
      </c>
      <c r="AD71" s="59" t="str">
        <f>IF(OR($AQ71="",$AQ71=$F71),$U71,IF($AQ71=$G71,SUBSTITUTE(SUBSTITUTE($AQ71,"GPIO3_","GPIO_"),".0",""),IF($AQ71=$H71,$Q71,IF($AQ71=$I71,$R71,IF($AQ71=$J71,$S71,IF($AQ71=$K71,$T71,"INVALID"))))))</f>
        <v>PE2</v>
      </c>
      <c r="AE71" s="66"/>
      <c r="AF71" s="61" t="str">
        <f t="shared" si="7"/>
        <v>NORMAL</v>
      </c>
      <c r="AG71" s="61" t="str">
        <f t="shared" si="5"/>
        <v>NORMAL</v>
      </c>
      <c r="AH71" s="61" t="str">
        <f t="shared" si="8"/>
        <v>DISABLE</v>
      </c>
      <c r="AI71" s="67" t="str">
        <f t="shared" si="10"/>
        <v>N/A</v>
      </c>
      <c r="AJ71" s="176" t="b">
        <v>1</v>
      </c>
      <c r="AK71" s="176" t="b">
        <v>1</v>
      </c>
      <c r="AL71" s="176" t="b">
        <v>1</v>
      </c>
      <c r="AM71" s="176" t="b">
        <v>1</v>
      </c>
      <c r="AN71" s="176" t="b">
        <v>1</v>
      </c>
      <c r="AO71" s="176" t="b">
        <v>1</v>
      </c>
      <c r="AP71" s="64" t="str">
        <f t="shared" si="14"/>
        <v>VALID</v>
      </c>
      <c r="AQ71" s="221" t="s">
        <v>1793</v>
      </c>
      <c r="AR71" s="182" t="s">
        <v>3495</v>
      </c>
      <c r="AS71" s="181"/>
      <c r="AT71" s="181" t="s">
        <v>104</v>
      </c>
      <c r="AU71" s="219"/>
      <c r="AV71" s="181" t="s">
        <v>3502</v>
      </c>
      <c r="AW71" s="181" t="s">
        <v>125</v>
      </c>
      <c r="AX71" s="284"/>
      <c r="AY71" s="181"/>
      <c r="AZ71" s="181"/>
      <c r="BA71" s="14" t="s">
        <v>101</v>
      </c>
      <c r="BB71" s="222"/>
      <c r="BC71" s="16" t="s">
        <v>3709</v>
      </c>
      <c r="BD71" s="238"/>
      <c r="BE71" s="239"/>
      <c r="BF71" s="239"/>
      <c r="BG71" s="239"/>
      <c r="BH71" s="239"/>
      <c r="BI71" s="239"/>
      <c r="BJ71" s="239"/>
      <c r="BK71" s="239"/>
      <c r="BL71" s="239"/>
      <c r="BM71" s="239"/>
      <c r="BN71" s="239"/>
      <c r="BO71" s="239"/>
      <c r="BP71" s="239"/>
      <c r="BQ71" s="239"/>
      <c r="BR71" s="239"/>
      <c r="BS71" s="239"/>
      <c r="BT71" s="239"/>
      <c r="BU71" s="239"/>
      <c r="BV71" s="239"/>
      <c r="BW71" s="239"/>
      <c r="BX71" s="239"/>
      <c r="BY71" s="239"/>
      <c r="BZ71" s="239"/>
      <c r="CA71" s="239"/>
      <c r="CB71" s="239"/>
      <c r="CC71" s="239"/>
      <c r="CD71" s="239"/>
      <c r="CE71" s="239"/>
    </row>
    <row r="72" spans="1:83" ht="12.95" customHeight="1">
      <c r="A72" s="21" t="s">
        <v>3820</v>
      </c>
      <c r="B72" s="21" t="s">
        <v>3821</v>
      </c>
      <c r="C72" s="51" t="s">
        <v>1008</v>
      </c>
      <c r="D72" s="52" t="s">
        <v>1796</v>
      </c>
      <c r="E72" s="52" t="s">
        <v>1797</v>
      </c>
      <c r="F72" s="53" t="s">
        <v>1233</v>
      </c>
      <c r="G72" s="179"/>
      <c r="H72" s="180" t="s">
        <v>1798</v>
      </c>
      <c r="I72" s="55"/>
      <c r="J72" s="55" t="s">
        <v>1799</v>
      </c>
      <c r="K72" s="56" t="s">
        <v>1429</v>
      </c>
      <c r="L72" s="54" t="s">
        <v>1580</v>
      </c>
      <c r="M72" s="55" t="s">
        <v>1580</v>
      </c>
      <c r="N72" s="55" t="s">
        <v>1581</v>
      </c>
      <c r="O72" s="55" t="s">
        <v>1581</v>
      </c>
      <c r="P72" s="56" t="s">
        <v>1429</v>
      </c>
      <c r="Q72" s="52" t="s">
        <v>1361</v>
      </c>
      <c r="R72" s="52" t="s">
        <v>1362</v>
      </c>
      <c r="S72" s="52" t="s">
        <v>275</v>
      </c>
      <c r="T72" s="52" t="s">
        <v>100</v>
      </c>
      <c r="U72" s="57" t="s">
        <v>100</v>
      </c>
      <c r="V72" s="146" t="s">
        <v>1800</v>
      </c>
      <c r="W72" s="51" t="s">
        <v>1641</v>
      </c>
      <c r="X72" s="130" t="s">
        <v>1801</v>
      </c>
      <c r="Y72" s="130" t="s">
        <v>1429</v>
      </c>
      <c r="Z72" s="51" t="s">
        <v>1631</v>
      </c>
      <c r="AA72" s="51" t="s">
        <v>1632</v>
      </c>
      <c r="AB72" s="51" t="s">
        <v>1435</v>
      </c>
      <c r="AC72" s="51" t="s">
        <v>1633</v>
      </c>
      <c r="AD72" s="59" t="str">
        <f>IF(OR($AQ72="",$AQ72=$F72),$U72,IF($AQ72=$G72,SUBSTITUTE(SUBSTITUTE($AQ72,"GPIO3_","GPIO_"),".0",""),IF($AQ72=$H72,$Q72,IF($AQ72=$I72,$R72,IF($AQ72=$J72,$S72,IF($AQ72=$K72,$T72,"INVALID"))))))</f>
        <v>PE2</v>
      </c>
      <c r="AE72" s="66"/>
      <c r="AF72" s="61" t="str">
        <f t="shared" si="7"/>
        <v>NORMAL</v>
      </c>
      <c r="AG72" s="61" t="str">
        <f t="shared" si="5"/>
        <v>NORMAL</v>
      </c>
      <c r="AH72" s="61" t="str">
        <f t="shared" si="8"/>
        <v>ENABLE</v>
      </c>
      <c r="AI72" s="67" t="str">
        <f t="shared" si="10"/>
        <v>N/A</v>
      </c>
      <c r="AJ72" s="176" t="b">
        <v>1</v>
      </c>
      <c r="AK72" s="176" t="b">
        <v>1</v>
      </c>
      <c r="AL72" s="176" t="b">
        <v>1</v>
      </c>
      <c r="AM72" s="176" t="b">
        <v>1</v>
      </c>
      <c r="AN72" s="176" t="b">
        <v>1</v>
      </c>
      <c r="AO72" s="176" t="b">
        <v>1</v>
      </c>
      <c r="AP72" s="64" t="str">
        <f t="shared" si="14"/>
        <v>VALID</v>
      </c>
      <c r="AQ72" s="211" t="s">
        <v>1798</v>
      </c>
      <c r="AR72" s="182" t="s">
        <v>3501</v>
      </c>
      <c r="AS72" s="181"/>
      <c r="AT72" s="181" t="s">
        <v>104</v>
      </c>
      <c r="AU72" s="219"/>
      <c r="AV72" s="181" t="s">
        <v>3502</v>
      </c>
      <c r="AW72" s="181" t="s">
        <v>125</v>
      </c>
      <c r="AX72" s="284"/>
      <c r="AY72" s="181"/>
      <c r="AZ72" s="181"/>
      <c r="BA72" s="7"/>
      <c r="BB72" s="212"/>
      <c r="BC72" s="10" t="s">
        <v>3710</v>
      </c>
      <c r="BD72" s="238"/>
      <c r="BE72" s="239"/>
      <c r="BF72" s="239"/>
      <c r="BG72" s="239"/>
      <c r="BH72" s="239"/>
      <c r="BI72" s="239"/>
      <c r="BJ72" s="239"/>
      <c r="BK72" s="239"/>
      <c r="BL72" s="239"/>
      <c r="BM72" s="239"/>
      <c r="BN72" s="239"/>
      <c r="BO72" s="239"/>
      <c r="BP72" s="239"/>
      <c r="BQ72" s="239"/>
      <c r="BR72" s="239"/>
      <c r="BS72" s="239"/>
      <c r="BT72" s="239"/>
      <c r="BU72" s="239"/>
      <c r="BV72" s="239"/>
      <c r="BW72" s="239"/>
      <c r="BX72" s="239"/>
      <c r="BY72" s="239"/>
      <c r="BZ72" s="239"/>
      <c r="CA72" s="239"/>
      <c r="CB72" s="239"/>
      <c r="CC72" s="239"/>
      <c r="CD72" s="239"/>
      <c r="CE72" s="239"/>
    </row>
    <row r="73" spans="1:83" ht="12.95" customHeight="1">
      <c r="A73" s="21" t="s">
        <v>1404</v>
      </c>
      <c r="B73" s="21" t="s">
        <v>3588</v>
      </c>
      <c r="C73" s="51" t="s">
        <v>20</v>
      </c>
      <c r="D73" s="52" t="s">
        <v>1670</v>
      </c>
      <c r="E73" s="52" t="s">
        <v>1802</v>
      </c>
      <c r="F73" s="53" t="s">
        <v>526</v>
      </c>
      <c r="G73" s="179"/>
      <c r="H73" s="180" t="s">
        <v>1517</v>
      </c>
      <c r="I73" s="55" t="s">
        <v>1429</v>
      </c>
      <c r="J73" s="55" t="s">
        <v>1429</v>
      </c>
      <c r="K73" s="56" t="s">
        <v>1429</v>
      </c>
      <c r="L73" s="54" t="s">
        <v>1580</v>
      </c>
      <c r="M73" s="55" t="s">
        <v>1590</v>
      </c>
      <c r="N73" s="55" t="s">
        <v>1429</v>
      </c>
      <c r="O73" s="55" t="s">
        <v>1429</v>
      </c>
      <c r="P73" s="56" t="s">
        <v>1429</v>
      </c>
      <c r="Q73" s="52" t="s">
        <v>747</v>
      </c>
      <c r="R73" s="52" t="s">
        <v>113</v>
      </c>
      <c r="S73" s="52" t="s">
        <v>99</v>
      </c>
      <c r="T73" s="52" t="s">
        <v>100</v>
      </c>
      <c r="U73" s="57" t="s">
        <v>113</v>
      </c>
      <c r="V73" s="189" t="s">
        <v>1803</v>
      </c>
      <c r="W73" s="51" t="s">
        <v>1641</v>
      </c>
      <c r="X73" s="130" t="s">
        <v>1804</v>
      </c>
      <c r="Y73" s="130" t="s">
        <v>1429</v>
      </c>
      <c r="Z73" s="51" t="s">
        <v>1631</v>
      </c>
      <c r="AA73" s="51" t="s">
        <v>1632</v>
      </c>
      <c r="AB73" s="51" t="s">
        <v>1435</v>
      </c>
      <c r="AC73" s="51" t="s">
        <v>1633</v>
      </c>
      <c r="AD73" s="59" t="str">
        <f>IF(OR($AQ73="",$AQ73=$F73),$U73,IF($AQ73=$G73,SUBSTITUTE(SUBSTITUTE($AQ73,"GPIO3_","GPIO_"),".0",""),IF($AQ73=$H73,$Q73,IF($AQ73=$I73,$R73,IF($AQ73=$J73,$S73,IF($AQ73=$K73,$T73,"INVALID"))))))</f>
        <v>PE</v>
      </c>
      <c r="AE73" s="66"/>
      <c r="AF73" s="61" t="str">
        <f t="shared" si="7"/>
        <v>NORMAL</v>
      </c>
      <c r="AG73" s="61" t="str">
        <f t="shared" si="5"/>
        <v>TRISTATE</v>
      </c>
      <c r="AH73" s="61" t="str">
        <f t="shared" si="8"/>
        <v>ENABLE</v>
      </c>
      <c r="AI73" s="67" t="str">
        <f t="shared" si="10"/>
        <v>N/A</v>
      </c>
      <c r="AJ73" s="176" t="b">
        <v>1</v>
      </c>
      <c r="AK73" s="176" t="b">
        <v>1</v>
      </c>
      <c r="AL73" s="176" t="b">
        <v>1</v>
      </c>
      <c r="AM73" s="176" t="b">
        <v>1</v>
      </c>
      <c r="AN73" s="176" t="b">
        <v>1</v>
      </c>
      <c r="AO73" s="176" t="b">
        <v>1</v>
      </c>
      <c r="AP73" s="64" t="str">
        <f t="shared" si="14"/>
        <v>VALID</v>
      </c>
      <c r="AQ73" s="211" t="s">
        <v>1517</v>
      </c>
      <c r="AR73" s="182" t="s">
        <v>3496</v>
      </c>
      <c r="AS73" s="181"/>
      <c r="AT73" s="181" t="s">
        <v>3499</v>
      </c>
      <c r="AU73" s="5"/>
      <c r="AV73" s="181" t="s">
        <v>3502</v>
      </c>
      <c r="AW73" s="181" t="s">
        <v>125</v>
      </c>
      <c r="AX73" s="284"/>
      <c r="AY73" s="181"/>
      <c r="AZ73" s="181"/>
      <c r="BA73" s="7"/>
      <c r="BB73" s="212"/>
      <c r="BC73" s="10" t="s">
        <v>3711</v>
      </c>
      <c r="BD73" s="238"/>
      <c r="BE73" s="239"/>
      <c r="BF73" s="239"/>
      <c r="BG73" s="239"/>
      <c r="BH73" s="239"/>
      <c r="BI73" s="239"/>
      <c r="BJ73" s="239"/>
      <c r="BK73" s="239"/>
      <c r="BL73" s="239"/>
      <c r="BM73" s="239"/>
      <c r="BN73" s="239"/>
      <c r="BO73" s="239"/>
      <c r="BP73" s="239"/>
      <c r="BQ73" s="239"/>
      <c r="BR73" s="239"/>
      <c r="BS73" s="239"/>
      <c r="BT73" s="239"/>
      <c r="BU73" s="239"/>
      <c r="BV73" s="239"/>
      <c r="BW73" s="239"/>
      <c r="BX73" s="239"/>
      <c r="BY73" s="239"/>
      <c r="BZ73" s="239"/>
      <c r="CA73" s="239"/>
      <c r="CB73" s="239"/>
      <c r="CC73" s="239"/>
      <c r="CD73" s="239"/>
      <c r="CE73" s="239"/>
    </row>
    <row r="74" spans="1:83" s="50" customFormat="1" ht="18" customHeight="1">
      <c r="A74" s="44" t="s">
        <v>1060</v>
      </c>
      <c r="B74" s="44"/>
      <c r="C74" s="44"/>
      <c r="D74" s="45"/>
      <c r="E74" s="45"/>
      <c r="F74" s="45"/>
      <c r="G74" s="46"/>
      <c r="H74" s="46"/>
      <c r="I74" s="46"/>
      <c r="J74" s="46"/>
      <c r="K74" s="46"/>
      <c r="L74" s="45"/>
      <c r="M74" s="45"/>
      <c r="N74" s="45"/>
      <c r="O74" s="45"/>
      <c r="P74" s="45"/>
      <c r="Q74" s="45"/>
      <c r="R74" s="45"/>
      <c r="S74" s="45"/>
      <c r="T74" s="45"/>
      <c r="U74" s="45"/>
      <c r="V74" s="45"/>
      <c r="W74" s="45"/>
      <c r="X74" s="129"/>
      <c r="Y74" s="129"/>
      <c r="Z74" s="47"/>
      <c r="AA74" s="47"/>
      <c r="AB74" s="47"/>
      <c r="AC74" s="47"/>
      <c r="AD74" s="47"/>
      <c r="AE74" s="47"/>
      <c r="AF74" s="47"/>
      <c r="AG74" s="47"/>
      <c r="AH74" s="47"/>
      <c r="AI74" s="47"/>
      <c r="AJ74" s="47"/>
      <c r="AK74" s="47"/>
      <c r="AL74" s="47"/>
      <c r="AM74" s="47"/>
      <c r="AN74" s="47"/>
      <c r="AO74" s="47"/>
      <c r="AP74" s="47"/>
      <c r="AQ74" s="72"/>
      <c r="AR74" s="72"/>
      <c r="AS74" s="241"/>
      <c r="AT74" s="241"/>
      <c r="AU74" s="241"/>
      <c r="AV74" s="241"/>
      <c r="AW74" s="241"/>
      <c r="AX74" s="285"/>
      <c r="AY74" s="241"/>
      <c r="AZ74" s="241"/>
      <c r="BA74" s="241"/>
      <c r="BB74" s="168" t="s">
        <v>49</v>
      </c>
      <c r="BC74" s="244"/>
      <c r="BD74" s="245"/>
      <c r="BE74" s="308"/>
      <c r="BF74" s="243"/>
      <c r="BG74" s="243"/>
      <c r="BH74" s="243"/>
      <c r="BI74" s="243"/>
      <c r="BJ74" s="243"/>
      <c r="BK74" s="243"/>
      <c r="BL74" s="243"/>
      <c r="BM74" s="243"/>
      <c r="BN74" s="243"/>
      <c r="BO74" s="243"/>
      <c r="BP74" s="243"/>
      <c r="BQ74" s="243"/>
      <c r="BR74" s="243"/>
      <c r="BS74" s="243"/>
      <c r="BT74" s="243"/>
      <c r="BU74" s="243"/>
      <c r="BV74" s="243"/>
      <c r="BW74" s="243"/>
      <c r="BX74" s="243"/>
      <c r="BY74" s="243"/>
      <c r="BZ74" s="243"/>
      <c r="CA74" s="243"/>
      <c r="CB74" s="243"/>
      <c r="CC74" s="243"/>
      <c r="CD74" s="243"/>
      <c r="CE74" s="243"/>
    </row>
    <row r="75" spans="1:83" ht="12.95" customHeight="1">
      <c r="A75" s="21" t="s">
        <v>3340</v>
      </c>
      <c r="B75" s="21" t="s">
        <v>3558</v>
      </c>
      <c r="C75" s="51" t="s">
        <v>314</v>
      </c>
      <c r="D75" s="52" t="s">
        <v>1805</v>
      </c>
      <c r="E75" s="52" t="s">
        <v>1806</v>
      </c>
      <c r="F75" s="53" t="s">
        <v>527</v>
      </c>
      <c r="G75" s="179" t="s">
        <v>1429</v>
      </c>
      <c r="H75" s="207" t="s">
        <v>1807</v>
      </c>
      <c r="I75" s="55" t="s">
        <v>1429</v>
      </c>
      <c r="J75" s="55" t="s">
        <v>1429</v>
      </c>
      <c r="K75" s="56" t="s">
        <v>1429</v>
      </c>
      <c r="L75" s="54" t="s">
        <v>1429</v>
      </c>
      <c r="M75" s="55" t="s">
        <v>1581</v>
      </c>
      <c r="N75" s="55" t="s">
        <v>1429</v>
      </c>
      <c r="O75" s="55" t="s">
        <v>1429</v>
      </c>
      <c r="P75" s="56" t="s">
        <v>1429</v>
      </c>
      <c r="Q75" s="65"/>
      <c r="R75" s="65"/>
      <c r="S75" s="65"/>
      <c r="T75" s="65"/>
      <c r="U75" s="65"/>
      <c r="V75" s="145" t="s">
        <v>1808</v>
      </c>
      <c r="W75" s="51" t="s">
        <v>1809</v>
      </c>
      <c r="X75" s="130" t="s">
        <v>1429</v>
      </c>
      <c r="Y75" s="130" t="s">
        <v>1429</v>
      </c>
      <c r="Z75" s="51" t="s">
        <v>1429</v>
      </c>
      <c r="AA75" s="51" t="s">
        <v>1810</v>
      </c>
      <c r="AB75" s="51" t="s">
        <v>1429</v>
      </c>
      <c r="AC75" s="51">
        <v>0</v>
      </c>
      <c r="AD75" s="177"/>
      <c r="AE75" s="66"/>
      <c r="AF75" s="61" t="str">
        <f t="shared" si="7"/>
        <v>NORMAL</v>
      </c>
      <c r="AG75" s="61" t="str">
        <f t="shared" si="5"/>
        <v>NORMAL</v>
      </c>
      <c r="AH75" s="61" t="str">
        <f t="shared" si="8"/>
        <v>DISABLE</v>
      </c>
      <c r="AI75" s="67" t="str">
        <f t="shared" si="10"/>
        <v>N/A</v>
      </c>
      <c r="AJ75" s="176" t="b">
        <v>1</v>
      </c>
      <c r="AK75" s="176" t="b">
        <v>1</v>
      </c>
      <c r="AL75" s="176" t="b">
        <v>1</v>
      </c>
      <c r="AM75" s="176" t="b">
        <v>1</v>
      </c>
      <c r="AN75" s="176" t="b">
        <v>1</v>
      </c>
      <c r="AO75" s="176" t="b">
        <v>1</v>
      </c>
      <c r="AP75" s="64" t="str">
        <f t="shared" si="14"/>
        <v>VALID</v>
      </c>
      <c r="AQ75" s="218" t="s">
        <v>1807</v>
      </c>
      <c r="AR75" s="182" t="s">
        <v>3495</v>
      </c>
      <c r="AS75" s="181"/>
      <c r="AT75" s="5"/>
      <c r="AU75" s="5"/>
      <c r="AV75" s="5"/>
      <c r="AW75" s="5"/>
      <c r="AX75" s="284"/>
      <c r="AY75" s="181"/>
      <c r="AZ75" s="181"/>
      <c r="BA75" s="7"/>
      <c r="BB75" s="212"/>
      <c r="BC75" s="10" t="s">
        <v>3712</v>
      </c>
      <c r="BD75" s="238"/>
      <c r="BE75" s="239"/>
      <c r="BF75" s="239"/>
      <c r="BG75" s="239"/>
      <c r="BH75" s="239"/>
      <c r="BI75" s="239"/>
      <c r="BJ75" s="239"/>
      <c r="BK75" s="239"/>
      <c r="BL75" s="239"/>
      <c r="BM75" s="239"/>
      <c r="BN75" s="239"/>
      <c r="BO75" s="239"/>
      <c r="BP75" s="239"/>
      <c r="BQ75" s="239"/>
      <c r="BR75" s="239"/>
      <c r="BS75" s="239"/>
      <c r="BT75" s="239"/>
      <c r="BU75" s="239"/>
      <c r="BV75" s="239"/>
      <c r="BW75" s="239"/>
      <c r="BX75" s="239"/>
      <c r="BY75" s="239"/>
      <c r="BZ75" s="239"/>
      <c r="CA75" s="239"/>
      <c r="CB75" s="239"/>
      <c r="CC75" s="239"/>
      <c r="CD75" s="239"/>
      <c r="CE75" s="239"/>
    </row>
    <row r="76" spans="1:83" ht="12.95" customHeight="1">
      <c r="A76" s="21" t="s">
        <v>3341</v>
      </c>
      <c r="B76" s="21" t="s">
        <v>3559</v>
      </c>
      <c r="C76" s="51" t="s">
        <v>315</v>
      </c>
      <c r="D76" s="52" t="s">
        <v>1811</v>
      </c>
      <c r="E76" s="52" t="s">
        <v>1812</v>
      </c>
      <c r="F76" s="53" t="s">
        <v>528</v>
      </c>
      <c r="G76" s="179" t="s">
        <v>1429</v>
      </c>
      <c r="H76" s="207" t="s">
        <v>1813</v>
      </c>
      <c r="I76" s="55" t="s">
        <v>1429</v>
      </c>
      <c r="J76" s="55" t="s">
        <v>1429</v>
      </c>
      <c r="K76" s="56" t="s">
        <v>1429</v>
      </c>
      <c r="L76" s="54" t="s">
        <v>1429</v>
      </c>
      <c r="M76" s="55" t="s">
        <v>1581</v>
      </c>
      <c r="N76" s="55" t="s">
        <v>1429</v>
      </c>
      <c r="O76" s="55" t="s">
        <v>1429</v>
      </c>
      <c r="P76" s="56" t="s">
        <v>1429</v>
      </c>
      <c r="Q76" s="65"/>
      <c r="R76" s="65"/>
      <c r="S76" s="65"/>
      <c r="T76" s="65"/>
      <c r="U76" s="65"/>
      <c r="V76" s="146" t="s">
        <v>1814</v>
      </c>
      <c r="W76" s="51" t="s">
        <v>1809</v>
      </c>
      <c r="X76" s="130" t="s">
        <v>1429</v>
      </c>
      <c r="Y76" s="130" t="s">
        <v>1429</v>
      </c>
      <c r="Z76" s="51" t="s">
        <v>1429</v>
      </c>
      <c r="AA76" s="51" t="s">
        <v>1810</v>
      </c>
      <c r="AB76" s="51" t="s">
        <v>1429</v>
      </c>
      <c r="AC76" s="51">
        <v>0</v>
      </c>
      <c r="AD76" s="177"/>
      <c r="AE76" s="66"/>
      <c r="AF76" s="61" t="str">
        <f t="shared" si="7"/>
        <v>NORMAL</v>
      </c>
      <c r="AG76" s="61" t="str">
        <f t="shared" si="5"/>
        <v>NORMAL</v>
      </c>
      <c r="AH76" s="61" t="str">
        <f t="shared" si="8"/>
        <v>DISABLE</v>
      </c>
      <c r="AI76" s="67" t="str">
        <f t="shared" si="10"/>
        <v>N/A</v>
      </c>
      <c r="AJ76" s="176" t="b">
        <v>1</v>
      </c>
      <c r="AK76" s="176" t="b">
        <v>1</v>
      </c>
      <c r="AL76" s="176" t="b">
        <v>1</v>
      </c>
      <c r="AM76" s="176" t="b">
        <v>1</v>
      </c>
      <c r="AN76" s="176" t="b">
        <v>1</v>
      </c>
      <c r="AO76" s="176" t="b">
        <v>1</v>
      </c>
      <c r="AP76" s="64" t="str">
        <f t="shared" si="14"/>
        <v>VALID</v>
      </c>
      <c r="AQ76" s="221" t="s">
        <v>1813</v>
      </c>
      <c r="AR76" s="182" t="s">
        <v>3495</v>
      </c>
      <c r="AS76" s="181"/>
      <c r="AT76" s="5"/>
      <c r="AU76" s="5"/>
      <c r="AV76" s="5"/>
      <c r="AW76" s="5"/>
      <c r="AX76" s="284"/>
      <c r="AY76" s="181"/>
      <c r="AZ76" s="181"/>
      <c r="BA76" s="7"/>
      <c r="BB76" s="212"/>
      <c r="BC76" s="10" t="s">
        <v>3712</v>
      </c>
      <c r="BD76" s="238"/>
      <c r="BE76" s="239"/>
      <c r="BF76" s="239"/>
      <c r="BG76" s="239"/>
      <c r="BH76" s="239"/>
      <c r="BI76" s="239"/>
      <c r="BJ76" s="239"/>
      <c r="BK76" s="239"/>
      <c r="BL76" s="239"/>
      <c r="BM76" s="239"/>
      <c r="BN76" s="239"/>
      <c r="BO76" s="239"/>
      <c r="BP76" s="239"/>
      <c r="BQ76" s="239"/>
      <c r="BR76" s="239"/>
      <c r="BS76" s="239"/>
      <c r="BT76" s="239"/>
      <c r="BU76" s="239"/>
      <c r="BV76" s="239"/>
      <c r="BW76" s="239"/>
      <c r="BX76" s="239"/>
      <c r="BY76" s="239"/>
      <c r="BZ76" s="239"/>
      <c r="CA76" s="239"/>
      <c r="CB76" s="239"/>
      <c r="CC76" s="239"/>
      <c r="CD76" s="239"/>
      <c r="CE76" s="239"/>
    </row>
    <row r="77" spans="1:83" ht="12.95" customHeight="1">
      <c r="A77" s="21" t="s">
        <v>3344</v>
      </c>
      <c r="B77" s="21" t="s">
        <v>1592</v>
      </c>
      <c r="C77" s="51" t="s">
        <v>316</v>
      </c>
      <c r="D77" s="52" t="s">
        <v>1815</v>
      </c>
      <c r="E77" s="52" t="s">
        <v>1816</v>
      </c>
      <c r="F77" s="53" t="s">
        <v>529</v>
      </c>
      <c r="G77" s="179" t="s">
        <v>1429</v>
      </c>
      <c r="H77" s="207" t="s">
        <v>1518</v>
      </c>
      <c r="I77" s="55" t="s">
        <v>1429</v>
      </c>
      <c r="J77" s="55" t="s">
        <v>1429</v>
      </c>
      <c r="K77" s="56" t="s">
        <v>1429</v>
      </c>
      <c r="L77" s="54" t="s">
        <v>1429</v>
      </c>
      <c r="M77" s="55" t="s">
        <v>1581</v>
      </c>
      <c r="N77" s="55" t="s">
        <v>1429</v>
      </c>
      <c r="O77" s="55" t="s">
        <v>1429</v>
      </c>
      <c r="P77" s="56" t="s">
        <v>1429</v>
      </c>
      <c r="Q77" s="65"/>
      <c r="R77" s="65"/>
      <c r="S77" s="65"/>
      <c r="T77" s="65"/>
      <c r="U77" s="65"/>
      <c r="V77" s="146" t="s">
        <v>1817</v>
      </c>
      <c r="W77" s="51" t="s">
        <v>1809</v>
      </c>
      <c r="X77" s="130" t="s">
        <v>1429</v>
      </c>
      <c r="Y77" s="130" t="s">
        <v>1429</v>
      </c>
      <c r="Z77" s="51" t="s">
        <v>1429</v>
      </c>
      <c r="AA77" s="51" t="s">
        <v>1810</v>
      </c>
      <c r="AB77" s="51" t="s">
        <v>1429</v>
      </c>
      <c r="AC77" s="51">
        <v>0</v>
      </c>
      <c r="AD77" s="177"/>
      <c r="AE77" s="66"/>
      <c r="AF77" s="61" t="str">
        <f t="shared" si="7"/>
        <v>NORMAL</v>
      </c>
      <c r="AG77" s="61" t="str">
        <f t="shared" ref="AG77:AG87" si="15">IF($AR77="Input", "TRISTATE", IF($AS77="Z","TRISTATE",IF($AQ77=$F77,"TRISTATE","NORMAL")))</f>
        <v>NORMAL</v>
      </c>
      <c r="AH77" s="61" t="str">
        <f t="shared" si="8"/>
        <v>DISABLE</v>
      </c>
      <c r="AI77" s="67" t="str">
        <f t="shared" si="10"/>
        <v>N/A</v>
      </c>
      <c r="AJ77" s="176" t="b">
        <v>1</v>
      </c>
      <c r="AK77" s="176" t="b">
        <v>1</v>
      </c>
      <c r="AL77" s="176" t="b">
        <v>1</v>
      </c>
      <c r="AM77" s="176" t="b">
        <v>1</v>
      </c>
      <c r="AN77" s="176" t="b">
        <v>1</v>
      </c>
      <c r="AO77" s="176" t="b">
        <v>1</v>
      </c>
      <c r="AP77" s="64" t="str">
        <f t="shared" si="14"/>
        <v>VALID</v>
      </c>
      <c r="AQ77" s="211" t="s">
        <v>1518</v>
      </c>
      <c r="AR77" s="182" t="s">
        <v>3495</v>
      </c>
      <c r="AS77" s="181"/>
      <c r="AT77" s="5"/>
      <c r="AU77" s="5"/>
      <c r="AV77" s="5"/>
      <c r="AW77" s="5"/>
      <c r="AX77" s="284"/>
      <c r="AY77" s="181"/>
      <c r="AZ77" s="181"/>
      <c r="BA77" s="7"/>
      <c r="BB77" s="212"/>
      <c r="BC77" s="10" t="s">
        <v>3713</v>
      </c>
      <c r="BD77" s="238"/>
      <c r="BE77" s="239"/>
      <c r="BF77" s="239"/>
      <c r="BG77" s="239"/>
      <c r="BH77" s="239"/>
      <c r="BI77" s="239"/>
      <c r="BJ77" s="239"/>
      <c r="BK77" s="239"/>
      <c r="BL77" s="239"/>
      <c r="BM77" s="239"/>
      <c r="BN77" s="239"/>
      <c r="BO77" s="239"/>
      <c r="BP77" s="239"/>
      <c r="BQ77" s="239"/>
      <c r="BR77" s="239"/>
      <c r="BS77" s="239"/>
      <c r="BT77" s="239"/>
      <c r="BU77" s="239"/>
      <c r="BV77" s="239"/>
      <c r="BW77" s="239"/>
      <c r="BX77" s="239"/>
      <c r="BY77" s="239"/>
      <c r="BZ77" s="239"/>
      <c r="CA77" s="239"/>
      <c r="CB77" s="239"/>
      <c r="CC77" s="239"/>
      <c r="CD77" s="239"/>
      <c r="CE77" s="239"/>
    </row>
    <row r="78" spans="1:83" ht="12.95" customHeight="1">
      <c r="A78" s="21" t="s">
        <v>3345</v>
      </c>
      <c r="B78" s="21" t="s">
        <v>3634</v>
      </c>
      <c r="C78" s="51" t="s">
        <v>317</v>
      </c>
      <c r="D78" s="52" t="s">
        <v>1818</v>
      </c>
      <c r="E78" s="52" t="s">
        <v>1819</v>
      </c>
      <c r="F78" s="53" t="s">
        <v>530</v>
      </c>
      <c r="G78" s="179" t="s">
        <v>1429</v>
      </c>
      <c r="H78" s="207" t="s">
        <v>1519</v>
      </c>
      <c r="I78" s="55" t="s">
        <v>1429</v>
      </c>
      <c r="J78" s="55" t="s">
        <v>1429</v>
      </c>
      <c r="K78" s="56" t="s">
        <v>1429</v>
      </c>
      <c r="L78" s="54" t="s">
        <v>1429</v>
      </c>
      <c r="M78" s="55" t="s">
        <v>1581</v>
      </c>
      <c r="N78" s="55" t="s">
        <v>1429</v>
      </c>
      <c r="O78" s="55" t="s">
        <v>1429</v>
      </c>
      <c r="P78" s="56" t="s">
        <v>1429</v>
      </c>
      <c r="Q78" s="65"/>
      <c r="R78" s="65"/>
      <c r="S78" s="65"/>
      <c r="T78" s="65"/>
      <c r="U78" s="65"/>
      <c r="V78" s="146" t="s">
        <v>1820</v>
      </c>
      <c r="W78" s="51" t="s">
        <v>1809</v>
      </c>
      <c r="X78" s="130" t="s">
        <v>1429</v>
      </c>
      <c r="Y78" s="130" t="s">
        <v>1429</v>
      </c>
      <c r="Z78" s="51" t="s">
        <v>1429</v>
      </c>
      <c r="AA78" s="51" t="s">
        <v>1810</v>
      </c>
      <c r="AB78" s="51" t="s">
        <v>1429</v>
      </c>
      <c r="AC78" s="51">
        <v>0</v>
      </c>
      <c r="AD78" s="177"/>
      <c r="AE78" s="66"/>
      <c r="AF78" s="61" t="str">
        <f t="shared" si="7"/>
        <v>NORMAL</v>
      </c>
      <c r="AG78" s="61" t="str">
        <f t="shared" si="15"/>
        <v>NORMAL</v>
      </c>
      <c r="AH78" s="61" t="str">
        <f t="shared" si="8"/>
        <v>DISABLE</v>
      </c>
      <c r="AI78" s="67" t="str">
        <f t="shared" si="10"/>
        <v>N/A</v>
      </c>
      <c r="AJ78" s="176" t="b">
        <v>1</v>
      </c>
      <c r="AK78" s="176" t="b">
        <v>1</v>
      </c>
      <c r="AL78" s="176" t="b">
        <v>1</v>
      </c>
      <c r="AM78" s="176" t="b">
        <v>1</v>
      </c>
      <c r="AN78" s="176" t="b">
        <v>1</v>
      </c>
      <c r="AO78" s="176" t="b">
        <v>1</v>
      </c>
      <c r="AP78" s="64" t="str">
        <f t="shared" si="14"/>
        <v>VALID</v>
      </c>
      <c r="AQ78" s="211" t="s">
        <v>1519</v>
      </c>
      <c r="AR78" s="182" t="s">
        <v>3495</v>
      </c>
      <c r="AS78" s="181"/>
      <c r="AT78" s="5"/>
      <c r="AU78" s="5"/>
      <c r="AV78" s="5"/>
      <c r="AW78" s="5"/>
      <c r="AX78" s="284"/>
      <c r="AY78" s="181"/>
      <c r="AZ78" s="181"/>
      <c r="BA78" s="7"/>
      <c r="BB78" s="212"/>
      <c r="BC78" s="10" t="s">
        <v>3713</v>
      </c>
      <c r="BD78" s="238"/>
      <c r="BE78" s="239"/>
      <c r="BF78" s="239"/>
      <c r="BG78" s="239"/>
      <c r="BH78" s="239"/>
      <c r="BI78" s="239"/>
      <c r="BJ78" s="239"/>
      <c r="BK78" s="239"/>
      <c r="BL78" s="239"/>
      <c r="BM78" s="239"/>
      <c r="BN78" s="239"/>
      <c r="BO78" s="239"/>
      <c r="BP78" s="239"/>
      <c r="BQ78" s="239"/>
      <c r="BR78" s="239"/>
      <c r="BS78" s="239"/>
      <c r="BT78" s="239"/>
      <c r="BU78" s="239"/>
      <c r="BV78" s="239"/>
      <c r="BW78" s="239"/>
      <c r="BX78" s="239"/>
      <c r="BY78" s="239"/>
      <c r="BZ78" s="239"/>
      <c r="CA78" s="239"/>
      <c r="CB78" s="239"/>
      <c r="CC78" s="239"/>
      <c r="CD78" s="239"/>
      <c r="CE78" s="239"/>
    </row>
    <row r="79" spans="1:83" ht="12.95" customHeight="1">
      <c r="A79" s="21" t="s">
        <v>3342</v>
      </c>
      <c r="B79" s="21" t="s">
        <v>3574</v>
      </c>
      <c r="C79" s="51" t="s">
        <v>1379</v>
      </c>
      <c r="D79" s="52" t="s">
        <v>1821</v>
      </c>
      <c r="E79" s="52" t="s">
        <v>1822</v>
      </c>
      <c r="F79" s="53" t="s">
        <v>1823</v>
      </c>
      <c r="G79" s="179" t="s">
        <v>1429</v>
      </c>
      <c r="H79" s="207" t="s">
        <v>1824</v>
      </c>
      <c r="I79" s="55" t="s">
        <v>1429</v>
      </c>
      <c r="J79" s="55" t="s">
        <v>1429</v>
      </c>
      <c r="K79" s="56" t="s">
        <v>1429</v>
      </c>
      <c r="L79" s="54" t="s">
        <v>1429</v>
      </c>
      <c r="M79" s="55" t="s">
        <v>1581</v>
      </c>
      <c r="N79" s="55" t="s">
        <v>1429</v>
      </c>
      <c r="O79" s="55" t="s">
        <v>1429</v>
      </c>
      <c r="P79" s="56" t="s">
        <v>1429</v>
      </c>
      <c r="Q79" s="65"/>
      <c r="R79" s="65"/>
      <c r="S79" s="65"/>
      <c r="T79" s="65"/>
      <c r="U79" s="65"/>
      <c r="V79" s="146" t="s">
        <v>1825</v>
      </c>
      <c r="W79" s="51" t="s">
        <v>1809</v>
      </c>
      <c r="X79" s="130" t="s">
        <v>1429</v>
      </c>
      <c r="Y79" s="130" t="s">
        <v>1429</v>
      </c>
      <c r="Z79" s="51" t="s">
        <v>1429</v>
      </c>
      <c r="AA79" s="51" t="s">
        <v>1810</v>
      </c>
      <c r="AB79" s="51" t="s">
        <v>1429</v>
      </c>
      <c r="AC79" s="51">
        <v>0</v>
      </c>
      <c r="AD79" s="177"/>
      <c r="AE79" s="66"/>
      <c r="AF79" s="61" t="str">
        <f t="shared" si="7"/>
        <v>NORMAL</v>
      </c>
      <c r="AG79" s="61" t="str">
        <f t="shared" si="15"/>
        <v>NORMAL</v>
      </c>
      <c r="AH79" s="61" t="str">
        <f t="shared" si="8"/>
        <v>DISABLE</v>
      </c>
      <c r="AI79" s="67" t="str">
        <f t="shared" si="10"/>
        <v>N/A</v>
      </c>
      <c r="AJ79" s="176" t="b">
        <v>1</v>
      </c>
      <c r="AK79" s="176" t="b">
        <v>1</v>
      </c>
      <c r="AL79" s="176" t="b">
        <v>1</v>
      </c>
      <c r="AM79" s="176" t="b">
        <v>1</v>
      </c>
      <c r="AN79" s="176" t="b">
        <v>1</v>
      </c>
      <c r="AO79" s="176" t="b">
        <v>1</v>
      </c>
      <c r="AP79" s="64" t="str">
        <f t="shared" si="14"/>
        <v>VALID</v>
      </c>
      <c r="AQ79" s="211" t="s">
        <v>1824</v>
      </c>
      <c r="AR79" s="182" t="s">
        <v>3495</v>
      </c>
      <c r="AS79" s="181"/>
      <c r="AT79" s="5"/>
      <c r="AU79" s="5"/>
      <c r="AV79" s="5"/>
      <c r="AW79" s="5"/>
      <c r="AX79" s="284"/>
      <c r="AY79" s="181"/>
      <c r="AZ79" s="181"/>
      <c r="BA79" s="7"/>
      <c r="BB79" s="212"/>
      <c r="BC79" s="10" t="s">
        <v>3714</v>
      </c>
      <c r="BD79" s="238"/>
      <c r="BE79" s="239"/>
      <c r="BF79" s="239"/>
      <c r="BG79" s="239"/>
      <c r="BH79" s="239"/>
      <c r="BI79" s="239"/>
      <c r="BJ79" s="239"/>
      <c r="BK79" s="239"/>
      <c r="BL79" s="239"/>
      <c r="BM79" s="239"/>
      <c r="BN79" s="239"/>
      <c r="BO79" s="239"/>
      <c r="BP79" s="239"/>
      <c r="BQ79" s="239"/>
      <c r="BR79" s="239"/>
      <c r="BS79" s="239"/>
      <c r="BT79" s="239"/>
      <c r="BU79" s="239"/>
      <c r="BV79" s="239"/>
      <c r="BW79" s="239"/>
      <c r="BX79" s="239"/>
      <c r="BY79" s="239"/>
      <c r="BZ79" s="239"/>
      <c r="CA79" s="239"/>
      <c r="CB79" s="239"/>
      <c r="CC79" s="239"/>
      <c r="CD79" s="239"/>
      <c r="CE79" s="239"/>
    </row>
    <row r="80" spans="1:83" ht="12.95" customHeight="1">
      <c r="A80" s="21" t="s">
        <v>3343</v>
      </c>
      <c r="B80" s="21" t="s">
        <v>3575</v>
      </c>
      <c r="C80" s="51" t="s">
        <v>1380</v>
      </c>
      <c r="D80" s="52" t="s">
        <v>1826</v>
      </c>
      <c r="E80" s="52" t="s">
        <v>1827</v>
      </c>
      <c r="F80" s="53" t="s">
        <v>1828</v>
      </c>
      <c r="G80" s="179" t="s">
        <v>1429</v>
      </c>
      <c r="H80" s="207" t="s">
        <v>1829</v>
      </c>
      <c r="I80" s="55" t="s">
        <v>1429</v>
      </c>
      <c r="J80" s="55" t="s">
        <v>1429</v>
      </c>
      <c r="K80" s="56" t="s">
        <v>1429</v>
      </c>
      <c r="L80" s="54" t="s">
        <v>1429</v>
      </c>
      <c r="M80" s="55" t="s">
        <v>1581</v>
      </c>
      <c r="N80" s="55" t="s">
        <v>1429</v>
      </c>
      <c r="O80" s="55" t="s">
        <v>1429</v>
      </c>
      <c r="P80" s="56" t="s">
        <v>1429</v>
      </c>
      <c r="Q80" s="65"/>
      <c r="R80" s="65"/>
      <c r="S80" s="65"/>
      <c r="T80" s="65"/>
      <c r="U80" s="65"/>
      <c r="V80" s="189" t="s">
        <v>1830</v>
      </c>
      <c r="W80" s="51" t="s">
        <v>1809</v>
      </c>
      <c r="X80" s="130" t="s">
        <v>1429</v>
      </c>
      <c r="Y80" s="130" t="s">
        <v>1429</v>
      </c>
      <c r="Z80" s="51" t="s">
        <v>1429</v>
      </c>
      <c r="AA80" s="51" t="s">
        <v>1810</v>
      </c>
      <c r="AB80" s="51" t="s">
        <v>1429</v>
      </c>
      <c r="AC80" s="51">
        <v>0</v>
      </c>
      <c r="AD80" s="177"/>
      <c r="AE80" s="66"/>
      <c r="AF80" s="61" t="str">
        <f t="shared" si="7"/>
        <v>NORMAL</v>
      </c>
      <c r="AG80" s="61" t="str">
        <f t="shared" si="15"/>
        <v>NORMAL</v>
      </c>
      <c r="AH80" s="61" t="str">
        <f t="shared" si="8"/>
        <v>DISABLE</v>
      </c>
      <c r="AI80" s="67" t="str">
        <f t="shared" si="10"/>
        <v>N/A</v>
      </c>
      <c r="AJ80" s="176" t="b">
        <v>1</v>
      </c>
      <c r="AK80" s="176" t="b">
        <v>1</v>
      </c>
      <c r="AL80" s="176" t="b">
        <v>1</v>
      </c>
      <c r="AM80" s="176" t="b">
        <v>1</v>
      </c>
      <c r="AN80" s="176" t="b">
        <v>1</v>
      </c>
      <c r="AO80" s="176" t="b">
        <v>1</v>
      </c>
      <c r="AP80" s="64" t="str">
        <f t="shared" si="14"/>
        <v>VALID</v>
      </c>
      <c r="AQ80" s="211" t="s">
        <v>1829</v>
      </c>
      <c r="AR80" s="182" t="s">
        <v>3495</v>
      </c>
      <c r="AS80" s="181"/>
      <c r="AT80" s="5"/>
      <c r="AU80" s="5"/>
      <c r="AV80" s="5"/>
      <c r="AW80" s="5"/>
      <c r="AX80" s="284"/>
      <c r="AY80" s="181"/>
      <c r="AZ80" s="181"/>
      <c r="BA80" s="7"/>
      <c r="BB80" s="212"/>
      <c r="BC80" s="10" t="s">
        <v>3714</v>
      </c>
      <c r="BD80" s="238"/>
      <c r="BE80" s="239"/>
      <c r="BF80" s="239"/>
      <c r="BG80" s="239"/>
      <c r="BH80" s="239"/>
      <c r="BI80" s="239"/>
      <c r="BJ80" s="239"/>
      <c r="BK80" s="239"/>
      <c r="BL80" s="239"/>
      <c r="BM80" s="239"/>
      <c r="BN80" s="239"/>
      <c r="BO80" s="239"/>
      <c r="BP80" s="239"/>
      <c r="BQ80" s="239"/>
      <c r="BR80" s="239"/>
      <c r="BS80" s="239"/>
      <c r="BT80" s="239"/>
      <c r="BU80" s="239"/>
      <c r="BV80" s="239"/>
      <c r="BW80" s="239"/>
      <c r="BX80" s="239"/>
      <c r="BY80" s="239"/>
      <c r="BZ80" s="239"/>
      <c r="CA80" s="239"/>
      <c r="CB80" s="239"/>
      <c r="CC80" s="239"/>
      <c r="CD80" s="239"/>
      <c r="CE80" s="239"/>
    </row>
    <row r="81" spans="1:83" s="50" customFormat="1" ht="18" customHeight="1">
      <c r="A81" s="171" t="s">
        <v>1384</v>
      </c>
      <c r="B81" s="171"/>
      <c r="C81" s="171"/>
      <c r="D81" s="69"/>
      <c r="E81" s="69"/>
      <c r="F81" s="69"/>
      <c r="G81" s="70"/>
      <c r="H81" s="70"/>
      <c r="I81" s="70"/>
      <c r="J81" s="70"/>
      <c r="K81" s="70"/>
      <c r="L81" s="69"/>
      <c r="M81" s="69"/>
      <c r="N81" s="69"/>
      <c r="O81" s="69"/>
      <c r="P81" s="69"/>
      <c r="Q81" s="69"/>
      <c r="R81" s="69"/>
      <c r="S81" s="69"/>
      <c r="T81" s="69"/>
      <c r="U81" s="69"/>
      <c r="V81" s="69"/>
      <c r="W81" s="69"/>
      <c r="X81" s="131"/>
      <c r="Y81" s="131"/>
      <c r="Z81" s="71"/>
      <c r="AA81" s="71"/>
      <c r="AB81" s="71"/>
      <c r="AC81" s="71"/>
      <c r="AD81" s="71"/>
      <c r="AE81" s="71"/>
      <c r="AF81" s="71"/>
      <c r="AG81" s="71"/>
      <c r="AH81" s="71"/>
      <c r="AI81" s="71"/>
      <c r="AJ81" s="47"/>
      <c r="AK81" s="47"/>
      <c r="AL81" s="47"/>
      <c r="AM81" s="47"/>
      <c r="AN81" s="47"/>
      <c r="AO81" s="47"/>
      <c r="AP81" s="47"/>
      <c r="AQ81" s="72"/>
      <c r="AR81" s="72"/>
      <c r="AS81" s="73"/>
      <c r="AT81" s="73"/>
      <c r="AU81" s="73"/>
      <c r="AV81" s="73"/>
      <c r="AW81" s="73"/>
      <c r="AX81" s="288"/>
      <c r="AY81" s="73"/>
      <c r="AZ81" s="73"/>
      <c r="BA81" s="73"/>
      <c r="BB81" s="168" t="s">
        <v>1351</v>
      </c>
      <c r="BC81" s="73"/>
      <c r="BD81" s="184"/>
      <c r="BE81" s="308"/>
      <c r="BF81" s="243"/>
      <c r="BG81" s="243"/>
      <c r="BH81" s="243"/>
      <c r="BI81" s="243"/>
      <c r="BJ81" s="243"/>
      <c r="BK81" s="243"/>
      <c r="BL81" s="243"/>
      <c r="BM81" s="243"/>
      <c r="BN81" s="243"/>
      <c r="BO81" s="243"/>
      <c r="BP81" s="243"/>
      <c r="BQ81" s="243"/>
      <c r="BR81" s="243"/>
      <c r="BS81" s="243"/>
      <c r="BT81" s="243"/>
      <c r="BU81" s="243"/>
      <c r="BV81" s="243"/>
      <c r="BW81" s="243"/>
      <c r="BX81" s="243"/>
      <c r="BY81" s="243"/>
      <c r="BZ81" s="243"/>
      <c r="CA81" s="243"/>
      <c r="CB81" s="243"/>
      <c r="CC81" s="243"/>
      <c r="CD81" s="243"/>
      <c r="CE81" s="243"/>
    </row>
    <row r="82" spans="1:83" ht="12.95" customHeight="1">
      <c r="A82" s="21" t="s">
        <v>3348</v>
      </c>
      <c r="B82" s="21" t="s">
        <v>3605</v>
      </c>
      <c r="C82" s="51" t="s">
        <v>21</v>
      </c>
      <c r="D82" s="52" t="s">
        <v>1831</v>
      </c>
      <c r="E82" s="52" t="s">
        <v>1832</v>
      </c>
      <c r="F82" s="53" t="s">
        <v>135</v>
      </c>
      <c r="G82" s="179"/>
      <c r="H82" s="180" t="s">
        <v>21</v>
      </c>
      <c r="I82" s="55" t="s">
        <v>1429</v>
      </c>
      <c r="J82" s="55" t="s">
        <v>1429</v>
      </c>
      <c r="K82" s="56" t="s">
        <v>1429</v>
      </c>
      <c r="L82" s="54" t="s">
        <v>1580</v>
      </c>
      <c r="M82" s="55" t="s">
        <v>1581</v>
      </c>
      <c r="N82" s="55" t="s">
        <v>1429</v>
      </c>
      <c r="O82" s="55" t="s">
        <v>1429</v>
      </c>
      <c r="P82" s="56" t="s">
        <v>1429</v>
      </c>
      <c r="Q82" s="52" t="s">
        <v>56</v>
      </c>
      <c r="R82" s="52" t="s">
        <v>113</v>
      </c>
      <c r="S82" s="52" t="s">
        <v>99</v>
      </c>
      <c r="T82" s="52" t="s">
        <v>100</v>
      </c>
      <c r="U82" s="57" t="s">
        <v>113</v>
      </c>
      <c r="V82" s="145" t="s">
        <v>1833</v>
      </c>
      <c r="W82" s="51" t="s">
        <v>1834</v>
      </c>
      <c r="X82" s="130" t="s">
        <v>1429</v>
      </c>
      <c r="Y82" s="130" t="s">
        <v>1429</v>
      </c>
      <c r="Z82" s="51" t="s">
        <v>1678</v>
      </c>
      <c r="AA82" s="51" t="s">
        <v>1710</v>
      </c>
      <c r="AB82" s="51" t="s">
        <v>3664</v>
      </c>
      <c r="AC82" s="51" t="s">
        <v>1587</v>
      </c>
      <c r="AD82" s="59" t="str">
        <f t="shared" ref="AD82:AD87" si="16">IF(OR($AQ82="",$AQ82=$F82),$U82,IF($AQ82=$G82,SUBSTITUTE(SUBSTITUTE($AQ82,"GPIO3_","GPIO_"),".0",""),IF($AQ82=$H82,$Q82,IF($AQ82=$I82,$R82,IF($AQ82=$J82,$S82,IF($AQ82=$K82,$T82,"INVALID"))))))</f>
        <v>SDMMC1</v>
      </c>
      <c r="AE82" s="66"/>
      <c r="AF82" s="61" t="str">
        <f t="shared" ref="AF82:AF87" si="17">IF(AND(OR($AS82="Int PU",$AS82="Int PD"),OR(AND($AY82&lt;&gt;"",$AY82&lt;&gt;"0"),AND($AZ82&lt;&gt;"",$AZ82&lt;&gt;"0"))),"INVALID",IF(OR($AQ82=$F82,$AS82="Int PD"),"PULL_DOWN",IF(OR($AS82="Int PU",AND($AE82="YES",OR($AY82="",$AY82="0"),OR($AZ82="",$AZ82="0"),OR($AR82="Input",$AR82="Bidirectional"))),"PULL_UP","NORMAL")))</f>
        <v>PULL_DOWN</v>
      </c>
      <c r="AG82" s="61" t="str">
        <f t="shared" si="15"/>
        <v>NORMAL</v>
      </c>
      <c r="AH82" s="61" t="str">
        <f>IF($AQ82=$H82,"ENABLE",IF(OR($AQ82=$F82,$AR82="Output"),"DISABLE","ENABLE"))</f>
        <v>ENABLE</v>
      </c>
      <c r="AI82" s="67" t="str">
        <f t="shared" si="10"/>
        <v>N/A</v>
      </c>
      <c r="AJ82" s="176" t="b">
        <v>1</v>
      </c>
      <c r="AK82" s="176" t="b">
        <v>1</v>
      </c>
      <c r="AL82" s="176" t="b">
        <v>1</v>
      </c>
      <c r="AM82" s="176" t="b">
        <v>1</v>
      </c>
      <c r="AN82" s="176" t="b">
        <v>1</v>
      </c>
      <c r="AO82" s="176" t="b">
        <v>1</v>
      </c>
      <c r="AP82" s="64" t="str">
        <f t="shared" ref="AP82:AP88" si="18">IF(AND($AJ82:$AO82), "VALID", "INVALID")</f>
        <v>VALID</v>
      </c>
      <c r="AQ82" s="211" t="s">
        <v>21</v>
      </c>
      <c r="AR82" s="182" t="s">
        <v>3495</v>
      </c>
      <c r="AS82" s="181" t="s">
        <v>3503</v>
      </c>
      <c r="AT82" s="5"/>
      <c r="AU82" s="5"/>
      <c r="AV82" s="5"/>
      <c r="AW82" s="5"/>
      <c r="AX82" s="289" t="s">
        <v>3502</v>
      </c>
      <c r="AY82" s="181"/>
      <c r="AZ82" s="181"/>
      <c r="BA82" s="7"/>
      <c r="BB82" s="212"/>
      <c r="BC82" s="10" t="s">
        <v>3715</v>
      </c>
      <c r="BD82" s="238"/>
      <c r="BE82" s="239"/>
      <c r="BF82" s="239"/>
      <c r="BG82" s="239"/>
      <c r="BH82" s="239"/>
      <c r="BI82" s="239"/>
      <c r="BJ82" s="239"/>
      <c r="BK82" s="239"/>
      <c r="BL82" s="239"/>
      <c r="BM82" s="239"/>
      <c r="BN82" s="239"/>
      <c r="BO82" s="239"/>
      <c r="BP82" s="239"/>
      <c r="BQ82" s="239"/>
      <c r="BR82" s="239"/>
      <c r="BS82" s="239"/>
      <c r="BT82" s="239"/>
      <c r="BU82" s="239"/>
      <c r="BV82" s="239"/>
      <c r="BW82" s="239"/>
      <c r="BX82" s="239"/>
      <c r="BY82" s="239"/>
      <c r="BZ82" s="239"/>
      <c r="CA82" s="239"/>
      <c r="CB82" s="239"/>
      <c r="CC82" s="239"/>
      <c r="CD82" s="239"/>
      <c r="CE82" s="239"/>
    </row>
    <row r="83" spans="1:83" ht="12.95" customHeight="1">
      <c r="A83" s="21" t="s">
        <v>3349</v>
      </c>
      <c r="B83" s="21" t="s">
        <v>3606</v>
      </c>
      <c r="C83" s="51" t="s">
        <v>22</v>
      </c>
      <c r="D83" s="52" t="s">
        <v>1835</v>
      </c>
      <c r="E83" s="52" t="s">
        <v>1836</v>
      </c>
      <c r="F83" s="53" t="s">
        <v>137</v>
      </c>
      <c r="G83" s="179"/>
      <c r="H83" s="180" t="s">
        <v>22</v>
      </c>
      <c r="I83" s="55" t="s">
        <v>1429</v>
      </c>
      <c r="J83" s="55" t="s">
        <v>1429</v>
      </c>
      <c r="K83" s="56" t="s">
        <v>1429</v>
      </c>
      <c r="L83" s="54" t="s">
        <v>1580</v>
      </c>
      <c r="M83" s="55" t="s">
        <v>1580</v>
      </c>
      <c r="N83" s="55" t="s">
        <v>1429</v>
      </c>
      <c r="O83" s="55" t="s">
        <v>1429</v>
      </c>
      <c r="P83" s="56" t="s">
        <v>1429</v>
      </c>
      <c r="Q83" s="52" t="s">
        <v>56</v>
      </c>
      <c r="R83" s="52" t="s">
        <v>113</v>
      </c>
      <c r="S83" s="52" t="s">
        <v>99</v>
      </c>
      <c r="T83" s="52" t="s">
        <v>100</v>
      </c>
      <c r="U83" s="57" t="s">
        <v>113</v>
      </c>
      <c r="V83" s="146" t="s">
        <v>1837</v>
      </c>
      <c r="W83" s="51" t="s">
        <v>1834</v>
      </c>
      <c r="X83" s="130" t="s">
        <v>1429</v>
      </c>
      <c r="Y83" s="130" t="s">
        <v>1429</v>
      </c>
      <c r="Z83" s="51" t="s">
        <v>1678</v>
      </c>
      <c r="AA83" s="51" t="s">
        <v>1710</v>
      </c>
      <c r="AB83" s="51" t="s">
        <v>3664</v>
      </c>
      <c r="AC83" s="51" t="s">
        <v>1674</v>
      </c>
      <c r="AD83" s="59" t="str">
        <f t="shared" si="16"/>
        <v>SDMMC1</v>
      </c>
      <c r="AE83" s="61" t="str">
        <f>IF(LEFT($AD83, 5) = "SDMMC","YES","NO")</f>
        <v>YES</v>
      </c>
      <c r="AF83" s="61" t="str">
        <f t="shared" si="17"/>
        <v>PULL_UP</v>
      </c>
      <c r="AG83" s="61" t="str">
        <f t="shared" si="15"/>
        <v>NORMAL</v>
      </c>
      <c r="AH83" s="61" t="str">
        <f>IF(OR($AQ83=$F83,$AR83="Output"),"DISABLE","ENABLE")</f>
        <v>ENABLE</v>
      </c>
      <c r="AI83" s="67" t="str">
        <f t="shared" si="10"/>
        <v>N/A</v>
      </c>
      <c r="AJ83" s="176" t="b">
        <v>1</v>
      </c>
      <c r="AK83" s="176" t="b">
        <v>1</v>
      </c>
      <c r="AL83" s="176" t="b">
        <v>1</v>
      </c>
      <c r="AM83" s="176" t="b">
        <v>1</v>
      </c>
      <c r="AN83" s="176" t="b">
        <v>1</v>
      </c>
      <c r="AO83" s="176" t="b">
        <v>1</v>
      </c>
      <c r="AP83" s="64" t="str">
        <f t="shared" si="18"/>
        <v>VALID</v>
      </c>
      <c r="AQ83" s="211" t="s">
        <v>22</v>
      </c>
      <c r="AR83" s="182" t="s">
        <v>3501</v>
      </c>
      <c r="AS83" s="181" t="s">
        <v>3497</v>
      </c>
      <c r="AT83" s="5"/>
      <c r="AU83" s="5"/>
      <c r="AV83" s="5"/>
      <c r="AW83" s="5"/>
      <c r="AX83" s="284"/>
      <c r="AY83" s="181"/>
      <c r="AZ83" s="181"/>
      <c r="BA83" s="7"/>
      <c r="BB83" s="212"/>
      <c r="BC83" s="10" t="s">
        <v>3716</v>
      </c>
      <c r="BD83" s="238"/>
      <c r="BE83" s="239"/>
      <c r="BF83" s="239"/>
      <c r="BG83" s="239"/>
      <c r="BH83" s="239"/>
      <c r="BI83" s="239"/>
      <c r="BJ83" s="239"/>
      <c r="BK83" s="239"/>
      <c r="BL83" s="239"/>
      <c r="BM83" s="239"/>
      <c r="BN83" s="239"/>
      <c r="BO83" s="239"/>
      <c r="BP83" s="239"/>
      <c r="BQ83" s="239"/>
      <c r="BR83" s="239"/>
      <c r="BS83" s="239"/>
      <c r="BT83" s="239"/>
      <c r="BU83" s="239"/>
      <c r="BV83" s="239"/>
      <c r="BW83" s="239"/>
      <c r="BX83" s="239"/>
      <c r="BY83" s="239"/>
      <c r="BZ83" s="239"/>
      <c r="CA83" s="239"/>
      <c r="CB83" s="239"/>
      <c r="CC83" s="239"/>
      <c r="CD83" s="239"/>
      <c r="CE83" s="239"/>
    </row>
    <row r="84" spans="1:83" ht="12.95" customHeight="1">
      <c r="A84" s="21" t="s">
        <v>3350</v>
      </c>
      <c r="B84" s="21" t="s">
        <v>3622</v>
      </c>
      <c r="C84" s="51" t="s">
        <v>23</v>
      </c>
      <c r="D84" s="52" t="s">
        <v>1838</v>
      </c>
      <c r="E84" s="52" t="s">
        <v>1839</v>
      </c>
      <c r="F84" s="53" t="s">
        <v>138</v>
      </c>
      <c r="G84" s="179"/>
      <c r="H84" s="180" t="s">
        <v>23</v>
      </c>
      <c r="I84" s="55" t="s">
        <v>1429</v>
      </c>
      <c r="J84" s="55" t="s">
        <v>1429</v>
      </c>
      <c r="K84" s="56" t="s">
        <v>1429</v>
      </c>
      <c r="L84" s="54" t="s">
        <v>1580</v>
      </c>
      <c r="M84" s="55" t="s">
        <v>1580</v>
      </c>
      <c r="N84" s="55" t="s">
        <v>1429</v>
      </c>
      <c r="O84" s="55" t="s">
        <v>1429</v>
      </c>
      <c r="P84" s="56" t="s">
        <v>1429</v>
      </c>
      <c r="Q84" s="52" t="s">
        <v>56</v>
      </c>
      <c r="R84" s="52" t="s">
        <v>113</v>
      </c>
      <c r="S84" s="52" t="s">
        <v>99</v>
      </c>
      <c r="T84" s="52" t="s">
        <v>100</v>
      </c>
      <c r="U84" s="57" t="s">
        <v>113</v>
      </c>
      <c r="V84" s="146" t="s">
        <v>1840</v>
      </c>
      <c r="W84" s="51" t="s">
        <v>1834</v>
      </c>
      <c r="X84" s="130" t="s">
        <v>1429</v>
      </c>
      <c r="Y84" s="130" t="s">
        <v>1429</v>
      </c>
      <c r="Z84" s="51" t="s">
        <v>1678</v>
      </c>
      <c r="AA84" s="51" t="s">
        <v>1710</v>
      </c>
      <c r="AB84" s="51" t="s">
        <v>3664</v>
      </c>
      <c r="AC84" s="51" t="s">
        <v>1674</v>
      </c>
      <c r="AD84" s="59" t="str">
        <f t="shared" si="16"/>
        <v>SDMMC1</v>
      </c>
      <c r="AE84" s="61" t="str">
        <f>IF(LEFT($AD84, 5) = "SDMMC","YES","NO")</f>
        <v>YES</v>
      </c>
      <c r="AF84" s="61" t="str">
        <f t="shared" si="17"/>
        <v>PULL_UP</v>
      </c>
      <c r="AG84" s="61" t="str">
        <f t="shared" si="15"/>
        <v>NORMAL</v>
      </c>
      <c r="AH84" s="61" t="str">
        <f>IF(OR($AQ84=$F84,$AR84="Output"),"DISABLE","ENABLE")</f>
        <v>ENABLE</v>
      </c>
      <c r="AI84" s="67" t="str">
        <f t="shared" si="10"/>
        <v>N/A</v>
      </c>
      <c r="AJ84" s="176" t="b">
        <v>1</v>
      </c>
      <c r="AK84" s="176" t="b">
        <v>1</v>
      </c>
      <c r="AL84" s="176" t="b">
        <v>1</v>
      </c>
      <c r="AM84" s="176" t="b">
        <v>1</v>
      </c>
      <c r="AN84" s="176" t="b">
        <v>1</v>
      </c>
      <c r="AO84" s="176" t="b">
        <v>1</v>
      </c>
      <c r="AP84" s="64" t="str">
        <f t="shared" si="18"/>
        <v>VALID</v>
      </c>
      <c r="AQ84" s="211" t="s">
        <v>23</v>
      </c>
      <c r="AR84" s="182" t="s">
        <v>3501</v>
      </c>
      <c r="AS84" s="181" t="s">
        <v>3497</v>
      </c>
      <c r="AT84" s="5"/>
      <c r="AU84" s="5"/>
      <c r="AV84" s="5"/>
      <c r="AW84" s="5"/>
      <c r="AX84" s="284"/>
      <c r="AY84" s="181"/>
      <c r="AZ84" s="181"/>
      <c r="BA84" s="7"/>
      <c r="BB84" s="212"/>
      <c r="BC84" s="10" t="s">
        <v>3717</v>
      </c>
      <c r="BD84" s="238"/>
      <c r="BE84" s="239"/>
      <c r="BF84" s="239"/>
      <c r="BG84" s="239"/>
      <c r="BH84" s="239"/>
      <c r="BI84" s="239"/>
      <c r="BJ84" s="239"/>
      <c r="BK84" s="239"/>
      <c r="BL84" s="239"/>
      <c r="BM84" s="239"/>
      <c r="BN84" s="239"/>
      <c r="BO84" s="239"/>
      <c r="BP84" s="239"/>
      <c r="BQ84" s="239"/>
      <c r="BR84" s="239"/>
      <c r="BS84" s="239"/>
      <c r="BT84" s="239"/>
      <c r="BU84" s="239"/>
      <c r="BV84" s="239"/>
      <c r="BW84" s="239"/>
      <c r="BX84" s="239"/>
      <c r="BY84" s="239"/>
      <c r="BZ84" s="239"/>
      <c r="CA84" s="239"/>
      <c r="CB84" s="239"/>
      <c r="CC84" s="239"/>
      <c r="CD84" s="239"/>
      <c r="CE84" s="239"/>
    </row>
    <row r="85" spans="1:83" ht="12.95" customHeight="1">
      <c r="A85" s="21" t="s">
        <v>3351</v>
      </c>
      <c r="B85" s="21" t="s">
        <v>3621</v>
      </c>
      <c r="C85" s="51" t="s">
        <v>24</v>
      </c>
      <c r="D85" s="52" t="s">
        <v>1841</v>
      </c>
      <c r="E85" s="52" t="s">
        <v>1842</v>
      </c>
      <c r="F85" s="53" t="s">
        <v>139</v>
      </c>
      <c r="G85" s="179"/>
      <c r="H85" s="180" t="s">
        <v>24</v>
      </c>
      <c r="I85" s="55" t="s">
        <v>1429</v>
      </c>
      <c r="J85" s="55" t="s">
        <v>1429</v>
      </c>
      <c r="K85" s="56" t="s">
        <v>1429</v>
      </c>
      <c r="L85" s="54" t="s">
        <v>1580</v>
      </c>
      <c r="M85" s="55" t="s">
        <v>1580</v>
      </c>
      <c r="N85" s="55" t="s">
        <v>1429</v>
      </c>
      <c r="O85" s="55" t="s">
        <v>1429</v>
      </c>
      <c r="P85" s="56" t="s">
        <v>1429</v>
      </c>
      <c r="Q85" s="52" t="s">
        <v>56</v>
      </c>
      <c r="R85" s="52" t="s">
        <v>113</v>
      </c>
      <c r="S85" s="52" t="s">
        <v>99</v>
      </c>
      <c r="T85" s="52" t="s">
        <v>100</v>
      </c>
      <c r="U85" s="57" t="s">
        <v>113</v>
      </c>
      <c r="V85" s="146" t="s">
        <v>1843</v>
      </c>
      <c r="W85" s="51" t="s">
        <v>1834</v>
      </c>
      <c r="X85" s="130" t="s">
        <v>1844</v>
      </c>
      <c r="Y85" s="130" t="s">
        <v>1429</v>
      </c>
      <c r="Z85" s="51" t="s">
        <v>1678</v>
      </c>
      <c r="AA85" s="51" t="s">
        <v>1710</v>
      </c>
      <c r="AB85" s="51" t="s">
        <v>3664</v>
      </c>
      <c r="AC85" s="51" t="s">
        <v>1674</v>
      </c>
      <c r="AD85" s="59" t="str">
        <f t="shared" si="16"/>
        <v>SDMMC1</v>
      </c>
      <c r="AE85" s="61" t="str">
        <f>IF(LEFT($AD85, 5) = "SDMMC","YES","NO")</f>
        <v>YES</v>
      </c>
      <c r="AF85" s="61" t="str">
        <f t="shared" si="17"/>
        <v>PULL_UP</v>
      </c>
      <c r="AG85" s="61" t="str">
        <f t="shared" si="15"/>
        <v>NORMAL</v>
      </c>
      <c r="AH85" s="61" t="str">
        <f>IF(OR($AQ85=$F85,$AR85="Output"),"DISABLE","ENABLE")</f>
        <v>ENABLE</v>
      </c>
      <c r="AI85" s="67" t="str">
        <f t="shared" si="10"/>
        <v>N/A</v>
      </c>
      <c r="AJ85" s="176" t="b">
        <v>1</v>
      </c>
      <c r="AK85" s="176" t="b">
        <v>1</v>
      </c>
      <c r="AL85" s="176" t="b">
        <v>1</v>
      </c>
      <c r="AM85" s="176" t="b">
        <v>1</v>
      </c>
      <c r="AN85" s="176" t="b">
        <v>1</v>
      </c>
      <c r="AO85" s="176" t="b">
        <v>1</v>
      </c>
      <c r="AP85" s="64" t="str">
        <f t="shared" si="18"/>
        <v>VALID</v>
      </c>
      <c r="AQ85" s="211" t="s">
        <v>24</v>
      </c>
      <c r="AR85" s="182" t="s">
        <v>3501</v>
      </c>
      <c r="AS85" s="181" t="s">
        <v>3497</v>
      </c>
      <c r="AT85" s="181" t="s">
        <v>104</v>
      </c>
      <c r="AU85" s="5"/>
      <c r="AV85" s="5"/>
      <c r="AW85" s="5"/>
      <c r="AX85" s="284"/>
      <c r="AY85" s="181"/>
      <c r="AZ85" s="181"/>
      <c r="BA85" s="7"/>
      <c r="BB85" s="212"/>
      <c r="BC85" s="10" t="s">
        <v>3718</v>
      </c>
      <c r="BD85" s="238"/>
      <c r="BE85" s="239"/>
      <c r="BF85" s="239"/>
      <c r="BG85" s="239"/>
      <c r="BH85" s="239"/>
      <c r="BI85" s="239"/>
      <c r="BJ85" s="239"/>
      <c r="BK85" s="239"/>
      <c r="BL85" s="239"/>
      <c r="BM85" s="239"/>
      <c r="BN85" s="239"/>
      <c r="BO85" s="239"/>
      <c r="BP85" s="239"/>
      <c r="BQ85" s="239"/>
      <c r="BR85" s="239"/>
      <c r="BS85" s="239"/>
      <c r="BT85" s="239"/>
      <c r="BU85" s="239"/>
      <c r="BV85" s="239"/>
      <c r="BW85" s="239"/>
      <c r="BX85" s="239"/>
      <c r="BY85" s="239"/>
      <c r="BZ85" s="239"/>
      <c r="CA85" s="239"/>
      <c r="CB85" s="239"/>
      <c r="CC85" s="239"/>
      <c r="CD85" s="239"/>
      <c r="CE85" s="239"/>
    </row>
    <row r="86" spans="1:83" ht="12.95" customHeight="1">
      <c r="A86" s="21" t="s">
        <v>3352</v>
      </c>
      <c r="B86" s="21" t="s">
        <v>3598</v>
      </c>
      <c r="C86" s="51" t="s">
        <v>25</v>
      </c>
      <c r="D86" s="52" t="s">
        <v>1839</v>
      </c>
      <c r="E86" s="52" t="s">
        <v>1845</v>
      </c>
      <c r="F86" s="53" t="s">
        <v>140</v>
      </c>
      <c r="G86" s="179"/>
      <c r="H86" s="180" t="s">
        <v>25</v>
      </c>
      <c r="I86" s="55" t="s">
        <v>1429</v>
      </c>
      <c r="J86" s="55" t="s">
        <v>1429</v>
      </c>
      <c r="K86" s="56" t="s">
        <v>1429</v>
      </c>
      <c r="L86" s="54" t="s">
        <v>1580</v>
      </c>
      <c r="M86" s="55" t="s">
        <v>1580</v>
      </c>
      <c r="N86" s="55" t="s">
        <v>1429</v>
      </c>
      <c r="O86" s="55" t="s">
        <v>1429</v>
      </c>
      <c r="P86" s="56" t="s">
        <v>1429</v>
      </c>
      <c r="Q86" s="52" t="s">
        <v>56</v>
      </c>
      <c r="R86" s="52" t="s">
        <v>113</v>
      </c>
      <c r="S86" s="52" t="s">
        <v>99</v>
      </c>
      <c r="T86" s="52" t="s">
        <v>100</v>
      </c>
      <c r="U86" s="57" t="s">
        <v>113</v>
      </c>
      <c r="V86" s="146" t="s">
        <v>1846</v>
      </c>
      <c r="W86" s="51" t="s">
        <v>1834</v>
      </c>
      <c r="X86" s="130" t="s">
        <v>1429</v>
      </c>
      <c r="Y86" s="130" t="s">
        <v>1429</v>
      </c>
      <c r="Z86" s="51" t="s">
        <v>1678</v>
      </c>
      <c r="AA86" s="51" t="s">
        <v>1710</v>
      </c>
      <c r="AB86" s="51" t="s">
        <v>3664</v>
      </c>
      <c r="AC86" s="51" t="s">
        <v>1674</v>
      </c>
      <c r="AD86" s="59" t="str">
        <f t="shared" si="16"/>
        <v>SDMMC1</v>
      </c>
      <c r="AE86" s="61" t="str">
        <f>IF(LEFT($AD86, 5) = "SDMMC","YES","NO")</f>
        <v>YES</v>
      </c>
      <c r="AF86" s="61" t="str">
        <f t="shared" si="17"/>
        <v>PULL_UP</v>
      </c>
      <c r="AG86" s="61" t="str">
        <f t="shared" si="15"/>
        <v>NORMAL</v>
      </c>
      <c r="AH86" s="61" t="str">
        <f>IF(OR($AQ86=$F86,$AR86="Output"),"DISABLE","ENABLE")</f>
        <v>ENABLE</v>
      </c>
      <c r="AI86" s="67" t="str">
        <f t="shared" si="10"/>
        <v>N/A</v>
      </c>
      <c r="AJ86" s="176" t="b">
        <v>1</v>
      </c>
      <c r="AK86" s="176" t="b">
        <v>1</v>
      </c>
      <c r="AL86" s="176" t="b">
        <v>1</v>
      </c>
      <c r="AM86" s="176" t="b">
        <v>1</v>
      </c>
      <c r="AN86" s="176" t="b">
        <v>1</v>
      </c>
      <c r="AO86" s="176" t="b">
        <v>1</v>
      </c>
      <c r="AP86" s="64" t="str">
        <f t="shared" si="18"/>
        <v>VALID</v>
      </c>
      <c r="AQ86" s="211" t="s">
        <v>25</v>
      </c>
      <c r="AR86" s="182" t="s">
        <v>3501</v>
      </c>
      <c r="AS86" s="181" t="s">
        <v>3497</v>
      </c>
      <c r="AT86" s="5"/>
      <c r="AU86" s="5"/>
      <c r="AV86" s="5"/>
      <c r="AW86" s="5"/>
      <c r="AX86" s="284"/>
      <c r="AY86" s="181"/>
      <c r="AZ86" s="181"/>
      <c r="BA86" s="7"/>
      <c r="BB86" s="212"/>
      <c r="BC86" s="10" t="s">
        <v>3719</v>
      </c>
      <c r="BD86" s="238"/>
      <c r="BE86" s="239"/>
      <c r="BF86" s="239"/>
      <c r="BG86" s="239"/>
      <c r="BH86" s="239"/>
      <c r="BI86" s="239"/>
      <c r="BJ86" s="239"/>
      <c r="BK86" s="239"/>
      <c r="BL86" s="239"/>
      <c r="BM86" s="239"/>
      <c r="BN86" s="239"/>
      <c r="BO86" s="239"/>
      <c r="BP86" s="239"/>
      <c r="BQ86" s="239"/>
      <c r="BR86" s="239"/>
      <c r="BS86" s="239"/>
      <c r="BT86" s="239"/>
      <c r="BU86" s="239"/>
      <c r="BV86" s="239"/>
      <c r="BW86" s="239"/>
      <c r="BX86" s="239"/>
      <c r="BY86" s="239"/>
      <c r="BZ86" s="239"/>
      <c r="CA86" s="239"/>
      <c r="CB86" s="239"/>
      <c r="CC86" s="239"/>
      <c r="CD86" s="239"/>
      <c r="CE86" s="239"/>
    </row>
    <row r="87" spans="1:83" ht="12.95" customHeight="1">
      <c r="A87" s="21" t="s">
        <v>3353</v>
      </c>
      <c r="B87" s="21" t="s">
        <v>2397</v>
      </c>
      <c r="C87" s="51" t="s">
        <v>26</v>
      </c>
      <c r="D87" s="52" t="s">
        <v>1842</v>
      </c>
      <c r="E87" s="52" t="s">
        <v>1847</v>
      </c>
      <c r="F87" s="53" t="s">
        <v>141</v>
      </c>
      <c r="G87" s="179"/>
      <c r="H87" s="180" t="s">
        <v>26</v>
      </c>
      <c r="I87" s="55" t="s">
        <v>1429</v>
      </c>
      <c r="J87" s="55" t="s">
        <v>1429</v>
      </c>
      <c r="K87" s="56" t="s">
        <v>1429</v>
      </c>
      <c r="L87" s="54" t="s">
        <v>1580</v>
      </c>
      <c r="M87" s="55" t="s">
        <v>1580</v>
      </c>
      <c r="N87" s="55" t="s">
        <v>1429</v>
      </c>
      <c r="O87" s="55" t="s">
        <v>1429</v>
      </c>
      <c r="P87" s="56" t="s">
        <v>1429</v>
      </c>
      <c r="Q87" s="52" t="s">
        <v>56</v>
      </c>
      <c r="R87" s="52" t="s">
        <v>113</v>
      </c>
      <c r="S87" s="52" t="s">
        <v>99</v>
      </c>
      <c r="T87" s="52" t="s">
        <v>100</v>
      </c>
      <c r="U87" s="57" t="s">
        <v>113</v>
      </c>
      <c r="V87" s="146" t="s">
        <v>1848</v>
      </c>
      <c r="W87" s="51" t="s">
        <v>1834</v>
      </c>
      <c r="X87" s="130" t="s">
        <v>1429</v>
      </c>
      <c r="Y87" s="130" t="s">
        <v>1429</v>
      </c>
      <c r="Z87" s="51" t="s">
        <v>1678</v>
      </c>
      <c r="AA87" s="51" t="s">
        <v>1710</v>
      </c>
      <c r="AB87" s="51" t="s">
        <v>3664</v>
      </c>
      <c r="AC87" s="51" t="s">
        <v>1674</v>
      </c>
      <c r="AD87" s="59" t="str">
        <f t="shared" si="16"/>
        <v>SDMMC1</v>
      </c>
      <c r="AE87" s="61" t="str">
        <f>IF(LEFT($AD87, 5) = "SDMMC","YES","NO")</f>
        <v>YES</v>
      </c>
      <c r="AF87" s="61" t="str">
        <f t="shared" si="17"/>
        <v>PULL_UP</v>
      </c>
      <c r="AG87" s="61" t="str">
        <f t="shared" si="15"/>
        <v>NORMAL</v>
      </c>
      <c r="AH87" s="61" t="str">
        <f>IF(OR($AQ87=$F87,$AR87="Output"),"DISABLE","ENABLE")</f>
        <v>ENABLE</v>
      </c>
      <c r="AI87" s="67" t="str">
        <f t="shared" si="10"/>
        <v>N/A</v>
      </c>
      <c r="AJ87" s="176" t="b">
        <v>1</v>
      </c>
      <c r="AK87" s="176" t="b">
        <v>1</v>
      </c>
      <c r="AL87" s="176" t="b">
        <v>1</v>
      </c>
      <c r="AM87" s="176" t="b">
        <v>1</v>
      </c>
      <c r="AN87" s="176" t="b">
        <v>1</v>
      </c>
      <c r="AO87" s="176" t="b">
        <v>1</v>
      </c>
      <c r="AP87" s="64" t="str">
        <f t="shared" si="18"/>
        <v>VALID</v>
      </c>
      <c r="AQ87" s="211" t="s">
        <v>26</v>
      </c>
      <c r="AR87" s="182" t="s">
        <v>3501</v>
      </c>
      <c r="AS87" s="181" t="s">
        <v>3497</v>
      </c>
      <c r="AT87" s="5"/>
      <c r="AU87" s="5"/>
      <c r="AV87" s="5"/>
      <c r="AW87" s="5"/>
      <c r="AX87" s="284"/>
      <c r="AY87" s="181"/>
      <c r="AZ87" s="181"/>
      <c r="BA87" s="7"/>
      <c r="BB87" s="212"/>
      <c r="BC87" s="10" t="s">
        <v>3720</v>
      </c>
      <c r="BD87" s="238"/>
      <c r="BE87" s="239"/>
      <c r="BF87" s="239"/>
      <c r="BG87" s="239"/>
      <c r="BH87" s="239"/>
      <c r="BI87" s="239"/>
      <c r="BJ87" s="239"/>
      <c r="BK87" s="239"/>
      <c r="BL87" s="239"/>
      <c r="BM87" s="239"/>
      <c r="BN87" s="239"/>
      <c r="BO87" s="239"/>
      <c r="BP87" s="239"/>
      <c r="BQ87" s="239"/>
      <c r="BR87" s="239"/>
      <c r="BS87" s="239"/>
      <c r="BT87" s="239"/>
      <c r="BU87" s="239"/>
      <c r="BV87" s="239"/>
      <c r="BW87" s="239"/>
      <c r="BX87" s="239"/>
      <c r="BY87" s="239"/>
      <c r="BZ87" s="239"/>
      <c r="CA87" s="239"/>
      <c r="CB87" s="239"/>
      <c r="CC87" s="239"/>
      <c r="CD87" s="239"/>
      <c r="CE87" s="239"/>
    </row>
    <row r="88" spans="1:83" ht="12.95" customHeight="1">
      <c r="A88" s="1"/>
      <c r="B88" s="1"/>
      <c r="C88" s="51" t="s">
        <v>366</v>
      </c>
      <c r="D88" s="52" t="s">
        <v>1849</v>
      </c>
      <c r="E88" s="52" t="s">
        <v>1850</v>
      </c>
      <c r="F88" s="53" t="s">
        <v>531</v>
      </c>
      <c r="G88" s="179" t="s">
        <v>1429</v>
      </c>
      <c r="H88" s="180" t="s">
        <v>366</v>
      </c>
      <c r="I88" s="55" t="s">
        <v>1429</v>
      </c>
      <c r="J88" s="55" t="s">
        <v>1429</v>
      </c>
      <c r="K88" s="56" t="s">
        <v>1429</v>
      </c>
      <c r="L88" s="54" t="s">
        <v>1429</v>
      </c>
      <c r="M88" s="55" t="s">
        <v>1580</v>
      </c>
      <c r="N88" s="55" t="s">
        <v>1429</v>
      </c>
      <c r="O88" s="55" t="s">
        <v>1429</v>
      </c>
      <c r="P88" s="56" t="s">
        <v>1429</v>
      </c>
      <c r="Q88" s="52" t="s">
        <v>56</v>
      </c>
      <c r="R88" s="52" t="s">
        <v>113</v>
      </c>
      <c r="S88" s="52" t="s">
        <v>99</v>
      </c>
      <c r="T88" s="52" t="s">
        <v>100</v>
      </c>
      <c r="U88" s="57" t="s">
        <v>113</v>
      </c>
      <c r="V88" s="189" t="s">
        <v>1851</v>
      </c>
      <c r="W88" s="75"/>
      <c r="X88" s="132"/>
      <c r="Y88" s="132"/>
      <c r="Z88" s="8"/>
      <c r="AA88" s="8"/>
      <c r="AB88" s="8"/>
      <c r="AC88" s="8"/>
      <c r="AD88" s="144"/>
      <c r="AE88" s="76"/>
      <c r="AF88" s="76"/>
      <c r="AG88" s="76"/>
      <c r="AH88" s="76"/>
      <c r="AI88" s="77"/>
      <c r="AJ88" s="176" t="b">
        <v>1</v>
      </c>
      <c r="AK88" s="176" t="b">
        <v>1</v>
      </c>
      <c r="AL88" s="176" t="b">
        <v>1</v>
      </c>
      <c r="AM88" s="176" t="b">
        <v>1</v>
      </c>
      <c r="AN88" s="176" t="b">
        <v>1</v>
      </c>
      <c r="AO88" s="176" t="b">
        <v>1</v>
      </c>
      <c r="AP88" s="64" t="str">
        <f t="shared" si="18"/>
        <v>VALID</v>
      </c>
      <c r="AQ88" s="211" t="s">
        <v>366</v>
      </c>
      <c r="AR88" s="212"/>
      <c r="AS88" s="212"/>
      <c r="AT88" s="212"/>
      <c r="AU88" s="212"/>
      <c r="AV88" s="212"/>
      <c r="AW88" s="212"/>
      <c r="AX88" s="290"/>
      <c r="AY88" s="181"/>
      <c r="AZ88" s="181"/>
      <c r="BA88" s="223"/>
      <c r="BB88" s="212"/>
      <c r="BC88" s="10" t="s">
        <v>3781</v>
      </c>
      <c r="BD88" s="247"/>
      <c r="BE88" s="239"/>
      <c r="BF88" s="239"/>
      <c r="BG88" s="239"/>
      <c r="BH88" s="239"/>
      <c r="BI88" s="239"/>
      <c r="BJ88" s="239"/>
      <c r="BK88" s="239"/>
      <c r="BL88" s="239"/>
      <c r="BM88" s="239"/>
      <c r="BN88" s="239"/>
      <c r="BO88" s="239"/>
      <c r="BP88" s="239"/>
      <c r="BQ88" s="239"/>
      <c r="BR88" s="239"/>
      <c r="BS88" s="239"/>
      <c r="BT88" s="239"/>
      <c r="BU88" s="239"/>
      <c r="BV88" s="239"/>
      <c r="BW88" s="239"/>
      <c r="BX88" s="239"/>
      <c r="BY88" s="239"/>
      <c r="BZ88" s="239"/>
      <c r="CA88" s="239"/>
      <c r="CB88" s="239"/>
      <c r="CC88" s="239"/>
      <c r="CD88" s="239"/>
      <c r="CE88" s="239"/>
    </row>
    <row r="89" spans="1:83" s="50" customFormat="1" ht="18" customHeight="1">
      <c r="A89" s="171" t="s">
        <v>3823</v>
      </c>
      <c r="B89" s="171"/>
      <c r="C89" s="171"/>
      <c r="D89" s="69"/>
      <c r="E89" s="69"/>
      <c r="F89" s="69"/>
      <c r="G89" s="70"/>
      <c r="H89" s="70"/>
      <c r="I89" s="70"/>
      <c r="J89" s="70"/>
      <c r="K89" s="70"/>
      <c r="L89" s="69"/>
      <c r="M89" s="69"/>
      <c r="N89" s="69"/>
      <c r="O89" s="69"/>
      <c r="P89" s="69"/>
      <c r="Q89" s="69"/>
      <c r="R89" s="69"/>
      <c r="S89" s="69"/>
      <c r="T89" s="69"/>
      <c r="U89" s="69"/>
      <c r="V89" s="69"/>
      <c r="W89" s="320"/>
      <c r="X89" s="321"/>
      <c r="Y89" s="321"/>
      <c r="Z89" s="322"/>
      <c r="AA89" s="322"/>
      <c r="AB89" s="322"/>
      <c r="AC89" s="322"/>
      <c r="AD89" s="322"/>
      <c r="AE89" s="322"/>
      <c r="AF89" s="322"/>
      <c r="AG89" s="322"/>
      <c r="AH89" s="322"/>
      <c r="AI89" s="322"/>
      <c r="AJ89" s="47"/>
      <c r="AK89" s="47"/>
      <c r="AL89" s="47"/>
      <c r="AM89" s="47"/>
      <c r="AN89" s="47"/>
      <c r="AO89" s="47"/>
      <c r="AP89" s="47"/>
      <c r="AQ89" s="332"/>
      <c r="AR89" s="332"/>
      <c r="AS89" s="333"/>
      <c r="AT89" s="333"/>
      <c r="AU89" s="333"/>
      <c r="AV89" s="333"/>
      <c r="AW89" s="333"/>
      <c r="AX89" s="333"/>
      <c r="AY89" s="333"/>
      <c r="AZ89" s="333"/>
      <c r="BA89" s="333"/>
      <c r="BB89" s="334" t="s">
        <v>50</v>
      </c>
      <c r="BC89" s="314"/>
      <c r="BD89" s="184"/>
      <c r="BE89" s="243"/>
      <c r="BF89" s="243"/>
      <c r="BG89" s="243"/>
      <c r="BH89" s="243"/>
      <c r="BI89" s="243"/>
      <c r="BJ89" s="243"/>
      <c r="BK89" s="243"/>
      <c r="BL89" s="243"/>
      <c r="BM89" s="243"/>
      <c r="BN89" s="243"/>
      <c r="BO89" s="243"/>
      <c r="BP89" s="243"/>
      <c r="BQ89" s="243"/>
      <c r="BR89" s="243"/>
      <c r="BS89" s="243"/>
      <c r="BT89" s="243"/>
      <c r="BU89" s="243"/>
      <c r="BV89" s="243"/>
      <c r="BW89" s="243"/>
      <c r="BX89" s="243"/>
      <c r="BY89" s="243"/>
      <c r="BZ89" s="243"/>
      <c r="CA89" s="243"/>
      <c r="CB89" s="243"/>
      <c r="CC89" s="243"/>
      <c r="CD89" s="243"/>
      <c r="CE89" s="243"/>
    </row>
    <row r="90" spans="1:83" ht="12.95" customHeight="1">
      <c r="A90" s="1"/>
      <c r="B90" s="1"/>
      <c r="C90" s="51" t="s">
        <v>3824</v>
      </c>
      <c r="D90" s="52" t="s">
        <v>3825</v>
      </c>
      <c r="E90" s="339" t="s">
        <v>1852</v>
      </c>
      <c r="F90" s="53" t="s">
        <v>3826</v>
      </c>
      <c r="G90" s="180" t="s">
        <v>3827</v>
      </c>
      <c r="H90" s="180" t="s">
        <v>3824</v>
      </c>
      <c r="I90" s="55" t="s">
        <v>3828</v>
      </c>
      <c r="J90" s="55" t="s">
        <v>1429</v>
      </c>
      <c r="K90" s="55" t="s">
        <v>1429</v>
      </c>
      <c r="L90" s="55" t="s">
        <v>1580</v>
      </c>
      <c r="M90" s="55" t="s">
        <v>1581</v>
      </c>
      <c r="N90" s="55" t="s">
        <v>1580</v>
      </c>
      <c r="O90" s="55" t="s">
        <v>1429</v>
      </c>
      <c r="P90" s="55" t="s">
        <v>1429</v>
      </c>
      <c r="Q90" s="52" t="s">
        <v>3829</v>
      </c>
      <c r="R90" s="52" t="s">
        <v>3830</v>
      </c>
      <c r="S90" s="52" t="s">
        <v>99</v>
      </c>
      <c r="T90" s="52" t="s">
        <v>100</v>
      </c>
      <c r="U90" s="57" t="s">
        <v>99</v>
      </c>
      <c r="V90" s="113" t="s">
        <v>3831</v>
      </c>
      <c r="W90" s="329" t="s">
        <v>3832</v>
      </c>
      <c r="X90" s="330" t="s">
        <v>1429</v>
      </c>
      <c r="Y90" s="330" t="s">
        <v>1429</v>
      </c>
      <c r="Z90" s="331" t="s">
        <v>1678</v>
      </c>
      <c r="AA90" s="331" t="s">
        <v>1710</v>
      </c>
      <c r="AB90" s="331" t="s">
        <v>3833</v>
      </c>
      <c r="AC90" s="331" t="s">
        <v>1587</v>
      </c>
      <c r="AD90" s="331" t="s">
        <v>3829</v>
      </c>
      <c r="AE90" s="331" t="s">
        <v>3834</v>
      </c>
      <c r="AF90" s="331" t="s">
        <v>3835</v>
      </c>
      <c r="AG90" s="331" t="s">
        <v>3835</v>
      </c>
      <c r="AH90" s="331" t="s">
        <v>3836</v>
      </c>
      <c r="AI90" s="331" t="s">
        <v>1476</v>
      </c>
      <c r="AJ90" s="312" t="b">
        <v>1</v>
      </c>
      <c r="AK90" s="312" t="b">
        <v>1</v>
      </c>
      <c r="AL90" s="312" t="b">
        <v>1</v>
      </c>
      <c r="AM90" s="312" t="b">
        <v>1</v>
      </c>
      <c r="AN90" s="312" t="b">
        <v>1</v>
      </c>
      <c r="AO90" s="312" t="b">
        <v>1</v>
      </c>
      <c r="AP90" s="61" t="s">
        <v>3837</v>
      </c>
      <c r="AQ90" s="335" t="s">
        <v>3824</v>
      </c>
      <c r="AR90" s="336" t="s">
        <v>3495</v>
      </c>
      <c r="AS90" s="337"/>
      <c r="AT90" s="338"/>
      <c r="AU90" s="338"/>
      <c r="AV90" s="338"/>
      <c r="AW90" s="338"/>
      <c r="AX90" s="338"/>
      <c r="AY90" s="337" t="s">
        <v>1429</v>
      </c>
      <c r="AZ90" s="337" t="s">
        <v>1429</v>
      </c>
      <c r="BA90" s="338" t="s">
        <v>1429</v>
      </c>
      <c r="BB90" s="338"/>
      <c r="BC90" s="181" t="s">
        <v>3824</v>
      </c>
      <c r="BD90" s="313"/>
      <c r="BE90" s="239"/>
      <c r="BF90" s="239"/>
      <c r="BG90" s="239"/>
      <c r="BH90" s="239"/>
      <c r="BI90" s="239"/>
      <c r="BJ90" s="239"/>
      <c r="BK90" s="239"/>
      <c r="BL90" s="239"/>
      <c r="BM90" s="239"/>
      <c r="BN90" s="239"/>
      <c r="BO90" s="239"/>
      <c r="BP90" s="239"/>
      <c r="BQ90" s="239"/>
      <c r="BR90" s="239"/>
      <c r="BS90" s="239"/>
      <c r="BT90" s="239"/>
      <c r="BU90" s="239"/>
      <c r="BV90" s="239"/>
      <c r="BW90" s="239"/>
      <c r="BX90" s="239"/>
      <c r="BY90" s="239"/>
      <c r="BZ90" s="239"/>
      <c r="CA90" s="239"/>
      <c r="CB90" s="239"/>
      <c r="CC90" s="239"/>
      <c r="CD90" s="239"/>
      <c r="CE90" s="239"/>
    </row>
    <row r="91" spans="1:83" ht="12.95" customHeight="1">
      <c r="A91" s="1"/>
      <c r="B91" s="1"/>
      <c r="C91" s="51" t="s">
        <v>3838</v>
      </c>
      <c r="D91" s="52" t="s">
        <v>3839</v>
      </c>
      <c r="E91" s="58" t="s">
        <v>1853</v>
      </c>
      <c r="F91" s="53" t="s">
        <v>3840</v>
      </c>
      <c r="G91" s="180" t="s">
        <v>3841</v>
      </c>
      <c r="H91" s="180" t="s">
        <v>3838</v>
      </c>
      <c r="I91" s="55" t="s">
        <v>3842</v>
      </c>
      <c r="J91" s="55" t="s">
        <v>1429</v>
      </c>
      <c r="K91" s="55" t="s">
        <v>1429</v>
      </c>
      <c r="L91" s="55" t="s">
        <v>1580</v>
      </c>
      <c r="M91" s="55" t="s">
        <v>1581</v>
      </c>
      <c r="N91" s="55" t="s">
        <v>1580</v>
      </c>
      <c r="O91" s="55" t="s">
        <v>1429</v>
      </c>
      <c r="P91" s="55" t="s">
        <v>1429</v>
      </c>
      <c r="Q91" s="52" t="s">
        <v>3829</v>
      </c>
      <c r="R91" s="52" t="s">
        <v>3830</v>
      </c>
      <c r="S91" s="52" t="s">
        <v>99</v>
      </c>
      <c r="T91" s="52" t="s">
        <v>100</v>
      </c>
      <c r="U91" s="57" t="s">
        <v>99</v>
      </c>
      <c r="V91" s="113" t="s">
        <v>3843</v>
      </c>
      <c r="W91" s="329" t="s">
        <v>3832</v>
      </c>
      <c r="X91" s="330" t="s">
        <v>1429</v>
      </c>
      <c r="Y91" s="330" t="s">
        <v>1429</v>
      </c>
      <c r="Z91" s="331" t="s">
        <v>1678</v>
      </c>
      <c r="AA91" s="331" t="s">
        <v>1710</v>
      </c>
      <c r="AB91" s="331" t="s">
        <v>3833</v>
      </c>
      <c r="AC91" s="331" t="s">
        <v>1674</v>
      </c>
      <c r="AD91" s="331" t="s">
        <v>3829</v>
      </c>
      <c r="AE91" s="331" t="s">
        <v>3834</v>
      </c>
      <c r="AF91" s="331" t="s">
        <v>3835</v>
      </c>
      <c r="AG91" s="331" t="s">
        <v>3835</v>
      </c>
      <c r="AH91" s="331" t="s">
        <v>3836</v>
      </c>
      <c r="AI91" s="331" t="s">
        <v>1476</v>
      </c>
      <c r="AJ91" s="312" t="b">
        <v>1</v>
      </c>
      <c r="AK91" s="312" t="b">
        <v>1</v>
      </c>
      <c r="AL91" s="312" t="b">
        <v>1</v>
      </c>
      <c r="AM91" s="312" t="b">
        <v>1</v>
      </c>
      <c r="AN91" s="312" t="b">
        <v>1</v>
      </c>
      <c r="AO91" s="312" t="b">
        <v>1</v>
      </c>
      <c r="AP91" s="61" t="s">
        <v>3837</v>
      </c>
      <c r="AQ91" s="335" t="s">
        <v>3838</v>
      </c>
      <c r="AR91" s="336" t="s">
        <v>3495</v>
      </c>
      <c r="AS91" s="337"/>
      <c r="AT91" s="338"/>
      <c r="AU91" s="338"/>
      <c r="AV91" s="338"/>
      <c r="AW91" s="338"/>
      <c r="AX91" s="338"/>
      <c r="AY91" s="337" t="s">
        <v>1429</v>
      </c>
      <c r="AZ91" s="337" t="s">
        <v>1429</v>
      </c>
      <c r="BA91" s="338" t="s">
        <v>1429</v>
      </c>
      <c r="BB91" s="338"/>
      <c r="BC91" s="181" t="s">
        <v>3838</v>
      </c>
      <c r="BD91" s="313"/>
      <c r="BE91" s="239"/>
      <c r="BF91" s="239"/>
      <c r="BG91" s="239"/>
      <c r="BH91" s="239"/>
      <c r="BI91" s="239"/>
      <c r="BJ91" s="239"/>
      <c r="BK91" s="239"/>
      <c r="BL91" s="239"/>
      <c r="BM91" s="239"/>
      <c r="BN91" s="239"/>
      <c r="BO91" s="239"/>
      <c r="BP91" s="239"/>
      <c r="BQ91" s="239"/>
      <c r="BR91" s="239"/>
      <c r="BS91" s="239"/>
      <c r="BT91" s="239"/>
      <c r="BU91" s="239"/>
      <c r="BV91" s="239"/>
      <c r="BW91" s="239"/>
      <c r="BX91" s="239"/>
      <c r="BY91" s="239"/>
      <c r="BZ91" s="239"/>
      <c r="CA91" s="239"/>
      <c r="CB91" s="239"/>
      <c r="CC91" s="239"/>
      <c r="CD91" s="239"/>
      <c r="CE91" s="239"/>
    </row>
    <row r="92" spans="1:83" ht="12.95" customHeight="1">
      <c r="A92" s="1"/>
      <c r="B92" s="1"/>
      <c r="C92" s="51" t="s">
        <v>3844</v>
      </c>
      <c r="D92" s="52" t="s">
        <v>3845</v>
      </c>
      <c r="E92" s="58" t="s">
        <v>1854</v>
      </c>
      <c r="F92" s="53" t="s">
        <v>3846</v>
      </c>
      <c r="G92" s="180" t="s">
        <v>3847</v>
      </c>
      <c r="H92" s="180" t="s">
        <v>3844</v>
      </c>
      <c r="I92" s="55" t="s">
        <v>3848</v>
      </c>
      <c r="J92" s="55" t="s">
        <v>1429</v>
      </c>
      <c r="K92" s="55" t="s">
        <v>1429</v>
      </c>
      <c r="L92" s="55" t="s">
        <v>1580</v>
      </c>
      <c r="M92" s="55" t="s">
        <v>1581</v>
      </c>
      <c r="N92" s="55" t="s">
        <v>1580</v>
      </c>
      <c r="O92" s="55" t="s">
        <v>1429</v>
      </c>
      <c r="P92" s="55" t="s">
        <v>1429</v>
      </c>
      <c r="Q92" s="52" t="s">
        <v>3829</v>
      </c>
      <c r="R92" s="52" t="s">
        <v>3830</v>
      </c>
      <c r="S92" s="52" t="s">
        <v>99</v>
      </c>
      <c r="T92" s="52" t="s">
        <v>100</v>
      </c>
      <c r="U92" s="57" t="s">
        <v>99</v>
      </c>
      <c r="V92" s="113" t="s">
        <v>3849</v>
      </c>
      <c r="W92" s="329" t="s">
        <v>3832</v>
      </c>
      <c r="X92" s="330" t="s">
        <v>1429</v>
      </c>
      <c r="Y92" s="330" t="s">
        <v>1429</v>
      </c>
      <c r="Z92" s="331" t="s">
        <v>1678</v>
      </c>
      <c r="AA92" s="331" t="s">
        <v>1710</v>
      </c>
      <c r="AB92" s="331" t="s">
        <v>3833</v>
      </c>
      <c r="AC92" s="331" t="s">
        <v>1674</v>
      </c>
      <c r="AD92" s="331" t="s">
        <v>3829</v>
      </c>
      <c r="AE92" s="331" t="s">
        <v>3834</v>
      </c>
      <c r="AF92" s="331" t="s">
        <v>3835</v>
      </c>
      <c r="AG92" s="331" t="s">
        <v>3835</v>
      </c>
      <c r="AH92" s="331" t="s">
        <v>3836</v>
      </c>
      <c r="AI92" s="331" t="s">
        <v>1476</v>
      </c>
      <c r="AJ92" s="312" t="b">
        <v>1</v>
      </c>
      <c r="AK92" s="312" t="b">
        <v>1</v>
      </c>
      <c r="AL92" s="312" t="b">
        <v>1</v>
      </c>
      <c r="AM92" s="312" t="b">
        <v>1</v>
      </c>
      <c r="AN92" s="312" t="b">
        <v>1</v>
      </c>
      <c r="AO92" s="312" t="b">
        <v>1</v>
      </c>
      <c r="AP92" s="61" t="s">
        <v>3837</v>
      </c>
      <c r="AQ92" s="335" t="s">
        <v>3844</v>
      </c>
      <c r="AR92" s="336" t="s">
        <v>3495</v>
      </c>
      <c r="AS92" s="337"/>
      <c r="AT92" s="338"/>
      <c r="AU92" s="338"/>
      <c r="AV92" s="338"/>
      <c r="AW92" s="338"/>
      <c r="AX92" s="338"/>
      <c r="AY92" s="337" t="s">
        <v>1429</v>
      </c>
      <c r="AZ92" s="337" t="s">
        <v>1429</v>
      </c>
      <c r="BA92" s="338" t="s">
        <v>1429</v>
      </c>
      <c r="BB92" s="338"/>
      <c r="BC92" s="181" t="s">
        <v>3844</v>
      </c>
      <c r="BD92" s="313"/>
      <c r="BE92" s="239"/>
      <c r="BF92" s="239"/>
      <c r="BG92" s="239"/>
      <c r="BH92" s="239"/>
      <c r="BI92" s="239"/>
      <c r="BJ92" s="239"/>
      <c r="BK92" s="239"/>
      <c r="BL92" s="239"/>
      <c r="BM92" s="239"/>
      <c r="BN92" s="239"/>
      <c r="BO92" s="239"/>
      <c r="BP92" s="239"/>
      <c r="BQ92" s="239"/>
      <c r="BR92" s="239"/>
      <c r="BS92" s="239"/>
      <c r="BT92" s="239"/>
      <c r="BU92" s="239"/>
      <c r="BV92" s="239"/>
      <c r="BW92" s="239"/>
      <c r="BX92" s="239"/>
      <c r="BY92" s="239"/>
      <c r="BZ92" s="239"/>
      <c r="CA92" s="239"/>
      <c r="CB92" s="239"/>
      <c r="CC92" s="239"/>
      <c r="CD92" s="239"/>
      <c r="CE92" s="239"/>
    </row>
    <row r="93" spans="1:83" ht="12.95" customHeight="1">
      <c r="A93" s="1"/>
      <c r="B93" s="1"/>
      <c r="C93" s="51" t="s">
        <v>3850</v>
      </c>
      <c r="D93" s="52" t="s">
        <v>3851</v>
      </c>
      <c r="E93" s="58" t="s">
        <v>1855</v>
      </c>
      <c r="F93" s="53" t="s">
        <v>3852</v>
      </c>
      <c r="G93" s="180" t="s">
        <v>3853</v>
      </c>
      <c r="H93" s="180" t="s">
        <v>3850</v>
      </c>
      <c r="I93" s="55" t="s">
        <v>3854</v>
      </c>
      <c r="J93" s="55" t="s">
        <v>1429</v>
      </c>
      <c r="K93" s="55" t="s">
        <v>1429</v>
      </c>
      <c r="L93" s="55" t="s">
        <v>1580</v>
      </c>
      <c r="M93" s="55" t="s">
        <v>1581</v>
      </c>
      <c r="N93" s="55" t="s">
        <v>1580</v>
      </c>
      <c r="O93" s="55" t="s">
        <v>1429</v>
      </c>
      <c r="P93" s="55" t="s">
        <v>1429</v>
      </c>
      <c r="Q93" s="52" t="s">
        <v>3829</v>
      </c>
      <c r="R93" s="52" t="s">
        <v>3830</v>
      </c>
      <c r="S93" s="52" t="s">
        <v>99</v>
      </c>
      <c r="T93" s="52" t="s">
        <v>100</v>
      </c>
      <c r="U93" s="57" t="s">
        <v>99</v>
      </c>
      <c r="V93" s="113" t="s">
        <v>3855</v>
      </c>
      <c r="W93" s="329" t="s">
        <v>3832</v>
      </c>
      <c r="X93" s="330" t="s">
        <v>3856</v>
      </c>
      <c r="Y93" s="330" t="s">
        <v>1429</v>
      </c>
      <c r="Z93" s="331" t="s">
        <v>1678</v>
      </c>
      <c r="AA93" s="331" t="s">
        <v>1710</v>
      </c>
      <c r="AB93" s="331" t="s">
        <v>3833</v>
      </c>
      <c r="AC93" s="331" t="s">
        <v>1674</v>
      </c>
      <c r="AD93" s="331" t="s">
        <v>3829</v>
      </c>
      <c r="AE93" s="331" t="s">
        <v>3834</v>
      </c>
      <c r="AF93" s="331" t="s">
        <v>3835</v>
      </c>
      <c r="AG93" s="331" t="s">
        <v>3835</v>
      </c>
      <c r="AH93" s="331" t="s">
        <v>3836</v>
      </c>
      <c r="AI93" s="331" t="s">
        <v>1476</v>
      </c>
      <c r="AJ93" s="312" t="b">
        <v>1</v>
      </c>
      <c r="AK93" s="312" t="b">
        <v>1</v>
      </c>
      <c r="AL93" s="312" t="b">
        <v>1</v>
      </c>
      <c r="AM93" s="312" t="b">
        <v>1</v>
      </c>
      <c r="AN93" s="312" t="b">
        <v>1</v>
      </c>
      <c r="AO93" s="312" t="b">
        <v>1</v>
      </c>
      <c r="AP93" s="61" t="s">
        <v>3837</v>
      </c>
      <c r="AQ93" s="335" t="s">
        <v>3850</v>
      </c>
      <c r="AR93" s="336" t="s">
        <v>3495</v>
      </c>
      <c r="AS93" s="337"/>
      <c r="AT93" s="337" t="s">
        <v>104</v>
      </c>
      <c r="AU93" s="338"/>
      <c r="AV93" s="338"/>
      <c r="AW93" s="338"/>
      <c r="AX93" s="338"/>
      <c r="AY93" s="337" t="s">
        <v>1429</v>
      </c>
      <c r="AZ93" s="337" t="s">
        <v>1429</v>
      </c>
      <c r="BA93" s="338" t="s">
        <v>1429</v>
      </c>
      <c r="BB93" s="338"/>
      <c r="BC93" s="181" t="s">
        <v>3850</v>
      </c>
      <c r="BD93" s="313"/>
      <c r="BE93" s="239"/>
      <c r="BF93" s="239"/>
      <c r="BG93" s="239"/>
      <c r="BH93" s="239"/>
      <c r="BI93" s="239"/>
      <c r="BJ93" s="239"/>
      <c r="BK93" s="239"/>
      <c r="BL93" s="239"/>
      <c r="BM93" s="239"/>
      <c r="BN93" s="239"/>
      <c r="BO93" s="239"/>
      <c r="BP93" s="239"/>
      <c r="BQ93" s="239"/>
      <c r="BR93" s="239"/>
      <c r="BS93" s="239"/>
      <c r="BT93" s="239"/>
      <c r="BU93" s="239"/>
      <c r="BV93" s="239"/>
      <c r="BW93" s="239"/>
      <c r="BX93" s="239"/>
      <c r="BY93" s="239"/>
      <c r="BZ93" s="239"/>
      <c r="CA93" s="239"/>
      <c r="CB93" s="239"/>
      <c r="CC93" s="239"/>
      <c r="CD93" s="239"/>
      <c r="CE93" s="239"/>
    </row>
    <row r="94" spans="1:83" ht="12.95" customHeight="1">
      <c r="A94" s="1"/>
      <c r="B94" s="1"/>
      <c r="C94" s="51" t="s">
        <v>3857</v>
      </c>
      <c r="D94" s="52" t="s">
        <v>3858</v>
      </c>
      <c r="E94" s="58" t="s">
        <v>1856</v>
      </c>
      <c r="F94" s="53" t="s">
        <v>3859</v>
      </c>
      <c r="G94" s="180" t="s">
        <v>3860</v>
      </c>
      <c r="H94" s="180" t="s">
        <v>3857</v>
      </c>
      <c r="I94" s="55" t="s">
        <v>3861</v>
      </c>
      <c r="J94" s="55" t="s">
        <v>1429</v>
      </c>
      <c r="K94" s="55" t="s">
        <v>1429</v>
      </c>
      <c r="L94" s="55" t="s">
        <v>1580</v>
      </c>
      <c r="M94" s="55" t="s">
        <v>1581</v>
      </c>
      <c r="N94" s="55" t="s">
        <v>1580</v>
      </c>
      <c r="O94" s="55" t="s">
        <v>1429</v>
      </c>
      <c r="P94" s="55" t="s">
        <v>1429</v>
      </c>
      <c r="Q94" s="52" t="s">
        <v>3829</v>
      </c>
      <c r="R94" s="52" t="s">
        <v>3830</v>
      </c>
      <c r="S94" s="52" t="s">
        <v>99</v>
      </c>
      <c r="T94" s="52" t="s">
        <v>100</v>
      </c>
      <c r="U94" s="57" t="s">
        <v>99</v>
      </c>
      <c r="V94" s="113" t="s">
        <v>3862</v>
      </c>
      <c r="W94" s="329" t="s">
        <v>3832</v>
      </c>
      <c r="X94" s="330" t="s">
        <v>1429</v>
      </c>
      <c r="Y94" s="330" t="s">
        <v>1429</v>
      </c>
      <c r="Z94" s="331" t="s">
        <v>1678</v>
      </c>
      <c r="AA94" s="331" t="s">
        <v>1710</v>
      </c>
      <c r="AB94" s="331" t="s">
        <v>3833</v>
      </c>
      <c r="AC94" s="331" t="s">
        <v>1674</v>
      </c>
      <c r="AD94" s="331" t="s">
        <v>3829</v>
      </c>
      <c r="AE94" s="331" t="s">
        <v>3834</v>
      </c>
      <c r="AF94" s="331" t="s">
        <v>3835</v>
      </c>
      <c r="AG94" s="331" t="s">
        <v>3835</v>
      </c>
      <c r="AH94" s="331" t="s">
        <v>3836</v>
      </c>
      <c r="AI94" s="331" t="s">
        <v>1476</v>
      </c>
      <c r="AJ94" s="312" t="b">
        <v>1</v>
      </c>
      <c r="AK94" s="312" t="b">
        <v>1</v>
      </c>
      <c r="AL94" s="312" t="b">
        <v>1</v>
      </c>
      <c r="AM94" s="312" t="b">
        <v>1</v>
      </c>
      <c r="AN94" s="312" t="b">
        <v>1</v>
      </c>
      <c r="AO94" s="312" t="b">
        <v>1</v>
      </c>
      <c r="AP94" s="61" t="s">
        <v>3837</v>
      </c>
      <c r="AQ94" s="335" t="s">
        <v>3857</v>
      </c>
      <c r="AR94" s="336" t="s">
        <v>3495</v>
      </c>
      <c r="AS94" s="337"/>
      <c r="AT94" s="338"/>
      <c r="AU94" s="338"/>
      <c r="AV94" s="338"/>
      <c r="AW94" s="338"/>
      <c r="AX94" s="338"/>
      <c r="AY94" s="337" t="s">
        <v>1429</v>
      </c>
      <c r="AZ94" s="337" t="s">
        <v>1429</v>
      </c>
      <c r="BA94" s="338" t="s">
        <v>1429</v>
      </c>
      <c r="BB94" s="338"/>
      <c r="BC94" s="181" t="s">
        <v>3857</v>
      </c>
      <c r="BD94" s="313"/>
      <c r="BE94" s="239"/>
      <c r="BF94" s="239"/>
      <c r="BG94" s="239"/>
      <c r="BH94" s="239"/>
      <c r="BI94" s="239"/>
      <c r="BJ94" s="239"/>
      <c r="BK94" s="239"/>
      <c r="BL94" s="239"/>
      <c r="BM94" s="239"/>
      <c r="BN94" s="239"/>
      <c r="BO94" s="239"/>
      <c r="BP94" s="239"/>
      <c r="BQ94" s="239"/>
      <c r="BR94" s="239"/>
      <c r="BS94" s="239"/>
      <c r="BT94" s="239"/>
      <c r="BU94" s="239"/>
      <c r="BV94" s="239"/>
      <c r="BW94" s="239"/>
      <c r="BX94" s="239"/>
      <c r="BY94" s="239"/>
      <c r="BZ94" s="239"/>
      <c r="CA94" s="239"/>
      <c r="CB94" s="239"/>
      <c r="CC94" s="239"/>
      <c r="CD94" s="239"/>
      <c r="CE94" s="239"/>
    </row>
    <row r="95" spans="1:83" ht="12.95" customHeight="1">
      <c r="A95" s="1"/>
      <c r="B95" s="1"/>
      <c r="C95" s="51" t="s">
        <v>3863</v>
      </c>
      <c r="D95" s="52" t="s">
        <v>3864</v>
      </c>
      <c r="E95" s="58" t="s">
        <v>1857</v>
      </c>
      <c r="F95" s="53" t="s">
        <v>3865</v>
      </c>
      <c r="G95" s="180" t="s">
        <v>3866</v>
      </c>
      <c r="H95" s="180" t="s">
        <v>3863</v>
      </c>
      <c r="I95" s="55" t="s">
        <v>3867</v>
      </c>
      <c r="J95" s="55" t="s">
        <v>1429</v>
      </c>
      <c r="K95" s="55" t="s">
        <v>1429</v>
      </c>
      <c r="L95" s="55" t="s">
        <v>1580</v>
      </c>
      <c r="M95" s="55" t="s">
        <v>1581</v>
      </c>
      <c r="N95" s="55" t="s">
        <v>1580</v>
      </c>
      <c r="O95" s="55" t="s">
        <v>1429</v>
      </c>
      <c r="P95" s="55" t="s">
        <v>1429</v>
      </c>
      <c r="Q95" s="52" t="s">
        <v>3829</v>
      </c>
      <c r="R95" s="52" t="s">
        <v>3830</v>
      </c>
      <c r="S95" s="52" t="s">
        <v>99</v>
      </c>
      <c r="T95" s="52" t="s">
        <v>100</v>
      </c>
      <c r="U95" s="57" t="s">
        <v>99</v>
      </c>
      <c r="V95" s="113" t="s">
        <v>3868</v>
      </c>
      <c r="W95" s="329" t="s">
        <v>3832</v>
      </c>
      <c r="X95" s="330" t="s">
        <v>1429</v>
      </c>
      <c r="Y95" s="330" t="s">
        <v>1429</v>
      </c>
      <c r="Z95" s="331" t="s">
        <v>1678</v>
      </c>
      <c r="AA95" s="331" t="s">
        <v>1710</v>
      </c>
      <c r="AB95" s="331" t="s">
        <v>3833</v>
      </c>
      <c r="AC95" s="331" t="s">
        <v>1674</v>
      </c>
      <c r="AD95" s="331" t="s">
        <v>3829</v>
      </c>
      <c r="AE95" s="331" t="s">
        <v>3834</v>
      </c>
      <c r="AF95" s="331" t="s">
        <v>3835</v>
      </c>
      <c r="AG95" s="331" t="s">
        <v>3835</v>
      </c>
      <c r="AH95" s="331" t="s">
        <v>3836</v>
      </c>
      <c r="AI95" s="331" t="s">
        <v>1476</v>
      </c>
      <c r="AJ95" s="312" t="b">
        <v>1</v>
      </c>
      <c r="AK95" s="312" t="b">
        <v>1</v>
      </c>
      <c r="AL95" s="312" t="b">
        <v>1</v>
      </c>
      <c r="AM95" s="312" t="b">
        <v>1</v>
      </c>
      <c r="AN95" s="312" t="b">
        <v>1</v>
      </c>
      <c r="AO95" s="312" t="b">
        <v>1</v>
      </c>
      <c r="AP95" s="61" t="s">
        <v>3837</v>
      </c>
      <c r="AQ95" s="335" t="s">
        <v>3863</v>
      </c>
      <c r="AR95" s="336" t="s">
        <v>3495</v>
      </c>
      <c r="AS95" s="337"/>
      <c r="AT95" s="338"/>
      <c r="AU95" s="338"/>
      <c r="AV95" s="338"/>
      <c r="AW95" s="338"/>
      <c r="AX95" s="338"/>
      <c r="AY95" s="337" t="s">
        <v>1429</v>
      </c>
      <c r="AZ95" s="337" t="s">
        <v>1429</v>
      </c>
      <c r="BA95" s="338" t="s">
        <v>1429</v>
      </c>
      <c r="BB95" s="338"/>
      <c r="BC95" s="181" t="s">
        <v>3863</v>
      </c>
      <c r="BD95" s="313"/>
      <c r="BE95" s="239"/>
      <c r="BF95" s="239"/>
      <c r="BG95" s="239"/>
      <c r="BH95" s="239"/>
      <c r="BI95" s="239"/>
      <c r="BJ95" s="239"/>
      <c r="BK95" s="239"/>
      <c r="BL95" s="239"/>
      <c r="BM95" s="239"/>
      <c r="BN95" s="239"/>
      <c r="BO95" s="239"/>
      <c r="BP95" s="239"/>
      <c r="BQ95" s="239"/>
      <c r="BR95" s="239"/>
      <c r="BS95" s="239"/>
      <c r="BT95" s="239"/>
      <c r="BU95" s="239"/>
      <c r="BV95" s="239"/>
      <c r="BW95" s="239"/>
      <c r="BX95" s="239"/>
      <c r="BY95" s="239"/>
      <c r="BZ95" s="239"/>
      <c r="CA95" s="239"/>
      <c r="CB95" s="239"/>
      <c r="CC95" s="239"/>
      <c r="CD95" s="239"/>
      <c r="CE95" s="239"/>
    </row>
    <row r="96" spans="1:83" ht="12.95" customHeight="1">
      <c r="A96" s="1"/>
      <c r="B96" s="1"/>
      <c r="C96" s="51" t="s">
        <v>3869</v>
      </c>
      <c r="D96" s="52" t="s">
        <v>3870</v>
      </c>
      <c r="E96" s="58" t="s">
        <v>1858</v>
      </c>
      <c r="F96" s="53" t="s">
        <v>3871</v>
      </c>
      <c r="G96" s="180" t="s">
        <v>3872</v>
      </c>
      <c r="H96" s="180" t="s">
        <v>3869</v>
      </c>
      <c r="I96" s="55" t="s">
        <v>3873</v>
      </c>
      <c r="J96" s="55" t="s">
        <v>1429</v>
      </c>
      <c r="K96" s="55" t="s">
        <v>1429</v>
      </c>
      <c r="L96" s="55" t="s">
        <v>1580</v>
      </c>
      <c r="M96" s="55" t="s">
        <v>1590</v>
      </c>
      <c r="N96" s="55" t="s">
        <v>1580</v>
      </c>
      <c r="O96" s="55" t="s">
        <v>1429</v>
      </c>
      <c r="P96" s="55" t="s">
        <v>1429</v>
      </c>
      <c r="Q96" s="52" t="s">
        <v>3829</v>
      </c>
      <c r="R96" s="52" t="s">
        <v>3830</v>
      </c>
      <c r="S96" s="52" t="s">
        <v>99</v>
      </c>
      <c r="T96" s="52" t="s">
        <v>100</v>
      </c>
      <c r="U96" s="57" t="s">
        <v>99</v>
      </c>
      <c r="V96" s="113" t="s">
        <v>3874</v>
      </c>
      <c r="W96" s="329" t="s">
        <v>3832</v>
      </c>
      <c r="X96" s="330" t="s">
        <v>1429</v>
      </c>
      <c r="Y96" s="330" t="s">
        <v>1429</v>
      </c>
      <c r="Z96" s="331" t="s">
        <v>1678</v>
      </c>
      <c r="AA96" s="331" t="s">
        <v>1710</v>
      </c>
      <c r="AB96" s="331" t="s">
        <v>3833</v>
      </c>
      <c r="AC96" s="331" t="s">
        <v>1674</v>
      </c>
      <c r="AD96" s="331" t="s">
        <v>3829</v>
      </c>
      <c r="AE96" s="331" t="s">
        <v>3834</v>
      </c>
      <c r="AF96" s="331" t="s">
        <v>3835</v>
      </c>
      <c r="AG96" s="331" t="s">
        <v>3875</v>
      </c>
      <c r="AH96" s="331" t="s">
        <v>3876</v>
      </c>
      <c r="AI96" s="331" t="s">
        <v>1476</v>
      </c>
      <c r="AJ96" s="312" t="b">
        <v>1</v>
      </c>
      <c r="AK96" s="312" t="b">
        <v>1</v>
      </c>
      <c r="AL96" s="312" t="b">
        <v>1</v>
      </c>
      <c r="AM96" s="312" t="b">
        <v>1</v>
      </c>
      <c r="AN96" s="312" t="b">
        <v>1</v>
      </c>
      <c r="AO96" s="312" t="b">
        <v>1</v>
      </c>
      <c r="AP96" s="61" t="s">
        <v>3837</v>
      </c>
      <c r="AQ96" s="335" t="s">
        <v>3869</v>
      </c>
      <c r="AR96" s="336" t="s">
        <v>3496</v>
      </c>
      <c r="AS96" s="337"/>
      <c r="AT96" s="338"/>
      <c r="AU96" s="338"/>
      <c r="AV96" s="338"/>
      <c r="AW96" s="338"/>
      <c r="AX96" s="338"/>
      <c r="AY96" s="337" t="s">
        <v>1429</v>
      </c>
      <c r="AZ96" s="337" t="s">
        <v>1429</v>
      </c>
      <c r="BA96" s="338" t="s">
        <v>1429</v>
      </c>
      <c r="BB96" s="338"/>
      <c r="BC96" s="181" t="s">
        <v>3869</v>
      </c>
      <c r="BD96" s="313"/>
      <c r="BE96" s="239"/>
      <c r="BF96" s="239"/>
      <c r="BG96" s="239"/>
      <c r="BH96" s="239"/>
      <c r="BI96" s="239"/>
      <c r="BJ96" s="239"/>
      <c r="BK96" s="239"/>
      <c r="BL96" s="239"/>
      <c r="BM96" s="239"/>
      <c r="BN96" s="239"/>
      <c r="BO96" s="239"/>
      <c r="BP96" s="239"/>
      <c r="BQ96" s="239"/>
      <c r="BR96" s="239"/>
      <c r="BS96" s="239"/>
      <c r="BT96" s="239"/>
      <c r="BU96" s="239"/>
      <c r="BV96" s="239"/>
      <c r="BW96" s="239"/>
      <c r="BX96" s="239"/>
      <c r="BY96" s="239"/>
      <c r="BZ96" s="239"/>
      <c r="CA96" s="239"/>
      <c r="CB96" s="239"/>
      <c r="CC96" s="239"/>
      <c r="CD96" s="239"/>
      <c r="CE96" s="239"/>
    </row>
    <row r="97" spans="1:83" ht="12.95" customHeight="1">
      <c r="A97" s="1"/>
      <c r="B97" s="1"/>
      <c r="C97" s="51" t="s">
        <v>3877</v>
      </c>
      <c r="D97" s="52" t="s">
        <v>3878</v>
      </c>
      <c r="E97" s="58" t="s">
        <v>3879</v>
      </c>
      <c r="F97" s="53" t="s">
        <v>3880</v>
      </c>
      <c r="G97" s="180" t="s">
        <v>3881</v>
      </c>
      <c r="H97" s="180" t="s">
        <v>3877</v>
      </c>
      <c r="I97" s="55" t="s">
        <v>3882</v>
      </c>
      <c r="J97" s="55" t="s">
        <v>1429</v>
      </c>
      <c r="K97" s="55" t="s">
        <v>1429</v>
      </c>
      <c r="L97" s="55" t="s">
        <v>1580</v>
      </c>
      <c r="M97" s="55" t="s">
        <v>1590</v>
      </c>
      <c r="N97" s="55" t="s">
        <v>1580</v>
      </c>
      <c r="O97" s="55" t="s">
        <v>1429</v>
      </c>
      <c r="P97" s="55" t="s">
        <v>1429</v>
      </c>
      <c r="Q97" s="52" t="s">
        <v>3829</v>
      </c>
      <c r="R97" s="52" t="s">
        <v>3830</v>
      </c>
      <c r="S97" s="52" t="s">
        <v>99</v>
      </c>
      <c r="T97" s="52" t="s">
        <v>100</v>
      </c>
      <c r="U97" s="57" t="s">
        <v>99</v>
      </c>
      <c r="V97" s="113" t="s">
        <v>3883</v>
      </c>
      <c r="W97" s="329" t="s">
        <v>3832</v>
      </c>
      <c r="X97" s="330" t="s">
        <v>1429</v>
      </c>
      <c r="Y97" s="330" t="s">
        <v>1429</v>
      </c>
      <c r="Z97" s="331" t="s">
        <v>1678</v>
      </c>
      <c r="AA97" s="331" t="s">
        <v>1710</v>
      </c>
      <c r="AB97" s="331" t="s">
        <v>3833</v>
      </c>
      <c r="AC97" s="331" t="s">
        <v>1674</v>
      </c>
      <c r="AD97" s="331" t="s">
        <v>3829</v>
      </c>
      <c r="AE97" s="331" t="s">
        <v>3834</v>
      </c>
      <c r="AF97" s="331" t="s">
        <v>3835</v>
      </c>
      <c r="AG97" s="331" t="s">
        <v>3875</v>
      </c>
      <c r="AH97" s="331" t="s">
        <v>3876</v>
      </c>
      <c r="AI97" s="331" t="s">
        <v>1476</v>
      </c>
      <c r="AJ97" s="312" t="b">
        <v>1</v>
      </c>
      <c r="AK97" s="312" t="b">
        <v>1</v>
      </c>
      <c r="AL97" s="312" t="b">
        <v>1</v>
      </c>
      <c r="AM97" s="312" t="b">
        <v>1</v>
      </c>
      <c r="AN97" s="312" t="b">
        <v>1</v>
      </c>
      <c r="AO97" s="312" t="b">
        <v>1</v>
      </c>
      <c r="AP97" s="61" t="s">
        <v>3837</v>
      </c>
      <c r="AQ97" s="335" t="s">
        <v>3877</v>
      </c>
      <c r="AR97" s="336" t="s">
        <v>3496</v>
      </c>
      <c r="AS97" s="337"/>
      <c r="AT97" s="338"/>
      <c r="AU97" s="338"/>
      <c r="AV97" s="338"/>
      <c r="AW97" s="338"/>
      <c r="AX97" s="338"/>
      <c r="AY97" s="337" t="s">
        <v>1429</v>
      </c>
      <c r="AZ97" s="337" t="s">
        <v>1429</v>
      </c>
      <c r="BA97" s="338" t="s">
        <v>1429</v>
      </c>
      <c r="BB97" s="338"/>
      <c r="BC97" s="181" t="s">
        <v>3877</v>
      </c>
      <c r="BD97" s="313"/>
      <c r="BE97" s="239"/>
      <c r="BF97" s="239"/>
      <c r="BG97" s="239"/>
      <c r="BH97" s="239"/>
      <c r="BI97" s="239"/>
      <c r="BJ97" s="239"/>
      <c r="BK97" s="239"/>
      <c r="BL97" s="239"/>
      <c r="BM97" s="239"/>
      <c r="BN97" s="239"/>
      <c r="BO97" s="239"/>
      <c r="BP97" s="239"/>
      <c r="BQ97" s="239"/>
      <c r="BR97" s="239"/>
      <c r="BS97" s="239"/>
      <c r="BT97" s="239"/>
      <c r="BU97" s="239"/>
      <c r="BV97" s="239"/>
      <c r="BW97" s="239"/>
      <c r="BX97" s="239"/>
      <c r="BY97" s="239"/>
      <c r="BZ97" s="239"/>
      <c r="CA97" s="239"/>
      <c r="CB97" s="239"/>
      <c r="CC97" s="239"/>
      <c r="CD97" s="239"/>
      <c r="CE97" s="239"/>
    </row>
    <row r="98" spans="1:83" ht="12.95" customHeight="1">
      <c r="A98" s="1"/>
      <c r="B98" s="1"/>
      <c r="C98" s="51" t="s">
        <v>3884</v>
      </c>
      <c r="D98" s="52" t="s">
        <v>3885</v>
      </c>
      <c r="E98" s="58" t="s">
        <v>1859</v>
      </c>
      <c r="F98" s="53" t="s">
        <v>3886</v>
      </c>
      <c r="G98" s="180" t="s">
        <v>3887</v>
      </c>
      <c r="H98" s="180" t="s">
        <v>3884</v>
      </c>
      <c r="I98" s="55" t="s">
        <v>3888</v>
      </c>
      <c r="J98" s="55" t="s">
        <v>1429</v>
      </c>
      <c r="K98" s="55" t="s">
        <v>1429</v>
      </c>
      <c r="L98" s="55" t="s">
        <v>1580</v>
      </c>
      <c r="M98" s="55" t="s">
        <v>1590</v>
      </c>
      <c r="N98" s="55" t="s">
        <v>1580</v>
      </c>
      <c r="O98" s="55" t="s">
        <v>1429</v>
      </c>
      <c r="P98" s="55" t="s">
        <v>1429</v>
      </c>
      <c r="Q98" s="52" t="s">
        <v>3829</v>
      </c>
      <c r="R98" s="52" t="s">
        <v>3830</v>
      </c>
      <c r="S98" s="52" t="s">
        <v>99</v>
      </c>
      <c r="T98" s="52" t="s">
        <v>100</v>
      </c>
      <c r="U98" s="57" t="s">
        <v>99</v>
      </c>
      <c r="V98" s="113" t="s">
        <v>3889</v>
      </c>
      <c r="W98" s="329" t="s">
        <v>3832</v>
      </c>
      <c r="X98" s="330" t="s">
        <v>1429</v>
      </c>
      <c r="Y98" s="330" t="s">
        <v>1429</v>
      </c>
      <c r="Z98" s="331" t="s">
        <v>1678</v>
      </c>
      <c r="AA98" s="331" t="s">
        <v>1710</v>
      </c>
      <c r="AB98" s="331" t="s">
        <v>3833</v>
      </c>
      <c r="AC98" s="331" t="s">
        <v>1674</v>
      </c>
      <c r="AD98" s="331" t="s">
        <v>3829</v>
      </c>
      <c r="AE98" s="331" t="s">
        <v>3834</v>
      </c>
      <c r="AF98" s="331" t="s">
        <v>3835</v>
      </c>
      <c r="AG98" s="331" t="s">
        <v>3875</v>
      </c>
      <c r="AH98" s="331" t="s">
        <v>3876</v>
      </c>
      <c r="AI98" s="331" t="s">
        <v>1476</v>
      </c>
      <c r="AJ98" s="312" t="b">
        <v>1</v>
      </c>
      <c r="AK98" s="312" t="b">
        <v>1</v>
      </c>
      <c r="AL98" s="312" t="b">
        <v>1</v>
      </c>
      <c r="AM98" s="312" t="b">
        <v>1</v>
      </c>
      <c r="AN98" s="312" t="b">
        <v>1</v>
      </c>
      <c r="AO98" s="312" t="b">
        <v>1</v>
      </c>
      <c r="AP98" s="61" t="s">
        <v>3837</v>
      </c>
      <c r="AQ98" s="335" t="s">
        <v>3884</v>
      </c>
      <c r="AR98" s="336" t="s">
        <v>3496</v>
      </c>
      <c r="AS98" s="337"/>
      <c r="AT98" s="338"/>
      <c r="AU98" s="338"/>
      <c r="AV98" s="338"/>
      <c r="AW98" s="338"/>
      <c r="AX98" s="338"/>
      <c r="AY98" s="337" t="s">
        <v>1429</v>
      </c>
      <c r="AZ98" s="337" t="s">
        <v>1429</v>
      </c>
      <c r="BA98" s="338" t="s">
        <v>1429</v>
      </c>
      <c r="BB98" s="338"/>
      <c r="BC98" s="181" t="s">
        <v>3884</v>
      </c>
      <c r="BD98" s="313"/>
      <c r="BE98" s="239"/>
      <c r="BF98" s="239"/>
      <c r="BG98" s="239"/>
      <c r="BH98" s="239"/>
      <c r="BI98" s="239"/>
      <c r="BJ98" s="239"/>
      <c r="BK98" s="239"/>
      <c r="BL98" s="239"/>
      <c r="BM98" s="239"/>
      <c r="BN98" s="239"/>
      <c r="BO98" s="239"/>
      <c r="BP98" s="239"/>
      <c r="BQ98" s="239"/>
      <c r="BR98" s="239"/>
      <c r="BS98" s="239"/>
      <c r="BT98" s="239"/>
      <c r="BU98" s="239"/>
      <c r="BV98" s="239"/>
      <c r="BW98" s="239"/>
      <c r="BX98" s="239"/>
      <c r="BY98" s="239"/>
      <c r="BZ98" s="239"/>
      <c r="CA98" s="239"/>
      <c r="CB98" s="239"/>
      <c r="CC98" s="239"/>
      <c r="CD98" s="239"/>
      <c r="CE98" s="239"/>
    </row>
    <row r="99" spans="1:83" ht="12.95" customHeight="1">
      <c r="A99" s="1"/>
      <c r="B99" s="1"/>
      <c r="C99" s="51" t="s">
        <v>3890</v>
      </c>
      <c r="D99" s="52" t="s">
        <v>3891</v>
      </c>
      <c r="E99" s="58" t="s">
        <v>1860</v>
      </c>
      <c r="F99" s="53" t="s">
        <v>3892</v>
      </c>
      <c r="G99" s="180" t="s">
        <v>3893</v>
      </c>
      <c r="H99" s="180" t="s">
        <v>3890</v>
      </c>
      <c r="I99" s="55" t="s">
        <v>3894</v>
      </c>
      <c r="J99" s="55" t="s">
        <v>1429</v>
      </c>
      <c r="K99" s="55" t="s">
        <v>1429</v>
      </c>
      <c r="L99" s="55" t="s">
        <v>1580</v>
      </c>
      <c r="M99" s="55" t="s">
        <v>1590</v>
      </c>
      <c r="N99" s="55" t="s">
        <v>1581</v>
      </c>
      <c r="O99" s="55" t="s">
        <v>1429</v>
      </c>
      <c r="P99" s="55" t="s">
        <v>1429</v>
      </c>
      <c r="Q99" s="52" t="s">
        <v>3829</v>
      </c>
      <c r="R99" s="52" t="s">
        <v>3830</v>
      </c>
      <c r="S99" s="52" t="s">
        <v>99</v>
      </c>
      <c r="T99" s="52" t="s">
        <v>100</v>
      </c>
      <c r="U99" s="57" t="s">
        <v>99</v>
      </c>
      <c r="V99" s="113" t="s">
        <v>3895</v>
      </c>
      <c r="W99" s="329" t="s">
        <v>3832</v>
      </c>
      <c r="X99" s="330" t="s">
        <v>1429</v>
      </c>
      <c r="Y99" s="330" t="s">
        <v>1429</v>
      </c>
      <c r="Z99" s="331" t="s">
        <v>1678</v>
      </c>
      <c r="AA99" s="331" t="s">
        <v>1679</v>
      </c>
      <c r="AB99" s="331" t="s">
        <v>3833</v>
      </c>
      <c r="AC99" s="331" t="s">
        <v>1674</v>
      </c>
      <c r="AD99" s="331" t="s">
        <v>3829</v>
      </c>
      <c r="AE99" s="331" t="s">
        <v>3834</v>
      </c>
      <c r="AF99" s="331" t="s">
        <v>3835</v>
      </c>
      <c r="AG99" s="331" t="s">
        <v>3875</v>
      </c>
      <c r="AH99" s="331" t="s">
        <v>3876</v>
      </c>
      <c r="AI99" s="331" t="s">
        <v>1476</v>
      </c>
      <c r="AJ99" s="312" t="b">
        <v>1</v>
      </c>
      <c r="AK99" s="312" t="b">
        <v>1</v>
      </c>
      <c r="AL99" s="312" t="b">
        <v>1</v>
      </c>
      <c r="AM99" s="312" t="b">
        <v>1</v>
      </c>
      <c r="AN99" s="312" t="b">
        <v>1</v>
      </c>
      <c r="AO99" s="312" t="b">
        <v>1</v>
      </c>
      <c r="AP99" s="61" t="s">
        <v>3837</v>
      </c>
      <c r="AQ99" s="335" t="s">
        <v>3890</v>
      </c>
      <c r="AR99" s="336" t="s">
        <v>3496</v>
      </c>
      <c r="AS99" s="337"/>
      <c r="AT99" s="338"/>
      <c r="AU99" s="338"/>
      <c r="AV99" s="338"/>
      <c r="AW99" s="338"/>
      <c r="AX99" s="337" t="s">
        <v>125</v>
      </c>
      <c r="AY99" s="337" t="s">
        <v>1429</v>
      </c>
      <c r="AZ99" s="337" t="s">
        <v>1429</v>
      </c>
      <c r="BA99" s="338" t="s">
        <v>1429</v>
      </c>
      <c r="BB99" s="338"/>
      <c r="BC99" s="181" t="s">
        <v>3890</v>
      </c>
      <c r="BD99" s="313"/>
      <c r="BE99" s="239"/>
      <c r="BF99" s="239"/>
      <c r="BG99" s="239"/>
      <c r="BH99" s="239"/>
      <c r="BI99" s="239"/>
      <c r="BJ99" s="239"/>
      <c r="BK99" s="239"/>
      <c r="BL99" s="239"/>
      <c r="BM99" s="239"/>
      <c r="BN99" s="239"/>
      <c r="BO99" s="239"/>
      <c r="BP99" s="239"/>
      <c r="BQ99" s="239"/>
      <c r="BR99" s="239"/>
      <c r="BS99" s="239"/>
      <c r="BT99" s="239"/>
      <c r="BU99" s="239"/>
      <c r="BV99" s="239"/>
      <c r="BW99" s="239"/>
      <c r="BX99" s="239"/>
      <c r="BY99" s="239"/>
      <c r="BZ99" s="239"/>
      <c r="CA99" s="239"/>
      <c r="CB99" s="239"/>
      <c r="CC99" s="239"/>
      <c r="CD99" s="239"/>
      <c r="CE99" s="239"/>
    </row>
    <row r="100" spans="1:83" ht="12.95" customHeight="1">
      <c r="A100" s="1"/>
      <c r="B100" s="1"/>
      <c r="C100" s="51" t="s">
        <v>3896</v>
      </c>
      <c r="D100" s="52" t="s">
        <v>3897</v>
      </c>
      <c r="E100" s="58" t="s">
        <v>1861</v>
      </c>
      <c r="F100" s="53" t="s">
        <v>3898</v>
      </c>
      <c r="G100" s="180" t="s">
        <v>3899</v>
      </c>
      <c r="H100" s="180" t="s">
        <v>3896</v>
      </c>
      <c r="I100" s="55" t="s">
        <v>3900</v>
      </c>
      <c r="J100" s="55" t="s">
        <v>1429</v>
      </c>
      <c r="K100" s="55" t="s">
        <v>1429</v>
      </c>
      <c r="L100" s="55" t="s">
        <v>1580</v>
      </c>
      <c r="M100" s="55" t="s">
        <v>1590</v>
      </c>
      <c r="N100" s="55" t="s">
        <v>1590</v>
      </c>
      <c r="O100" s="55" t="s">
        <v>1429</v>
      </c>
      <c r="P100" s="55" t="s">
        <v>1429</v>
      </c>
      <c r="Q100" s="52" t="s">
        <v>3829</v>
      </c>
      <c r="R100" s="52" t="s">
        <v>3830</v>
      </c>
      <c r="S100" s="52" t="s">
        <v>99</v>
      </c>
      <c r="T100" s="52" t="s">
        <v>100</v>
      </c>
      <c r="U100" s="57" t="s">
        <v>99</v>
      </c>
      <c r="V100" s="113" t="s">
        <v>3901</v>
      </c>
      <c r="W100" s="329" t="s">
        <v>3832</v>
      </c>
      <c r="X100" s="330" t="s">
        <v>3902</v>
      </c>
      <c r="Y100" s="330" t="s">
        <v>1429</v>
      </c>
      <c r="Z100" s="331" t="s">
        <v>1678</v>
      </c>
      <c r="AA100" s="331" t="s">
        <v>1679</v>
      </c>
      <c r="AB100" s="331" t="s">
        <v>3833</v>
      </c>
      <c r="AC100" s="331" t="s">
        <v>1674</v>
      </c>
      <c r="AD100" s="331" t="s">
        <v>3829</v>
      </c>
      <c r="AE100" s="331" t="s">
        <v>3834</v>
      </c>
      <c r="AF100" s="331" t="s">
        <v>3835</v>
      </c>
      <c r="AG100" s="331" t="s">
        <v>3875</v>
      </c>
      <c r="AH100" s="331" t="s">
        <v>3876</v>
      </c>
      <c r="AI100" s="331" t="s">
        <v>1476</v>
      </c>
      <c r="AJ100" s="312" t="b">
        <v>1</v>
      </c>
      <c r="AK100" s="312" t="b">
        <v>1</v>
      </c>
      <c r="AL100" s="312" t="b">
        <v>1</v>
      </c>
      <c r="AM100" s="312" t="b">
        <v>1</v>
      </c>
      <c r="AN100" s="312" t="b">
        <v>1</v>
      </c>
      <c r="AO100" s="312" t="b">
        <v>1</v>
      </c>
      <c r="AP100" s="61" t="s">
        <v>3837</v>
      </c>
      <c r="AQ100" s="335" t="s">
        <v>3896</v>
      </c>
      <c r="AR100" s="336" t="s">
        <v>3496</v>
      </c>
      <c r="AS100" s="337"/>
      <c r="AT100" s="337" t="s">
        <v>104</v>
      </c>
      <c r="AU100" s="338"/>
      <c r="AV100" s="338"/>
      <c r="AW100" s="338"/>
      <c r="AX100" s="338"/>
      <c r="AY100" s="337" t="s">
        <v>1429</v>
      </c>
      <c r="AZ100" s="337" t="s">
        <v>1429</v>
      </c>
      <c r="BA100" s="338" t="s">
        <v>1429</v>
      </c>
      <c r="BB100" s="338"/>
      <c r="BC100" s="181" t="s">
        <v>3896</v>
      </c>
      <c r="BD100" s="313"/>
      <c r="BE100" s="239"/>
      <c r="BF100" s="239"/>
      <c r="BG100" s="239"/>
      <c r="BH100" s="239"/>
      <c r="BI100" s="239"/>
      <c r="BJ100" s="239"/>
      <c r="BK100" s="239"/>
      <c r="BL100" s="239"/>
      <c r="BM100" s="239"/>
      <c r="BN100" s="239"/>
      <c r="BO100" s="239"/>
      <c r="BP100" s="239"/>
      <c r="BQ100" s="239"/>
      <c r="BR100" s="239"/>
      <c r="BS100" s="239"/>
      <c r="BT100" s="239"/>
      <c r="BU100" s="239"/>
      <c r="BV100" s="239"/>
      <c r="BW100" s="239"/>
      <c r="BX100" s="239"/>
      <c r="BY100" s="239"/>
      <c r="BZ100" s="239"/>
      <c r="CA100" s="239"/>
      <c r="CB100" s="239"/>
      <c r="CC100" s="239"/>
      <c r="CD100" s="239"/>
      <c r="CE100" s="239"/>
    </row>
    <row r="101" spans="1:83" ht="12.95" customHeight="1">
      <c r="A101" s="1"/>
      <c r="B101" s="1"/>
      <c r="C101" s="51" t="s">
        <v>3903</v>
      </c>
      <c r="D101" s="52" t="s">
        <v>3904</v>
      </c>
      <c r="E101" s="58" t="s">
        <v>3905</v>
      </c>
      <c r="F101" s="53" t="s">
        <v>3906</v>
      </c>
      <c r="G101" s="180" t="s">
        <v>3907</v>
      </c>
      <c r="H101" s="180" t="s">
        <v>3903</v>
      </c>
      <c r="I101" s="55" t="s">
        <v>3908</v>
      </c>
      <c r="J101" s="55" t="s">
        <v>1429</v>
      </c>
      <c r="K101" s="55" t="s">
        <v>1429</v>
      </c>
      <c r="L101" s="55" t="s">
        <v>1580</v>
      </c>
      <c r="M101" s="55" t="s">
        <v>1590</v>
      </c>
      <c r="N101" s="55" t="s">
        <v>1590</v>
      </c>
      <c r="O101" s="55" t="s">
        <v>1429</v>
      </c>
      <c r="P101" s="55" t="s">
        <v>1429</v>
      </c>
      <c r="Q101" s="52" t="s">
        <v>3829</v>
      </c>
      <c r="R101" s="52" t="s">
        <v>3830</v>
      </c>
      <c r="S101" s="52" t="s">
        <v>99</v>
      </c>
      <c r="T101" s="52" t="s">
        <v>100</v>
      </c>
      <c r="U101" s="57" t="s">
        <v>99</v>
      </c>
      <c r="V101" s="113" t="s">
        <v>3909</v>
      </c>
      <c r="W101" s="329" t="s">
        <v>3832</v>
      </c>
      <c r="X101" s="330" t="s">
        <v>1429</v>
      </c>
      <c r="Y101" s="330" t="s">
        <v>1429</v>
      </c>
      <c r="Z101" s="331" t="s">
        <v>1678</v>
      </c>
      <c r="AA101" s="331" t="s">
        <v>1710</v>
      </c>
      <c r="AB101" s="331" t="s">
        <v>3833</v>
      </c>
      <c r="AC101" s="331" t="s">
        <v>1674</v>
      </c>
      <c r="AD101" s="331" t="s">
        <v>3829</v>
      </c>
      <c r="AE101" s="331" t="s">
        <v>3834</v>
      </c>
      <c r="AF101" s="331" t="s">
        <v>3835</v>
      </c>
      <c r="AG101" s="331" t="s">
        <v>3875</v>
      </c>
      <c r="AH101" s="331" t="s">
        <v>3876</v>
      </c>
      <c r="AI101" s="331" t="s">
        <v>1476</v>
      </c>
      <c r="AJ101" s="312" t="b">
        <v>1</v>
      </c>
      <c r="AK101" s="312" t="b">
        <v>1</v>
      </c>
      <c r="AL101" s="312" t="b">
        <v>1</v>
      </c>
      <c r="AM101" s="312" t="b">
        <v>1</v>
      </c>
      <c r="AN101" s="312" t="b">
        <v>1</v>
      </c>
      <c r="AO101" s="312" t="b">
        <v>1</v>
      </c>
      <c r="AP101" s="61" t="s">
        <v>3837</v>
      </c>
      <c r="AQ101" s="335" t="s">
        <v>3903</v>
      </c>
      <c r="AR101" s="336" t="s">
        <v>3496</v>
      </c>
      <c r="AS101" s="337"/>
      <c r="AT101" s="338"/>
      <c r="AU101" s="338"/>
      <c r="AV101" s="338"/>
      <c r="AW101" s="338"/>
      <c r="AX101" s="338"/>
      <c r="AY101" s="337" t="s">
        <v>1429</v>
      </c>
      <c r="AZ101" s="337" t="s">
        <v>1429</v>
      </c>
      <c r="BA101" s="338" t="s">
        <v>1429</v>
      </c>
      <c r="BB101" s="338"/>
      <c r="BC101" s="181" t="s">
        <v>3903</v>
      </c>
      <c r="BD101" s="313"/>
      <c r="BE101" s="239"/>
      <c r="BF101" s="239"/>
      <c r="BG101" s="239"/>
      <c r="BH101" s="239"/>
      <c r="BI101" s="239"/>
      <c r="BJ101" s="239"/>
      <c r="BK101" s="239"/>
      <c r="BL101" s="239"/>
      <c r="BM101" s="239"/>
      <c r="BN101" s="239"/>
      <c r="BO101" s="239"/>
      <c r="BP101" s="239"/>
      <c r="BQ101" s="239"/>
      <c r="BR101" s="239"/>
      <c r="BS101" s="239"/>
      <c r="BT101" s="239"/>
      <c r="BU101" s="239"/>
      <c r="BV101" s="239"/>
      <c r="BW101" s="239"/>
      <c r="BX101" s="239"/>
      <c r="BY101" s="239"/>
      <c r="BZ101" s="239"/>
      <c r="CA101" s="239"/>
      <c r="CB101" s="239"/>
      <c r="CC101" s="239"/>
      <c r="CD101" s="239"/>
      <c r="CE101" s="239"/>
    </row>
    <row r="102" spans="1:83" ht="12.95" customHeight="1">
      <c r="A102" s="1"/>
      <c r="B102" s="1"/>
      <c r="C102" s="51" t="s">
        <v>3910</v>
      </c>
      <c r="D102" s="52" t="s">
        <v>3911</v>
      </c>
      <c r="E102" s="58" t="s">
        <v>3912</v>
      </c>
      <c r="F102" s="53" t="s">
        <v>3913</v>
      </c>
      <c r="G102" s="180" t="s">
        <v>3914</v>
      </c>
      <c r="H102" s="180" t="s">
        <v>3910</v>
      </c>
      <c r="I102" s="55" t="s">
        <v>3915</v>
      </c>
      <c r="J102" s="55" t="s">
        <v>1429</v>
      </c>
      <c r="K102" s="55" t="s">
        <v>1429</v>
      </c>
      <c r="L102" s="55" t="s">
        <v>1580</v>
      </c>
      <c r="M102" s="55" t="s">
        <v>1580</v>
      </c>
      <c r="N102" s="55" t="s">
        <v>1590</v>
      </c>
      <c r="O102" s="55" t="s">
        <v>1429</v>
      </c>
      <c r="P102" s="55" t="s">
        <v>1429</v>
      </c>
      <c r="Q102" s="52" t="s">
        <v>3829</v>
      </c>
      <c r="R102" s="52" t="s">
        <v>134</v>
      </c>
      <c r="S102" s="52" t="s">
        <v>99</v>
      </c>
      <c r="T102" s="52" t="s">
        <v>100</v>
      </c>
      <c r="U102" s="57" t="s">
        <v>99</v>
      </c>
      <c r="V102" s="113" t="s">
        <v>3916</v>
      </c>
      <c r="W102" s="329" t="s">
        <v>3832</v>
      </c>
      <c r="X102" s="330" t="s">
        <v>3917</v>
      </c>
      <c r="Y102" s="330" t="s">
        <v>1429</v>
      </c>
      <c r="Z102" s="331" t="s">
        <v>1678</v>
      </c>
      <c r="AA102" s="331" t="s">
        <v>1710</v>
      </c>
      <c r="AB102" s="331" t="s">
        <v>3833</v>
      </c>
      <c r="AC102" s="331" t="s">
        <v>1674</v>
      </c>
      <c r="AD102" s="331" t="s">
        <v>3829</v>
      </c>
      <c r="AE102" s="331" t="s">
        <v>3834</v>
      </c>
      <c r="AF102" s="331" t="s">
        <v>3918</v>
      </c>
      <c r="AG102" s="331" t="s">
        <v>3835</v>
      </c>
      <c r="AH102" s="331" t="s">
        <v>3876</v>
      </c>
      <c r="AI102" s="331" t="s">
        <v>1476</v>
      </c>
      <c r="AJ102" s="312" t="b">
        <v>1</v>
      </c>
      <c r="AK102" s="312" t="b">
        <v>1</v>
      </c>
      <c r="AL102" s="312" t="b">
        <v>1</v>
      </c>
      <c r="AM102" s="312" t="b">
        <v>1</v>
      </c>
      <c r="AN102" s="312" t="b">
        <v>1</v>
      </c>
      <c r="AO102" s="312" t="b">
        <v>1</v>
      </c>
      <c r="AP102" s="61" t="s">
        <v>3837</v>
      </c>
      <c r="AQ102" s="335" t="s">
        <v>3910</v>
      </c>
      <c r="AR102" s="336" t="s">
        <v>3501</v>
      </c>
      <c r="AS102" s="337" t="s">
        <v>3497</v>
      </c>
      <c r="AT102" s="337" t="s">
        <v>104</v>
      </c>
      <c r="AU102" s="338"/>
      <c r="AV102" s="338"/>
      <c r="AW102" s="338"/>
      <c r="AX102" s="338"/>
      <c r="AY102" s="337" t="s">
        <v>1429</v>
      </c>
      <c r="AZ102" s="337" t="s">
        <v>1429</v>
      </c>
      <c r="BA102" s="338" t="s">
        <v>1429</v>
      </c>
      <c r="BB102" s="338"/>
      <c r="BC102" s="181" t="s">
        <v>3910</v>
      </c>
      <c r="BD102" s="313"/>
      <c r="BE102" s="239"/>
      <c r="BF102" s="239"/>
      <c r="BG102" s="239"/>
      <c r="BH102" s="239"/>
      <c r="BI102" s="239"/>
      <c r="BJ102" s="239"/>
      <c r="BK102" s="239"/>
      <c r="BL102" s="239"/>
      <c r="BM102" s="239"/>
      <c r="BN102" s="239"/>
      <c r="BO102" s="239"/>
      <c r="BP102" s="239"/>
      <c r="BQ102" s="239"/>
      <c r="BR102" s="239"/>
      <c r="BS102" s="239"/>
      <c r="BT102" s="239"/>
      <c r="BU102" s="239"/>
      <c r="BV102" s="239"/>
      <c r="BW102" s="239"/>
      <c r="BX102" s="239"/>
      <c r="BY102" s="239"/>
      <c r="BZ102" s="239"/>
      <c r="CA102" s="239"/>
      <c r="CB102" s="239"/>
      <c r="CC102" s="239"/>
      <c r="CD102" s="239"/>
      <c r="CE102" s="239"/>
    </row>
    <row r="103" spans="1:83" ht="12.95" customHeight="1">
      <c r="A103" s="1"/>
      <c r="B103" s="1"/>
      <c r="C103" s="51" t="s">
        <v>3919</v>
      </c>
      <c r="D103" s="52" t="s">
        <v>3920</v>
      </c>
      <c r="E103" s="58" t="s">
        <v>3825</v>
      </c>
      <c r="F103" s="53" t="s">
        <v>3921</v>
      </c>
      <c r="G103" s="180" t="s">
        <v>3922</v>
      </c>
      <c r="H103" s="180" t="s">
        <v>3919</v>
      </c>
      <c r="I103" s="55" t="s">
        <v>1429</v>
      </c>
      <c r="J103" s="55" t="s">
        <v>1429</v>
      </c>
      <c r="K103" s="55" t="s">
        <v>1429</v>
      </c>
      <c r="L103" s="55" t="s">
        <v>1580</v>
      </c>
      <c r="M103" s="55" t="s">
        <v>1581</v>
      </c>
      <c r="N103" s="55" t="s">
        <v>1429</v>
      </c>
      <c r="O103" s="55" t="s">
        <v>1429</v>
      </c>
      <c r="P103" s="55" t="s">
        <v>1429</v>
      </c>
      <c r="Q103" s="52" t="s">
        <v>3829</v>
      </c>
      <c r="R103" s="52" t="s">
        <v>113</v>
      </c>
      <c r="S103" s="52" t="s">
        <v>99</v>
      </c>
      <c r="T103" s="52" t="s">
        <v>100</v>
      </c>
      <c r="U103" s="57" t="s">
        <v>113</v>
      </c>
      <c r="V103" s="113" t="s">
        <v>3923</v>
      </c>
      <c r="W103" s="329" t="s">
        <v>3832</v>
      </c>
      <c r="X103" s="330" t="s">
        <v>1429</v>
      </c>
      <c r="Y103" s="330" t="s">
        <v>1429</v>
      </c>
      <c r="Z103" s="331" t="s">
        <v>1678</v>
      </c>
      <c r="AA103" s="331" t="s">
        <v>1710</v>
      </c>
      <c r="AB103" s="331" t="s">
        <v>3833</v>
      </c>
      <c r="AC103" s="331" t="s">
        <v>1674</v>
      </c>
      <c r="AD103" s="331" t="s">
        <v>3829</v>
      </c>
      <c r="AE103" s="331" t="s">
        <v>3834</v>
      </c>
      <c r="AF103" s="331" t="s">
        <v>3835</v>
      </c>
      <c r="AG103" s="331" t="s">
        <v>3835</v>
      </c>
      <c r="AH103" s="331" t="s">
        <v>3836</v>
      </c>
      <c r="AI103" s="331" t="s">
        <v>1476</v>
      </c>
      <c r="AJ103" s="312" t="b">
        <v>1</v>
      </c>
      <c r="AK103" s="312" t="b">
        <v>1</v>
      </c>
      <c r="AL103" s="312" t="b">
        <v>1</v>
      </c>
      <c r="AM103" s="312" t="b">
        <v>1</v>
      </c>
      <c r="AN103" s="312" t="b">
        <v>1</v>
      </c>
      <c r="AO103" s="312" t="b">
        <v>1</v>
      </c>
      <c r="AP103" s="61" t="s">
        <v>3837</v>
      </c>
      <c r="AQ103" s="335" t="s">
        <v>3919</v>
      </c>
      <c r="AR103" s="336" t="s">
        <v>3495</v>
      </c>
      <c r="AS103" s="337"/>
      <c r="AT103" s="338"/>
      <c r="AU103" s="338"/>
      <c r="AV103" s="338"/>
      <c r="AW103" s="338"/>
      <c r="AX103" s="338"/>
      <c r="AY103" s="337" t="s">
        <v>1429</v>
      </c>
      <c r="AZ103" s="337" t="s">
        <v>1429</v>
      </c>
      <c r="BA103" s="338" t="s">
        <v>1429</v>
      </c>
      <c r="BB103" s="338"/>
      <c r="BC103" s="181" t="s">
        <v>3919</v>
      </c>
      <c r="BD103" s="313"/>
      <c r="BE103" s="239"/>
      <c r="BF103" s="239"/>
      <c r="BG103" s="239"/>
      <c r="BH103" s="239"/>
      <c r="BI103" s="239"/>
      <c r="BJ103" s="239"/>
      <c r="BK103" s="239"/>
      <c r="BL103" s="239"/>
      <c r="BM103" s="239"/>
      <c r="BN103" s="239"/>
      <c r="BO103" s="239"/>
      <c r="BP103" s="239"/>
      <c r="BQ103" s="239"/>
      <c r="BR103" s="239"/>
      <c r="BS103" s="239"/>
      <c r="BT103" s="239"/>
      <c r="BU103" s="239"/>
      <c r="BV103" s="239"/>
      <c r="BW103" s="239"/>
      <c r="BX103" s="239"/>
      <c r="BY103" s="239"/>
      <c r="BZ103" s="239"/>
      <c r="CA103" s="239"/>
      <c r="CB103" s="239"/>
      <c r="CC103" s="239"/>
      <c r="CD103" s="239"/>
      <c r="CE103" s="239"/>
    </row>
    <row r="104" spans="1:83" ht="12.95" customHeight="1">
      <c r="A104" s="1"/>
      <c r="B104" s="1"/>
      <c r="C104" s="51" t="s">
        <v>3924</v>
      </c>
      <c r="D104" s="52" t="s">
        <v>3925</v>
      </c>
      <c r="E104" s="340" t="s">
        <v>1862</v>
      </c>
      <c r="F104" s="53" t="s">
        <v>3926</v>
      </c>
      <c r="G104" s="180" t="s">
        <v>1429</v>
      </c>
      <c r="H104" s="180" t="s">
        <v>3924</v>
      </c>
      <c r="I104" s="55" t="s">
        <v>3927</v>
      </c>
      <c r="J104" s="55" t="s">
        <v>1429</v>
      </c>
      <c r="K104" s="55" t="s">
        <v>1429</v>
      </c>
      <c r="L104" s="55" t="s">
        <v>1429</v>
      </c>
      <c r="M104" s="55" t="s">
        <v>1580</v>
      </c>
      <c r="N104" s="55" t="s">
        <v>1580</v>
      </c>
      <c r="O104" s="55" t="s">
        <v>1429</v>
      </c>
      <c r="P104" s="55" t="s">
        <v>1429</v>
      </c>
      <c r="Q104" s="65"/>
      <c r="R104" s="65"/>
      <c r="S104" s="65"/>
      <c r="T104" s="65"/>
      <c r="U104" s="311"/>
      <c r="V104" s="113" t="s">
        <v>3928</v>
      </c>
      <c r="W104" s="326"/>
      <c r="X104" s="327"/>
      <c r="Y104" s="327"/>
      <c r="Z104" s="328"/>
      <c r="AA104" s="328"/>
      <c r="AB104" s="328"/>
      <c r="AC104" s="328"/>
      <c r="AD104" s="328"/>
      <c r="AE104" s="328"/>
      <c r="AF104" s="328"/>
      <c r="AG104" s="328"/>
      <c r="AH104" s="328"/>
      <c r="AI104" s="328"/>
      <c r="AJ104" s="312" t="b">
        <v>1</v>
      </c>
      <c r="AK104" s="312" t="b">
        <v>1</v>
      </c>
      <c r="AL104" s="312" t="b">
        <v>1</v>
      </c>
      <c r="AM104" s="312" t="b">
        <v>1</v>
      </c>
      <c r="AN104" s="312" t="b">
        <v>1</v>
      </c>
      <c r="AO104" s="312" t="b">
        <v>1</v>
      </c>
      <c r="AP104" s="61" t="s">
        <v>3837</v>
      </c>
      <c r="AQ104" s="335" t="s">
        <v>3924</v>
      </c>
      <c r="AR104" s="338"/>
      <c r="AS104" s="338"/>
      <c r="AT104" s="338"/>
      <c r="AU104" s="338"/>
      <c r="AV104" s="338"/>
      <c r="AW104" s="338"/>
      <c r="AX104" s="338"/>
      <c r="AY104" s="337"/>
      <c r="AZ104" s="337"/>
      <c r="BA104" s="338"/>
      <c r="BB104" s="338"/>
      <c r="BC104" s="181"/>
      <c r="BD104" s="313"/>
      <c r="BE104" s="239"/>
      <c r="BF104" s="239"/>
      <c r="BG104" s="239"/>
      <c r="BH104" s="239"/>
      <c r="BI104" s="239"/>
      <c r="BJ104" s="239"/>
      <c r="BK104" s="239"/>
      <c r="BL104" s="239"/>
      <c r="BM104" s="239"/>
      <c r="BN104" s="239"/>
      <c r="BO104" s="239"/>
      <c r="BP104" s="239"/>
      <c r="BQ104" s="239"/>
      <c r="BR104" s="239"/>
      <c r="BS104" s="239"/>
      <c r="BT104" s="239"/>
      <c r="BU104" s="239"/>
      <c r="BV104" s="239"/>
      <c r="BW104" s="239"/>
      <c r="BX104" s="239"/>
      <c r="BY104" s="239"/>
      <c r="BZ104" s="239"/>
      <c r="CA104" s="239"/>
      <c r="CB104" s="239"/>
      <c r="CC104" s="239"/>
      <c r="CD104" s="239"/>
      <c r="CE104" s="239"/>
    </row>
    <row r="105" spans="1:83" s="50" customFormat="1" ht="18" customHeight="1">
      <c r="A105" s="171" t="s">
        <v>1385</v>
      </c>
      <c r="B105" s="171"/>
      <c r="C105" s="171"/>
      <c r="D105" s="69"/>
      <c r="E105" s="69"/>
      <c r="F105" s="69"/>
      <c r="G105" s="70"/>
      <c r="H105" s="70"/>
      <c r="I105" s="70"/>
      <c r="J105" s="70"/>
      <c r="K105" s="70"/>
      <c r="L105" s="69"/>
      <c r="M105" s="69"/>
      <c r="N105" s="69"/>
      <c r="O105" s="69"/>
      <c r="P105" s="69"/>
      <c r="Q105" s="69"/>
      <c r="R105" s="69"/>
      <c r="S105" s="69"/>
      <c r="T105" s="69"/>
      <c r="U105" s="69"/>
      <c r="V105" s="69"/>
      <c r="W105" s="323"/>
      <c r="X105" s="324"/>
      <c r="Y105" s="324"/>
      <c r="Z105" s="325"/>
      <c r="AA105" s="325"/>
      <c r="AB105" s="325"/>
      <c r="AC105" s="325"/>
      <c r="AD105" s="325"/>
      <c r="AE105" s="325"/>
      <c r="AF105" s="325"/>
      <c r="AG105" s="325"/>
      <c r="AH105" s="325"/>
      <c r="AI105" s="325"/>
      <c r="AJ105" s="47" t="b">
        <v>0</v>
      </c>
      <c r="AK105" s="47"/>
      <c r="AL105" s="47"/>
      <c r="AM105" s="47"/>
      <c r="AN105" s="47"/>
      <c r="AO105" s="47"/>
      <c r="AP105" s="47"/>
      <c r="AQ105" s="315"/>
      <c r="AR105" s="315"/>
      <c r="AS105" s="316"/>
      <c r="AT105" s="316"/>
      <c r="AU105" s="316"/>
      <c r="AV105" s="316"/>
      <c r="AW105" s="316"/>
      <c r="AX105" s="317"/>
      <c r="AY105" s="316"/>
      <c r="AZ105" s="316"/>
      <c r="BA105" s="316"/>
      <c r="BB105" s="318" t="s">
        <v>1351</v>
      </c>
      <c r="BC105" s="319"/>
      <c r="BD105" s="184"/>
      <c r="BE105" s="243"/>
      <c r="BF105" s="243"/>
      <c r="BG105" s="243"/>
      <c r="BH105" s="243"/>
      <c r="BI105" s="243"/>
      <c r="BJ105" s="243"/>
      <c r="BK105" s="243"/>
      <c r="BL105" s="243"/>
      <c r="BM105" s="243"/>
      <c r="BN105" s="243"/>
      <c r="BO105" s="243"/>
      <c r="BP105" s="243"/>
      <c r="BQ105" s="243"/>
      <c r="BR105" s="243"/>
      <c r="BS105" s="243"/>
      <c r="BT105" s="243"/>
      <c r="BU105" s="243"/>
      <c r="BV105" s="243"/>
      <c r="BW105" s="243"/>
      <c r="BX105" s="243"/>
      <c r="BY105" s="243"/>
      <c r="BZ105" s="243"/>
      <c r="CA105" s="243"/>
      <c r="CB105" s="243"/>
      <c r="CC105" s="243"/>
      <c r="CD105" s="243"/>
      <c r="CE105" s="243"/>
    </row>
    <row r="106" spans="1:83" ht="12.95" customHeight="1">
      <c r="A106" s="208"/>
      <c r="B106" s="208"/>
      <c r="C106" s="51" t="s">
        <v>27</v>
      </c>
      <c r="D106" s="52" t="s">
        <v>1863</v>
      </c>
      <c r="E106" s="52" t="s">
        <v>1864</v>
      </c>
      <c r="F106" s="53" t="s">
        <v>142</v>
      </c>
      <c r="G106" s="179"/>
      <c r="H106" s="180" t="s">
        <v>27</v>
      </c>
      <c r="I106" s="55" t="s">
        <v>1429</v>
      </c>
      <c r="J106" s="55" t="s">
        <v>1429</v>
      </c>
      <c r="K106" s="56" t="s">
        <v>1429</v>
      </c>
      <c r="L106" s="54" t="s">
        <v>1580</v>
      </c>
      <c r="M106" s="55" t="s">
        <v>1581</v>
      </c>
      <c r="N106" s="55" t="s">
        <v>1429</v>
      </c>
      <c r="O106" s="55" t="s">
        <v>1429</v>
      </c>
      <c r="P106" s="56" t="s">
        <v>1429</v>
      </c>
      <c r="Q106" s="52" t="s">
        <v>55</v>
      </c>
      <c r="R106" s="52" t="s">
        <v>113</v>
      </c>
      <c r="S106" s="52" t="s">
        <v>99</v>
      </c>
      <c r="T106" s="52" t="s">
        <v>100</v>
      </c>
      <c r="U106" s="105" t="s">
        <v>113</v>
      </c>
      <c r="V106" s="145" t="s">
        <v>1865</v>
      </c>
      <c r="W106" s="51" t="s">
        <v>1866</v>
      </c>
      <c r="X106" s="130" t="s">
        <v>1429</v>
      </c>
      <c r="Y106" s="130" t="s">
        <v>1429</v>
      </c>
      <c r="Z106" s="51" t="s">
        <v>1678</v>
      </c>
      <c r="AA106" s="51" t="s">
        <v>1679</v>
      </c>
      <c r="AB106" s="51" t="s">
        <v>3664</v>
      </c>
      <c r="AC106" s="51" t="s">
        <v>1587</v>
      </c>
      <c r="AD106" s="59" t="str">
        <f t="shared" ref="AD106:AD111" si="19">IF(OR($AQ106="",$AQ106=$F106),$U106,IF($AQ106=$G106,SUBSTITUTE(SUBSTITUTE($AQ106,"GPIO3_","GPIO_"),".0",""),IF($AQ106=$H106,$Q106,IF($AQ106=$I106,$R106,IF($AQ106=$J106,$S106,IF($AQ106=$K106,$T106,"INVALID"))))))</f>
        <v>SDMMC3</v>
      </c>
      <c r="AE106" s="66"/>
      <c r="AF106" s="61" t="str">
        <f t="shared" ref="AF106:AF111" si="20">IF(AND(OR($AS106="Int PU",$AS106="Int PD"),OR(AND($AY106&lt;&gt;"",$AY106&lt;&gt;"0"),AND($AZ106&lt;&gt;"",$AZ106&lt;&gt;"0"))),"INVALID",IF(OR($AQ106=$F106,$AS106="Int PD"),"PULL_DOWN",IF(OR($AS106="Int PU",AND($AE106="YES",OR($AY106="",$AY106="0"),OR($AZ106="",$AZ106="0"),OR($AR106="Input",$AR106="Bidirectional"))),"PULL_UP","NORMAL")))</f>
        <v>PULL_DOWN</v>
      </c>
      <c r="AG106" s="61" t="str">
        <f t="shared" ref="AG106:AG111" si="21">IF($AR106="Input", "TRISTATE", IF($AS106="Z","TRISTATE",IF($AQ106=$F106,"TRISTATE","NORMAL")))</f>
        <v>NORMAL</v>
      </c>
      <c r="AH106" s="61" t="str">
        <f>IF($AQ106=$H106,"ENABLE",IF(OR($AQ106=$F106,$AR106="Output"),"DISABLE","ENABLE"))</f>
        <v>ENABLE</v>
      </c>
      <c r="AI106" s="67" t="str">
        <f t="shared" ref="AI106:AI111" si="22">IF($AQ106&lt;&gt;$G106,"N/A",IF($AS106="Drive 1", "1", IF($AS106="Drive 0", "0", "")))</f>
        <v>N/A</v>
      </c>
      <c r="AJ106" s="176" t="b">
        <v>1</v>
      </c>
      <c r="AK106" s="176" t="b">
        <v>1</v>
      </c>
      <c r="AL106" s="176" t="b">
        <v>1</v>
      </c>
      <c r="AM106" s="176" t="b">
        <v>1</v>
      </c>
      <c r="AN106" s="176" t="b">
        <v>1</v>
      </c>
      <c r="AO106" s="176" t="b">
        <v>1</v>
      </c>
      <c r="AP106" s="64" t="str">
        <f t="shared" ref="AP106:AP112" si="23">IF(AND($AJ106:$AO106), "VALID", "INVALID")</f>
        <v>VALID</v>
      </c>
      <c r="AQ106" s="213" t="s">
        <v>27</v>
      </c>
      <c r="AR106" s="3" t="s">
        <v>3495</v>
      </c>
      <c r="AS106" s="181" t="s">
        <v>3503</v>
      </c>
      <c r="AT106" s="214"/>
      <c r="AU106" s="214"/>
      <c r="AV106" s="214"/>
      <c r="AW106" s="215"/>
      <c r="AX106" s="289" t="s">
        <v>3502</v>
      </c>
      <c r="AY106" s="4"/>
      <c r="AZ106" s="4"/>
      <c r="BA106" s="12" t="s">
        <v>101</v>
      </c>
      <c r="BB106" s="216"/>
      <c r="BC106" s="15" t="s">
        <v>3721</v>
      </c>
      <c r="BD106" s="238"/>
      <c r="BE106" s="239"/>
      <c r="BF106" s="239"/>
      <c r="BG106" s="239"/>
      <c r="BH106" s="239"/>
      <c r="BI106" s="239"/>
      <c r="BJ106" s="239"/>
      <c r="BK106" s="239"/>
      <c r="BL106" s="239"/>
      <c r="BM106" s="239"/>
      <c r="BN106" s="239"/>
      <c r="BO106" s="239"/>
      <c r="BP106" s="239"/>
      <c r="BQ106" s="239"/>
      <c r="BR106" s="239"/>
      <c r="BS106" s="239"/>
      <c r="BT106" s="239"/>
      <c r="BU106" s="239"/>
      <c r="BV106" s="239"/>
      <c r="BW106" s="239"/>
      <c r="BX106" s="239"/>
      <c r="BY106" s="239"/>
      <c r="BZ106" s="239"/>
      <c r="CA106" s="239"/>
      <c r="CB106" s="239"/>
      <c r="CC106" s="239"/>
      <c r="CD106" s="239"/>
      <c r="CE106" s="239"/>
    </row>
    <row r="107" spans="1:83" ht="12.95" customHeight="1">
      <c r="A107" s="208"/>
      <c r="B107" s="208"/>
      <c r="C107" s="51" t="s">
        <v>28</v>
      </c>
      <c r="D107" s="52" t="s">
        <v>1867</v>
      </c>
      <c r="E107" s="52" t="s">
        <v>1868</v>
      </c>
      <c r="F107" s="53" t="s">
        <v>143</v>
      </c>
      <c r="G107" s="179"/>
      <c r="H107" s="180" t="s">
        <v>28</v>
      </c>
      <c r="I107" s="55" t="s">
        <v>1429</v>
      </c>
      <c r="J107" s="55" t="s">
        <v>1429</v>
      </c>
      <c r="K107" s="56" t="s">
        <v>1429</v>
      </c>
      <c r="L107" s="54" t="s">
        <v>1580</v>
      </c>
      <c r="M107" s="55" t="s">
        <v>1580</v>
      </c>
      <c r="N107" s="55" t="s">
        <v>1429</v>
      </c>
      <c r="O107" s="55" t="s">
        <v>1429</v>
      </c>
      <c r="P107" s="56" t="s">
        <v>1429</v>
      </c>
      <c r="Q107" s="52" t="s">
        <v>55</v>
      </c>
      <c r="R107" s="52" t="s">
        <v>113</v>
      </c>
      <c r="S107" s="52" t="s">
        <v>99</v>
      </c>
      <c r="T107" s="52" t="s">
        <v>100</v>
      </c>
      <c r="U107" s="57" t="s">
        <v>113</v>
      </c>
      <c r="V107" s="146" t="s">
        <v>1869</v>
      </c>
      <c r="W107" s="51" t="s">
        <v>1866</v>
      </c>
      <c r="X107" s="130" t="s">
        <v>1429</v>
      </c>
      <c r="Y107" s="130" t="s">
        <v>1429</v>
      </c>
      <c r="Z107" s="51" t="s">
        <v>1678</v>
      </c>
      <c r="AA107" s="51" t="s">
        <v>1679</v>
      </c>
      <c r="AB107" s="51" t="s">
        <v>3664</v>
      </c>
      <c r="AC107" s="51" t="s">
        <v>1674</v>
      </c>
      <c r="AD107" s="59" t="str">
        <f t="shared" si="19"/>
        <v>SDMMC3</v>
      </c>
      <c r="AE107" s="61" t="str">
        <f>IF(LEFT($AD107, 5) = "SDMMC","YES","NO")</f>
        <v>YES</v>
      </c>
      <c r="AF107" s="61" t="str">
        <f t="shared" si="20"/>
        <v>PULL_UP</v>
      </c>
      <c r="AG107" s="61" t="str">
        <f t="shared" si="21"/>
        <v>NORMAL</v>
      </c>
      <c r="AH107" s="61" t="str">
        <f>IF(OR($AQ107=$F107,$AR107="Output"),"DISABLE","ENABLE")</f>
        <v>ENABLE</v>
      </c>
      <c r="AI107" s="67" t="str">
        <f t="shared" si="22"/>
        <v>N/A</v>
      </c>
      <c r="AJ107" s="176" t="b">
        <v>1</v>
      </c>
      <c r="AK107" s="176" t="b">
        <v>1</v>
      </c>
      <c r="AL107" s="176" t="b">
        <v>1</v>
      </c>
      <c r="AM107" s="176" t="b">
        <v>1</v>
      </c>
      <c r="AN107" s="176" t="b">
        <v>1</v>
      </c>
      <c r="AO107" s="176" t="b">
        <v>1</v>
      </c>
      <c r="AP107" s="64" t="str">
        <f t="shared" si="23"/>
        <v>VALID</v>
      </c>
      <c r="AQ107" s="211" t="s">
        <v>28</v>
      </c>
      <c r="AR107" s="182" t="s">
        <v>3501</v>
      </c>
      <c r="AS107" s="181" t="s">
        <v>3497</v>
      </c>
      <c r="AT107" s="5"/>
      <c r="AU107" s="5"/>
      <c r="AV107" s="5"/>
      <c r="AW107" s="5"/>
      <c r="AX107" s="284"/>
      <c r="AY107" s="181"/>
      <c r="AZ107" s="181"/>
      <c r="BA107" s="7"/>
      <c r="BB107" s="212"/>
      <c r="BC107" s="10" t="s">
        <v>3722</v>
      </c>
      <c r="BD107" s="238"/>
      <c r="BE107" s="239"/>
      <c r="BF107" s="239"/>
      <c r="BG107" s="239"/>
      <c r="BH107" s="239"/>
      <c r="BI107" s="239"/>
      <c r="BJ107" s="239"/>
      <c r="BK107" s="239"/>
      <c r="BL107" s="239"/>
      <c r="BM107" s="239"/>
      <c r="BN107" s="239"/>
      <c r="BO107" s="239"/>
      <c r="BP107" s="239"/>
      <c r="BQ107" s="239"/>
      <c r="BR107" s="239"/>
      <c r="BS107" s="239"/>
      <c r="BT107" s="239"/>
      <c r="BU107" s="239"/>
      <c r="BV107" s="239"/>
      <c r="BW107" s="239"/>
      <c r="BX107" s="239"/>
      <c r="BY107" s="239"/>
      <c r="BZ107" s="239"/>
      <c r="CA107" s="239"/>
      <c r="CB107" s="239"/>
      <c r="CC107" s="239"/>
      <c r="CD107" s="239"/>
      <c r="CE107" s="239"/>
    </row>
    <row r="108" spans="1:83" ht="12.95" customHeight="1">
      <c r="A108" s="208"/>
      <c r="B108" s="208"/>
      <c r="C108" s="51" t="s">
        <v>29</v>
      </c>
      <c r="D108" s="52" t="s">
        <v>1870</v>
      </c>
      <c r="E108" s="52" t="s">
        <v>1871</v>
      </c>
      <c r="F108" s="53" t="s">
        <v>144</v>
      </c>
      <c r="G108" s="179"/>
      <c r="H108" s="180" t="s">
        <v>29</v>
      </c>
      <c r="I108" s="55" t="s">
        <v>1429</v>
      </c>
      <c r="J108" s="55" t="s">
        <v>1429</v>
      </c>
      <c r="K108" s="56" t="s">
        <v>1429</v>
      </c>
      <c r="L108" s="54" t="s">
        <v>1580</v>
      </c>
      <c r="M108" s="55" t="s">
        <v>1580</v>
      </c>
      <c r="N108" s="55" t="s">
        <v>1429</v>
      </c>
      <c r="O108" s="55" t="s">
        <v>1429</v>
      </c>
      <c r="P108" s="56" t="s">
        <v>1429</v>
      </c>
      <c r="Q108" s="52" t="s">
        <v>55</v>
      </c>
      <c r="R108" s="52" t="s">
        <v>113</v>
      </c>
      <c r="S108" s="52" t="s">
        <v>99</v>
      </c>
      <c r="T108" s="52" t="s">
        <v>100</v>
      </c>
      <c r="U108" s="57" t="s">
        <v>113</v>
      </c>
      <c r="V108" s="146" t="s">
        <v>1872</v>
      </c>
      <c r="W108" s="51" t="s">
        <v>1866</v>
      </c>
      <c r="X108" s="130" t="s">
        <v>1429</v>
      </c>
      <c r="Y108" s="130" t="s">
        <v>1429</v>
      </c>
      <c r="Z108" s="51" t="s">
        <v>1678</v>
      </c>
      <c r="AA108" s="51" t="s">
        <v>1679</v>
      </c>
      <c r="AB108" s="51" t="s">
        <v>3664</v>
      </c>
      <c r="AC108" s="51" t="s">
        <v>1674</v>
      </c>
      <c r="AD108" s="59" t="str">
        <f t="shared" si="19"/>
        <v>SDMMC3</v>
      </c>
      <c r="AE108" s="61" t="str">
        <f>IF(LEFT($AD108, 5) = "SDMMC","YES","NO")</f>
        <v>YES</v>
      </c>
      <c r="AF108" s="61" t="str">
        <f t="shared" si="20"/>
        <v>PULL_UP</v>
      </c>
      <c r="AG108" s="61" t="str">
        <f t="shared" si="21"/>
        <v>NORMAL</v>
      </c>
      <c r="AH108" s="61" t="str">
        <f>IF(OR($AQ108=$F108,$AR108="Output"),"DISABLE","ENABLE")</f>
        <v>ENABLE</v>
      </c>
      <c r="AI108" s="67" t="str">
        <f t="shared" si="22"/>
        <v>N/A</v>
      </c>
      <c r="AJ108" s="176" t="b">
        <v>1</v>
      </c>
      <c r="AK108" s="176" t="b">
        <v>1</v>
      </c>
      <c r="AL108" s="176" t="b">
        <v>1</v>
      </c>
      <c r="AM108" s="176" t="b">
        <v>1</v>
      </c>
      <c r="AN108" s="176" t="b">
        <v>1</v>
      </c>
      <c r="AO108" s="176" t="b">
        <v>1</v>
      </c>
      <c r="AP108" s="64" t="str">
        <f t="shared" si="23"/>
        <v>VALID</v>
      </c>
      <c r="AQ108" s="211" t="s">
        <v>29</v>
      </c>
      <c r="AR108" s="182" t="s">
        <v>3501</v>
      </c>
      <c r="AS108" s="181" t="s">
        <v>3497</v>
      </c>
      <c r="AT108" s="5"/>
      <c r="AU108" s="5"/>
      <c r="AV108" s="5"/>
      <c r="AW108" s="5"/>
      <c r="AX108" s="284"/>
      <c r="AY108" s="181"/>
      <c r="AZ108" s="181"/>
      <c r="BA108" s="7"/>
      <c r="BB108" s="212"/>
      <c r="BC108" s="10" t="s">
        <v>3723</v>
      </c>
      <c r="BD108" s="238"/>
      <c r="BE108" s="239"/>
      <c r="BF108" s="239"/>
      <c r="BG108" s="239"/>
      <c r="BH108" s="239"/>
      <c r="BI108" s="239"/>
      <c r="BJ108" s="239"/>
      <c r="BK108" s="239"/>
      <c r="BL108" s="239"/>
      <c r="BM108" s="239"/>
      <c r="BN108" s="239"/>
      <c r="BO108" s="239"/>
      <c r="BP108" s="239"/>
      <c r="BQ108" s="239"/>
      <c r="BR108" s="239"/>
      <c r="BS108" s="239"/>
      <c r="BT108" s="239"/>
      <c r="BU108" s="239"/>
      <c r="BV108" s="239"/>
      <c r="BW108" s="239"/>
      <c r="BX108" s="239"/>
      <c r="BY108" s="239"/>
      <c r="BZ108" s="239"/>
      <c r="CA108" s="239"/>
      <c r="CB108" s="239"/>
      <c r="CC108" s="239"/>
      <c r="CD108" s="239"/>
      <c r="CE108" s="239"/>
    </row>
    <row r="109" spans="1:83" ht="12.95" customHeight="1">
      <c r="A109" s="208"/>
      <c r="B109" s="208"/>
      <c r="C109" s="51" t="s">
        <v>30</v>
      </c>
      <c r="D109" s="52" t="s">
        <v>1873</v>
      </c>
      <c r="E109" s="52" t="s">
        <v>1874</v>
      </c>
      <c r="F109" s="53" t="s">
        <v>145</v>
      </c>
      <c r="G109" s="179"/>
      <c r="H109" s="180" t="s">
        <v>30</v>
      </c>
      <c r="I109" s="55" t="s">
        <v>1429</v>
      </c>
      <c r="J109" s="55" t="s">
        <v>1429</v>
      </c>
      <c r="K109" s="56" t="s">
        <v>1429</v>
      </c>
      <c r="L109" s="54" t="s">
        <v>1580</v>
      </c>
      <c r="M109" s="55" t="s">
        <v>1580</v>
      </c>
      <c r="N109" s="55" t="s">
        <v>1429</v>
      </c>
      <c r="O109" s="55" t="s">
        <v>1429</v>
      </c>
      <c r="P109" s="56" t="s">
        <v>1429</v>
      </c>
      <c r="Q109" s="52" t="s">
        <v>55</v>
      </c>
      <c r="R109" s="52" t="s">
        <v>113</v>
      </c>
      <c r="S109" s="52" t="s">
        <v>99</v>
      </c>
      <c r="T109" s="52" t="s">
        <v>100</v>
      </c>
      <c r="U109" s="57" t="s">
        <v>113</v>
      </c>
      <c r="V109" s="146" t="s">
        <v>1875</v>
      </c>
      <c r="W109" s="51" t="s">
        <v>1866</v>
      </c>
      <c r="X109" s="130" t="s">
        <v>1876</v>
      </c>
      <c r="Y109" s="130" t="s">
        <v>1429</v>
      </c>
      <c r="Z109" s="51" t="s">
        <v>1678</v>
      </c>
      <c r="AA109" s="51" t="s">
        <v>1679</v>
      </c>
      <c r="AB109" s="51" t="s">
        <v>3664</v>
      </c>
      <c r="AC109" s="51" t="s">
        <v>1674</v>
      </c>
      <c r="AD109" s="59" t="str">
        <f t="shared" si="19"/>
        <v>SDMMC3</v>
      </c>
      <c r="AE109" s="61" t="str">
        <f>IF(LEFT($AD109, 5) = "SDMMC","YES","NO")</f>
        <v>YES</v>
      </c>
      <c r="AF109" s="61" t="str">
        <f t="shared" si="20"/>
        <v>PULL_UP</v>
      </c>
      <c r="AG109" s="61" t="str">
        <f t="shared" si="21"/>
        <v>NORMAL</v>
      </c>
      <c r="AH109" s="61" t="str">
        <f>IF(OR($AQ109=$F109,$AR109="Output"),"DISABLE","ENABLE")</f>
        <v>ENABLE</v>
      </c>
      <c r="AI109" s="67" t="str">
        <f t="shared" si="22"/>
        <v>N/A</v>
      </c>
      <c r="AJ109" s="176" t="b">
        <v>1</v>
      </c>
      <c r="AK109" s="176" t="b">
        <v>1</v>
      </c>
      <c r="AL109" s="176" t="b">
        <v>1</v>
      </c>
      <c r="AM109" s="176" t="b">
        <v>1</v>
      </c>
      <c r="AN109" s="176" t="b">
        <v>1</v>
      </c>
      <c r="AO109" s="176" t="b">
        <v>1</v>
      </c>
      <c r="AP109" s="64" t="str">
        <f t="shared" si="23"/>
        <v>VALID</v>
      </c>
      <c r="AQ109" s="211" t="s">
        <v>30</v>
      </c>
      <c r="AR109" s="182" t="s">
        <v>3501</v>
      </c>
      <c r="AS109" s="181" t="s">
        <v>3497</v>
      </c>
      <c r="AT109" s="181" t="s">
        <v>104</v>
      </c>
      <c r="AU109" s="5"/>
      <c r="AV109" s="5"/>
      <c r="AW109" s="5"/>
      <c r="AX109" s="284"/>
      <c r="AY109" s="181"/>
      <c r="AZ109" s="181"/>
      <c r="BA109" s="7"/>
      <c r="BB109" s="212"/>
      <c r="BC109" s="10" t="s">
        <v>3724</v>
      </c>
      <c r="BD109" s="238"/>
      <c r="BE109" s="239"/>
      <c r="BF109" s="239"/>
      <c r="BG109" s="239"/>
      <c r="BH109" s="239"/>
      <c r="BI109" s="239"/>
      <c r="BJ109" s="239"/>
      <c r="BK109" s="239"/>
      <c r="BL109" s="239"/>
      <c r="BM109" s="239"/>
      <c r="BN109" s="239"/>
      <c r="BO109" s="239"/>
      <c r="BP109" s="239"/>
      <c r="BQ109" s="239"/>
      <c r="BR109" s="239"/>
      <c r="BS109" s="239"/>
      <c r="BT109" s="239"/>
      <c r="BU109" s="239"/>
      <c r="BV109" s="239"/>
      <c r="BW109" s="239"/>
      <c r="BX109" s="239"/>
      <c r="BY109" s="239"/>
      <c r="BZ109" s="239"/>
      <c r="CA109" s="239"/>
      <c r="CB109" s="239"/>
      <c r="CC109" s="239"/>
      <c r="CD109" s="239"/>
      <c r="CE109" s="239"/>
    </row>
    <row r="110" spans="1:83" ht="12.95" customHeight="1">
      <c r="A110" s="208"/>
      <c r="B110" s="208"/>
      <c r="C110" s="51" t="s">
        <v>31</v>
      </c>
      <c r="D110" s="52" t="s">
        <v>1871</v>
      </c>
      <c r="E110" s="52" t="s">
        <v>1877</v>
      </c>
      <c r="F110" s="53" t="s">
        <v>146</v>
      </c>
      <c r="G110" s="179"/>
      <c r="H110" s="180" t="s">
        <v>31</v>
      </c>
      <c r="I110" s="55" t="s">
        <v>1429</v>
      </c>
      <c r="J110" s="55" t="s">
        <v>1429</v>
      </c>
      <c r="K110" s="56" t="s">
        <v>1429</v>
      </c>
      <c r="L110" s="54" t="s">
        <v>1580</v>
      </c>
      <c r="M110" s="55" t="s">
        <v>1580</v>
      </c>
      <c r="N110" s="55" t="s">
        <v>1429</v>
      </c>
      <c r="O110" s="55" t="s">
        <v>1429</v>
      </c>
      <c r="P110" s="56" t="s">
        <v>1429</v>
      </c>
      <c r="Q110" s="52" t="s">
        <v>55</v>
      </c>
      <c r="R110" s="52" t="s">
        <v>113</v>
      </c>
      <c r="S110" s="52" t="s">
        <v>99</v>
      </c>
      <c r="T110" s="52" t="s">
        <v>100</v>
      </c>
      <c r="U110" s="57" t="s">
        <v>113</v>
      </c>
      <c r="V110" s="146" t="s">
        <v>1878</v>
      </c>
      <c r="W110" s="51" t="s">
        <v>1866</v>
      </c>
      <c r="X110" s="130" t="s">
        <v>1429</v>
      </c>
      <c r="Y110" s="130" t="s">
        <v>1429</v>
      </c>
      <c r="Z110" s="51" t="s">
        <v>1678</v>
      </c>
      <c r="AA110" s="51" t="s">
        <v>1679</v>
      </c>
      <c r="AB110" s="51" t="s">
        <v>3664</v>
      </c>
      <c r="AC110" s="51" t="s">
        <v>1674</v>
      </c>
      <c r="AD110" s="59" t="str">
        <f t="shared" si="19"/>
        <v>SDMMC3</v>
      </c>
      <c r="AE110" s="61" t="str">
        <f>IF(LEFT($AD110, 5) = "SDMMC","YES","NO")</f>
        <v>YES</v>
      </c>
      <c r="AF110" s="61" t="str">
        <f t="shared" si="20"/>
        <v>PULL_UP</v>
      </c>
      <c r="AG110" s="61" t="str">
        <f t="shared" si="21"/>
        <v>NORMAL</v>
      </c>
      <c r="AH110" s="61" t="str">
        <f>IF(OR($AQ110=$F110,$AR110="Output"),"DISABLE","ENABLE")</f>
        <v>ENABLE</v>
      </c>
      <c r="AI110" s="67" t="str">
        <f t="shared" si="22"/>
        <v>N/A</v>
      </c>
      <c r="AJ110" s="176" t="b">
        <v>1</v>
      </c>
      <c r="AK110" s="176" t="b">
        <v>1</v>
      </c>
      <c r="AL110" s="176" t="b">
        <v>1</v>
      </c>
      <c r="AM110" s="176" t="b">
        <v>1</v>
      </c>
      <c r="AN110" s="176" t="b">
        <v>1</v>
      </c>
      <c r="AO110" s="176" t="b">
        <v>1</v>
      </c>
      <c r="AP110" s="64" t="str">
        <f t="shared" si="23"/>
        <v>VALID</v>
      </c>
      <c r="AQ110" s="211" t="s">
        <v>31</v>
      </c>
      <c r="AR110" s="182" t="s">
        <v>3501</v>
      </c>
      <c r="AS110" s="181" t="s">
        <v>3497</v>
      </c>
      <c r="AT110" s="5"/>
      <c r="AU110" s="5"/>
      <c r="AV110" s="5"/>
      <c r="AW110" s="5"/>
      <c r="AX110" s="284"/>
      <c r="AY110" s="181"/>
      <c r="AZ110" s="181"/>
      <c r="BA110" s="7"/>
      <c r="BB110" s="212"/>
      <c r="BC110" s="10" t="s">
        <v>3725</v>
      </c>
      <c r="BD110" s="238"/>
      <c r="BE110" s="239"/>
      <c r="BF110" s="239"/>
      <c r="BG110" s="239"/>
      <c r="BH110" s="239"/>
      <c r="BI110" s="239"/>
      <c r="BJ110" s="239"/>
      <c r="BK110" s="239"/>
      <c r="BL110" s="239"/>
      <c r="BM110" s="239"/>
      <c r="BN110" s="239"/>
      <c r="BO110" s="239"/>
      <c r="BP110" s="239"/>
      <c r="BQ110" s="239"/>
      <c r="BR110" s="239"/>
      <c r="BS110" s="239"/>
      <c r="BT110" s="239"/>
      <c r="BU110" s="239"/>
      <c r="BV110" s="239"/>
      <c r="BW110" s="239"/>
      <c r="BX110" s="239"/>
      <c r="BY110" s="239"/>
      <c r="BZ110" s="239"/>
      <c r="CA110" s="239"/>
      <c r="CB110" s="239"/>
      <c r="CC110" s="239"/>
      <c r="CD110" s="239"/>
      <c r="CE110" s="239"/>
    </row>
    <row r="111" spans="1:83" ht="12.95" customHeight="1">
      <c r="A111" s="208"/>
      <c r="B111" s="208"/>
      <c r="C111" s="51" t="s">
        <v>32</v>
      </c>
      <c r="D111" s="52" t="s">
        <v>1879</v>
      </c>
      <c r="E111" s="52" t="s">
        <v>1880</v>
      </c>
      <c r="F111" s="53" t="s">
        <v>147</v>
      </c>
      <c r="G111" s="179"/>
      <c r="H111" s="180" t="s">
        <v>32</v>
      </c>
      <c r="I111" s="55" t="s">
        <v>1429</v>
      </c>
      <c r="J111" s="55" t="s">
        <v>1429</v>
      </c>
      <c r="K111" s="56" t="s">
        <v>1429</v>
      </c>
      <c r="L111" s="54" t="s">
        <v>1580</v>
      </c>
      <c r="M111" s="55" t="s">
        <v>1580</v>
      </c>
      <c r="N111" s="55" t="s">
        <v>1429</v>
      </c>
      <c r="O111" s="55" t="s">
        <v>1429</v>
      </c>
      <c r="P111" s="56" t="s">
        <v>1429</v>
      </c>
      <c r="Q111" s="52" t="s">
        <v>55</v>
      </c>
      <c r="R111" s="52" t="s">
        <v>113</v>
      </c>
      <c r="S111" s="52" t="s">
        <v>99</v>
      </c>
      <c r="T111" s="52" t="s">
        <v>100</v>
      </c>
      <c r="U111" s="57" t="s">
        <v>113</v>
      </c>
      <c r="V111" s="146" t="s">
        <v>1881</v>
      </c>
      <c r="W111" s="51" t="s">
        <v>1866</v>
      </c>
      <c r="X111" s="130" t="s">
        <v>1429</v>
      </c>
      <c r="Y111" s="130" t="s">
        <v>1429</v>
      </c>
      <c r="Z111" s="51" t="s">
        <v>1678</v>
      </c>
      <c r="AA111" s="51" t="s">
        <v>1679</v>
      </c>
      <c r="AB111" s="51" t="s">
        <v>3664</v>
      </c>
      <c r="AC111" s="51" t="s">
        <v>1674</v>
      </c>
      <c r="AD111" s="59" t="str">
        <f t="shared" si="19"/>
        <v>SDMMC3</v>
      </c>
      <c r="AE111" s="61" t="str">
        <f>IF($AQ111=$H111,"YES","NO")</f>
        <v>YES</v>
      </c>
      <c r="AF111" s="61" t="str">
        <f t="shared" si="20"/>
        <v>PULL_UP</v>
      </c>
      <c r="AG111" s="61" t="str">
        <f t="shared" si="21"/>
        <v>NORMAL</v>
      </c>
      <c r="AH111" s="61" t="str">
        <f>IF(OR($AQ111=$F111,$AR111="Output"),"DISABLE","ENABLE")</f>
        <v>ENABLE</v>
      </c>
      <c r="AI111" s="67" t="str">
        <f t="shared" si="22"/>
        <v>N/A</v>
      </c>
      <c r="AJ111" s="176" t="b">
        <v>1</v>
      </c>
      <c r="AK111" s="176" t="b">
        <v>1</v>
      </c>
      <c r="AL111" s="176" t="b">
        <v>1</v>
      </c>
      <c r="AM111" s="176" t="b">
        <v>1</v>
      </c>
      <c r="AN111" s="176" t="b">
        <v>1</v>
      </c>
      <c r="AO111" s="176" t="b">
        <v>1</v>
      </c>
      <c r="AP111" s="64" t="str">
        <f t="shared" si="23"/>
        <v>VALID</v>
      </c>
      <c r="AQ111" s="211" t="s">
        <v>32</v>
      </c>
      <c r="AR111" s="182" t="s">
        <v>3501</v>
      </c>
      <c r="AS111" s="181" t="s">
        <v>3497</v>
      </c>
      <c r="AT111" s="5"/>
      <c r="AU111" s="5"/>
      <c r="AV111" s="5"/>
      <c r="AW111" s="5"/>
      <c r="AX111" s="284"/>
      <c r="AY111" s="181"/>
      <c r="AZ111" s="181"/>
      <c r="BA111" s="7"/>
      <c r="BB111" s="212"/>
      <c r="BC111" s="10" t="s">
        <v>3726</v>
      </c>
      <c r="BD111" s="238"/>
      <c r="BE111" s="239"/>
      <c r="BF111" s="239"/>
      <c r="BG111" s="239"/>
      <c r="BH111" s="239"/>
      <c r="BI111" s="239"/>
      <c r="BJ111" s="239"/>
      <c r="BK111" s="239"/>
      <c r="BL111" s="239"/>
      <c r="BM111" s="239"/>
      <c r="BN111" s="239"/>
      <c r="BO111" s="239"/>
      <c r="BP111" s="239"/>
      <c r="BQ111" s="239"/>
      <c r="BR111" s="239"/>
      <c r="BS111" s="239"/>
      <c r="BT111" s="239"/>
      <c r="BU111" s="239"/>
      <c r="BV111" s="239"/>
      <c r="BW111" s="239"/>
      <c r="BX111" s="239"/>
      <c r="BY111" s="239"/>
      <c r="BZ111" s="239"/>
      <c r="CA111" s="239"/>
      <c r="CB111" s="239"/>
      <c r="CC111" s="239"/>
      <c r="CD111" s="239"/>
      <c r="CE111" s="239"/>
    </row>
    <row r="112" spans="1:83" ht="12.95" customHeight="1">
      <c r="A112" s="1"/>
      <c r="B112" s="1"/>
      <c r="C112" s="51" t="s">
        <v>367</v>
      </c>
      <c r="D112" s="52" t="s">
        <v>1882</v>
      </c>
      <c r="E112" s="52" t="s">
        <v>1883</v>
      </c>
      <c r="F112" s="53" t="s">
        <v>532</v>
      </c>
      <c r="G112" s="179" t="s">
        <v>1429</v>
      </c>
      <c r="H112" s="180" t="s">
        <v>367</v>
      </c>
      <c r="I112" s="55" t="s">
        <v>1429</v>
      </c>
      <c r="J112" s="55" t="s">
        <v>1429</v>
      </c>
      <c r="K112" s="56" t="s">
        <v>1429</v>
      </c>
      <c r="L112" s="54" t="s">
        <v>1429</v>
      </c>
      <c r="M112" s="55" t="s">
        <v>1580</v>
      </c>
      <c r="N112" s="55" t="s">
        <v>1429</v>
      </c>
      <c r="O112" s="55" t="s">
        <v>1429</v>
      </c>
      <c r="P112" s="56" t="s">
        <v>1429</v>
      </c>
      <c r="Q112" s="52" t="s">
        <v>55</v>
      </c>
      <c r="R112" s="52" t="s">
        <v>113</v>
      </c>
      <c r="S112" s="52" t="s">
        <v>99</v>
      </c>
      <c r="T112" s="52" t="s">
        <v>100</v>
      </c>
      <c r="U112" s="57" t="s">
        <v>113</v>
      </c>
      <c r="V112" s="189" t="s">
        <v>1884</v>
      </c>
      <c r="W112" s="75"/>
      <c r="X112" s="132"/>
      <c r="Y112" s="132"/>
      <c r="Z112" s="8"/>
      <c r="AA112" s="8"/>
      <c r="AB112" s="8"/>
      <c r="AC112" s="8"/>
      <c r="AD112" s="144"/>
      <c r="AE112" s="76"/>
      <c r="AF112" s="76"/>
      <c r="AG112" s="76"/>
      <c r="AH112" s="76"/>
      <c r="AI112" s="77"/>
      <c r="AJ112" s="176" t="b">
        <v>1</v>
      </c>
      <c r="AK112" s="176" t="b">
        <v>1</v>
      </c>
      <c r="AL112" s="176" t="b">
        <v>1</v>
      </c>
      <c r="AM112" s="176" t="b">
        <v>1</v>
      </c>
      <c r="AN112" s="176" t="b">
        <v>1</v>
      </c>
      <c r="AO112" s="176" t="b">
        <v>1</v>
      </c>
      <c r="AP112" s="64" t="str">
        <f t="shared" si="23"/>
        <v>VALID</v>
      </c>
      <c r="AQ112" s="211" t="s">
        <v>367</v>
      </c>
      <c r="AR112" s="212"/>
      <c r="AS112" s="212"/>
      <c r="AT112" s="212"/>
      <c r="AU112" s="212"/>
      <c r="AV112" s="212"/>
      <c r="AW112" s="212"/>
      <c r="AX112" s="290"/>
      <c r="AY112" s="181"/>
      <c r="AZ112" s="181"/>
      <c r="BA112" s="223"/>
      <c r="BB112" s="212"/>
      <c r="BC112" s="10" t="s">
        <v>3782</v>
      </c>
      <c r="BD112" s="248"/>
      <c r="BE112" s="239"/>
      <c r="BF112" s="239"/>
      <c r="BG112" s="239"/>
      <c r="BH112" s="239"/>
      <c r="BI112" s="239"/>
      <c r="BJ112" s="239"/>
      <c r="BK112" s="239"/>
      <c r="BL112" s="239"/>
      <c r="BM112" s="239"/>
      <c r="BN112" s="239"/>
      <c r="BO112" s="239"/>
      <c r="BP112" s="239"/>
      <c r="BQ112" s="239"/>
      <c r="BR112" s="239"/>
      <c r="BS112" s="239"/>
      <c r="BT112" s="239"/>
      <c r="BU112" s="239"/>
      <c r="BV112" s="239"/>
      <c r="BW112" s="239"/>
      <c r="BX112" s="239"/>
      <c r="BY112" s="239"/>
      <c r="BZ112" s="239"/>
      <c r="CA112" s="239"/>
      <c r="CB112" s="239"/>
      <c r="CC112" s="239"/>
      <c r="CD112" s="239"/>
      <c r="CE112" s="239"/>
    </row>
    <row r="113" spans="1:83" s="50" customFormat="1" ht="18" customHeight="1">
      <c r="A113" s="171" t="s">
        <v>3929</v>
      </c>
      <c r="B113" s="171"/>
      <c r="C113" s="171"/>
      <c r="D113" s="69"/>
      <c r="E113" s="69"/>
      <c r="F113" s="69"/>
      <c r="G113" s="70"/>
      <c r="H113" s="70"/>
      <c r="I113" s="70"/>
      <c r="J113" s="70"/>
      <c r="K113" s="70"/>
      <c r="L113" s="69"/>
      <c r="M113" s="69"/>
      <c r="N113" s="69"/>
      <c r="O113" s="69"/>
      <c r="P113" s="69"/>
      <c r="Q113" s="69"/>
      <c r="R113" s="69"/>
      <c r="S113" s="69"/>
      <c r="T113" s="69"/>
      <c r="U113" s="69"/>
      <c r="V113" s="69"/>
      <c r="W113" s="320"/>
      <c r="X113" s="321"/>
      <c r="Y113" s="321"/>
      <c r="Z113" s="322"/>
      <c r="AA113" s="322"/>
      <c r="AB113" s="322"/>
      <c r="AC113" s="322"/>
      <c r="AD113" s="322"/>
      <c r="AE113" s="322"/>
      <c r="AF113" s="322"/>
      <c r="AG113" s="322"/>
      <c r="AH113" s="322"/>
      <c r="AI113" s="322"/>
      <c r="AJ113" s="47" t="b">
        <v>0</v>
      </c>
      <c r="AK113" s="47"/>
      <c r="AL113" s="47"/>
      <c r="AM113" s="47"/>
      <c r="AN113" s="47"/>
      <c r="AO113" s="47"/>
      <c r="AP113" s="47"/>
      <c r="AQ113" s="332"/>
      <c r="AR113" s="332"/>
      <c r="AS113" s="333"/>
      <c r="AT113" s="333"/>
      <c r="AU113" s="333"/>
      <c r="AV113" s="333"/>
      <c r="AW113" s="333"/>
      <c r="AX113" s="333"/>
      <c r="AY113" s="333"/>
      <c r="AZ113" s="333"/>
      <c r="BA113" s="333"/>
      <c r="BB113" s="334" t="s">
        <v>49</v>
      </c>
      <c r="BC113" s="314"/>
      <c r="BD113" s="184"/>
      <c r="BE113" s="243"/>
      <c r="BF113" s="243"/>
      <c r="BG113" s="243"/>
      <c r="BH113" s="243"/>
      <c r="BI113" s="243"/>
      <c r="BJ113" s="243"/>
      <c r="BK113" s="243"/>
      <c r="BL113" s="243"/>
      <c r="BM113" s="243"/>
      <c r="BN113" s="243"/>
      <c r="BO113" s="243"/>
      <c r="BP113" s="243"/>
      <c r="BQ113" s="243"/>
      <c r="BR113" s="243"/>
      <c r="BS113" s="243"/>
      <c r="BT113" s="243"/>
      <c r="BU113" s="243"/>
      <c r="BV113" s="243"/>
      <c r="BW113" s="243"/>
      <c r="BX113" s="243"/>
      <c r="BY113" s="243"/>
      <c r="BZ113" s="243"/>
      <c r="CA113" s="243"/>
      <c r="CB113" s="243"/>
      <c r="CC113" s="243"/>
      <c r="CD113" s="243"/>
      <c r="CE113" s="243"/>
    </row>
    <row r="114" spans="1:83" ht="12.95" customHeight="1">
      <c r="A114" s="1"/>
      <c r="B114" s="1"/>
      <c r="C114" s="51" t="s">
        <v>3930</v>
      </c>
      <c r="D114" s="52" t="s">
        <v>3590</v>
      </c>
      <c r="E114" s="339" t="s">
        <v>3931</v>
      </c>
      <c r="F114" s="53" t="s">
        <v>3932</v>
      </c>
      <c r="G114" s="180" t="s">
        <v>1429</v>
      </c>
      <c r="H114" s="180" t="s">
        <v>3930</v>
      </c>
      <c r="I114" s="55" t="s">
        <v>1429</v>
      </c>
      <c r="J114" s="55" t="s">
        <v>1429</v>
      </c>
      <c r="K114" s="55" t="s">
        <v>1429</v>
      </c>
      <c r="L114" s="55" t="s">
        <v>1429</v>
      </c>
      <c r="M114" s="55" t="s">
        <v>1581</v>
      </c>
      <c r="N114" s="55" t="s">
        <v>1429</v>
      </c>
      <c r="O114" s="55" t="s">
        <v>1429</v>
      </c>
      <c r="P114" s="55" t="s">
        <v>1429</v>
      </c>
      <c r="Q114" s="52" t="s">
        <v>3929</v>
      </c>
      <c r="R114" s="52" t="s">
        <v>113</v>
      </c>
      <c r="S114" s="52" t="s">
        <v>99</v>
      </c>
      <c r="T114" s="52" t="s">
        <v>100</v>
      </c>
      <c r="U114" s="57" t="s">
        <v>113</v>
      </c>
      <c r="V114" s="113" t="s">
        <v>3933</v>
      </c>
      <c r="W114" s="329" t="s">
        <v>3934</v>
      </c>
      <c r="X114" s="330" t="s">
        <v>1429</v>
      </c>
      <c r="Y114" s="330" t="s">
        <v>1429</v>
      </c>
      <c r="Z114" s="331" t="s">
        <v>3935</v>
      </c>
      <c r="AA114" s="331" t="s">
        <v>3936</v>
      </c>
      <c r="AB114" s="331" t="s">
        <v>3937</v>
      </c>
      <c r="AC114" s="331">
        <v>0</v>
      </c>
      <c r="AD114" s="331" t="s">
        <v>3929</v>
      </c>
      <c r="AE114" s="331"/>
      <c r="AF114" s="331" t="s">
        <v>3835</v>
      </c>
      <c r="AG114" s="331" t="s">
        <v>3835</v>
      </c>
      <c r="AH114" s="331" t="s">
        <v>3876</v>
      </c>
      <c r="AI114" s="331" t="s">
        <v>1476</v>
      </c>
      <c r="AJ114" s="312" t="b">
        <v>1</v>
      </c>
      <c r="AK114" s="312" t="b">
        <v>1</v>
      </c>
      <c r="AL114" s="312" t="b">
        <v>1</v>
      </c>
      <c r="AM114" s="312" t="b">
        <v>1</v>
      </c>
      <c r="AN114" s="312" t="b">
        <v>1</v>
      </c>
      <c r="AO114" s="312" t="b">
        <v>1</v>
      </c>
      <c r="AP114" s="61" t="s">
        <v>3837</v>
      </c>
      <c r="AQ114" s="335" t="s">
        <v>3930</v>
      </c>
      <c r="AR114" s="336" t="s">
        <v>3495</v>
      </c>
      <c r="AS114" s="337" t="s">
        <v>1429</v>
      </c>
      <c r="AT114" s="338"/>
      <c r="AU114" s="338"/>
      <c r="AV114" s="338"/>
      <c r="AW114" s="338"/>
      <c r="AX114" s="338"/>
      <c r="AY114" s="337" t="s">
        <v>1429</v>
      </c>
      <c r="AZ114" s="337" t="s">
        <v>1429</v>
      </c>
      <c r="BA114" s="338" t="s">
        <v>1429</v>
      </c>
      <c r="BB114" s="338"/>
      <c r="BC114" s="181" t="s">
        <v>3930</v>
      </c>
      <c r="BD114" s="313"/>
      <c r="BE114" s="239"/>
      <c r="BF114" s="239"/>
      <c r="BG114" s="239"/>
      <c r="BH114" s="239"/>
      <c r="BI114" s="239"/>
      <c r="BJ114" s="239"/>
      <c r="BK114" s="239"/>
      <c r="BL114" s="239"/>
      <c r="BM114" s="239"/>
      <c r="BN114" s="239"/>
      <c r="BO114" s="239"/>
      <c r="BP114" s="239"/>
      <c r="BQ114" s="239"/>
      <c r="BR114" s="239"/>
      <c r="BS114" s="239"/>
      <c r="BT114" s="239"/>
      <c r="BU114" s="239"/>
      <c r="BV114" s="239"/>
      <c r="BW114" s="239"/>
      <c r="BX114" s="239"/>
      <c r="BY114" s="239"/>
      <c r="BZ114" s="239"/>
      <c r="CA114" s="239"/>
      <c r="CB114" s="239"/>
      <c r="CC114" s="239"/>
      <c r="CD114" s="239"/>
      <c r="CE114" s="239"/>
    </row>
    <row r="115" spans="1:83" ht="12.95" customHeight="1">
      <c r="A115" s="1"/>
      <c r="B115" s="1"/>
      <c r="C115" s="51" t="s">
        <v>3938</v>
      </c>
      <c r="D115" s="52" t="s">
        <v>3591</v>
      </c>
      <c r="E115" s="58" t="s">
        <v>3939</v>
      </c>
      <c r="F115" s="53" t="s">
        <v>3940</v>
      </c>
      <c r="G115" s="180" t="s">
        <v>1429</v>
      </c>
      <c r="H115" s="180" t="s">
        <v>3938</v>
      </c>
      <c r="I115" s="55" t="s">
        <v>1429</v>
      </c>
      <c r="J115" s="55" t="s">
        <v>1429</v>
      </c>
      <c r="K115" s="55" t="s">
        <v>1429</v>
      </c>
      <c r="L115" s="55" t="s">
        <v>1429</v>
      </c>
      <c r="M115" s="55" t="s">
        <v>1580</v>
      </c>
      <c r="N115" s="55" t="s">
        <v>1429</v>
      </c>
      <c r="O115" s="55" t="s">
        <v>1429</v>
      </c>
      <c r="P115" s="55" t="s">
        <v>1429</v>
      </c>
      <c r="Q115" s="52" t="s">
        <v>3929</v>
      </c>
      <c r="R115" s="52" t="s">
        <v>113</v>
      </c>
      <c r="S115" s="52" t="s">
        <v>99</v>
      </c>
      <c r="T115" s="52" t="s">
        <v>100</v>
      </c>
      <c r="U115" s="57" t="s">
        <v>113</v>
      </c>
      <c r="V115" s="113" t="s">
        <v>3941</v>
      </c>
      <c r="W115" s="329" t="s">
        <v>3934</v>
      </c>
      <c r="X115" s="330" t="s">
        <v>1429</v>
      </c>
      <c r="Y115" s="330" t="s">
        <v>1429</v>
      </c>
      <c r="Z115" s="331" t="s">
        <v>3935</v>
      </c>
      <c r="AA115" s="331" t="s">
        <v>3936</v>
      </c>
      <c r="AB115" s="331" t="s">
        <v>3937</v>
      </c>
      <c r="AC115" s="331" t="s">
        <v>1674</v>
      </c>
      <c r="AD115" s="331" t="s">
        <v>3929</v>
      </c>
      <c r="AE115" s="331" t="s">
        <v>3942</v>
      </c>
      <c r="AF115" s="331" t="s">
        <v>3918</v>
      </c>
      <c r="AG115" s="331" t="s">
        <v>3835</v>
      </c>
      <c r="AH115" s="331" t="s">
        <v>3876</v>
      </c>
      <c r="AI115" s="331" t="s">
        <v>1476</v>
      </c>
      <c r="AJ115" s="312" t="b">
        <v>1</v>
      </c>
      <c r="AK115" s="312" t="b">
        <v>1</v>
      </c>
      <c r="AL115" s="312" t="b">
        <v>1</v>
      </c>
      <c r="AM115" s="312" t="b">
        <v>1</v>
      </c>
      <c r="AN115" s="312" t="b">
        <v>1</v>
      </c>
      <c r="AO115" s="312" t="b">
        <v>1</v>
      </c>
      <c r="AP115" s="61" t="s">
        <v>3837</v>
      </c>
      <c r="AQ115" s="335" t="s">
        <v>3938</v>
      </c>
      <c r="AR115" s="336" t="s">
        <v>3501</v>
      </c>
      <c r="AS115" s="337" t="s">
        <v>1429</v>
      </c>
      <c r="AT115" s="338"/>
      <c r="AU115" s="338"/>
      <c r="AV115" s="338"/>
      <c r="AW115" s="338"/>
      <c r="AX115" s="338"/>
      <c r="AY115" s="337" t="s">
        <v>1429</v>
      </c>
      <c r="AZ115" s="337" t="s">
        <v>1429</v>
      </c>
      <c r="BA115" s="338" t="s">
        <v>1429</v>
      </c>
      <c r="BB115" s="338"/>
      <c r="BC115" s="181" t="s">
        <v>3938</v>
      </c>
      <c r="BD115" s="313"/>
      <c r="BE115" s="239"/>
      <c r="BF115" s="239"/>
      <c r="BG115" s="239"/>
      <c r="BH115" s="239"/>
      <c r="BI115" s="239"/>
      <c r="BJ115" s="239"/>
      <c r="BK115" s="239"/>
      <c r="BL115" s="239"/>
      <c r="BM115" s="239"/>
      <c r="BN115" s="239"/>
      <c r="BO115" s="239"/>
      <c r="BP115" s="239"/>
      <c r="BQ115" s="239"/>
      <c r="BR115" s="239"/>
      <c r="BS115" s="239"/>
      <c r="BT115" s="239"/>
      <c r="BU115" s="239"/>
      <c r="BV115" s="239"/>
      <c r="BW115" s="239"/>
      <c r="BX115" s="239"/>
      <c r="BY115" s="239"/>
      <c r="BZ115" s="239"/>
      <c r="CA115" s="239"/>
      <c r="CB115" s="239"/>
      <c r="CC115" s="239"/>
      <c r="CD115" s="239"/>
      <c r="CE115" s="239"/>
    </row>
    <row r="116" spans="1:83" ht="12.95" customHeight="1">
      <c r="A116" s="1"/>
      <c r="B116" s="1"/>
      <c r="C116" s="51" t="s">
        <v>3943</v>
      </c>
      <c r="D116" s="52" t="s">
        <v>3944</v>
      </c>
      <c r="E116" s="58" t="s">
        <v>1885</v>
      </c>
      <c r="F116" s="53" t="s">
        <v>3945</v>
      </c>
      <c r="G116" s="180" t="s">
        <v>1429</v>
      </c>
      <c r="H116" s="180" t="s">
        <v>3943</v>
      </c>
      <c r="I116" s="55" t="s">
        <v>1429</v>
      </c>
      <c r="J116" s="55" t="s">
        <v>1429</v>
      </c>
      <c r="K116" s="55" t="s">
        <v>1429</v>
      </c>
      <c r="L116" s="55" t="s">
        <v>1429</v>
      </c>
      <c r="M116" s="55" t="s">
        <v>1580</v>
      </c>
      <c r="N116" s="55" t="s">
        <v>1429</v>
      </c>
      <c r="O116" s="55" t="s">
        <v>1429</v>
      </c>
      <c r="P116" s="55" t="s">
        <v>1429</v>
      </c>
      <c r="Q116" s="52" t="s">
        <v>3929</v>
      </c>
      <c r="R116" s="52" t="s">
        <v>113</v>
      </c>
      <c r="S116" s="52" t="s">
        <v>99</v>
      </c>
      <c r="T116" s="52" t="s">
        <v>100</v>
      </c>
      <c r="U116" s="57" t="s">
        <v>113</v>
      </c>
      <c r="V116" s="113" t="s">
        <v>3946</v>
      </c>
      <c r="W116" s="329" t="s">
        <v>3934</v>
      </c>
      <c r="X116" s="330" t="s">
        <v>1429</v>
      </c>
      <c r="Y116" s="330" t="s">
        <v>1429</v>
      </c>
      <c r="Z116" s="331" t="s">
        <v>3935</v>
      </c>
      <c r="AA116" s="331" t="s">
        <v>3936</v>
      </c>
      <c r="AB116" s="331" t="s">
        <v>3937</v>
      </c>
      <c r="AC116" s="331" t="s">
        <v>1674</v>
      </c>
      <c r="AD116" s="331" t="s">
        <v>3929</v>
      </c>
      <c r="AE116" s="331" t="s">
        <v>3942</v>
      </c>
      <c r="AF116" s="331" t="s">
        <v>3918</v>
      </c>
      <c r="AG116" s="331" t="s">
        <v>3835</v>
      </c>
      <c r="AH116" s="331" t="s">
        <v>3876</v>
      </c>
      <c r="AI116" s="331" t="s">
        <v>1476</v>
      </c>
      <c r="AJ116" s="312" t="b">
        <v>1</v>
      </c>
      <c r="AK116" s="312" t="b">
        <v>1</v>
      </c>
      <c r="AL116" s="312" t="b">
        <v>1</v>
      </c>
      <c r="AM116" s="312" t="b">
        <v>1</v>
      </c>
      <c r="AN116" s="312" t="b">
        <v>1</v>
      </c>
      <c r="AO116" s="312" t="b">
        <v>1</v>
      </c>
      <c r="AP116" s="61" t="s">
        <v>3837</v>
      </c>
      <c r="AQ116" s="335" t="s">
        <v>3943</v>
      </c>
      <c r="AR116" s="336" t="s">
        <v>3501</v>
      </c>
      <c r="AS116" s="337" t="s">
        <v>3497</v>
      </c>
      <c r="AT116" s="338"/>
      <c r="AU116" s="338"/>
      <c r="AV116" s="338"/>
      <c r="AW116" s="338"/>
      <c r="AX116" s="338"/>
      <c r="AY116" s="337" t="s">
        <v>1429</v>
      </c>
      <c r="AZ116" s="337" t="s">
        <v>1429</v>
      </c>
      <c r="BA116" s="338" t="s">
        <v>1429</v>
      </c>
      <c r="BB116" s="338"/>
      <c r="BC116" s="181" t="s">
        <v>3943</v>
      </c>
      <c r="BD116" s="313"/>
      <c r="BE116" s="239"/>
      <c r="BF116" s="239"/>
      <c r="BG116" s="239"/>
      <c r="BH116" s="239"/>
      <c r="BI116" s="239"/>
      <c r="BJ116" s="239"/>
      <c r="BK116" s="239"/>
      <c r="BL116" s="239"/>
      <c r="BM116" s="239"/>
      <c r="BN116" s="239"/>
      <c r="BO116" s="239"/>
      <c r="BP116" s="239"/>
      <c r="BQ116" s="239"/>
      <c r="BR116" s="239"/>
      <c r="BS116" s="239"/>
      <c r="BT116" s="239"/>
      <c r="BU116" s="239"/>
      <c r="BV116" s="239"/>
      <c r="BW116" s="239"/>
      <c r="BX116" s="239"/>
      <c r="BY116" s="239"/>
      <c r="BZ116" s="239"/>
      <c r="CA116" s="239"/>
      <c r="CB116" s="239"/>
      <c r="CC116" s="239"/>
      <c r="CD116" s="239"/>
      <c r="CE116" s="239"/>
    </row>
    <row r="117" spans="1:83" ht="12.95" customHeight="1">
      <c r="A117" s="1"/>
      <c r="B117" s="1"/>
      <c r="C117" s="51" t="s">
        <v>3947</v>
      </c>
      <c r="D117" s="52" t="s">
        <v>3948</v>
      </c>
      <c r="E117" s="58" t="s">
        <v>3949</v>
      </c>
      <c r="F117" s="53" t="s">
        <v>3950</v>
      </c>
      <c r="G117" s="180" t="s">
        <v>1429</v>
      </c>
      <c r="H117" s="180" t="s">
        <v>3947</v>
      </c>
      <c r="I117" s="55" t="s">
        <v>1429</v>
      </c>
      <c r="J117" s="55" t="s">
        <v>1429</v>
      </c>
      <c r="K117" s="55" t="s">
        <v>1429</v>
      </c>
      <c r="L117" s="55" t="s">
        <v>1429</v>
      </c>
      <c r="M117" s="55" t="s">
        <v>1580</v>
      </c>
      <c r="N117" s="55" t="s">
        <v>1429</v>
      </c>
      <c r="O117" s="55" t="s">
        <v>1429</v>
      </c>
      <c r="P117" s="55" t="s">
        <v>1429</v>
      </c>
      <c r="Q117" s="52" t="s">
        <v>3929</v>
      </c>
      <c r="R117" s="52" t="s">
        <v>113</v>
      </c>
      <c r="S117" s="52" t="s">
        <v>99</v>
      </c>
      <c r="T117" s="52" t="s">
        <v>100</v>
      </c>
      <c r="U117" s="57" t="s">
        <v>113</v>
      </c>
      <c r="V117" s="113" t="s">
        <v>3951</v>
      </c>
      <c r="W117" s="329" t="s">
        <v>3934</v>
      </c>
      <c r="X117" s="330" t="s">
        <v>3952</v>
      </c>
      <c r="Y117" s="330" t="s">
        <v>1429</v>
      </c>
      <c r="Z117" s="331" t="s">
        <v>3935</v>
      </c>
      <c r="AA117" s="331" t="s">
        <v>3936</v>
      </c>
      <c r="AB117" s="331" t="s">
        <v>3937</v>
      </c>
      <c r="AC117" s="331" t="s">
        <v>1674</v>
      </c>
      <c r="AD117" s="331" t="s">
        <v>3929</v>
      </c>
      <c r="AE117" s="331" t="s">
        <v>3942</v>
      </c>
      <c r="AF117" s="331" t="s">
        <v>3918</v>
      </c>
      <c r="AG117" s="331" t="s">
        <v>3835</v>
      </c>
      <c r="AH117" s="331" t="s">
        <v>3876</v>
      </c>
      <c r="AI117" s="331" t="s">
        <v>1476</v>
      </c>
      <c r="AJ117" s="312" t="b">
        <v>1</v>
      </c>
      <c r="AK117" s="312" t="b">
        <v>1</v>
      </c>
      <c r="AL117" s="312" t="b">
        <v>1</v>
      </c>
      <c r="AM117" s="312" t="b">
        <v>1</v>
      </c>
      <c r="AN117" s="312" t="b">
        <v>1</v>
      </c>
      <c r="AO117" s="312" t="b">
        <v>1</v>
      </c>
      <c r="AP117" s="61" t="s">
        <v>3837</v>
      </c>
      <c r="AQ117" s="335" t="s">
        <v>3947</v>
      </c>
      <c r="AR117" s="336" t="s">
        <v>3501</v>
      </c>
      <c r="AS117" s="337" t="s">
        <v>3497</v>
      </c>
      <c r="AT117" s="337" t="s">
        <v>104</v>
      </c>
      <c r="AU117" s="338"/>
      <c r="AV117" s="338"/>
      <c r="AW117" s="338"/>
      <c r="AX117" s="338"/>
      <c r="AY117" s="337" t="s">
        <v>1429</v>
      </c>
      <c r="AZ117" s="337" t="s">
        <v>1429</v>
      </c>
      <c r="BA117" s="338" t="s">
        <v>1429</v>
      </c>
      <c r="BB117" s="338"/>
      <c r="BC117" s="181" t="s">
        <v>3947</v>
      </c>
      <c r="BD117" s="313"/>
      <c r="BE117" s="239"/>
      <c r="BF117" s="239"/>
      <c r="BG117" s="239"/>
      <c r="BH117" s="239"/>
      <c r="BI117" s="239"/>
      <c r="BJ117" s="239"/>
      <c r="BK117" s="239"/>
      <c r="BL117" s="239"/>
      <c r="BM117" s="239"/>
      <c r="BN117" s="239"/>
      <c r="BO117" s="239"/>
      <c r="BP117" s="239"/>
      <c r="BQ117" s="239"/>
      <c r="BR117" s="239"/>
      <c r="BS117" s="239"/>
      <c r="BT117" s="239"/>
      <c r="BU117" s="239"/>
      <c r="BV117" s="239"/>
      <c r="BW117" s="239"/>
      <c r="BX117" s="239"/>
      <c r="BY117" s="239"/>
      <c r="BZ117" s="239"/>
      <c r="CA117" s="239"/>
      <c r="CB117" s="239"/>
      <c r="CC117" s="239"/>
      <c r="CD117" s="239"/>
      <c r="CE117" s="239"/>
    </row>
    <row r="118" spans="1:83" ht="12.95" customHeight="1">
      <c r="A118" s="1"/>
      <c r="B118" s="1"/>
      <c r="C118" s="51" t="s">
        <v>3953</v>
      </c>
      <c r="D118" s="52" t="s">
        <v>3954</v>
      </c>
      <c r="E118" s="58" t="s">
        <v>3591</v>
      </c>
      <c r="F118" s="53" t="s">
        <v>3955</v>
      </c>
      <c r="G118" s="180" t="s">
        <v>1429</v>
      </c>
      <c r="H118" s="180" t="s">
        <v>3953</v>
      </c>
      <c r="I118" s="55" t="s">
        <v>1429</v>
      </c>
      <c r="J118" s="55" t="s">
        <v>1429</v>
      </c>
      <c r="K118" s="55" t="s">
        <v>1429</v>
      </c>
      <c r="L118" s="55" t="s">
        <v>1429</v>
      </c>
      <c r="M118" s="55" t="s">
        <v>1580</v>
      </c>
      <c r="N118" s="55" t="s">
        <v>1429</v>
      </c>
      <c r="O118" s="55" t="s">
        <v>1429</v>
      </c>
      <c r="P118" s="55" t="s">
        <v>1429</v>
      </c>
      <c r="Q118" s="52" t="s">
        <v>3929</v>
      </c>
      <c r="R118" s="52" t="s">
        <v>113</v>
      </c>
      <c r="S118" s="52" t="s">
        <v>99</v>
      </c>
      <c r="T118" s="52" t="s">
        <v>100</v>
      </c>
      <c r="U118" s="57" t="s">
        <v>113</v>
      </c>
      <c r="V118" s="113" t="s">
        <v>3956</v>
      </c>
      <c r="W118" s="329" t="s">
        <v>3934</v>
      </c>
      <c r="X118" s="330" t="s">
        <v>1429</v>
      </c>
      <c r="Y118" s="330" t="s">
        <v>1429</v>
      </c>
      <c r="Z118" s="331" t="s">
        <v>3935</v>
      </c>
      <c r="AA118" s="331" t="s">
        <v>3936</v>
      </c>
      <c r="AB118" s="331" t="s">
        <v>3937</v>
      </c>
      <c r="AC118" s="331" t="s">
        <v>1674</v>
      </c>
      <c r="AD118" s="331" t="s">
        <v>3929</v>
      </c>
      <c r="AE118" s="331" t="s">
        <v>3942</v>
      </c>
      <c r="AF118" s="331" t="s">
        <v>3918</v>
      </c>
      <c r="AG118" s="331" t="s">
        <v>3835</v>
      </c>
      <c r="AH118" s="331" t="s">
        <v>3876</v>
      </c>
      <c r="AI118" s="331" t="s">
        <v>1476</v>
      </c>
      <c r="AJ118" s="312" t="b">
        <v>1</v>
      </c>
      <c r="AK118" s="312" t="b">
        <v>1</v>
      </c>
      <c r="AL118" s="312" t="b">
        <v>1</v>
      </c>
      <c r="AM118" s="312" t="b">
        <v>1</v>
      </c>
      <c r="AN118" s="312" t="b">
        <v>1</v>
      </c>
      <c r="AO118" s="312" t="b">
        <v>1</v>
      </c>
      <c r="AP118" s="61" t="s">
        <v>3837</v>
      </c>
      <c r="AQ118" s="335" t="s">
        <v>3953</v>
      </c>
      <c r="AR118" s="336" t="s">
        <v>3501</v>
      </c>
      <c r="AS118" s="337" t="s">
        <v>3497</v>
      </c>
      <c r="AT118" s="338"/>
      <c r="AU118" s="338"/>
      <c r="AV118" s="338"/>
      <c r="AW118" s="338"/>
      <c r="AX118" s="338"/>
      <c r="AY118" s="337" t="s">
        <v>1429</v>
      </c>
      <c r="AZ118" s="337" t="s">
        <v>1429</v>
      </c>
      <c r="BA118" s="338" t="s">
        <v>1429</v>
      </c>
      <c r="BB118" s="338"/>
      <c r="BC118" s="181" t="s">
        <v>3953</v>
      </c>
      <c r="BD118" s="313"/>
      <c r="BE118" s="239"/>
      <c r="BF118" s="239"/>
      <c r="BG118" s="239"/>
      <c r="BH118" s="239"/>
      <c r="BI118" s="239"/>
      <c r="BJ118" s="239"/>
      <c r="BK118" s="239"/>
      <c r="BL118" s="239"/>
      <c r="BM118" s="239"/>
      <c r="BN118" s="239"/>
      <c r="BO118" s="239"/>
      <c r="BP118" s="239"/>
      <c r="BQ118" s="239"/>
      <c r="BR118" s="239"/>
      <c r="BS118" s="239"/>
      <c r="BT118" s="239"/>
      <c r="BU118" s="239"/>
      <c r="BV118" s="239"/>
      <c r="BW118" s="239"/>
      <c r="BX118" s="239"/>
      <c r="BY118" s="239"/>
      <c r="BZ118" s="239"/>
      <c r="CA118" s="239"/>
      <c r="CB118" s="239"/>
      <c r="CC118" s="239"/>
      <c r="CD118" s="239"/>
      <c r="CE118" s="239"/>
    </row>
    <row r="119" spans="1:83" ht="12.95" customHeight="1">
      <c r="A119" s="1"/>
      <c r="B119" s="1"/>
      <c r="C119" s="51" t="s">
        <v>3957</v>
      </c>
      <c r="D119" s="52" t="s">
        <v>3768</v>
      </c>
      <c r="E119" s="58" t="s">
        <v>3584</v>
      </c>
      <c r="F119" s="53" t="s">
        <v>3958</v>
      </c>
      <c r="G119" s="180" t="s">
        <v>1429</v>
      </c>
      <c r="H119" s="180" t="s">
        <v>3957</v>
      </c>
      <c r="I119" s="55" t="s">
        <v>1429</v>
      </c>
      <c r="J119" s="55" t="s">
        <v>1429</v>
      </c>
      <c r="K119" s="55" t="s">
        <v>1429</v>
      </c>
      <c r="L119" s="55" t="s">
        <v>1429</v>
      </c>
      <c r="M119" s="55" t="s">
        <v>1580</v>
      </c>
      <c r="N119" s="55" t="s">
        <v>1429</v>
      </c>
      <c r="O119" s="55" t="s">
        <v>1429</v>
      </c>
      <c r="P119" s="55" t="s">
        <v>1429</v>
      </c>
      <c r="Q119" s="52" t="s">
        <v>3929</v>
      </c>
      <c r="R119" s="52" t="s">
        <v>113</v>
      </c>
      <c r="S119" s="52" t="s">
        <v>99</v>
      </c>
      <c r="T119" s="52" t="s">
        <v>100</v>
      </c>
      <c r="U119" s="57" t="s">
        <v>113</v>
      </c>
      <c r="V119" s="113" t="s">
        <v>3959</v>
      </c>
      <c r="W119" s="329" t="s">
        <v>3934</v>
      </c>
      <c r="X119" s="330" t="s">
        <v>1429</v>
      </c>
      <c r="Y119" s="330" t="s">
        <v>1429</v>
      </c>
      <c r="Z119" s="331" t="s">
        <v>3935</v>
      </c>
      <c r="AA119" s="331" t="s">
        <v>3936</v>
      </c>
      <c r="AB119" s="331" t="s">
        <v>3937</v>
      </c>
      <c r="AC119" s="331" t="s">
        <v>1674</v>
      </c>
      <c r="AD119" s="331" t="s">
        <v>3929</v>
      </c>
      <c r="AE119" s="331" t="s">
        <v>3942</v>
      </c>
      <c r="AF119" s="331" t="s">
        <v>3918</v>
      </c>
      <c r="AG119" s="331" t="s">
        <v>3835</v>
      </c>
      <c r="AH119" s="331" t="s">
        <v>3876</v>
      </c>
      <c r="AI119" s="331" t="s">
        <v>1476</v>
      </c>
      <c r="AJ119" s="312" t="b">
        <v>1</v>
      </c>
      <c r="AK119" s="312" t="b">
        <v>1</v>
      </c>
      <c r="AL119" s="312" t="b">
        <v>1</v>
      </c>
      <c r="AM119" s="312" t="b">
        <v>1</v>
      </c>
      <c r="AN119" s="312" t="b">
        <v>1</v>
      </c>
      <c r="AO119" s="312" t="b">
        <v>1</v>
      </c>
      <c r="AP119" s="61" t="s">
        <v>3837</v>
      </c>
      <c r="AQ119" s="335" t="s">
        <v>3957</v>
      </c>
      <c r="AR119" s="336" t="s">
        <v>3501</v>
      </c>
      <c r="AS119" s="337" t="s">
        <v>3497</v>
      </c>
      <c r="AT119" s="338"/>
      <c r="AU119" s="338"/>
      <c r="AV119" s="338"/>
      <c r="AW119" s="338"/>
      <c r="AX119" s="338"/>
      <c r="AY119" s="337" t="s">
        <v>1429</v>
      </c>
      <c r="AZ119" s="337" t="s">
        <v>1429</v>
      </c>
      <c r="BA119" s="338" t="s">
        <v>1429</v>
      </c>
      <c r="BB119" s="338"/>
      <c r="BC119" s="181" t="s">
        <v>3957</v>
      </c>
      <c r="BD119" s="313"/>
      <c r="BE119" s="239"/>
      <c r="BF119" s="239"/>
      <c r="BG119" s="239"/>
      <c r="BH119" s="239"/>
      <c r="BI119" s="239"/>
      <c r="BJ119" s="239"/>
      <c r="BK119" s="239"/>
      <c r="BL119" s="239"/>
      <c r="BM119" s="239"/>
      <c r="BN119" s="239"/>
      <c r="BO119" s="239"/>
      <c r="BP119" s="239"/>
      <c r="BQ119" s="239"/>
      <c r="BR119" s="239"/>
      <c r="BS119" s="239"/>
      <c r="BT119" s="239"/>
      <c r="BU119" s="239"/>
      <c r="BV119" s="239"/>
      <c r="BW119" s="239"/>
      <c r="BX119" s="239"/>
      <c r="BY119" s="239"/>
      <c r="BZ119" s="239"/>
      <c r="CA119" s="239"/>
      <c r="CB119" s="239"/>
      <c r="CC119" s="239"/>
      <c r="CD119" s="239"/>
      <c r="CE119" s="239"/>
    </row>
    <row r="120" spans="1:83" ht="12.95" customHeight="1">
      <c r="A120" s="1"/>
      <c r="B120" s="1"/>
      <c r="C120" s="51" t="s">
        <v>3960</v>
      </c>
      <c r="D120" s="52" t="s">
        <v>3961</v>
      </c>
      <c r="E120" s="58" t="s">
        <v>3585</v>
      </c>
      <c r="F120" s="53" t="s">
        <v>3962</v>
      </c>
      <c r="G120" s="180" t="s">
        <v>1429</v>
      </c>
      <c r="H120" s="180" t="s">
        <v>3960</v>
      </c>
      <c r="I120" s="55" t="s">
        <v>1429</v>
      </c>
      <c r="J120" s="55" t="s">
        <v>1429</v>
      </c>
      <c r="K120" s="55" t="s">
        <v>1429</v>
      </c>
      <c r="L120" s="55" t="s">
        <v>1429</v>
      </c>
      <c r="M120" s="55" t="s">
        <v>1580</v>
      </c>
      <c r="N120" s="55" t="s">
        <v>1429</v>
      </c>
      <c r="O120" s="55" t="s">
        <v>1429</v>
      </c>
      <c r="P120" s="55" t="s">
        <v>1429</v>
      </c>
      <c r="Q120" s="52" t="s">
        <v>3929</v>
      </c>
      <c r="R120" s="52" t="s">
        <v>113</v>
      </c>
      <c r="S120" s="52" t="s">
        <v>99</v>
      </c>
      <c r="T120" s="52" t="s">
        <v>100</v>
      </c>
      <c r="U120" s="57" t="s">
        <v>113</v>
      </c>
      <c r="V120" s="113" t="s">
        <v>3963</v>
      </c>
      <c r="W120" s="329" t="s">
        <v>3934</v>
      </c>
      <c r="X120" s="330" t="s">
        <v>1429</v>
      </c>
      <c r="Y120" s="330" t="s">
        <v>1429</v>
      </c>
      <c r="Z120" s="331" t="s">
        <v>3935</v>
      </c>
      <c r="AA120" s="331" t="s">
        <v>3936</v>
      </c>
      <c r="AB120" s="331" t="s">
        <v>3937</v>
      </c>
      <c r="AC120" s="331" t="s">
        <v>1674</v>
      </c>
      <c r="AD120" s="331" t="s">
        <v>3929</v>
      </c>
      <c r="AE120" s="331" t="s">
        <v>3942</v>
      </c>
      <c r="AF120" s="331" t="s">
        <v>3918</v>
      </c>
      <c r="AG120" s="331" t="s">
        <v>3835</v>
      </c>
      <c r="AH120" s="331" t="s">
        <v>3876</v>
      </c>
      <c r="AI120" s="331" t="s">
        <v>1476</v>
      </c>
      <c r="AJ120" s="312" t="b">
        <v>1</v>
      </c>
      <c r="AK120" s="312" t="b">
        <v>1</v>
      </c>
      <c r="AL120" s="312" t="b">
        <v>1</v>
      </c>
      <c r="AM120" s="312" t="b">
        <v>1</v>
      </c>
      <c r="AN120" s="312" t="b">
        <v>1</v>
      </c>
      <c r="AO120" s="312" t="b">
        <v>1</v>
      </c>
      <c r="AP120" s="61" t="s">
        <v>3837</v>
      </c>
      <c r="AQ120" s="335" t="s">
        <v>3960</v>
      </c>
      <c r="AR120" s="336" t="s">
        <v>3501</v>
      </c>
      <c r="AS120" s="337" t="s">
        <v>3497</v>
      </c>
      <c r="AT120" s="338"/>
      <c r="AU120" s="338"/>
      <c r="AV120" s="338"/>
      <c r="AW120" s="338"/>
      <c r="AX120" s="338"/>
      <c r="AY120" s="337" t="s">
        <v>1429</v>
      </c>
      <c r="AZ120" s="337" t="s">
        <v>1429</v>
      </c>
      <c r="BA120" s="338" t="s">
        <v>1429</v>
      </c>
      <c r="BB120" s="338"/>
      <c r="BC120" s="181" t="s">
        <v>3960</v>
      </c>
      <c r="BD120" s="313"/>
      <c r="BE120" s="239"/>
      <c r="BF120" s="239"/>
      <c r="BG120" s="239"/>
      <c r="BH120" s="239"/>
      <c r="BI120" s="239"/>
      <c r="BJ120" s="239"/>
      <c r="BK120" s="239"/>
      <c r="BL120" s="239"/>
      <c r="BM120" s="239"/>
      <c r="BN120" s="239"/>
      <c r="BO120" s="239"/>
      <c r="BP120" s="239"/>
      <c r="BQ120" s="239"/>
      <c r="BR120" s="239"/>
      <c r="BS120" s="239"/>
      <c r="BT120" s="239"/>
      <c r="BU120" s="239"/>
      <c r="BV120" s="239"/>
      <c r="BW120" s="239"/>
      <c r="BX120" s="239"/>
      <c r="BY120" s="239"/>
      <c r="BZ120" s="239"/>
      <c r="CA120" s="239"/>
      <c r="CB120" s="239"/>
      <c r="CC120" s="239"/>
      <c r="CD120" s="239"/>
      <c r="CE120" s="239"/>
    </row>
    <row r="121" spans="1:83" ht="12.95" customHeight="1">
      <c r="A121" s="1"/>
      <c r="B121" s="1"/>
      <c r="C121" s="51" t="s">
        <v>3964</v>
      </c>
      <c r="D121" s="52" t="s">
        <v>1832</v>
      </c>
      <c r="E121" s="58" t="s">
        <v>3965</v>
      </c>
      <c r="F121" s="53" t="s">
        <v>3966</v>
      </c>
      <c r="G121" s="180" t="s">
        <v>1429</v>
      </c>
      <c r="H121" s="180" t="s">
        <v>3964</v>
      </c>
      <c r="I121" s="55" t="s">
        <v>1429</v>
      </c>
      <c r="J121" s="55" t="s">
        <v>1429</v>
      </c>
      <c r="K121" s="55" t="s">
        <v>1429</v>
      </c>
      <c r="L121" s="55" t="s">
        <v>1429</v>
      </c>
      <c r="M121" s="55" t="s">
        <v>1580</v>
      </c>
      <c r="N121" s="55" t="s">
        <v>1429</v>
      </c>
      <c r="O121" s="55" t="s">
        <v>1429</v>
      </c>
      <c r="P121" s="55" t="s">
        <v>1429</v>
      </c>
      <c r="Q121" s="52" t="s">
        <v>3929</v>
      </c>
      <c r="R121" s="52" t="s">
        <v>113</v>
      </c>
      <c r="S121" s="52" t="s">
        <v>99</v>
      </c>
      <c r="T121" s="52" t="s">
        <v>100</v>
      </c>
      <c r="U121" s="57" t="s">
        <v>113</v>
      </c>
      <c r="V121" s="113" t="s">
        <v>3967</v>
      </c>
      <c r="W121" s="329" t="s">
        <v>3934</v>
      </c>
      <c r="X121" s="330" t="s">
        <v>1429</v>
      </c>
      <c r="Y121" s="330" t="s">
        <v>1429</v>
      </c>
      <c r="Z121" s="331" t="s">
        <v>3935</v>
      </c>
      <c r="AA121" s="331" t="s">
        <v>3936</v>
      </c>
      <c r="AB121" s="331" t="s">
        <v>3937</v>
      </c>
      <c r="AC121" s="331" t="s">
        <v>1674</v>
      </c>
      <c r="AD121" s="331" t="s">
        <v>3929</v>
      </c>
      <c r="AE121" s="331" t="s">
        <v>3942</v>
      </c>
      <c r="AF121" s="331" t="s">
        <v>3918</v>
      </c>
      <c r="AG121" s="331" t="s">
        <v>3835</v>
      </c>
      <c r="AH121" s="331" t="s">
        <v>3876</v>
      </c>
      <c r="AI121" s="331" t="s">
        <v>1476</v>
      </c>
      <c r="AJ121" s="312" t="b">
        <v>1</v>
      </c>
      <c r="AK121" s="312" t="b">
        <v>1</v>
      </c>
      <c r="AL121" s="312" t="b">
        <v>1</v>
      </c>
      <c r="AM121" s="312" t="b">
        <v>1</v>
      </c>
      <c r="AN121" s="312" t="b">
        <v>1</v>
      </c>
      <c r="AO121" s="312" t="b">
        <v>1</v>
      </c>
      <c r="AP121" s="61" t="s">
        <v>3837</v>
      </c>
      <c r="AQ121" s="335" t="s">
        <v>3964</v>
      </c>
      <c r="AR121" s="336" t="s">
        <v>3501</v>
      </c>
      <c r="AS121" s="337" t="s">
        <v>3497</v>
      </c>
      <c r="AT121" s="338"/>
      <c r="AU121" s="338"/>
      <c r="AV121" s="338"/>
      <c r="AW121" s="338"/>
      <c r="AX121" s="338"/>
      <c r="AY121" s="337" t="s">
        <v>1429</v>
      </c>
      <c r="AZ121" s="337" t="s">
        <v>1429</v>
      </c>
      <c r="BA121" s="338" t="s">
        <v>1429</v>
      </c>
      <c r="BB121" s="338"/>
      <c r="BC121" s="181" t="s">
        <v>3964</v>
      </c>
      <c r="BD121" s="313"/>
      <c r="BE121" s="239"/>
      <c r="BF121" s="239"/>
      <c r="BG121" s="239"/>
      <c r="BH121" s="239"/>
      <c r="BI121" s="239"/>
      <c r="BJ121" s="239"/>
      <c r="BK121" s="239"/>
      <c r="BL121" s="239"/>
      <c r="BM121" s="239"/>
      <c r="BN121" s="239"/>
      <c r="BO121" s="239"/>
      <c r="BP121" s="239"/>
      <c r="BQ121" s="239"/>
      <c r="BR121" s="239"/>
      <c r="BS121" s="239"/>
      <c r="BT121" s="239"/>
      <c r="BU121" s="239"/>
      <c r="BV121" s="239"/>
      <c r="BW121" s="239"/>
      <c r="BX121" s="239"/>
      <c r="BY121" s="239"/>
      <c r="BZ121" s="239"/>
      <c r="CA121" s="239"/>
      <c r="CB121" s="239"/>
      <c r="CC121" s="239"/>
      <c r="CD121" s="239"/>
      <c r="CE121" s="239"/>
    </row>
    <row r="122" spans="1:83" ht="12.95" customHeight="1">
      <c r="A122" s="1"/>
      <c r="B122" s="1"/>
      <c r="C122" s="51" t="s">
        <v>3968</v>
      </c>
      <c r="D122" s="52" t="s">
        <v>3584</v>
      </c>
      <c r="E122" s="58" t="s">
        <v>1611</v>
      </c>
      <c r="F122" s="53" t="s">
        <v>3969</v>
      </c>
      <c r="G122" s="180" t="s">
        <v>1429</v>
      </c>
      <c r="H122" s="180" t="s">
        <v>3968</v>
      </c>
      <c r="I122" s="55" t="s">
        <v>1429</v>
      </c>
      <c r="J122" s="55" t="s">
        <v>1429</v>
      </c>
      <c r="K122" s="55" t="s">
        <v>1429</v>
      </c>
      <c r="L122" s="55" t="s">
        <v>1429</v>
      </c>
      <c r="M122" s="55" t="s">
        <v>1580</v>
      </c>
      <c r="N122" s="55" t="s">
        <v>1429</v>
      </c>
      <c r="O122" s="55" t="s">
        <v>1429</v>
      </c>
      <c r="P122" s="55" t="s">
        <v>1429</v>
      </c>
      <c r="Q122" s="52" t="s">
        <v>3929</v>
      </c>
      <c r="R122" s="52" t="s">
        <v>113</v>
      </c>
      <c r="S122" s="52" t="s">
        <v>99</v>
      </c>
      <c r="T122" s="52" t="s">
        <v>100</v>
      </c>
      <c r="U122" s="57" t="s">
        <v>113</v>
      </c>
      <c r="V122" s="113" t="s">
        <v>3970</v>
      </c>
      <c r="W122" s="329" t="s">
        <v>3934</v>
      </c>
      <c r="X122" s="330" t="s">
        <v>1429</v>
      </c>
      <c r="Y122" s="330" t="s">
        <v>1429</v>
      </c>
      <c r="Z122" s="331" t="s">
        <v>3935</v>
      </c>
      <c r="AA122" s="331" t="s">
        <v>3936</v>
      </c>
      <c r="AB122" s="331" t="s">
        <v>3937</v>
      </c>
      <c r="AC122" s="331" t="s">
        <v>1674</v>
      </c>
      <c r="AD122" s="331" t="s">
        <v>3929</v>
      </c>
      <c r="AE122" s="331" t="s">
        <v>3942</v>
      </c>
      <c r="AF122" s="331" t="s">
        <v>3918</v>
      </c>
      <c r="AG122" s="331" t="s">
        <v>3835</v>
      </c>
      <c r="AH122" s="331" t="s">
        <v>3876</v>
      </c>
      <c r="AI122" s="331" t="s">
        <v>1476</v>
      </c>
      <c r="AJ122" s="312" t="b">
        <v>1</v>
      </c>
      <c r="AK122" s="312" t="b">
        <v>1</v>
      </c>
      <c r="AL122" s="312" t="b">
        <v>1</v>
      </c>
      <c r="AM122" s="312" t="b">
        <v>1</v>
      </c>
      <c r="AN122" s="312" t="b">
        <v>1</v>
      </c>
      <c r="AO122" s="312" t="b">
        <v>1</v>
      </c>
      <c r="AP122" s="61" t="s">
        <v>3837</v>
      </c>
      <c r="AQ122" s="335" t="s">
        <v>3968</v>
      </c>
      <c r="AR122" s="336" t="s">
        <v>3501</v>
      </c>
      <c r="AS122" s="337" t="s">
        <v>3497</v>
      </c>
      <c r="AT122" s="338"/>
      <c r="AU122" s="338"/>
      <c r="AV122" s="338"/>
      <c r="AW122" s="338"/>
      <c r="AX122" s="338"/>
      <c r="AY122" s="337" t="s">
        <v>1429</v>
      </c>
      <c r="AZ122" s="337" t="s">
        <v>1429</v>
      </c>
      <c r="BA122" s="338" t="s">
        <v>1429</v>
      </c>
      <c r="BB122" s="338"/>
      <c r="BC122" s="181" t="s">
        <v>3968</v>
      </c>
      <c r="BD122" s="313"/>
      <c r="BE122" s="239"/>
      <c r="BF122" s="239"/>
      <c r="BG122" s="239"/>
      <c r="BH122" s="239"/>
      <c r="BI122" s="239"/>
      <c r="BJ122" s="239"/>
      <c r="BK122" s="239"/>
      <c r="BL122" s="239"/>
      <c r="BM122" s="239"/>
      <c r="BN122" s="239"/>
      <c r="BO122" s="239"/>
      <c r="BP122" s="239"/>
      <c r="BQ122" s="239"/>
      <c r="BR122" s="239"/>
      <c r="BS122" s="239"/>
      <c r="BT122" s="239"/>
      <c r="BU122" s="239"/>
      <c r="BV122" s="239"/>
      <c r="BW122" s="239"/>
      <c r="BX122" s="239"/>
      <c r="BY122" s="239"/>
      <c r="BZ122" s="239"/>
      <c r="CA122" s="239"/>
      <c r="CB122" s="239"/>
      <c r="CC122" s="239"/>
      <c r="CD122" s="239"/>
      <c r="CE122" s="239"/>
    </row>
    <row r="123" spans="1:83" ht="12.95" customHeight="1">
      <c r="A123" s="1"/>
      <c r="B123" s="1"/>
      <c r="C123" s="51" t="s">
        <v>3971</v>
      </c>
      <c r="D123" s="52" t="s">
        <v>3580</v>
      </c>
      <c r="E123" s="58" t="s">
        <v>1619</v>
      </c>
      <c r="F123" s="53" t="s">
        <v>3972</v>
      </c>
      <c r="G123" s="180" t="s">
        <v>1429</v>
      </c>
      <c r="H123" s="180" t="s">
        <v>3971</v>
      </c>
      <c r="I123" s="55" t="s">
        <v>1429</v>
      </c>
      <c r="J123" s="55" t="s">
        <v>1429</v>
      </c>
      <c r="K123" s="55" t="s">
        <v>1429</v>
      </c>
      <c r="L123" s="55" t="s">
        <v>1429</v>
      </c>
      <c r="M123" s="55" t="s">
        <v>1580</v>
      </c>
      <c r="N123" s="55" t="s">
        <v>1429</v>
      </c>
      <c r="O123" s="55" t="s">
        <v>1429</v>
      </c>
      <c r="P123" s="55" t="s">
        <v>1429</v>
      </c>
      <c r="Q123" s="52" t="s">
        <v>3929</v>
      </c>
      <c r="R123" s="52" t="s">
        <v>113</v>
      </c>
      <c r="S123" s="52" t="s">
        <v>99</v>
      </c>
      <c r="T123" s="52" t="s">
        <v>100</v>
      </c>
      <c r="U123" s="57" t="s">
        <v>113</v>
      </c>
      <c r="V123" s="113" t="s">
        <v>3973</v>
      </c>
      <c r="W123" s="329" t="s">
        <v>3934</v>
      </c>
      <c r="X123" s="330" t="s">
        <v>1429</v>
      </c>
      <c r="Y123" s="330" t="s">
        <v>1429</v>
      </c>
      <c r="Z123" s="331" t="s">
        <v>3935</v>
      </c>
      <c r="AA123" s="331" t="s">
        <v>3936</v>
      </c>
      <c r="AB123" s="331" t="s">
        <v>3937</v>
      </c>
      <c r="AC123" s="331" t="s">
        <v>1674</v>
      </c>
      <c r="AD123" s="331" t="s">
        <v>3929</v>
      </c>
      <c r="AE123" s="331" t="s">
        <v>3942</v>
      </c>
      <c r="AF123" s="331" t="s">
        <v>3918</v>
      </c>
      <c r="AG123" s="331" t="s">
        <v>3835</v>
      </c>
      <c r="AH123" s="331" t="s">
        <v>3876</v>
      </c>
      <c r="AI123" s="331" t="s">
        <v>1476</v>
      </c>
      <c r="AJ123" s="312" t="b">
        <v>1</v>
      </c>
      <c r="AK123" s="312" t="b">
        <v>1</v>
      </c>
      <c r="AL123" s="312" t="b">
        <v>1</v>
      </c>
      <c r="AM123" s="312" t="b">
        <v>1</v>
      </c>
      <c r="AN123" s="312" t="b">
        <v>1</v>
      </c>
      <c r="AO123" s="312" t="b">
        <v>1</v>
      </c>
      <c r="AP123" s="61" t="s">
        <v>3837</v>
      </c>
      <c r="AQ123" s="335" t="s">
        <v>3971</v>
      </c>
      <c r="AR123" s="336" t="s">
        <v>3501</v>
      </c>
      <c r="AS123" s="337" t="s">
        <v>3497</v>
      </c>
      <c r="AT123" s="338"/>
      <c r="AU123" s="338"/>
      <c r="AV123" s="338"/>
      <c r="AW123" s="338"/>
      <c r="AX123" s="338"/>
      <c r="AY123" s="337" t="s">
        <v>1429</v>
      </c>
      <c r="AZ123" s="337" t="s">
        <v>1429</v>
      </c>
      <c r="BA123" s="338" t="s">
        <v>1429</v>
      </c>
      <c r="BB123" s="338"/>
      <c r="BC123" s="181" t="s">
        <v>3971</v>
      </c>
      <c r="BD123" s="313"/>
      <c r="BE123" s="239"/>
      <c r="BF123" s="239"/>
      <c r="BG123" s="239"/>
      <c r="BH123" s="239"/>
      <c r="BI123" s="239"/>
      <c r="BJ123" s="239"/>
      <c r="BK123" s="239"/>
      <c r="BL123" s="239"/>
      <c r="BM123" s="239"/>
      <c r="BN123" s="239"/>
      <c r="BO123" s="239"/>
      <c r="BP123" s="239"/>
      <c r="BQ123" s="239"/>
      <c r="BR123" s="239"/>
      <c r="BS123" s="239"/>
      <c r="BT123" s="239"/>
      <c r="BU123" s="239"/>
      <c r="BV123" s="239"/>
      <c r="BW123" s="239"/>
      <c r="BX123" s="239"/>
      <c r="BY123" s="239"/>
      <c r="BZ123" s="239"/>
      <c r="CA123" s="239"/>
      <c r="CB123" s="239"/>
      <c r="CC123" s="239"/>
      <c r="CD123" s="239"/>
      <c r="CE123" s="239"/>
    </row>
    <row r="124" spans="1:83" ht="12.95" customHeight="1">
      <c r="A124" s="1"/>
      <c r="B124" s="1"/>
      <c r="C124" s="51" t="s">
        <v>3974</v>
      </c>
      <c r="D124" s="52" t="s">
        <v>3949</v>
      </c>
      <c r="E124" s="58" t="s">
        <v>3570</v>
      </c>
      <c r="F124" s="53" t="s">
        <v>3975</v>
      </c>
      <c r="G124" s="180" t="s">
        <v>1429</v>
      </c>
      <c r="H124" s="180" t="s">
        <v>3974</v>
      </c>
      <c r="I124" s="55" t="s">
        <v>1429</v>
      </c>
      <c r="J124" s="55" t="s">
        <v>1429</v>
      </c>
      <c r="K124" s="55" t="s">
        <v>1429</v>
      </c>
      <c r="L124" s="55" t="s">
        <v>1429</v>
      </c>
      <c r="M124" s="55" t="s">
        <v>1580</v>
      </c>
      <c r="N124" s="55" t="s">
        <v>1429</v>
      </c>
      <c r="O124" s="55" t="s">
        <v>1429</v>
      </c>
      <c r="P124" s="55" t="s">
        <v>1429</v>
      </c>
      <c r="Q124" s="52" t="s">
        <v>3929</v>
      </c>
      <c r="R124" s="52" t="s">
        <v>113</v>
      </c>
      <c r="S124" s="52" t="s">
        <v>99</v>
      </c>
      <c r="T124" s="52" t="s">
        <v>100</v>
      </c>
      <c r="U124" s="57" t="s">
        <v>113</v>
      </c>
      <c r="V124" s="113" t="s">
        <v>3976</v>
      </c>
      <c r="W124" s="329" t="s">
        <v>3934</v>
      </c>
      <c r="X124" s="330" t="s">
        <v>1429</v>
      </c>
      <c r="Y124" s="330" t="s">
        <v>1429</v>
      </c>
      <c r="Z124" s="331" t="s">
        <v>3935</v>
      </c>
      <c r="AA124" s="331" t="s">
        <v>3936</v>
      </c>
      <c r="AB124" s="331" t="s">
        <v>3937</v>
      </c>
      <c r="AC124" s="331" t="s">
        <v>1674</v>
      </c>
      <c r="AD124" s="331" t="s">
        <v>3929</v>
      </c>
      <c r="AE124" s="331" t="s">
        <v>3942</v>
      </c>
      <c r="AF124" s="331" t="s">
        <v>3835</v>
      </c>
      <c r="AG124" s="331" t="s">
        <v>3875</v>
      </c>
      <c r="AH124" s="331" t="s">
        <v>3876</v>
      </c>
      <c r="AI124" s="331" t="s">
        <v>1476</v>
      </c>
      <c r="AJ124" s="312" t="b">
        <v>1</v>
      </c>
      <c r="AK124" s="312" t="b">
        <v>1</v>
      </c>
      <c r="AL124" s="312" t="b">
        <v>1</v>
      </c>
      <c r="AM124" s="312" t="b">
        <v>1</v>
      </c>
      <c r="AN124" s="312" t="b">
        <v>1</v>
      </c>
      <c r="AO124" s="312" t="b">
        <v>1</v>
      </c>
      <c r="AP124" s="61" t="s">
        <v>3837</v>
      </c>
      <c r="AQ124" s="335" t="s">
        <v>3974</v>
      </c>
      <c r="AR124" s="336" t="s">
        <v>1476</v>
      </c>
      <c r="AS124" s="337" t="s">
        <v>3666</v>
      </c>
      <c r="AT124" s="338"/>
      <c r="AU124" s="338"/>
      <c r="AV124" s="338"/>
      <c r="AW124" s="338"/>
      <c r="AX124" s="338"/>
      <c r="AY124" s="337" t="s">
        <v>1429</v>
      </c>
      <c r="AZ124" s="337" t="s">
        <v>1429</v>
      </c>
      <c r="BA124" s="338" t="s">
        <v>1429</v>
      </c>
      <c r="BB124" s="338"/>
      <c r="BC124" s="181" t="s">
        <v>3974</v>
      </c>
      <c r="BD124" s="313"/>
      <c r="BE124" s="239"/>
      <c r="BF124" s="239"/>
      <c r="BG124" s="239"/>
      <c r="BH124" s="239"/>
      <c r="BI124" s="239"/>
      <c r="BJ124" s="239"/>
      <c r="BK124" s="239"/>
      <c r="BL124" s="239"/>
      <c r="BM124" s="239"/>
      <c r="BN124" s="239"/>
      <c r="BO124" s="239"/>
      <c r="BP124" s="239"/>
      <c r="BQ124" s="239"/>
      <c r="BR124" s="239"/>
      <c r="BS124" s="239"/>
      <c r="BT124" s="239"/>
      <c r="BU124" s="239"/>
      <c r="BV124" s="239"/>
      <c r="BW124" s="239"/>
      <c r="BX124" s="239"/>
      <c r="BY124" s="239"/>
      <c r="BZ124" s="239"/>
      <c r="CA124" s="239"/>
      <c r="CB124" s="239"/>
      <c r="CC124" s="239"/>
      <c r="CD124" s="239"/>
      <c r="CE124" s="239"/>
    </row>
    <row r="125" spans="1:83" ht="12.95" customHeight="1">
      <c r="A125" s="1"/>
      <c r="B125" s="1"/>
      <c r="C125" s="51" t="s">
        <v>3977</v>
      </c>
      <c r="D125" s="52" t="s">
        <v>3939</v>
      </c>
      <c r="E125" s="340" t="s">
        <v>1886</v>
      </c>
      <c r="F125" s="53" t="s">
        <v>3978</v>
      </c>
      <c r="G125" s="180" t="s">
        <v>1429</v>
      </c>
      <c r="H125" s="180" t="s">
        <v>3977</v>
      </c>
      <c r="I125" s="55" t="s">
        <v>1429</v>
      </c>
      <c r="J125" s="55" t="s">
        <v>1429</v>
      </c>
      <c r="K125" s="55" t="s">
        <v>1429</v>
      </c>
      <c r="L125" s="55" t="s">
        <v>1429</v>
      </c>
      <c r="M125" s="55" t="s">
        <v>1580</v>
      </c>
      <c r="N125" s="55" t="s">
        <v>1429</v>
      </c>
      <c r="O125" s="55" t="s">
        <v>1429</v>
      </c>
      <c r="P125" s="55" t="s">
        <v>1429</v>
      </c>
      <c r="Q125" s="52" t="s">
        <v>3929</v>
      </c>
      <c r="R125" s="52" t="s">
        <v>113</v>
      </c>
      <c r="S125" s="52" t="s">
        <v>99</v>
      </c>
      <c r="T125" s="52" t="s">
        <v>100</v>
      </c>
      <c r="U125" s="57" t="s">
        <v>113</v>
      </c>
      <c r="V125" s="113" t="s">
        <v>3979</v>
      </c>
      <c r="W125" s="329"/>
      <c r="X125" s="330"/>
      <c r="Y125" s="330"/>
      <c r="Z125" s="331"/>
      <c r="AA125" s="331"/>
      <c r="AB125" s="331"/>
      <c r="AC125" s="331"/>
      <c r="AD125" s="331"/>
      <c r="AE125" s="331"/>
      <c r="AF125" s="331"/>
      <c r="AG125" s="331"/>
      <c r="AH125" s="331"/>
      <c r="AI125" s="331"/>
      <c r="AJ125" s="312" t="b">
        <v>1</v>
      </c>
      <c r="AK125" s="312" t="b">
        <v>1</v>
      </c>
      <c r="AL125" s="312" t="b">
        <v>1</v>
      </c>
      <c r="AM125" s="312" t="b">
        <v>1</v>
      </c>
      <c r="AN125" s="312" t="b">
        <v>1</v>
      </c>
      <c r="AO125" s="312" t="b">
        <v>1</v>
      </c>
      <c r="AP125" s="61" t="s">
        <v>3837</v>
      </c>
      <c r="AQ125" s="335" t="s">
        <v>3977</v>
      </c>
      <c r="AR125" s="336"/>
      <c r="AS125" s="337"/>
      <c r="AT125" s="338"/>
      <c r="AU125" s="338"/>
      <c r="AV125" s="338"/>
      <c r="AW125" s="338"/>
      <c r="AX125" s="338"/>
      <c r="AY125" s="337"/>
      <c r="AZ125" s="337"/>
      <c r="BA125" s="338"/>
      <c r="BB125" s="338"/>
      <c r="BC125" s="181"/>
      <c r="BD125" s="313"/>
      <c r="BE125" s="239"/>
      <c r="BF125" s="239"/>
      <c r="BG125" s="239"/>
      <c r="BH125" s="239"/>
      <c r="BI125" s="239"/>
      <c r="BJ125" s="239"/>
      <c r="BK125" s="239"/>
      <c r="BL125" s="239"/>
      <c r="BM125" s="239"/>
      <c r="BN125" s="239"/>
      <c r="BO125" s="239"/>
      <c r="BP125" s="239"/>
      <c r="BQ125" s="239"/>
      <c r="BR125" s="239"/>
      <c r="BS125" s="239"/>
      <c r="BT125" s="239"/>
      <c r="BU125" s="239"/>
      <c r="BV125" s="239"/>
      <c r="BW125" s="239"/>
      <c r="BX125" s="239"/>
      <c r="BY125" s="239"/>
      <c r="BZ125" s="239"/>
      <c r="CA125" s="239"/>
      <c r="CB125" s="239"/>
      <c r="CC125" s="239"/>
      <c r="CD125" s="239"/>
      <c r="CE125" s="239"/>
    </row>
    <row r="126" spans="1:83" s="50" customFormat="1" ht="18" customHeight="1">
      <c r="A126" s="68" t="s">
        <v>54</v>
      </c>
      <c r="B126" s="68"/>
      <c r="C126" s="68"/>
      <c r="D126" s="69"/>
      <c r="E126" s="69"/>
      <c r="F126" s="69"/>
      <c r="G126" s="70"/>
      <c r="H126" s="70"/>
      <c r="I126" s="70"/>
      <c r="J126" s="70"/>
      <c r="K126" s="70"/>
      <c r="L126" s="69"/>
      <c r="M126" s="69"/>
      <c r="N126" s="69"/>
      <c r="O126" s="69"/>
      <c r="P126" s="69"/>
      <c r="Q126" s="69"/>
      <c r="R126" s="69"/>
      <c r="S126" s="69"/>
      <c r="T126" s="69"/>
      <c r="U126" s="69"/>
      <c r="V126" s="69"/>
      <c r="W126" s="69"/>
      <c r="X126" s="131"/>
      <c r="Y126" s="131"/>
      <c r="Z126" s="71"/>
      <c r="AA126" s="71"/>
      <c r="AB126" s="71"/>
      <c r="AC126" s="71"/>
      <c r="AD126" s="71"/>
      <c r="AE126" s="71"/>
      <c r="AF126" s="71"/>
      <c r="AG126" s="71"/>
      <c r="AH126" s="71"/>
      <c r="AI126" s="71"/>
      <c r="AJ126" s="47" t="b">
        <v>0</v>
      </c>
      <c r="AK126" s="47"/>
      <c r="AL126" s="47"/>
      <c r="AM126" s="47"/>
      <c r="AN126" s="47"/>
      <c r="AO126" s="47"/>
      <c r="AP126" s="47"/>
      <c r="AQ126" s="72"/>
      <c r="AR126" s="72"/>
      <c r="AS126" s="73"/>
      <c r="AT126" s="73"/>
      <c r="AU126" s="73"/>
      <c r="AV126" s="73"/>
      <c r="AW126" s="73"/>
      <c r="AX126" s="288"/>
      <c r="AY126" s="73"/>
      <c r="AZ126" s="73"/>
      <c r="BA126" s="73"/>
      <c r="BB126" s="168" t="s">
        <v>49</v>
      </c>
      <c r="BC126" s="73"/>
      <c r="BD126" s="184"/>
      <c r="BE126" s="308"/>
      <c r="BF126" s="243"/>
      <c r="BG126" s="243"/>
      <c r="BH126" s="243"/>
      <c r="BI126" s="243"/>
      <c r="BJ126" s="243"/>
      <c r="BK126" s="243"/>
      <c r="BL126" s="243"/>
      <c r="BM126" s="243"/>
      <c r="BN126" s="243"/>
      <c r="BO126" s="243"/>
      <c r="BP126" s="243"/>
      <c r="BQ126" s="243"/>
      <c r="BR126" s="243"/>
      <c r="BS126" s="243"/>
      <c r="BT126" s="243"/>
      <c r="BU126" s="243"/>
      <c r="BV126" s="243"/>
      <c r="BW126" s="243"/>
      <c r="BX126" s="243"/>
      <c r="BY126" s="243"/>
      <c r="BZ126" s="243"/>
      <c r="CA126" s="243"/>
      <c r="CB126" s="243"/>
      <c r="CC126" s="243"/>
      <c r="CD126" s="243"/>
      <c r="CE126" s="243"/>
    </row>
    <row r="127" spans="1:83" ht="12.95" customHeight="1">
      <c r="A127" s="21" t="s">
        <v>1407</v>
      </c>
      <c r="B127" s="21" t="s">
        <v>2251</v>
      </c>
      <c r="C127" s="51" t="s">
        <v>944</v>
      </c>
      <c r="D127" s="52" t="s">
        <v>1887</v>
      </c>
      <c r="E127" s="52" t="s">
        <v>1888</v>
      </c>
      <c r="F127" s="53" t="s">
        <v>1234</v>
      </c>
      <c r="G127" s="179" t="s">
        <v>1520</v>
      </c>
      <c r="H127" s="180" t="s">
        <v>1429</v>
      </c>
      <c r="I127" s="55" t="s">
        <v>1429</v>
      </c>
      <c r="J127" s="55" t="s">
        <v>1429</v>
      </c>
      <c r="K127" s="56" t="s">
        <v>1429</v>
      </c>
      <c r="L127" s="54" t="s">
        <v>1580</v>
      </c>
      <c r="M127" s="55" t="s">
        <v>1429</v>
      </c>
      <c r="N127" s="55" t="s">
        <v>1429</v>
      </c>
      <c r="O127" s="55" t="s">
        <v>1429</v>
      </c>
      <c r="P127" s="56" t="s">
        <v>1429</v>
      </c>
      <c r="Q127" s="6" t="s">
        <v>755</v>
      </c>
      <c r="R127" s="6" t="s">
        <v>113</v>
      </c>
      <c r="S127" s="52" t="s">
        <v>99</v>
      </c>
      <c r="T127" s="52" t="s">
        <v>100</v>
      </c>
      <c r="U127" s="105" t="s">
        <v>755</v>
      </c>
      <c r="V127" s="146" t="s">
        <v>1889</v>
      </c>
      <c r="W127" s="51" t="s">
        <v>1890</v>
      </c>
      <c r="X127" s="130" t="s">
        <v>1891</v>
      </c>
      <c r="Y127" s="130" t="s">
        <v>1892</v>
      </c>
      <c r="Z127" s="51" t="s">
        <v>1585</v>
      </c>
      <c r="AA127" s="51" t="s">
        <v>1893</v>
      </c>
      <c r="AB127" s="51" t="s">
        <v>1435</v>
      </c>
      <c r="AC127" s="51" t="s">
        <v>1674</v>
      </c>
      <c r="AD127" s="59" t="str">
        <f t="shared" ref="AD127:AD145" si="24">IF(OR($AQ127="",$AQ127=$F127),$U127,IF($AQ127=$G127,SUBSTITUTE(SUBSTITUTE($AQ127,"GPIO3_","GPIO_"),".0",""),IF($AQ127=$H127,$Q127,IF($AQ127=$I127,$R127,IF($AQ127=$J127,$S127,IF($AQ127=$K127,$T127,"INVALID"))))))</f>
        <v>GPIO_PFF1</v>
      </c>
      <c r="AE127" s="66"/>
      <c r="AF127" s="61" t="str">
        <f t="shared" ref="AF127:AF147" si="25">IF(AND(OR($AS127="Int PU",$AS127="Int PD"),OR(AND($AY127&lt;&gt;"",$AY127&lt;&gt;"0"),AND($AZ127&lt;&gt;"",$AZ127&lt;&gt;"0"))),"INVALID",IF(OR($AQ127=$F127,$AS127="Int PD"),"PULL_DOWN",IF(OR($AS127="Int PU",AND($AE127="YES",OR($AY127="",$AY127="0"),OR($AZ127="",$AZ127="0"),OR($AR127="Input",$AR127="Bidirectional"))),"PULL_UP","NORMAL")))</f>
        <v>PULL_UP</v>
      </c>
      <c r="AG127" s="61" t="str">
        <f t="shared" ref="AG127:AG190" si="26">IF($AR127="Input", "TRISTATE", IF($AS127="Z","TRISTATE",IF($AQ127=$F127,"TRISTATE","NORMAL")))</f>
        <v>TRISTATE</v>
      </c>
      <c r="AH127" s="61" t="str">
        <f t="shared" ref="AH127:AH147" si="27">IF(OR($AQ127=$F127,$AR127="Output"),"DISABLE","ENABLE")</f>
        <v>ENABLE</v>
      </c>
      <c r="AI127" s="67" t="str">
        <f t="shared" ref="AI127:AI204" si="28">IF($AQ127&lt;&gt;$G127,"N/A",IF($AS127="Drive 1", "1", IF($AS127="Drive 0", "0", "")))</f>
        <v/>
      </c>
      <c r="AJ127" s="176" t="b">
        <v>1</v>
      </c>
      <c r="AK127" s="176" t="b">
        <v>1</v>
      </c>
      <c r="AL127" s="176" t="b">
        <v>1</v>
      </c>
      <c r="AM127" s="176" t="b">
        <v>1</v>
      </c>
      <c r="AN127" s="176" t="b">
        <v>1</v>
      </c>
      <c r="AO127" s="176" t="b">
        <v>1</v>
      </c>
      <c r="AP127" s="64" t="str">
        <f t="shared" ref="AP127:AP147" si="29">IF(AND($AJ127:$AO127), "VALID", "INVALID")</f>
        <v>VALID</v>
      </c>
      <c r="AQ127" s="213" t="s">
        <v>1520</v>
      </c>
      <c r="AR127" s="3" t="s">
        <v>3496</v>
      </c>
      <c r="AS127" s="181" t="s">
        <v>3497</v>
      </c>
      <c r="AT127" s="181" t="s">
        <v>3499</v>
      </c>
      <c r="AU127" s="5"/>
      <c r="AV127" s="5"/>
      <c r="AW127" s="181" t="s">
        <v>125</v>
      </c>
      <c r="AX127" s="284"/>
      <c r="AY127" s="4"/>
      <c r="AZ127" s="4"/>
      <c r="BA127" s="7"/>
      <c r="BB127" s="212"/>
      <c r="BC127" s="10" t="s">
        <v>3727</v>
      </c>
      <c r="BD127" s="240"/>
      <c r="BE127" s="239"/>
      <c r="BF127" s="239"/>
      <c r="BG127" s="239"/>
      <c r="BH127" s="239"/>
      <c r="BI127" s="239"/>
      <c r="BJ127" s="239"/>
      <c r="BK127" s="239"/>
      <c r="BL127" s="239"/>
      <c r="BM127" s="239"/>
      <c r="BN127" s="239"/>
      <c r="BO127" s="239"/>
      <c r="BP127" s="239"/>
      <c r="BQ127" s="239"/>
      <c r="BR127" s="239"/>
      <c r="BS127" s="239"/>
      <c r="BT127" s="239"/>
      <c r="BU127" s="239"/>
      <c r="BV127" s="239"/>
      <c r="BW127" s="239"/>
      <c r="BX127" s="239"/>
      <c r="BY127" s="239"/>
      <c r="BZ127" s="239"/>
      <c r="CA127" s="239"/>
      <c r="CB127" s="239"/>
      <c r="CC127" s="239"/>
      <c r="CD127" s="239"/>
      <c r="CE127" s="239"/>
    </row>
    <row r="128" spans="1:83" ht="12.75" customHeight="1">
      <c r="A128" s="21" t="s">
        <v>1408</v>
      </c>
      <c r="B128" s="21" t="s">
        <v>2254</v>
      </c>
      <c r="C128" s="51" t="s">
        <v>945</v>
      </c>
      <c r="D128" s="52" t="s">
        <v>1894</v>
      </c>
      <c r="E128" s="52" t="s">
        <v>1895</v>
      </c>
      <c r="F128" s="53" t="s">
        <v>1235</v>
      </c>
      <c r="G128" s="179" t="s">
        <v>1521</v>
      </c>
      <c r="H128" s="180" t="s">
        <v>1429</v>
      </c>
      <c r="I128" s="55" t="s">
        <v>1429</v>
      </c>
      <c r="J128" s="55" t="s">
        <v>1429</v>
      </c>
      <c r="K128" s="56" t="s">
        <v>1429</v>
      </c>
      <c r="L128" s="54" t="s">
        <v>1580</v>
      </c>
      <c r="M128" s="55" t="s">
        <v>1429</v>
      </c>
      <c r="N128" s="55" t="s">
        <v>1429</v>
      </c>
      <c r="O128" s="55" t="s">
        <v>1429</v>
      </c>
      <c r="P128" s="56" t="s">
        <v>1429</v>
      </c>
      <c r="Q128" s="6" t="s">
        <v>755</v>
      </c>
      <c r="R128" s="6" t="s">
        <v>113</v>
      </c>
      <c r="S128" s="52" t="s">
        <v>99</v>
      </c>
      <c r="T128" s="52" t="s">
        <v>100</v>
      </c>
      <c r="U128" s="57" t="s">
        <v>755</v>
      </c>
      <c r="V128" s="146" t="s">
        <v>1896</v>
      </c>
      <c r="W128" s="51" t="s">
        <v>1890</v>
      </c>
      <c r="X128" s="130" t="s">
        <v>1897</v>
      </c>
      <c r="Y128" s="130" t="s">
        <v>1898</v>
      </c>
      <c r="Z128" s="51" t="s">
        <v>1585</v>
      </c>
      <c r="AA128" s="51" t="s">
        <v>1893</v>
      </c>
      <c r="AB128" s="51" t="s">
        <v>1435</v>
      </c>
      <c r="AC128" s="51" t="s">
        <v>1674</v>
      </c>
      <c r="AD128" s="59" t="str">
        <f t="shared" si="24"/>
        <v>GPIO_PFF2</v>
      </c>
      <c r="AE128" s="66"/>
      <c r="AF128" s="61" t="str">
        <f t="shared" si="25"/>
        <v>PULL_UP</v>
      </c>
      <c r="AG128" s="61" t="str">
        <f t="shared" si="26"/>
        <v>TRISTATE</v>
      </c>
      <c r="AH128" s="61" t="str">
        <f t="shared" si="27"/>
        <v>ENABLE</v>
      </c>
      <c r="AI128" s="67" t="str">
        <f t="shared" si="28"/>
        <v/>
      </c>
      <c r="AJ128" s="176" t="b">
        <v>1</v>
      </c>
      <c r="AK128" s="176" t="b">
        <v>1</v>
      </c>
      <c r="AL128" s="176" t="b">
        <v>1</v>
      </c>
      <c r="AM128" s="176" t="b">
        <v>1</v>
      </c>
      <c r="AN128" s="176" t="b">
        <v>1</v>
      </c>
      <c r="AO128" s="176" t="b">
        <v>1</v>
      </c>
      <c r="AP128" s="64" t="str">
        <f t="shared" si="29"/>
        <v>VALID</v>
      </c>
      <c r="AQ128" s="211" t="s">
        <v>1521</v>
      </c>
      <c r="AR128" s="182" t="s">
        <v>3496</v>
      </c>
      <c r="AS128" s="181" t="s">
        <v>3497</v>
      </c>
      <c r="AT128" s="181" t="s">
        <v>3499</v>
      </c>
      <c r="AU128" s="5"/>
      <c r="AV128" s="5"/>
      <c r="AW128" s="181" t="s">
        <v>125</v>
      </c>
      <c r="AX128" s="284"/>
      <c r="AY128" s="181"/>
      <c r="AZ128" s="181"/>
      <c r="BA128" s="7"/>
      <c r="BB128" s="212"/>
      <c r="BC128" s="10" t="s">
        <v>3728</v>
      </c>
      <c r="BD128" s="240"/>
      <c r="BE128" s="239"/>
      <c r="BF128" s="239"/>
      <c r="BG128" s="239"/>
      <c r="BH128" s="239"/>
      <c r="BI128" s="239"/>
      <c r="BJ128" s="239"/>
      <c r="BK128" s="239"/>
      <c r="BL128" s="239"/>
      <c r="BM128" s="239"/>
      <c r="BN128" s="239"/>
      <c r="BO128" s="239"/>
      <c r="BP128" s="239"/>
      <c r="BQ128" s="239"/>
      <c r="BR128" s="239"/>
      <c r="BS128" s="239"/>
      <c r="BT128" s="239"/>
      <c r="BU128" s="239"/>
      <c r="BV128" s="239"/>
      <c r="BW128" s="239"/>
      <c r="BX128" s="239"/>
      <c r="BY128" s="239"/>
      <c r="BZ128" s="239"/>
      <c r="CA128" s="239"/>
      <c r="CB128" s="239"/>
      <c r="CC128" s="239"/>
      <c r="CD128" s="239"/>
      <c r="CE128" s="239"/>
    </row>
    <row r="129" spans="1:83" ht="12.95" customHeight="1">
      <c r="A129" s="1"/>
      <c r="B129" s="1"/>
      <c r="C129" s="51" t="s">
        <v>946</v>
      </c>
      <c r="D129" s="52" t="s">
        <v>1899</v>
      </c>
      <c r="E129" s="52" t="s">
        <v>1900</v>
      </c>
      <c r="F129" s="53" t="s">
        <v>1236</v>
      </c>
      <c r="G129" s="179" t="s">
        <v>1522</v>
      </c>
      <c r="H129" s="180" t="s">
        <v>1429</v>
      </c>
      <c r="I129" s="55" t="s">
        <v>1429</v>
      </c>
      <c r="J129" s="55" t="s">
        <v>1429</v>
      </c>
      <c r="K129" s="56" t="s">
        <v>1429</v>
      </c>
      <c r="L129" s="54" t="s">
        <v>1580</v>
      </c>
      <c r="M129" s="55" t="s">
        <v>1429</v>
      </c>
      <c r="N129" s="55" t="s">
        <v>1429</v>
      </c>
      <c r="O129" s="55" t="s">
        <v>1429</v>
      </c>
      <c r="P129" s="56" t="s">
        <v>1429</v>
      </c>
      <c r="Q129" s="6" t="s">
        <v>755</v>
      </c>
      <c r="R129" s="6" t="s">
        <v>113</v>
      </c>
      <c r="S129" s="52" t="s">
        <v>99</v>
      </c>
      <c r="T129" s="52" t="s">
        <v>100</v>
      </c>
      <c r="U129" s="57" t="s">
        <v>755</v>
      </c>
      <c r="V129" s="146" t="s">
        <v>1901</v>
      </c>
      <c r="W129" s="51" t="s">
        <v>1890</v>
      </c>
      <c r="X129" s="130" t="s">
        <v>1902</v>
      </c>
      <c r="Y129" s="130" t="s">
        <v>1429</v>
      </c>
      <c r="Z129" s="51" t="s">
        <v>1585</v>
      </c>
      <c r="AA129" s="51" t="s">
        <v>1893</v>
      </c>
      <c r="AB129" s="51" t="s">
        <v>1435</v>
      </c>
      <c r="AC129" s="51" t="s">
        <v>1587</v>
      </c>
      <c r="AD129" s="59" t="str">
        <f t="shared" si="24"/>
        <v>GPIO_PFF3</v>
      </c>
      <c r="AE129" s="66"/>
      <c r="AF129" s="61" t="str">
        <f t="shared" si="25"/>
        <v>PULL_UP</v>
      </c>
      <c r="AG129" s="61" t="str">
        <f t="shared" si="26"/>
        <v>TRISTATE</v>
      </c>
      <c r="AH129" s="61" t="str">
        <f t="shared" si="27"/>
        <v>ENABLE</v>
      </c>
      <c r="AI129" s="67" t="str">
        <f t="shared" si="28"/>
        <v/>
      </c>
      <c r="AJ129" s="176" t="b">
        <v>1</v>
      </c>
      <c r="AK129" s="176" t="b">
        <v>1</v>
      </c>
      <c r="AL129" s="176" t="b">
        <v>1</v>
      </c>
      <c r="AM129" s="176" t="b">
        <v>1</v>
      </c>
      <c r="AN129" s="176" t="b">
        <v>1</v>
      </c>
      <c r="AO129" s="176" t="b">
        <v>1</v>
      </c>
      <c r="AP129" s="64" t="str">
        <f t="shared" si="29"/>
        <v>VALID</v>
      </c>
      <c r="AQ129" s="341" t="s">
        <v>1522</v>
      </c>
      <c r="AR129" s="336" t="s">
        <v>3496</v>
      </c>
      <c r="AS129" s="337" t="s">
        <v>3497</v>
      </c>
      <c r="AT129" s="337" t="s">
        <v>3499</v>
      </c>
      <c r="AU129" s="342"/>
      <c r="AV129" s="342"/>
      <c r="AW129" s="337" t="s">
        <v>125</v>
      </c>
      <c r="AX129" s="342"/>
      <c r="AY129" s="337"/>
      <c r="AZ129" s="337"/>
      <c r="BA129" s="343"/>
      <c r="BB129" s="338"/>
      <c r="BC129" s="344" t="s">
        <v>3729</v>
      </c>
      <c r="BD129" s="248"/>
      <c r="BE129" s="239"/>
      <c r="BF129" s="239"/>
      <c r="BG129" s="239"/>
      <c r="BH129" s="239"/>
      <c r="BI129" s="239"/>
      <c r="BJ129" s="239"/>
      <c r="BK129" s="239"/>
      <c r="BL129" s="239"/>
      <c r="BM129" s="239"/>
      <c r="BN129" s="239"/>
      <c r="BO129" s="239"/>
      <c r="BP129" s="239"/>
      <c r="BQ129" s="239"/>
      <c r="BR129" s="239"/>
      <c r="BS129" s="239"/>
      <c r="BT129" s="239"/>
      <c r="BU129" s="239"/>
      <c r="BV129" s="239"/>
      <c r="BW129" s="239"/>
      <c r="BX129" s="239"/>
      <c r="BY129" s="239"/>
      <c r="BZ129" s="239"/>
      <c r="CA129" s="239"/>
      <c r="CB129" s="239"/>
      <c r="CC129" s="239"/>
      <c r="CD129" s="239"/>
      <c r="CE129" s="239"/>
    </row>
    <row r="130" spans="1:83" ht="12.95" customHeight="1">
      <c r="A130" s="1"/>
      <c r="B130" s="1"/>
      <c r="C130" s="51" t="s">
        <v>947</v>
      </c>
      <c r="D130" s="52" t="s">
        <v>1903</v>
      </c>
      <c r="E130" s="52" t="s">
        <v>1904</v>
      </c>
      <c r="F130" s="53" t="s">
        <v>1237</v>
      </c>
      <c r="G130" s="179" t="s">
        <v>1523</v>
      </c>
      <c r="H130" s="180" t="s">
        <v>1429</v>
      </c>
      <c r="I130" s="55" t="s">
        <v>1429</v>
      </c>
      <c r="J130" s="55" t="s">
        <v>1429</v>
      </c>
      <c r="K130" s="56" t="s">
        <v>1429</v>
      </c>
      <c r="L130" s="54" t="s">
        <v>1580</v>
      </c>
      <c r="M130" s="55" t="s">
        <v>1429</v>
      </c>
      <c r="N130" s="55" t="s">
        <v>1429</v>
      </c>
      <c r="O130" s="55" t="s">
        <v>1429</v>
      </c>
      <c r="P130" s="56" t="s">
        <v>1429</v>
      </c>
      <c r="Q130" s="6" t="s">
        <v>755</v>
      </c>
      <c r="R130" s="6" t="s">
        <v>113</v>
      </c>
      <c r="S130" s="52" t="s">
        <v>99</v>
      </c>
      <c r="T130" s="52" t="s">
        <v>100</v>
      </c>
      <c r="U130" s="57" t="s">
        <v>755</v>
      </c>
      <c r="V130" s="146" t="s">
        <v>1905</v>
      </c>
      <c r="W130" s="51" t="s">
        <v>1890</v>
      </c>
      <c r="X130" s="130" t="s">
        <v>1906</v>
      </c>
      <c r="Y130" s="130" t="s">
        <v>1907</v>
      </c>
      <c r="Z130" s="51" t="s">
        <v>1585</v>
      </c>
      <c r="AA130" s="51" t="s">
        <v>1893</v>
      </c>
      <c r="AB130" s="51" t="s">
        <v>1435</v>
      </c>
      <c r="AC130" s="51" t="s">
        <v>1674</v>
      </c>
      <c r="AD130" s="59" t="str">
        <f t="shared" si="24"/>
        <v>GPIO_PFF4</v>
      </c>
      <c r="AE130" s="66"/>
      <c r="AF130" s="61" t="str">
        <f t="shared" si="25"/>
        <v>PULL_UP</v>
      </c>
      <c r="AG130" s="61" t="str">
        <f t="shared" si="26"/>
        <v>TRISTATE</v>
      </c>
      <c r="AH130" s="61" t="str">
        <f t="shared" si="27"/>
        <v>ENABLE</v>
      </c>
      <c r="AI130" s="67" t="str">
        <f t="shared" si="28"/>
        <v/>
      </c>
      <c r="AJ130" s="176" t="b">
        <v>1</v>
      </c>
      <c r="AK130" s="176" t="b">
        <v>1</v>
      </c>
      <c r="AL130" s="176" t="b">
        <v>1</v>
      </c>
      <c r="AM130" s="176" t="b">
        <v>1</v>
      </c>
      <c r="AN130" s="176" t="b">
        <v>1</v>
      </c>
      <c r="AO130" s="176" t="b">
        <v>1</v>
      </c>
      <c r="AP130" s="64" t="str">
        <f t="shared" si="29"/>
        <v>VALID</v>
      </c>
      <c r="AQ130" s="341" t="s">
        <v>1523</v>
      </c>
      <c r="AR130" s="336" t="s">
        <v>3496</v>
      </c>
      <c r="AS130" s="337" t="s">
        <v>3497</v>
      </c>
      <c r="AT130" s="337" t="s">
        <v>3499</v>
      </c>
      <c r="AU130" s="342"/>
      <c r="AV130" s="342"/>
      <c r="AW130" s="337" t="s">
        <v>125</v>
      </c>
      <c r="AX130" s="342"/>
      <c r="AY130" s="337"/>
      <c r="AZ130" s="337"/>
      <c r="BA130" s="343"/>
      <c r="BB130" s="338"/>
      <c r="BC130" s="344" t="s">
        <v>3730</v>
      </c>
      <c r="BD130" s="248"/>
      <c r="BE130" s="239"/>
      <c r="BF130" s="239"/>
      <c r="BG130" s="239"/>
      <c r="BH130" s="239"/>
      <c r="BI130" s="239"/>
      <c r="BJ130" s="239"/>
      <c r="BK130" s="239"/>
      <c r="BL130" s="239"/>
      <c r="BM130" s="239"/>
      <c r="BN130" s="239"/>
      <c r="BO130" s="239"/>
      <c r="BP130" s="239"/>
      <c r="BQ130" s="239"/>
      <c r="BR130" s="239"/>
      <c r="BS130" s="239"/>
      <c r="BT130" s="239"/>
      <c r="BU130" s="239"/>
      <c r="BV130" s="239"/>
      <c r="BW130" s="239"/>
      <c r="BX130" s="239"/>
      <c r="BY130" s="239"/>
      <c r="BZ130" s="239"/>
      <c r="CA130" s="239"/>
      <c r="CB130" s="239"/>
      <c r="CC130" s="239"/>
      <c r="CD130" s="239"/>
      <c r="CE130" s="239"/>
    </row>
    <row r="131" spans="1:83" ht="13.5">
      <c r="A131" s="21" t="s">
        <v>3355</v>
      </c>
      <c r="B131" s="21" t="s">
        <v>2120</v>
      </c>
      <c r="C131" s="51" t="s">
        <v>948</v>
      </c>
      <c r="D131" s="52" t="s">
        <v>1908</v>
      </c>
      <c r="E131" s="52" t="s">
        <v>1909</v>
      </c>
      <c r="F131" s="53" t="s">
        <v>1238</v>
      </c>
      <c r="G131" s="179" t="s">
        <v>1524</v>
      </c>
      <c r="H131" s="180" t="s">
        <v>1429</v>
      </c>
      <c r="I131" s="55" t="s">
        <v>1910</v>
      </c>
      <c r="J131" s="55"/>
      <c r="K131" s="56"/>
      <c r="L131" s="54" t="s">
        <v>1580</v>
      </c>
      <c r="M131" s="55" t="s">
        <v>1429</v>
      </c>
      <c r="N131" s="55" t="s">
        <v>1581</v>
      </c>
      <c r="O131" s="55" t="s">
        <v>1581</v>
      </c>
      <c r="P131" s="56" t="s">
        <v>1581</v>
      </c>
      <c r="Q131" s="6" t="s">
        <v>755</v>
      </c>
      <c r="R131" s="6" t="s">
        <v>1362</v>
      </c>
      <c r="S131" s="52" t="s">
        <v>1381</v>
      </c>
      <c r="T131" s="52" t="s">
        <v>1364</v>
      </c>
      <c r="U131" s="57" t="s">
        <v>755</v>
      </c>
      <c r="V131" s="146" t="s">
        <v>1911</v>
      </c>
      <c r="W131" s="51" t="s">
        <v>1890</v>
      </c>
      <c r="X131" s="130" t="s">
        <v>1429</v>
      </c>
      <c r="Y131" s="130" t="s">
        <v>1429</v>
      </c>
      <c r="Z131" s="51" t="s">
        <v>1585</v>
      </c>
      <c r="AA131" s="51" t="s">
        <v>1893</v>
      </c>
      <c r="AB131" s="51" t="s">
        <v>1435</v>
      </c>
      <c r="AC131" s="51" t="s">
        <v>1587</v>
      </c>
      <c r="AD131" s="59" t="str">
        <f t="shared" si="24"/>
        <v>GP</v>
      </c>
      <c r="AE131" s="66"/>
      <c r="AF131" s="61" t="str">
        <f t="shared" si="25"/>
        <v>NORMAL</v>
      </c>
      <c r="AG131" s="61" t="str">
        <f t="shared" si="26"/>
        <v>NORMAL</v>
      </c>
      <c r="AH131" s="61" t="str">
        <f t="shared" si="27"/>
        <v>DISABLE</v>
      </c>
      <c r="AI131" s="67" t="str">
        <f t="shared" si="28"/>
        <v>N/A</v>
      </c>
      <c r="AJ131" s="176" t="b">
        <v>1</v>
      </c>
      <c r="AK131" s="176" t="b">
        <v>1</v>
      </c>
      <c r="AL131" s="176" t="b">
        <v>1</v>
      </c>
      <c r="AM131" s="176" t="b">
        <v>1</v>
      </c>
      <c r="AN131" s="176" t="b">
        <v>1</v>
      </c>
      <c r="AO131" s="176" t="b">
        <v>1</v>
      </c>
      <c r="AP131" s="64" t="str">
        <f t="shared" si="29"/>
        <v>VALID</v>
      </c>
      <c r="AQ131" s="211" t="s">
        <v>1910</v>
      </c>
      <c r="AR131" s="182" t="s">
        <v>3495</v>
      </c>
      <c r="AS131" s="181"/>
      <c r="AT131" s="5"/>
      <c r="AU131" s="5"/>
      <c r="AV131" s="5"/>
      <c r="AW131" s="181" t="s">
        <v>125</v>
      </c>
      <c r="AX131" s="284"/>
      <c r="AY131" s="181"/>
      <c r="AZ131" s="181"/>
      <c r="BA131" s="7"/>
      <c r="BB131" s="212"/>
      <c r="BC131" s="10" t="s">
        <v>3731</v>
      </c>
      <c r="BD131" s="238"/>
      <c r="BE131" s="239"/>
      <c r="BF131" s="239"/>
      <c r="BG131" s="239"/>
      <c r="BH131" s="239"/>
      <c r="BI131" s="239"/>
      <c r="BJ131" s="239"/>
      <c r="BK131" s="239"/>
      <c r="BL131" s="239"/>
      <c r="BM131" s="239"/>
      <c r="BN131" s="239"/>
      <c r="BO131" s="239"/>
      <c r="BP131" s="239"/>
      <c r="BQ131" s="239"/>
      <c r="BR131" s="239"/>
      <c r="BS131" s="239"/>
      <c r="BT131" s="239"/>
      <c r="BU131" s="239"/>
      <c r="BV131" s="239"/>
      <c r="BW131" s="239"/>
      <c r="BX131" s="239"/>
      <c r="BY131" s="239"/>
      <c r="BZ131" s="239"/>
      <c r="CA131" s="239"/>
      <c r="CB131" s="239"/>
      <c r="CC131" s="239"/>
      <c r="CD131" s="239"/>
      <c r="CE131" s="239"/>
    </row>
    <row r="132" spans="1:83" ht="12.95" customHeight="1">
      <c r="A132" s="21" t="s">
        <v>3354</v>
      </c>
      <c r="B132" s="21" t="s">
        <v>3557</v>
      </c>
      <c r="C132" s="51" t="s">
        <v>949</v>
      </c>
      <c r="D132" s="52" t="s">
        <v>1609</v>
      </c>
      <c r="E132" s="52" t="s">
        <v>1908</v>
      </c>
      <c r="F132" s="53" t="s">
        <v>1239</v>
      </c>
      <c r="G132" s="179" t="s">
        <v>1525</v>
      </c>
      <c r="H132" s="180" t="s">
        <v>1429</v>
      </c>
      <c r="I132" s="55" t="s">
        <v>1429</v>
      </c>
      <c r="J132" s="55" t="s">
        <v>1912</v>
      </c>
      <c r="K132" s="56" t="s">
        <v>1429</v>
      </c>
      <c r="L132" s="54" t="s">
        <v>1580</v>
      </c>
      <c r="M132" s="55" t="s">
        <v>1429</v>
      </c>
      <c r="N132" s="55" t="s">
        <v>1429</v>
      </c>
      <c r="O132" s="55" t="s">
        <v>1590</v>
      </c>
      <c r="P132" s="56" t="s">
        <v>1429</v>
      </c>
      <c r="Q132" s="6" t="s">
        <v>755</v>
      </c>
      <c r="R132" s="6" t="s">
        <v>113</v>
      </c>
      <c r="S132" s="52" t="s">
        <v>116</v>
      </c>
      <c r="T132" s="52" t="s">
        <v>100</v>
      </c>
      <c r="U132" s="57" t="s">
        <v>755</v>
      </c>
      <c r="V132" s="146" t="s">
        <v>1913</v>
      </c>
      <c r="W132" s="51" t="s">
        <v>1890</v>
      </c>
      <c r="X132" s="130" t="s">
        <v>1429</v>
      </c>
      <c r="Y132" s="130" t="s">
        <v>1429</v>
      </c>
      <c r="Z132" s="51" t="s">
        <v>1585</v>
      </c>
      <c r="AA132" s="51" t="s">
        <v>1893</v>
      </c>
      <c r="AB132" s="51" t="s">
        <v>1435</v>
      </c>
      <c r="AC132" s="51" t="s">
        <v>1587</v>
      </c>
      <c r="AD132" s="59" t="str">
        <f t="shared" si="24"/>
        <v>DISPLAYA</v>
      </c>
      <c r="AE132" s="66"/>
      <c r="AF132" s="61" t="str">
        <f t="shared" si="25"/>
        <v>PULL_UP</v>
      </c>
      <c r="AG132" s="61" t="str">
        <f t="shared" si="26"/>
        <v>TRISTATE</v>
      </c>
      <c r="AH132" s="61" t="str">
        <f t="shared" si="27"/>
        <v>ENABLE</v>
      </c>
      <c r="AI132" s="67" t="str">
        <f t="shared" si="28"/>
        <v>N/A</v>
      </c>
      <c r="AJ132" s="176" t="b">
        <v>1</v>
      </c>
      <c r="AK132" s="176" t="b">
        <v>1</v>
      </c>
      <c r="AL132" s="176" t="b">
        <v>1</v>
      </c>
      <c r="AM132" s="176" t="b">
        <v>1</v>
      </c>
      <c r="AN132" s="176" t="b">
        <v>1</v>
      </c>
      <c r="AO132" s="176" t="b">
        <v>1</v>
      </c>
      <c r="AP132" s="64" t="str">
        <f t="shared" si="29"/>
        <v>VALID</v>
      </c>
      <c r="AQ132" s="211" t="s">
        <v>1912</v>
      </c>
      <c r="AR132" s="182" t="s">
        <v>3496</v>
      </c>
      <c r="AS132" s="181" t="s">
        <v>3497</v>
      </c>
      <c r="AT132" s="5"/>
      <c r="AU132" s="5"/>
      <c r="AV132" s="5"/>
      <c r="AW132" s="181" t="s">
        <v>125</v>
      </c>
      <c r="AX132" s="284"/>
      <c r="AY132" s="181"/>
      <c r="AZ132" s="181"/>
      <c r="BA132" s="7"/>
      <c r="BB132" s="212"/>
      <c r="BC132" s="10" t="s">
        <v>3732</v>
      </c>
      <c r="BD132" s="238"/>
      <c r="BE132" s="239"/>
      <c r="BF132" s="239"/>
      <c r="BG132" s="239"/>
      <c r="BH132" s="239"/>
      <c r="BI132" s="239"/>
      <c r="BJ132" s="239"/>
      <c r="BK132" s="239"/>
      <c r="BL132" s="239"/>
      <c r="BM132" s="239"/>
      <c r="BN132" s="239"/>
      <c r="BO132" s="239"/>
      <c r="BP132" s="239"/>
      <c r="BQ132" s="239"/>
      <c r="BR132" s="239"/>
      <c r="BS132" s="239"/>
      <c r="BT132" s="239"/>
      <c r="BU132" s="239"/>
      <c r="BV132" s="239"/>
      <c r="BW132" s="239"/>
      <c r="BX132" s="239"/>
      <c r="BY132" s="239"/>
      <c r="BZ132" s="239"/>
      <c r="CA132" s="239"/>
      <c r="CB132" s="239"/>
      <c r="CC132" s="239"/>
      <c r="CD132" s="239"/>
      <c r="CE132" s="239"/>
    </row>
    <row r="133" spans="1:83" ht="12.95" customHeight="1">
      <c r="A133" s="21" t="s">
        <v>3356</v>
      </c>
      <c r="B133" s="21" t="s">
        <v>2104</v>
      </c>
      <c r="C133" s="51" t="s">
        <v>950</v>
      </c>
      <c r="D133" s="52" t="s">
        <v>1845</v>
      </c>
      <c r="E133" s="52" t="s">
        <v>1914</v>
      </c>
      <c r="F133" s="53" t="s">
        <v>1240</v>
      </c>
      <c r="G133" s="179" t="s">
        <v>1526</v>
      </c>
      <c r="H133" s="180" t="s">
        <v>1429</v>
      </c>
      <c r="I133" s="55"/>
      <c r="J133" s="55" t="s">
        <v>1915</v>
      </c>
      <c r="K133" s="56" t="s">
        <v>1429</v>
      </c>
      <c r="L133" s="54" t="s">
        <v>1580</v>
      </c>
      <c r="M133" s="55" t="s">
        <v>1429</v>
      </c>
      <c r="N133" s="55" t="s">
        <v>1581</v>
      </c>
      <c r="O133" s="55" t="s">
        <v>1581</v>
      </c>
      <c r="P133" s="56" t="s">
        <v>1429</v>
      </c>
      <c r="Q133" s="6" t="s">
        <v>755</v>
      </c>
      <c r="R133" s="6" t="s">
        <v>1362</v>
      </c>
      <c r="S133" s="52" t="s">
        <v>1382</v>
      </c>
      <c r="T133" s="52" t="s">
        <v>100</v>
      </c>
      <c r="U133" s="57" t="s">
        <v>755</v>
      </c>
      <c r="V133" s="146" t="s">
        <v>1916</v>
      </c>
      <c r="W133" s="51" t="s">
        <v>1890</v>
      </c>
      <c r="X133" s="130" t="s">
        <v>1429</v>
      </c>
      <c r="Y133" s="130" t="s">
        <v>1429</v>
      </c>
      <c r="Z133" s="51" t="s">
        <v>1585</v>
      </c>
      <c r="AA133" s="51" t="s">
        <v>1893</v>
      </c>
      <c r="AB133" s="51" t="s">
        <v>1435</v>
      </c>
      <c r="AC133" s="51" t="s">
        <v>1587</v>
      </c>
      <c r="AD133" s="59" t="str">
        <f t="shared" si="24"/>
        <v>DCA</v>
      </c>
      <c r="AE133" s="66"/>
      <c r="AF133" s="61" t="str">
        <f t="shared" si="25"/>
        <v>NORMAL</v>
      </c>
      <c r="AG133" s="61" t="str">
        <f t="shared" si="26"/>
        <v>NORMAL</v>
      </c>
      <c r="AH133" s="61" t="str">
        <f t="shared" si="27"/>
        <v>DISABLE</v>
      </c>
      <c r="AI133" s="67" t="str">
        <f t="shared" si="28"/>
        <v>N/A</v>
      </c>
      <c r="AJ133" s="176" t="b">
        <v>1</v>
      </c>
      <c r="AK133" s="176" t="b">
        <v>1</v>
      </c>
      <c r="AL133" s="176" t="b">
        <v>1</v>
      </c>
      <c r="AM133" s="176" t="b">
        <v>1</v>
      </c>
      <c r="AN133" s="176" t="b">
        <v>1</v>
      </c>
      <c r="AO133" s="176" t="b">
        <v>1</v>
      </c>
      <c r="AP133" s="64" t="str">
        <f t="shared" si="29"/>
        <v>VALID</v>
      </c>
      <c r="AQ133" s="211" t="s">
        <v>1915</v>
      </c>
      <c r="AR133" s="182" t="s">
        <v>3495</v>
      </c>
      <c r="AS133" s="181"/>
      <c r="AT133" s="5"/>
      <c r="AU133" s="5"/>
      <c r="AV133" s="5"/>
      <c r="AW133" s="181" t="s">
        <v>125</v>
      </c>
      <c r="AX133" s="284"/>
      <c r="AY133" s="181"/>
      <c r="AZ133" s="181"/>
      <c r="BA133" s="7"/>
      <c r="BB133" s="212"/>
      <c r="BC133" s="10" t="s">
        <v>3733</v>
      </c>
      <c r="BD133" s="238"/>
      <c r="BE133" s="239"/>
      <c r="BF133" s="239"/>
      <c r="BG133" s="239"/>
      <c r="BH133" s="239"/>
      <c r="BI133" s="239"/>
      <c r="BJ133" s="239"/>
      <c r="BK133" s="239"/>
      <c r="BL133" s="239"/>
      <c r="BM133" s="239"/>
      <c r="BN133" s="239"/>
      <c r="BO133" s="239"/>
      <c r="BP133" s="239"/>
      <c r="BQ133" s="239"/>
      <c r="BR133" s="239"/>
      <c r="BS133" s="239"/>
      <c r="BT133" s="239"/>
      <c r="BU133" s="239"/>
      <c r="BV133" s="239"/>
      <c r="BW133" s="239"/>
      <c r="BX133" s="239"/>
      <c r="BY133" s="239"/>
      <c r="BZ133" s="239"/>
      <c r="CA133" s="239"/>
      <c r="CB133" s="239"/>
      <c r="CC133" s="239"/>
      <c r="CD133" s="239"/>
      <c r="CE133" s="239"/>
    </row>
    <row r="134" spans="1:83" ht="12.95" customHeight="1">
      <c r="A134" s="21" t="s">
        <v>3357</v>
      </c>
      <c r="B134" s="21" t="s">
        <v>3568</v>
      </c>
      <c r="C134" s="51" t="s">
        <v>951</v>
      </c>
      <c r="D134" s="52" t="s">
        <v>1885</v>
      </c>
      <c r="E134" s="52" t="s">
        <v>1894</v>
      </c>
      <c r="F134" s="53" t="s">
        <v>1241</v>
      </c>
      <c r="G134" s="179" t="s">
        <v>1527</v>
      </c>
      <c r="H134" s="180" t="s">
        <v>1429</v>
      </c>
      <c r="I134" s="55" t="s">
        <v>1429</v>
      </c>
      <c r="J134" s="55"/>
      <c r="K134" s="56"/>
      <c r="L134" s="54" t="s">
        <v>1580</v>
      </c>
      <c r="M134" s="55" t="s">
        <v>1429</v>
      </c>
      <c r="N134" s="55" t="s">
        <v>1429</v>
      </c>
      <c r="O134" s="55" t="s">
        <v>1590</v>
      </c>
      <c r="P134" s="56" t="s">
        <v>1581</v>
      </c>
      <c r="Q134" s="178" t="s">
        <v>755</v>
      </c>
      <c r="R134" s="178" t="s">
        <v>113</v>
      </c>
      <c r="S134" s="178" t="s">
        <v>117</v>
      </c>
      <c r="T134" s="178" t="s">
        <v>1364</v>
      </c>
      <c r="U134" s="178" t="s">
        <v>755</v>
      </c>
      <c r="V134" s="146" t="s">
        <v>1917</v>
      </c>
      <c r="W134" s="51" t="s">
        <v>1890</v>
      </c>
      <c r="X134" s="130" t="s">
        <v>1429</v>
      </c>
      <c r="Y134" s="130" t="s">
        <v>1429</v>
      </c>
      <c r="Z134" s="51" t="s">
        <v>1585</v>
      </c>
      <c r="AA134" s="51" t="s">
        <v>1893</v>
      </c>
      <c r="AB134" s="51" t="s">
        <v>1435</v>
      </c>
      <c r="AC134" s="51" t="s">
        <v>1587</v>
      </c>
      <c r="AD134" s="59" t="str">
        <f t="shared" si="24"/>
        <v>GPIO_PU3</v>
      </c>
      <c r="AE134" s="66"/>
      <c r="AF134" s="61" t="str">
        <f t="shared" si="25"/>
        <v>NORMAL</v>
      </c>
      <c r="AG134" s="61" t="str">
        <f t="shared" si="26"/>
        <v>NORMAL</v>
      </c>
      <c r="AH134" s="61" t="str">
        <f t="shared" si="27"/>
        <v>DISABLE</v>
      </c>
      <c r="AI134" s="67" t="str">
        <f t="shared" si="28"/>
        <v>0</v>
      </c>
      <c r="AJ134" s="176" t="b">
        <v>1</v>
      </c>
      <c r="AK134" s="176" t="b">
        <v>1</v>
      </c>
      <c r="AL134" s="176" t="b">
        <v>1</v>
      </c>
      <c r="AM134" s="176" t="b">
        <v>1</v>
      </c>
      <c r="AN134" s="176" t="b">
        <v>1</v>
      </c>
      <c r="AO134" s="176" t="b">
        <v>1</v>
      </c>
      <c r="AP134" s="64" t="str">
        <f t="shared" si="29"/>
        <v>VALID</v>
      </c>
      <c r="AQ134" s="211" t="s">
        <v>1527</v>
      </c>
      <c r="AR134" s="182" t="s">
        <v>3495</v>
      </c>
      <c r="AS134" s="181" t="s">
        <v>3500</v>
      </c>
      <c r="AT134" s="5"/>
      <c r="AU134" s="5"/>
      <c r="AV134" s="5"/>
      <c r="AW134" s="181" t="s">
        <v>125</v>
      </c>
      <c r="AX134" s="284"/>
      <c r="AY134" s="181"/>
      <c r="AZ134" s="181"/>
      <c r="BA134" s="7"/>
      <c r="BB134" s="212"/>
      <c r="BC134" s="10" t="s">
        <v>3734</v>
      </c>
      <c r="BD134" s="240"/>
      <c r="BE134" s="239"/>
      <c r="BF134" s="239"/>
      <c r="BG134" s="239"/>
      <c r="BH134" s="239"/>
      <c r="BI134" s="239"/>
      <c r="BJ134" s="239"/>
      <c r="BK134" s="239"/>
      <c r="BL134" s="239"/>
      <c r="BM134" s="239"/>
      <c r="BN134" s="239"/>
      <c r="BO134" s="239"/>
      <c r="BP134" s="239"/>
      <c r="BQ134" s="239"/>
      <c r="BR134" s="239"/>
      <c r="BS134" s="239"/>
      <c r="BT134" s="239"/>
      <c r="BU134" s="239"/>
      <c r="BV134" s="239"/>
      <c r="BW134" s="239"/>
      <c r="BX134" s="239"/>
      <c r="BY134" s="239"/>
      <c r="BZ134" s="239"/>
      <c r="CA134" s="239"/>
      <c r="CB134" s="239"/>
      <c r="CC134" s="239"/>
      <c r="CD134" s="239"/>
      <c r="CE134" s="239"/>
    </row>
    <row r="135" spans="1:83" ht="12.95" customHeight="1">
      <c r="A135" s="21" t="s">
        <v>3358</v>
      </c>
      <c r="B135" s="21" t="s">
        <v>2128</v>
      </c>
      <c r="C135" s="51" t="s">
        <v>952</v>
      </c>
      <c r="D135" s="52" t="s">
        <v>1623</v>
      </c>
      <c r="E135" s="52" t="s">
        <v>1887</v>
      </c>
      <c r="F135" s="53" t="s">
        <v>1242</v>
      </c>
      <c r="G135" s="179" t="s">
        <v>1528</v>
      </c>
      <c r="H135" s="180" t="s">
        <v>1429</v>
      </c>
      <c r="I135" s="55"/>
      <c r="J135" s="55" t="s">
        <v>1918</v>
      </c>
      <c r="K135" s="56" t="s">
        <v>1429</v>
      </c>
      <c r="L135" s="54" t="s">
        <v>1580</v>
      </c>
      <c r="M135" s="55" t="s">
        <v>1429</v>
      </c>
      <c r="N135" s="55" t="s">
        <v>1590</v>
      </c>
      <c r="O135" s="55" t="s">
        <v>1581</v>
      </c>
      <c r="P135" s="56" t="s">
        <v>1429</v>
      </c>
      <c r="Q135" s="178" t="s">
        <v>755</v>
      </c>
      <c r="R135" s="178" t="s">
        <v>134</v>
      </c>
      <c r="S135" s="178" t="s">
        <v>1382</v>
      </c>
      <c r="T135" s="178" t="s">
        <v>100</v>
      </c>
      <c r="U135" s="178" t="s">
        <v>755</v>
      </c>
      <c r="V135" s="146" t="s">
        <v>1919</v>
      </c>
      <c r="W135" s="51" t="s">
        <v>1890</v>
      </c>
      <c r="X135" s="130" t="s">
        <v>1429</v>
      </c>
      <c r="Y135" s="130" t="s">
        <v>1429</v>
      </c>
      <c r="Z135" s="51" t="s">
        <v>1585</v>
      </c>
      <c r="AA135" s="51" t="s">
        <v>1893</v>
      </c>
      <c r="AB135" s="51" t="s">
        <v>1435</v>
      </c>
      <c r="AC135" s="51" t="s">
        <v>1587</v>
      </c>
      <c r="AD135" s="59" t="str">
        <f t="shared" si="24"/>
        <v>DCA</v>
      </c>
      <c r="AE135" s="66"/>
      <c r="AF135" s="61" t="str">
        <f t="shared" si="25"/>
        <v>NORMAL</v>
      </c>
      <c r="AG135" s="61" t="str">
        <f t="shared" si="26"/>
        <v>NORMAL</v>
      </c>
      <c r="AH135" s="61" t="str">
        <f t="shared" si="27"/>
        <v>DISABLE</v>
      </c>
      <c r="AI135" s="67" t="str">
        <f t="shared" si="28"/>
        <v>N/A</v>
      </c>
      <c r="AJ135" s="176" t="b">
        <v>1</v>
      </c>
      <c r="AK135" s="176" t="b">
        <v>1</v>
      </c>
      <c r="AL135" s="176" t="b">
        <v>1</v>
      </c>
      <c r="AM135" s="176" t="b">
        <v>1</v>
      </c>
      <c r="AN135" s="176" t="b">
        <v>1</v>
      </c>
      <c r="AO135" s="176" t="b">
        <v>1</v>
      </c>
      <c r="AP135" s="64" t="str">
        <f t="shared" si="29"/>
        <v>VALID</v>
      </c>
      <c r="AQ135" s="211" t="s">
        <v>1918</v>
      </c>
      <c r="AR135" s="182" t="s">
        <v>3495</v>
      </c>
      <c r="AS135" s="181"/>
      <c r="AT135" s="5"/>
      <c r="AU135" s="5"/>
      <c r="AV135" s="5"/>
      <c r="AW135" s="181" t="s">
        <v>125</v>
      </c>
      <c r="AX135" s="284"/>
      <c r="AY135" s="181"/>
      <c r="AZ135" s="181"/>
      <c r="BA135" s="7"/>
      <c r="BB135" s="212"/>
      <c r="BC135" s="10" t="s">
        <v>3735</v>
      </c>
      <c r="BD135" s="238"/>
      <c r="BE135" s="239"/>
      <c r="BF135" s="239"/>
      <c r="BG135" s="239"/>
      <c r="BH135" s="239"/>
      <c r="BI135" s="239"/>
      <c r="BJ135" s="239"/>
      <c r="BK135" s="239"/>
      <c r="BL135" s="239"/>
      <c r="BM135" s="239"/>
      <c r="BN135" s="239"/>
      <c r="BO135" s="239"/>
      <c r="BP135" s="239"/>
      <c r="BQ135" s="239"/>
      <c r="BR135" s="239"/>
      <c r="BS135" s="239"/>
      <c r="BT135" s="239"/>
      <c r="BU135" s="239"/>
      <c r="BV135" s="239"/>
      <c r="BW135" s="239"/>
      <c r="BX135" s="239"/>
      <c r="BY135" s="239"/>
      <c r="BZ135" s="239"/>
      <c r="CA135" s="239"/>
      <c r="CB135" s="239"/>
      <c r="CC135" s="239"/>
      <c r="CD135" s="239"/>
      <c r="CE135" s="239"/>
    </row>
    <row r="136" spans="1:83" ht="12.95" customHeight="1">
      <c r="A136" s="21" t="s">
        <v>3359</v>
      </c>
      <c r="B136" s="21" t="s">
        <v>1882</v>
      </c>
      <c r="C136" s="51" t="s">
        <v>953</v>
      </c>
      <c r="D136" s="52" t="s">
        <v>1602</v>
      </c>
      <c r="E136" s="52" t="s">
        <v>1628</v>
      </c>
      <c r="F136" s="53" t="s">
        <v>1243</v>
      </c>
      <c r="G136" s="179" t="s">
        <v>1529</v>
      </c>
      <c r="H136" s="180" t="s">
        <v>1429</v>
      </c>
      <c r="I136" s="55" t="s">
        <v>1920</v>
      </c>
      <c r="J136" s="55"/>
      <c r="K136" s="56"/>
      <c r="L136" s="54" t="s">
        <v>1580</v>
      </c>
      <c r="M136" s="55" t="s">
        <v>1429</v>
      </c>
      <c r="N136" s="55" t="s">
        <v>1581</v>
      </c>
      <c r="O136" s="55" t="s">
        <v>1590</v>
      </c>
      <c r="P136" s="56" t="s">
        <v>1581</v>
      </c>
      <c r="Q136" s="6" t="s">
        <v>755</v>
      </c>
      <c r="R136" s="6" t="s">
        <v>1362</v>
      </c>
      <c r="S136" s="52" t="s">
        <v>1364</v>
      </c>
      <c r="T136" s="52" t="s">
        <v>1381</v>
      </c>
      <c r="U136" s="57" t="s">
        <v>755</v>
      </c>
      <c r="V136" s="146" t="s">
        <v>1921</v>
      </c>
      <c r="W136" s="51" t="s">
        <v>1890</v>
      </c>
      <c r="X136" s="130" t="s">
        <v>1429</v>
      </c>
      <c r="Y136" s="130" t="s">
        <v>1429</v>
      </c>
      <c r="Z136" s="51" t="s">
        <v>1585</v>
      </c>
      <c r="AA136" s="51" t="s">
        <v>1893</v>
      </c>
      <c r="AB136" s="51" t="s">
        <v>1435</v>
      </c>
      <c r="AC136" s="51" t="s">
        <v>1587</v>
      </c>
      <c r="AD136" s="59" t="str">
        <f t="shared" si="24"/>
        <v>GP</v>
      </c>
      <c r="AE136" s="66"/>
      <c r="AF136" s="61" t="str">
        <f t="shared" si="25"/>
        <v>NORMAL</v>
      </c>
      <c r="AG136" s="61" t="str">
        <f t="shared" si="26"/>
        <v>NORMAL</v>
      </c>
      <c r="AH136" s="61" t="str">
        <f t="shared" si="27"/>
        <v>DISABLE</v>
      </c>
      <c r="AI136" s="67" t="str">
        <f t="shared" si="28"/>
        <v>N/A</v>
      </c>
      <c r="AJ136" s="176" t="b">
        <v>1</v>
      </c>
      <c r="AK136" s="176" t="b">
        <v>1</v>
      </c>
      <c r="AL136" s="176" t="b">
        <v>1</v>
      </c>
      <c r="AM136" s="176" t="b">
        <v>1</v>
      </c>
      <c r="AN136" s="176" t="b">
        <v>1</v>
      </c>
      <c r="AO136" s="176" t="b">
        <v>1</v>
      </c>
      <c r="AP136" s="64" t="str">
        <f t="shared" si="29"/>
        <v>VALID</v>
      </c>
      <c r="AQ136" s="211" t="s">
        <v>1920</v>
      </c>
      <c r="AR136" s="182" t="s">
        <v>3495</v>
      </c>
      <c r="AS136" s="181" t="s">
        <v>3500</v>
      </c>
      <c r="AT136" s="5"/>
      <c r="AU136" s="5"/>
      <c r="AV136" s="5"/>
      <c r="AW136" s="181" t="s">
        <v>125</v>
      </c>
      <c r="AX136" s="284"/>
      <c r="AY136" s="181"/>
      <c r="AZ136" s="181"/>
      <c r="BA136" s="7"/>
      <c r="BB136" s="212"/>
      <c r="BC136" s="10" t="s">
        <v>3736</v>
      </c>
      <c r="BD136" s="238"/>
      <c r="BE136" s="239"/>
      <c r="BF136" s="239"/>
      <c r="BG136" s="239"/>
      <c r="BH136" s="239"/>
      <c r="BI136" s="239"/>
      <c r="BJ136" s="239"/>
      <c r="BK136" s="239"/>
      <c r="BL136" s="239"/>
      <c r="BM136" s="239"/>
      <c r="BN136" s="239"/>
      <c r="BO136" s="239"/>
      <c r="BP136" s="239"/>
      <c r="BQ136" s="239"/>
      <c r="BR136" s="239"/>
      <c r="BS136" s="239"/>
      <c r="BT136" s="239"/>
      <c r="BU136" s="239"/>
      <c r="BV136" s="239"/>
      <c r="BW136" s="239"/>
      <c r="BX136" s="239"/>
      <c r="BY136" s="239"/>
      <c r="BZ136" s="239"/>
      <c r="CA136" s="239"/>
      <c r="CB136" s="239"/>
      <c r="CC136" s="239"/>
      <c r="CD136" s="239"/>
      <c r="CE136" s="239"/>
    </row>
    <row r="137" spans="1:83" ht="12.95" customHeight="1">
      <c r="A137" s="21" t="s">
        <v>1406</v>
      </c>
      <c r="B137" s="21" t="s">
        <v>3576</v>
      </c>
      <c r="C137" s="51" t="s">
        <v>313</v>
      </c>
      <c r="D137" s="52" t="s">
        <v>1922</v>
      </c>
      <c r="E137" s="52" t="s">
        <v>1923</v>
      </c>
      <c r="F137" s="53" t="s">
        <v>1244</v>
      </c>
      <c r="G137" s="179" t="s">
        <v>1530</v>
      </c>
      <c r="H137" s="180" t="s">
        <v>1429</v>
      </c>
      <c r="I137" s="55" t="s">
        <v>1429</v>
      </c>
      <c r="J137" s="55" t="s">
        <v>1429</v>
      </c>
      <c r="K137" s="56" t="s">
        <v>1429</v>
      </c>
      <c r="L137" s="54" t="s">
        <v>1580</v>
      </c>
      <c r="M137" s="55" t="s">
        <v>1429</v>
      </c>
      <c r="N137" s="55" t="s">
        <v>1429</v>
      </c>
      <c r="O137" s="55" t="s">
        <v>1429</v>
      </c>
      <c r="P137" s="56" t="s">
        <v>1429</v>
      </c>
      <c r="Q137" s="6" t="s">
        <v>755</v>
      </c>
      <c r="R137" s="6" t="s">
        <v>113</v>
      </c>
      <c r="S137" s="52" t="s">
        <v>99</v>
      </c>
      <c r="T137" s="52" t="s">
        <v>100</v>
      </c>
      <c r="U137" s="57" t="s">
        <v>755</v>
      </c>
      <c r="V137" s="146" t="s">
        <v>1924</v>
      </c>
      <c r="W137" s="51" t="s">
        <v>1890</v>
      </c>
      <c r="X137" s="130" t="s">
        <v>1925</v>
      </c>
      <c r="Y137" s="130" t="s">
        <v>1429</v>
      </c>
      <c r="Z137" s="51" t="s">
        <v>1585</v>
      </c>
      <c r="AA137" s="51" t="s">
        <v>1893</v>
      </c>
      <c r="AB137" s="51" t="s">
        <v>1435</v>
      </c>
      <c r="AC137" s="51" t="s">
        <v>1587</v>
      </c>
      <c r="AD137" s="59" t="str">
        <f t="shared" si="24"/>
        <v>GPIO_PFF0</v>
      </c>
      <c r="AE137" s="66"/>
      <c r="AF137" s="61" t="str">
        <f t="shared" si="25"/>
        <v>PULL_UP</v>
      </c>
      <c r="AG137" s="61" t="str">
        <f t="shared" si="26"/>
        <v>TRISTATE</v>
      </c>
      <c r="AH137" s="61" t="str">
        <f t="shared" si="27"/>
        <v>ENABLE</v>
      </c>
      <c r="AI137" s="67" t="str">
        <f t="shared" si="28"/>
        <v/>
      </c>
      <c r="AJ137" s="176" t="b">
        <v>1</v>
      </c>
      <c r="AK137" s="176" t="b">
        <v>1</v>
      </c>
      <c r="AL137" s="176" t="b">
        <v>1</v>
      </c>
      <c r="AM137" s="176" t="b">
        <v>1</v>
      </c>
      <c r="AN137" s="176" t="b">
        <v>1</v>
      </c>
      <c r="AO137" s="176" t="b">
        <v>1</v>
      </c>
      <c r="AP137" s="64" t="str">
        <f t="shared" si="29"/>
        <v>VALID</v>
      </c>
      <c r="AQ137" s="211" t="s">
        <v>1530</v>
      </c>
      <c r="AR137" s="182" t="s">
        <v>3496</v>
      </c>
      <c r="AS137" s="181" t="s">
        <v>3497</v>
      </c>
      <c r="AT137" s="181" t="s">
        <v>3499</v>
      </c>
      <c r="AU137" s="5"/>
      <c r="AV137" s="5"/>
      <c r="AW137" s="181" t="s">
        <v>125</v>
      </c>
      <c r="AX137" s="284"/>
      <c r="AY137" s="181"/>
      <c r="AZ137" s="181"/>
      <c r="BA137" s="7"/>
      <c r="BB137" s="212"/>
      <c r="BC137" s="10" t="s">
        <v>3737</v>
      </c>
      <c r="BD137" s="240"/>
      <c r="BE137" s="239"/>
      <c r="BF137" s="239"/>
      <c r="BG137" s="239"/>
      <c r="BH137" s="239"/>
      <c r="BI137" s="239"/>
      <c r="BJ137" s="239"/>
      <c r="BK137" s="239"/>
      <c r="BL137" s="239"/>
      <c r="BM137" s="239"/>
      <c r="BN137" s="239"/>
      <c r="BO137" s="239"/>
      <c r="BP137" s="239"/>
      <c r="BQ137" s="239"/>
      <c r="BR137" s="239"/>
      <c r="BS137" s="239"/>
      <c r="BT137" s="239"/>
      <c r="BU137" s="239"/>
      <c r="BV137" s="239"/>
      <c r="BW137" s="239"/>
      <c r="BX137" s="239"/>
      <c r="BY137" s="239"/>
      <c r="BZ137" s="239"/>
      <c r="CA137" s="239"/>
      <c r="CB137" s="239"/>
      <c r="CC137" s="239"/>
      <c r="CD137" s="239"/>
      <c r="CE137" s="239"/>
    </row>
    <row r="138" spans="1:83" ht="12.95" customHeight="1">
      <c r="A138" s="21" t="s">
        <v>1405</v>
      </c>
      <c r="B138" s="21" t="s">
        <v>3560</v>
      </c>
      <c r="C138" s="51" t="s">
        <v>155</v>
      </c>
      <c r="D138" s="52" t="s">
        <v>1620</v>
      </c>
      <c r="E138" s="52" t="s">
        <v>1926</v>
      </c>
      <c r="F138" s="53" t="s">
        <v>535</v>
      </c>
      <c r="G138" s="179" t="s">
        <v>1429</v>
      </c>
      <c r="H138" s="180" t="s">
        <v>1531</v>
      </c>
      <c r="I138" s="55" t="s">
        <v>1429</v>
      </c>
      <c r="J138" s="55" t="s">
        <v>1429</v>
      </c>
      <c r="K138" s="56" t="s">
        <v>1429</v>
      </c>
      <c r="L138" s="54" t="s">
        <v>1429</v>
      </c>
      <c r="M138" s="55" t="s">
        <v>1590</v>
      </c>
      <c r="N138" s="55" t="s">
        <v>1429</v>
      </c>
      <c r="O138" s="55" t="s">
        <v>1429</v>
      </c>
      <c r="P138" s="56" t="s">
        <v>1429</v>
      </c>
      <c r="Q138" s="85"/>
      <c r="R138" s="85"/>
      <c r="S138" s="85"/>
      <c r="T138" s="85"/>
      <c r="U138" s="85"/>
      <c r="V138" s="146" t="s">
        <v>1927</v>
      </c>
      <c r="W138" s="51" t="s">
        <v>1890</v>
      </c>
      <c r="X138" s="130" t="s">
        <v>1429</v>
      </c>
      <c r="Y138" s="130" t="s">
        <v>1429</v>
      </c>
      <c r="Z138" s="51" t="s">
        <v>1928</v>
      </c>
      <c r="AA138" s="51" t="s">
        <v>1929</v>
      </c>
      <c r="AB138" s="51" t="s">
        <v>1476</v>
      </c>
      <c r="AC138" s="51">
        <v>1</v>
      </c>
      <c r="AD138" s="177"/>
      <c r="AE138" s="66"/>
      <c r="AF138" s="61" t="str">
        <f t="shared" si="25"/>
        <v>PULL_UP</v>
      </c>
      <c r="AG138" s="61" t="str">
        <f t="shared" si="26"/>
        <v>TRISTATE</v>
      </c>
      <c r="AH138" s="61" t="str">
        <f t="shared" si="27"/>
        <v>ENABLE</v>
      </c>
      <c r="AI138" s="67" t="str">
        <f t="shared" si="28"/>
        <v>N/A</v>
      </c>
      <c r="AJ138" s="176" t="b">
        <v>1</v>
      </c>
      <c r="AK138" s="176" t="b">
        <v>1</v>
      </c>
      <c r="AL138" s="176" t="b">
        <v>1</v>
      </c>
      <c r="AM138" s="176" t="b">
        <v>1</v>
      </c>
      <c r="AN138" s="176" t="b">
        <v>1</v>
      </c>
      <c r="AO138" s="176" t="b">
        <v>1</v>
      </c>
      <c r="AP138" s="64" t="str">
        <f t="shared" si="29"/>
        <v>VALID</v>
      </c>
      <c r="AQ138" s="211" t="s">
        <v>1531</v>
      </c>
      <c r="AR138" s="182" t="s">
        <v>3496</v>
      </c>
      <c r="AS138" s="181" t="s">
        <v>3497</v>
      </c>
      <c r="AT138" s="5"/>
      <c r="AU138" s="5"/>
      <c r="AV138" s="5"/>
      <c r="AW138" s="5"/>
      <c r="AX138" s="284"/>
      <c r="AY138" s="181"/>
      <c r="AZ138" s="181"/>
      <c r="BA138" s="7"/>
      <c r="BB138" s="212"/>
      <c r="BC138" s="10" t="s">
        <v>3738</v>
      </c>
      <c r="BD138" s="238"/>
      <c r="BE138" s="239"/>
      <c r="BF138" s="239"/>
      <c r="BG138" s="239"/>
      <c r="BH138" s="239"/>
      <c r="BI138" s="239"/>
      <c r="BJ138" s="239"/>
      <c r="BK138" s="239"/>
      <c r="BL138" s="239"/>
      <c r="BM138" s="239"/>
      <c r="BN138" s="239"/>
      <c r="BO138" s="239"/>
      <c r="BP138" s="239"/>
      <c r="BQ138" s="239"/>
      <c r="BR138" s="239"/>
      <c r="BS138" s="239"/>
      <c r="BT138" s="239"/>
      <c r="BU138" s="239"/>
      <c r="BV138" s="239"/>
      <c r="BW138" s="239"/>
      <c r="BX138" s="239"/>
      <c r="BY138" s="239"/>
      <c r="BZ138" s="239"/>
      <c r="CA138" s="239"/>
      <c r="CB138" s="239"/>
      <c r="CC138" s="239"/>
      <c r="CD138" s="239"/>
      <c r="CE138" s="239"/>
    </row>
    <row r="139" spans="1:83" ht="12.95" customHeight="1">
      <c r="A139" s="1"/>
      <c r="B139" s="1"/>
      <c r="C139" s="51" t="s">
        <v>300</v>
      </c>
      <c r="D139" s="52" t="s">
        <v>1617</v>
      </c>
      <c r="E139" s="52" t="s">
        <v>1930</v>
      </c>
      <c r="F139" s="53" t="s">
        <v>534</v>
      </c>
      <c r="G139" s="179" t="s">
        <v>1429</v>
      </c>
      <c r="H139" s="180" t="s">
        <v>300</v>
      </c>
      <c r="I139" s="55" t="s">
        <v>1429</v>
      </c>
      <c r="J139" s="55" t="s">
        <v>1429</v>
      </c>
      <c r="K139" s="56" t="s">
        <v>1429</v>
      </c>
      <c r="L139" s="54" t="s">
        <v>1429</v>
      </c>
      <c r="M139" s="55" t="s">
        <v>1581</v>
      </c>
      <c r="N139" s="55" t="s">
        <v>1429</v>
      </c>
      <c r="O139" s="55" t="s">
        <v>1429</v>
      </c>
      <c r="P139" s="56" t="s">
        <v>1429</v>
      </c>
      <c r="Q139" s="85"/>
      <c r="R139" s="85"/>
      <c r="S139" s="85"/>
      <c r="T139" s="85"/>
      <c r="U139" s="85"/>
      <c r="V139" s="146" t="s">
        <v>1931</v>
      </c>
      <c r="W139" s="51" t="s">
        <v>1890</v>
      </c>
      <c r="X139" s="130" t="s">
        <v>1429</v>
      </c>
      <c r="Y139" s="130" t="s">
        <v>1429</v>
      </c>
      <c r="Z139" s="51" t="s">
        <v>1585</v>
      </c>
      <c r="AA139" s="51" t="s">
        <v>1893</v>
      </c>
      <c r="AB139" s="51" t="s">
        <v>1435</v>
      </c>
      <c r="AC139" s="51" t="s">
        <v>1633</v>
      </c>
      <c r="AD139" s="177"/>
      <c r="AE139" s="66"/>
      <c r="AF139" s="61" t="str">
        <f t="shared" si="25"/>
        <v>NORMAL</v>
      </c>
      <c r="AG139" s="61" t="str">
        <f t="shared" si="26"/>
        <v>NORMAL</v>
      </c>
      <c r="AH139" s="61" t="str">
        <f t="shared" si="27"/>
        <v>DISABLE</v>
      </c>
      <c r="AI139" s="67" t="str">
        <f t="shared" si="28"/>
        <v>N/A</v>
      </c>
      <c r="AJ139" s="176" t="b">
        <v>1</v>
      </c>
      <c r="AK139" s="176" t="b">
        <v>1</v>
      </c>
      <c r="AL139" s="176" t="b">
        <v>1</v>
      </c>
      <c r="AM139" s="176" t="b">
        <v>1</v>
      </c>
      <c r="AN139" s="176" t="b">
        <v>1</v>
      </c>
      <c r="AO139" s="176" t="b">
        <v>1</v>
      </c>
      <c r="AP139" s="64" t="str">
        <f t="shared" si="29"/>
        <v>VALID</v>
      </c>
      <c r="AQ139" s="341" t="s">
        <v>300</v>
      </c>
      <c r="AR139" s="336" t="s">
        <v>3495</v>
      </c>
      <c r="AS139" s="337"/>
      <c r="AT139" s="342"/>
      <c r="AU139" s="342"/>
      <c r="AV139" s="342"/>
      <c r="AW139" s="337" t="s">
        <v>125</v>
      </c>
      <c r="AX139" s="342"/>
      <c r="AY139" s="337"/>
      <c r="AZ139" s="337"/>
      <c r="BA139" s="343"/>
      <c r="BB139" s="338"/>
      <c r="BC139" s="344" t="s">
        <v>3516</v>
      </c>
      <c r="BD139" s="248"/>
      <c r="BE139" s="239"/>
      <c r="BF139" s="239"/>
      <c r="BG139" s="239"/>
      <c r="BH139" s="239"/>
      <c r="BI139" s="239"/>
      <c r="BJ139" s="239"/>
      <c r="BK139" s="239"/>
      <c r="BL139" s="239"/>
      <c r="BM139" s="239"/>
      <c r="BN139" s="239"/>
      <c r="BO139" s="239"/>
      <c r="BP139" s="239"/>
      <c r="BQ139" s="239"/>
      <c r="BR139" s="239"/>
      <c r="BS139" s="239"/>
      <c r="BT139" s="239"/>
      <c r="BU139" s="239"/>
      <c r="BV139" s="239"/>
      <c r="BW139" s="239"/>
      <c r="BX139" s="239"/>
      <c r="BY139" s="239"/>
      <c r="BZ139" s="239"/>
      <c r="CA139" s="239"/>
      <c r="CB139" s="239"/>
      <c r="CC139" s="239"/>
      <c r="CD139" s="239"/>
      <c r="CE139" s="239"/>
    </row>
    <row r="140" spans="1:83" ht="13.5">
      <c r="A140" s="21" t="s">
        <v>3803</v>
      </c>
      <c r="B140" s="21" t="s">
        <v>1871</v>
      </c>
      <c r="C140" s="51" t="s">
        <v>941</v>
      </c>
      <c r="D140" s="52" t="s">
        <v>1634</v>
      </c>
      <c r="E140" s="52" t="s">
        <v>1932</v>
      </c>
      <c r="F140" s="53" t="s">
        <v>1245</v>
      </c>
      <c r="G140" s="179" t="s">
        <v>1933</v>
      </c>
      <c r="H140" s="180"/>
      <c r="I140" s="55" t="s">
        <v>1429</v>
      </c>
      <c r="J140" s="55" t="s">
        <v>1429</v>
      </c>
      <c r="K140" s="56" t="s">
        <v>1429</v>
      </c>
      <c r="L140" s="54" t="s">
        <v>1580</v>
      </c>
      <c r="M140" s="55" t="s">
        <v>1581</v>
      </c>
      <c r="N140" s="55" t="s">
        <v>1429</v>
      </c>
      <c r="O140" s="55" t="s">
        <v>1429</v>
      </c>
      <c r="P140" s="56" t="s">
        <v>1429</v>
      </c>
      <c r="Q140" s="6" t="s">
        <v>1363</v>
      </c>
      <c r="R140" s="6" t="s">
        <v>113</v>
      </c>
      <c r="S140" s="52" t="s">
        <v>99</v>
      </c>
      <c r="T140" s="52" t="s">
        <v>100</v>
      </c>
      <c r="U140" s="57" t="s">
        <v>113</v>
      </c>
      <c r="V140" s="146" t="s">
        <v>1934</v>
      </c>
      <c r="W140" s="51" t="s">
        <v>1890</v>
      </c>
      <c r="X140" s="130" t="s">
        <v>1935</v>
      </c>
      <c r="Y140" s="130" t="s">
        <v>1429</v>
      </c>
      <c r="Z140" s="51" t="s">
        <v>1585</v>
      </c>
      <c r="AA140" s="51" t="s">
        <v>1893</v>
      </c>
      <c r="AB140" s="51" t="s">
        <v>1435</v>
      </c>
      <c r="AC140" s="51">
        <v>1</v>
      </c>
      <c r="AD140" s="59" t="str">
        <f t="shared" si="24"/>
        <v>GPIO_PS3</v>
      </c>
      <c r="AE140" s="66"/>
      <c r="AF140" s="61" t="str">
        <f t="shared" si="25"/>
        <v>NORMAL</v>
      </c>
      <c r="AG140" s="61" t="str">
        <f t="shared" si="26"/>
        <v>NORMAL</v>
      </c>
      <c r="AH140" s="61" t="str">
        <f t="shared" si="27"/>
        <v>DISABLE</v>
      </c>
      <c r="AI140" s="67" t="str">
        <f t="shared" si="28"/>
        <v>0</v>
      </c>
      <c r="AJ140" s="176" t="b">
        <v>1</v>
      </c>
      <c r="AK140" s="176" t="b">
        <v>1</v>
      </c>
      <c r="AL140" s="176" t="b">
        <v>1</v>
      </c>
      <c r="AM140" s="176" t="b">
        <v>1</v>
      </c>
      <c r="AN140" s="176" t="b">
        <v>1</v>
      </c>
      <c r="AO140" s="176" t="b">
        <v>1</v>
      </c>
      <c r="AP140" s="64" t="str">
        <f t="shared" si="29"/>
        <v>VALID</v>
      </c>
      <c r="AQ140" s="211" t="s">
        <v>1933</v>
      </c>
      <c r="AR140" s="182" t="s">
        <v>3495</v>
      </c>
      <c r="AS140" s="181" t="s">
        <v>3500</v>
      </c>
      <c r="AT140" s="181" t="s">
        <v>104</v>
      </c>
      <c r="AU140" s="5"/>
      <c r="AV140" s="5"/>
      <c r="AW140" s="181" t="s">
        <v>125</v>
      </c>
      <c r="AX140" s="284"/>
      <c r="AY140" s="181"/>
      <c r="AZ140" s="181"/>
      <c r="BA140" s="7"/>
      <c r="BB140" s="212"/>
      <c r="BC140" s="10" t="s">
        <v>3739</v>
      </c>
      <c r="BD140" s="240"/>
      <c r="BE140" s="239"/>
      <c r="BF140" s="239"/>
      <c r="BG140" s="239"/>
      <c r="BH140" s="239"/>
      <c r="BI140" s="239"/>
      <c r="BJ140" s="239"/>
      <c r="BK140" s="239"/>
      <c r="BL140" s="239"/>
      <c r="BM140" s="239"/>
      <c r="BN140" s="239"/>
      <c r="BO140" s="239"/>
      <c r="BP140" s="239"/>
      <c r="BQ140" s="239"/>
      <c r="BR140" s="239"/>
      <c r="BS140" s="239"/>
      <c r="BT140" s="239"/>
      <c r="BU140" s="239"/>
      <c r="BV140" s="239"/>
      <c r="BW140" s="239"/>
      <c r="BX140" s="239"/>
      <c r="BY140" s="239"/>
      <c r="BZ140" s="239"/>
      <c r="CA140" s="239"/>
      <c r="CB140" s="239"/>
      <c r="CC140" s="239"/>
      <c r="CD140" s="239"/>
      <c r="CE140" s="239"/>
    </row>
    <row r="141" spans="1:83" ht="12.95" customHeight="1">
      <c r="A141" s="1"/>
      <c r="B141" s="1"/>
      <c r="C141" s="51" t="s">
        <v>942</v>
      </c>
      <c r="D141" s="52" t="s">
        <v>1612</v>
      </c>
      <c r="E141" s="52" t="s">
        <v>1936</v>
      </c>
      <c r="F141" s="53" t="s">
        <v>1246</v>
      </c>
      <c r="G141" s="179"/>
      <c r="H141" s="180" t="s">
        <v>1439</v>
      </c>
      <c r="I141" s="55" t="s">
        <v>1429</v>
      </c>
      <c r="J141" s="55" t="s">
        <v>1429</v>
      </c>
      <c r="K141" s="56" t="s">
        <v>1429</v>
      </c>
      <c r="L141" s="54" t="s">
        <v>1580</v>
      </c>
      <c r="M141" s="55" t="s">
        <v>1590</v>
      </c>
      <c r="N141" s="55" t="s">
        <v>1429</v>
      </c>
      <c r="O141" s="55" t="s">
        <v>1429</v>
      </c>
      <c r="P141" s="56" t="s">
        <v>1429</v>
      </c>
      <c r="Q141" s="6" t="s">
        <v>134</v>
      </c>
      <c r="R141" s="6" t="s">
        <v>113</v>
      </c>
      <c r="S141" s="52" t="s">
        <v>99</v>
      </c>
      <c r="T141" s="52" t="s">
        <v>100</v>
      </c>
      <c r="U141" s="57" t="s">
        <v>113</v>
      </c>
      <c r="V141" s="146" t="s">
        <v>1937</v>
      </c>
      <c r="W141" s="51" t="s">
        <v>1890</v>
      </c>
      <c r="X141" s="130" t="s">
        <v>1938</v>
      </c>
      <c r="Y141" s="130" t="s">
        <v>1429</v>
      </c>
      <c r="Z141" s="51" t="s">
        <v>1585</v>
      </c>
      <c r="AA141" s="51" t="s">
        <v>1893</v>
      </c>
      <c r="AB141" s="51" t="s">
        <v>1435</v>
      </c>
      <c r="AC141" s="51" t="s">
        <v>1587</v>
      </c>
      <c r="AD141" s="59" t="str">
        <f t="shared" si="24"/>
        <v>SOC</v>
      </c>
      <c r="AE141" s="66"/>
      <c r="AF141" s="61" t="str">
        <f t="shared" si="25"/>
        <v>PULL_UP</v>
      </c>
      <c r="AG141" s="61" t="str">
        <f t="shared" si="26"/>
        <v>TRISTATE</v>
      </c>
      <c r="AH141" s="61" t="str">
        <f t="shared" si="27"/>
        <v>ENABLE</v>
      </c>
      <c r="AI141" s="67" t="str">
        <f t="shared" si="28"/>
        <v>N/A</v>
      </c>
      <c r="AJ141" s="176" t="b">
        <v>1</v>
      </c>
      <c r="AK141" s="176" t="b">
        <v>1</v>
      </c>
      <c r="AL141" s="176" t="b">
        <v>1</v>
      </c>
      <c r="AM141" s="176" t="b">
        <v>1</v>
      </c>
      <c r="AN141" s="176" t="b">
        <v>1</v>
      </c>
      <c r="AO141" s="176" t="b">
        <v>1</v>
      </c>
      <c r="AP141" s="64" t="str">
        <f t="shared" si="29"/>
        <v>VALID</v>
      </c>
      <c r="AQ141" s="341" t="s">
        <v>1439</v>
      </c>
      <c r="AR141" s="336" t="s">
        <v>3496</v>
      </c>
      <c r="AS141" s="337" t="s">
        <v>3497</v>
      </c>
      <c r="AT141" s="337" t="s">
        <v>3499</v>
      </c>
      <c r="AU141" s="342"/>
      <c r="AV141" s="342"/>
      <c r="AW141" s="337" t="s">
        <v>125</v>
      </c>
      <c r="AX141" s="342"/>
      <c r="AY141" s="337"/>
      <c r="AZ141" s="337"/>
      <c r="BA141" s="343"/>
      <c r="BB141" s="338"/>
      <c r="BC141" s="344" t="s">
        <v>1439</v>
      </c>
      <c r="BD141" s="248"/>
      <c r="BE141" s="239"/>
      <c r="BF141" s="239"/>
      <c r="BG141" s="239"/>
      <c r="BH141" s="239"/>
      <c r="BI141" s="239"/>
      <c r="BJ141" s="239"/>
      <c r="BK141" s="239"/>
      <c r="BL141" s="239"/>
      <c r="BM141" s="239"/>
      <c r="BN141" s="239"/>
      <c r="BO141" s="239"/>
      <c r="BP141" s="239"/>
      <c r="BQ141" s="239"/>
      <c r="BR141" s="239"/>
      <c r="BS141" s="239"/>
      <c r="BT141" s="239"/>
      <c r="BU141" s="239"/>
      <c r="BV141" s="239"/>
      <c r="BW141" s="239"/>
      <c r="BX141" s="239"/>
      <c r="BY141" s="239"/>
      <c r="BZ141" s="239"/>
      <c r="CA141" s="239"/>
      <c r="CB141" s="239"/>
      <c r="CC141" s="239"/>
      <c r="CD141" s="239"/>
      <c r="CE141" s="239"/>
    </row>
    <row r="142" spans="1:83" ht="12.95" customHeight="1">
      <c r="A142" s="1"/>
      <c r="B142" s="1"/>
      <c r="C142" s="51" t="s">
        <v>34</v>
      </c>
      <c r="D142" s="52" t="s">
        <v>1626</v>
      </c>
      <c r="E142" s="52" t="s">
        <v>1939</v>
      </c>
      <c r="F142" s="53" t="s">
        <v>148</v>
      </c>
      <c r="G142" s="179"/>
      <c r="H142" s="180" t="s">
        <v>1532</v>
      </c>
      <c r="I142" s="55" t="s">
        <v>1429</v>
      </c>
      <c r="J142" s="55" t="s">
        <v>1429</v>
      </c>
      <c r="K142" s="56" t="s">
        <v>1429</v>
      </c>
      <c r="L142" s="54" t="s">
        <v>1580</v>
      </c>
      <c r="M142" s="55" t="s">
        <v>1580</v>
      </c>
      <c r="N142" s="55" t="s">
        <v>1429</v>
      </c>
      <c r="O142" s="55" t="s">
        <v>1429</v>
      </c>
      <c r="P142" s="56" t="s">
        <v>1429</v>
      </c>
      <c r="Q142" s="6" t="s">
        <v>1365</v>
      </c>
      <c r="R142" s="6" t="s">
        <v>113</v>
      </c>
      <c r="S142" s="52" t="s">
        <v>99</v>
      </c>
      <c r="T142" s="52" t="s">
        <v>100</v>
      </c>
      <c r="U142" s="57" t="s">
        <v>113</v>
      </c>
      <c r="V142" s="146" t="s">
        <v>1940</v>
      </c>
      <c r="W142" s="51" t="s">
        <v>1890</v>
      </c>
      <c r="X142" s="130" t="s">
        <v>1429</v>
      </c>
      <c r="Y142" s="130" t="s">
        <v>1429</v>
      </c>
      <c r="Z142" s="51" t="s">
        <v>1631</v>
      </c>
      <c r="AA142" s="51" t="s">
        <v>1941</v>
      </c>
      <c r="AB142" s="51" t="s">
        <v>1435</v>
      </c>
      <c r="AC142" s="51" t="s">
        <v>1633</v>
      </c>
      <c r="AD142" s="59" t="str">
        <f t="shared" si="24"/>
        <v>I2C5</v>
      </c>
      <c r="AE142" s="66"/>
      <c r="AF142" s="61" t="str">
        <f t="shared" si="25"/>
        <v>NORMAL</v>
      </c>
      <c r="AG142" s="61" t="str">
        <f t="shared" si="26"/>
        <v>NORMAL</v>
      </c>
      <c r="AH142" s="61" t="str">
        <f t="shared" si="27"/>
        <v>ENABLE</v>
      </c>
      <c r="AI142" s="67" t="str">
        <f t="shared" si="28"/>
        <v>N/A</v>
      </c>
      <c r="AJ142" s="176" t="b">
        <v>1</v>
      </c>
      <c r="AK142" s="176" t="b">
        <v>1</v>
      </c>
      <c r="AL142" s="176" t="b">
        <v>1</v>
      </c>
      <c r="AM142" s="176" t="b">
        <v>1</v>
      </c>
      <c r="AN142" s="176" t="b">
        <v>1</v>
      </c>
      <c r="AO142" s="176" t="b">
        <v>1</v>
      </c>
      <c r="AP142" s="64" t="str">
        <f t="shared" si="29"/>
        <v>VALID</v>
      </c>
      <c r="AQ142" s="341" t="s">
        <v>1532</v>
      </c>
      <c r="AR142" s="336" t="s">
        <v>3501</v>
      </c>
      <c r="AS142" s="337"/>
      <c r="AT142" s="342"/>
      <c r="AU142" s="342"/>
      <c r="AV142" s="337" t="s">
        <v>125</v>
      </c>
      <c r="AW142" s="337" t="s">
        <v>125</v>
      </c>
      <c r="AX142" s="342"/>
      <c r="AY142" s="337"/>
      <c r="AZ142" s="337"/>
      <c r="BA142" s="343"/>
      <c r="BB142" s="338"/>
      <c r="BC142" s="344" t="s">
        <v>3777</v>
      </c>
      <c r="BD142" s="248"/>
      <c r="BE142" s="239"/>
      <c r="BF142" s="239"/>
      <c r="BG142" s="239"/>
      <c r="BH142" s="239"/>
      <c r="BI142" s="239"/>
      <c r="BJ142" s="239"/>
      <c r="BK142" s="239"/>
      <c r="BL142" s="239"/>
      <c r="BM142" s="239"/>
      <c r="BN142" s="239"/>
      <c r="BO142" s="239"/>
      <c r="BP142" s="239"/>
      <c r="BQ142" s="239"/>
      <c r="BR142" s="239"/>
      <c r="BS142" s="239"/>
      <c r="BT142" s="239"/>
      <c r="BU142" s="239"/>
      <c r="BV142" s="239"/>
      <c r="BW142" s="239"/>
      <c r="BX142" s="239"/>
      <c r="BY142" s="239"/>
      <c r="BZ142" s="239"/>
      <c r="CA142" s="239"/>
      <c r="CB142" s="239"/>
      <c r="CC142" s="239"/>
      <c r="CD142" s="239"/>
      <c r="CE142" s="239"/>
    </row>
    <row r="143" spans="1:83" ht="12.95" customHeight="1">
      <c r="A143" s="1"/>
      <c r="B143" s="1"/>
      <c r="C143" s="51" t="s">
        <v>35</v>
      </c>
      <c r="D143" s="52" t="s">
        <v>1579</v>
      </c>
      <c r="E143" s="52" t="s">
        <v>1942</v>
      </c>
      <c r="F143" s="53" t="s">
        <v>149</v>
      </c>
      <c r="G143" s="179"/>
      <c r="H143" s="180" t="s">
        <v>1533</v>
      </c>
      <c r="I143" s="55" t="s">
        <v>1429</v>
      </c>
      <c r="J143" s="55" t="s">
        <v>1429</v>
      </c>
      <c r="K143" s="56" t="s">
        <v>1429</v>
      </c>
      <c r="L143" s="54" t="s">
        <v>1580</v>
      </c>
      <c r="M143" s="55" t="s">
        <v>1580</v>
      </c>
      <c r="N143" s="55" t="s">
        <v>1429</v>
      </c>
      <c r="O143" s="55" t="s">
        <v>1429</v>
      </c>
      <c r="P143" s="56" t="s">
        <v>1429</v>
      </c>
      <c r="Q143" s="6" t="s">
        <v>1365</v>
      </c>
      <c r="R143" s="6" t="s">
        <v>113</v>
      </c>
      <c r="S143" s="52" t="s">
        <v>99</v>
      </c>
      <c r="T143" s="52" t="s">
        <v>100</v>
      </c>
      <c r="U143" s="57" t="s">
        <v>113</v>
      </c>
      <c r="V143" s="146" t="s">
        <v>1943</v>
      </c>
      <c r="W143" s="51" t="s">
        <v>1890</v>
      </c>
      <c r="X143" s="130" t="s">
        <v>1944</v>
      </c>
      <c r="Y143" s="130" t="s">
        <v>1429</v>
      </c>
      <c r="Z143" s="51" t="s">
        <v>1631</v>
      </c>
      <c r="AA143" s="51" t="s">
        <v>1941</v>
      </c>
      <c r="AB143" s="51" t="s">
        <v>1435</v>
      </c>
      <c r="AC143" s="51" t="s">
        <v>1633</v>
      </c>
      <c r="AD143" s="59" t="str">
        <f t="shared" si="24"/>
        <v>I2C5</v>
      </c>
      <c r="AE143" s="66"/>
      <c r="AF143" s="61" t="str">
        <f t="shared" si="25"/>
        <v>NORMAL</v>
      </c>
      <c r="AG143" s="61" t="str">
        <f t="shared" si="26"/>
        <v>NORMAL</v>
      </c>
      <c r="AH143" s="61" t="str">
        <f t="shared" si="27"/>
        <v>ENABLE</v>
      </c>
      <c r="AI143" s="67" t="str">
        <f t="shared" si="28"/>
        <v>N/A</v>
      </c>
      <c r="AJ143" s="176" t="b">
        <v>1</v>
      </c>
      <c r="AK143" s="176" t="b">
        <v>1</v>
      </c>
      <c r="AL143" s="176" t="b">
        <v>1</v>
      </c>
      <c r="AM143" s="176" t="b">
        <v>1</v>
      </c>
      <c r="AN143" s="176" t="b">
        <v>1</v>
      </c>
      <c r="AO143" s="176" t="b">
        <v>1</v>
      </c>
      <c r="AP143" s="64" t="str">
        <f t="shared" si="29"/>
        <v>VALID</v>
      </c>
      <c r="AQ143" s="341" t="s">
        <v>1533</v>
      </c>
      <c r="AR143" s="336" t="s">
        <v>3501</v>
      </c>
      <c r="AS143" s="337"/>
      <c r="AT143" s="337" t="s">
        <v>104</v>
      </c>
      <c r="AU143" s="342"/>
      <c r="AV143" s="337" t="s">
        <v>125</v>
      </c>
      <c r="AW143" s="337" t="s">
        <v>125</v>
      </c>
      <c r="AX143" s="342"/>
      <c r="AY143" s="337"/>
      <c r="AZ143" s="337"/>
      <c r="BA143" s="343"/>
      <c r="BB143" s="338"/>
      <c r="BC143" s="344" t="s">
        <v>3776</v>
      </c>
      <c r="BD143" s="248"/>
      <c r="BE143" s="239"/>
      <c r="BF143" s="239"/>
      <c r="BG143" s="239"/>
      <c r="BH143" s="239"/>
      <c r="BI143" s="239"/>
      <c r="BJ143" s="239"/>
      <c r="BK143" s="239"/>
      <c r="BL143" s="239"/>
      <c r="BM143" s="239"/>
      <c r="BN143" s="239"/>
      <c r="BO143" s="239"/>
      <c r="BP143" s="239"/>
      <c r="BQ143" s="239"/>
      <c r="BR143" s="239"/>
      <c r="BS143" s="239"/>
      <c r="BT143" s="239"/>
      <c r="BU143" s="239"/>
      <c r="BV143" s="239"/>
      <c r="BW143" s="239"/>
      <c r="BX143" s="239"/>
      <c r="BY143" s="239"/>
      <c r="BZ143" s="239"/>
      <c r="CA143" s="239"/>
      <c r="CB143" s="239"/>
      <c r="CC143" s="239"/>
      <c r="CD143" s="239"/>
      <c r="CE143" s="239"/>
    </row>
    <row r="144" spans="1:83" ht="12.95" customHeight="1">
      <c r="A144" s="1"/>
      <c r="B144" s="1"/>
      <c r="C144" s="51" t="s">
        <v>156</v>
      </c>
      <c r="D144" s="52" t="s">
        <v>1886</v>
      </c>
      <c r="E144" s="52" t="s">
        <v>1945</v>
      </c>
      <c r="F144" s="53" t="s">
        <v>536</v>
      </c>
      <c r="G144" s="179" t="s">
        <v>1429</v>
      </c>
      <c r="H144" s="180" t="s">
        <v>156</v>
      </c>
      <c r="I144" s="55" t="s">
        <v>1429</v>
      </c>
      <c r="J144" s="55" t="s">
        <v>1429</v>
      </c>
      <c r="K144" s="56" t="s">
        <v>1429</v>
      </c>
      <c r="L144" s="54" t="s">
        <v>1429</v>
      </c>
      <c r="M144" s="55" t="s">
        <v>1590</v>
      </c>
      <c r="N144" s="55" t="s">
        <v>1429</v>
      </c>
      <c r="O144" s="55" t="s">
        <v>1429</v>
      </c>
      <c r="P144" s="56" t="s">
        <v>1429</v>
      </c>
      <c r="Q144" s="85"/>
      <c r="R144" s="85"/>
      <c r="S144" s="85"/>
      <c r="T144" s="85"/>
      <c r="U144" s="85"/>
      <c r="V144" s="146" t="s">
        <v>1946</v>
      </c>
      <c r="W144" s="51" t="s">
        <v>1890</v>
      </c>
      <c r="X144" s="130" t="s">
        <v>1429</v>
      </c>
      <c r="Y144" s="130" t="s">
        <v>1429</v>
      </c>
      <c r="Z144" s="51" t="s">
        <v>1585</v>
      </c>
      <c r="AA144" s="51" t="s">
        <v>1893</v>
      </c>
      <c r="AB144" s="51" t="s">
        <v>1435</v>
      </c>
      <c r="AC144" s="51" t="s">
        <v>1633</v>
      </c>
      <c r="AD144" s="177"/>
      <c r="AE144" s="66"/>
      <c r="AF144" s="61" t="str">
        <f t="shared" si="25"/>
        <v>NORMAL</v>
      </c>
      <c r="AG144" s="61" t="str">
        <f t="shared" si="26"/>
        <v>TRISTATE</v>
      </c>
      <c r="AH144" s="61" t="str">
        <f t="shared" si="27"/>
        <v>ENABLE</v>
      </c>
      <c r="AI144" s="67" t="str">
        <f t="shared" si="28"/>
        <v>N/A</v>
      </c>
      <c r="AJ144" s="176" t="b">
        <v>1</v>
      </c>
      <c r="AK144" s="176" t="b">
        <v>1</v>
      </c>
      <c r="AL144" s="176" t="b">
        <v>1</v>
      </c>
      <c r="AM144" s="176" t="b">
        <v>1</v>
      </c>
      <c r="AN144" s="176" t="b">
        <v>1</v>
      </c>
      <c r="AO144" s="176" t="b">
        <v>1</v>
      </c>
      <c r="AP144" s="64" t="str">
        <f t="shared" si="29"/>
        <v>VALID</v>
      </c>
      <c r="AQ144" s="341" t="s">
        <v>156</v>
      </c>
      <c r="AR144" s="336" t="s">
        <v>3496</v>
      </c>
      <c r="AS144" s="337"/>
      <c r="AT144" s="342"/>
      <c r="AU144" s="342"/>
      <c r="AV144" s="342"/>
      <c r="AW144" s="337" t="s">
        <v>125</v>
      </c>
      <c r="AX144" s="342"/>
      <c r="AY144" s="337"/>
      <c r="AZ144" s="337"/>
      <c r="BA144" s="343"/>
      <c r="BB144" s="338"/>
      <c r="BC144" s="344" t="s">
        <v>156</v>
      </c>
      <c r="BD144" s="248"/>
      <c r="BE144" s="239"/>
      <c r="BF144" s="239"/>
      <c r="BG144" s="239"/>
      <c r="BH144" s="239"/>
      <c r="BI144" s="239"/>
      <c r="BJ144" s="239"/>
      <c r="BK144" s="239"/>
      <c r="BL144" s="239"/>
      <c r="BM144" s="239"/>
      <c r="BN144" s="239"/>
      <c r="BO144" s="239"/>
      <c r="BP144" s="239"/>
      <c r="BQ144" s="239"/>
      <c r="BR144" s="239"/>
      <c r="BS144" s="239"/>
      <c r="BT144" s="239"/>
      <c r="BU144" s="239"/>
      <c r="BV144" s="239"/>
      <c r="BW144" s="239"/>
      <c r="BX144" s="239"/>
      <c r="BY144" s="239"/>
      <c r="BZ144" s="239"/>
      <c r="CA144" s="239"/>
      <c r="CB144" s="239"/>
      <c r="CC144" s="239"/>
      <c r="CD144" s="239"/>
      <c r="CE144" s="239"/>
    </row>
    <row r="145" spans="1:83" ht="12.95" customHeight="1">
      <c r="A145" s="205" t="s">
        <v>943</v>
      </c>
      <c r="B145" s="205" t="s">
        <v>2313</v>
      </c>
      <c r="C145" s="51" t="s">
        <v>943</v>
      </c>
      <c r="D145" s="52" t="s">
        <v>1914</v>
      </c>
      <c r="E145" s="52" t="s">
        <v>1947</v>
      </c>
      <c r="F145" s="53" t="s">
        <v>1247</v>
      </c>
      <c r="G145" s="179" t="s">
        <v>1534</v>
      </c>
      <c r="H145" s="180" t="s">
        <v>1948</v>
      </c>
      <c r="I145" s="55" t="s">
        <v>1429</v>
      </c>
      <c r="J145" s="55" t="s">
        <v>1429</v>
      </c>
      <c r="K145" s="56" t="s">
        <v>1429</v>
      </c>
      <c r="L145" s="54" t="s">
        <v>1580</v>
      </c>
      <c r="M145" s="55" t="s">
        <v>1590</v>
      </c>
      <c r="N145" s="55" t="s">
        <v>1429</v>
      </c>
      <c r="O145" s="55" t="s">
        <v>1429</v>
      </c>
      <c r="P145" s="56" t="s">
        <v>1429</v>
      </c>
      <c r="Q145" s="6" t="s">
        <v>134</v>
      </c>
      <c r="R145" s="6" t="s">
        <v>113</v>
      </c>
      <c r="S145" s="52" t="s">
        <v>99</v>
      </c>
      <c r="T145" s="52" t="s">
        <v>100</v>
      </c>
      <c r="U145" s="57" t="s">
        <v>113</v>
      </c>
      <c r="V145" s="146" t="s">
        <v>1949</v>
      </c>
      <c r="W145" s="51" t="s">
        <v>1890</v>
      </c>
      <c r="X145" s="130" t="s">
        <v>1950</v>
      </c>
      <c r="Y145" s="130" t="s">
        <v>1429</v>
      </c>
      <c r="Z145" s="51" t="s">
        <v>1585</v>
      </c>
      <c r="AA145" s="51" t="s">
        <v>1893</v>
      </c>
      <c r="AB145" s="51" t="s">
        <v>1435</v>
      </c>
      <c r="AC145" s="51" t="s">
        <v>1587</v>
      </c>
      <c r="AD145" s="59" t="str">
        <f t="shared" si="24"/>
        <v>SOC</v>
      </c>
      <c r="AE145" s="66"/>
      <c r="AF145" s="61" t="str">
        <f t="shared" si="25"/>
        <v>PULL_UP</v>
      </c>
      <c r="AG145" s="61" t="str">
        <f t="shared" si="26"/>
        <v>TRISTATE</v>
      </c>
      <c r="AH145" s="61" t="str">
        <f t="shared" si="27"/>
        <v>ENABLE</v>
      </c>
      <c r="AI145" s="67" t="str">
        <f t="shared" si="28"/>
        <v>N/A</v>
      </c>
      <c r="AJ145" s="176" t="b">
        <v>1</v>
      </c>
      <c r="AK145" s="176" t="b">
        <v>1</v>
      </c>
      <c r="AL145" s="176" t="b">
        <v>1</v>
      </c>
      <c r="AM145" s="176" t="b">
        <v>1</v>
      </c>
      <c r="AN145" s="176" t="b">
        <v>1</v>
      </c>
      <c r="AO145" s="176" t="b">
        <v>1</v>
      </c>
      <c r="AP145" s="64" t="str">
        <f t="shared" si="29"/>
        <v>VALID</v>
      </c>
      <c r="AQ145" s="211" t="s">
        <v>1948</v>
      </c>
      <c r="AR145" s="182" t="s">
        <v>3496</v>
      </c>
      <c r="AS145" s="181" t="s">
        <v>3497</v>
      </c>
      <c r="AT145" s="181" t="s">
        <v>3499</v>
      </c>
      <c r="AU145" s="5"/>
      <c r="AV145" s="5"/>
      <c r="AW145" s="181" t="s">
        <v>125</v>
      </c>
      <c r="AX145" s="284"/>
      <c r="AY145" s="181"/>
      <c r="AZ145" s="181"/>
      <c r="BA145" s="7"/>
      <c r="BB145" s="212"/>
      <c r="BC145" s="10" t="s">
        <v>3740</v>
      </c>
      <c r="BD145" s="238"/>
      <c r="BE145" s="239"/>
      <c r="BF145" s="239"/>
      <c r="BG145" s="239"/>
      <c r="BH145" s="239"/>
      <c r="BI145" s="239"/>
      <c r="BJ145" s="239"/>
      <c r="BK145" s="239"/>
      <c r="BL145" s="239"/>
      <c r="BM145" s="239"/>
      <c r="BN145" s="239"/>
      <c r="BO145" s="239"/>
      <c r="BP145" s="239"/>
      <c r="BQ145" s="239"/>
      <c r="BR145" s="239"/>
      <c r="BS145" s="239"/>
      <c r="BT145" s="239"/>
      <c r="BU145" s="239"/>
      <c r="BV145" s="239"/>
      <c r="BW145" s="239"/>
      <c r="BX145" s="239"/>
      <c r="BY145" s="239"/>
      <c r="BZ145" s="239"/>
      <c r="CA145" s="239"/>
      <c r="CB145" s="239"/>
      <c r="CC145" s="239"/>
      <c r="CD145" s="239"/>
      <c r="CE145" s="239"/>
    </row>
    <row r="146" spans="1:83" s="84" customFormat="1" ht="12.95" customHeight="1">
      <c r="A146" s="84" t="s">
        <v>3486</v>
      </c>
      <c r="B146" s="84" t="s">
        <v>3561</v>
      </c>
      <c r="C146" s="79" t="s">
        <v>284</v>
      </c>
      <c r="D146" s="52" t="s">
        <v>1945</v>
      </c>
      <c r="E146" s="52" t="s">
        <v>1899</v>
      </c>
      <c r="F146" s="53" t="s">
        <v>1248</v>
      </c>
      <c r="G146" s="179" t="s">
        <v>1429</v>
      </c>
      <c r="H146" s="180" t="s">
        <v>284</v>
      </c>
      <c r="I146" s="55" t="s">
        <v>1429</v>
      </c>
      <c r="J146" s="55" t="s">
        <v>1429</v>
      </c>
      <c r="K146" s="56" t="s">
        <v>1429</v>
      </c>
      <c r="L146" s="54" t="s">
        <v>1429</v>
      </c>
      <c r="M146" s="55" t="s">
        <v>1581</v>
      </c>
      <c r="N146" s="55" t="s">
        <v>1429</v>
      </c>
      <c r="O146" s="55" t="s">
        <v>1429</v>
      </c>
      <c r="P146" s="56" t="s">
        <v>1429</v>
      </c>
      <c r="Q146" s="85"/>
      <c r="R146" s="85"/>
      <c r="S146" s="85"/>
      <c r="T146" s="85"/>
      <c r="U146" s="85"/>
      <c r="V146" s="146" t="s">
        <v>1951</v>
      </c>
      <c r="W146" s="51" t="s">
        <v>1890</v>
      </c>
      <c r="X146" s="130" t="s">
        <v>1429</v>
      </c>
      <c r="Y146" s="130" t="s">
        <v>1429</v>
      </c>
      <c r="Z146" s="51" t="s">
        <v>1585</v>
      </c>
      <c r="AA146" s="51" t="s">
        <v>1893</v>
      </c>
      <c r="AB146" s="51" t="s">
        <v>1435</v>
      </c>
      <c r="AC146" s="51">
        <v>1</v>
      </c>
      <c r="AD146" s="177"/>
      <c r="AE146" s="83"/>
      <c r="AF146" s="61" t="str">
        <f t="shared" si="25"/>
        <v>NORMAL</v>
      </c>
      <c r="AG146" s="61" t="str">
        <f t="shared" si="26"/>
        <v>NORMAL</v>
      </c>
      <c r="AH146" s="61" t="str">
        <f t="shared" si="27"/>
        <v>DISABLE</v>
      </c>
      <c r="AI146" s="67" t="str">
        <f t="shared" si="28"/>
        <v>N/A</v>
      </c>
      <c r="AJ146" s="176" t="b">
        <v>1</v>
      </c>
      <c r="AK146" s="176" t="b">
        <v>1</v>
      </c>
      <c r="AL146" s="176" t="b">
        <v>1</v>
      </c>
      <c r="AM146" s="176" t="b">
        <v>1</v>
      </c>
      <c r="AN146" s="176" t="b">
        <v>1</v>
      </c>
      <c r="AO146" s="176" t="b">
        <v>1</v>
      </c>
      <c r="AP146" s="64" t="str">
        <f t="shared" si="29"/>
        <v>VALID</v>
      </c>
      <c r="AQ146" s="224" t="s">
        <v>284</v>
      </c>
      <c r="AR146" s="182" t="s">
        <v>3495</v>
      </c>
      <c r="AS146" s="181"/>
      <c r="AT146" s="5"/>
      <c r="AU146" s="5"/>
      <c r="AV146" s="5"/>
      <c r="AW146" s="181" t="s">
        <v>125</v>
      </c>
      <c r="AX146" s="284"/>
      <c r="AY146" s="181"/>
      <c r="AZ146" s="181"/>
      <c r="BA146" s="7"/>
      <c r="BB146" s="212"/>
      <c r="BC146" s="10" t="s">
        <v>284</v>
      </c>
      <c r="BD146" s="238"/>
      <c r="BE146" s="249"/>
      <c r="BF146" s="249"/>
      <c r="BG146" s="249"/>
      <c r="BH146" s="249"/>
      <c r="BI146" s="249"/>
      <c r="BJ146" s="249"/>
      <c r="BK146" s="249"/>
      <c r="BL146" s="249"/>
      <c r="BM146" s="249"/>
      <c r="BN146" s="249"/>
      <c r="BO146" s="249"/>
      <c r="BP146" s="249"/>
      <c r="BQ146" s="249"/>
      <c r="BR146" s="249"/>
      <c r="BS146" s="249"/>
      <c r="BT146" s="249"/>
      <c r="BU146" s="249"/>
      <c r="BV146" s="249"/>
      <c r="BW146" s="249"/>
      <c r="BX146" s="249"/>
      <c r="BY146" s="249"/>
      <c r="BZ146" s="249"/>
      <c r="CA146" s="249"/>
      <c r="CB146" s="249"/>
      <c r="CC146" s="249"/>
      <c r="CD146" s="249"/>
      <c r="CE146" s="249"/>
    </row>
    <row r="147" spans="1:83" s="84" customFormat="1" ht="12.95" customHeight="1">
      <c r="A147" s="1"/>
      <c r="B147" s="1"/>
      <c r="C147" s="79" t="s">
        <v>940</v>
      </c>
      <c r="D147" s="52" t="s">
        <v>1593</v>
      </c>
      <c r="E147" s="52" t="s">
        <v>1952</v>
      </c>
      <c r="F147" s="53" t="s">
        <v>1249</v>
      </c>
      <c r="G147" s="179" t="s">
        <v>1429</v>
      </c>
      <c r="H147" s="180" t="s">
        <v>1427</v>
      </c>
      <c r="I147" s="55" t="s">
        <v>1429</v>
      </c>
      <c r="J147" s="55" t="s">
        <v>1429</v>
      </c>
      <c r="K147" s="56" t="s">
        <v>1429</v>
      </c>
      <c r="L147" s="54" t="s">
        <v>1429</v>
      </c>
      <c r="M147" s="55" t="s">
        <v>1590</v>
      </c>
      <c r="N147" s="55" t="s">
        <v>1429</v>
      </c>
      <c r="O147" s="55" t="s">
        <v>1429</v>
      </c>
      <c r="P147" s="56" t="s">
        <v>1429</v>
      </c>
      <c r="Q147" s="85"/>
      <c r="R147" s="85"/>
      <c r="S147" s="85"/>
      <c r="T147" s="85"/>
      <c r="U147" s="85"/>
      <c r="V147" s="146" t="s">
        <v>1953</v>
      </c>
      <c r="W147" s="51" t="s">
        <v>1890</v>
      </c>
      <c r="X147" s="130" t="s">
        <v>1954</v>
      </c>
      <c r="Y147" s="130" t="s">
        <v>1429</v>
      </c>
      <c r="Z147" s="51" t="s">
        <v>1585</v>
      </c>
      <c r="AA147" s="51" t="s">
        <v>1893</v>
      </c>
      <c r="AB147" s="51" t="s">
        <v>1435</v>
      </c>
      <c r="AC147" s="51" t="s">
        <v>1633</v>
      </c>
      <c r="AD147" s="177"/>
      <c r="AE147" s="83"/>
      <c r="AF147" s="61" t="str">
        <f t="shared" si="25"/>
        <v>PULL_UP</v>
      </c>
      <c r="AG147" s="61" t="str">
        <f t="shared" si="26"/>
        <v>TRISTATE</v>
      </c>
      <c r="AH147" s="61" t="str">
        <f t="shared" si="27"/>
        <v>ENABLE</v>
      </c>
      <c r="AI147" s="67" t="str">
        <f t="shared" si="28"/>
        <v>N/A</v>
      </c>
      <c r="AJ147" s="176" t="b">
        <v>1</v>
      </c>
      <c r="AK147" s="176" t="b">
        <v>1</v>
      </c>
      <c r="AL147" s="176" t="b">
        <v>1</v>
      </c>
      <c r="AM147" s="176" t="b">
        <v>1</v>
      </c>
      <c r="AN147" s="176" t="b">
        <v>1</v>
      </c>
      <c r="AO147" s="176" t="b">
        <v>1</v>
      </c>
      <c r="AP147" s="64" t="str">
        <f t="shared" si="29"/>
        <v>VALID</v>
      </c>
      <c r="AQ147" s="346" t="s">
        <v>1427</v>
      </c>
      <c r="AR147" s="336" t="s">
        <v>3496</v>
      </c>
      <c r="AS147" s="337" t="s">
        <v>3497</v>
      </c>
      <c r="AT147" s="337" t="s">
        <v>3499</v>
      </c>
      <c r="AU147" s="342"/>
      <c r="AV147" s="342"/>
      <c r="AW147" s="337" t="s">
        <v>125</v>
      </c>
      <c r="AX147" s="342"/>
      <c r="AY147" s="337"/>
      <c r="AZ147" s="337"/>
      <c r="BA147" s="343"/>
      <c r="BB147" s="338"/>
      <c r="BC147" s="344" t="s">
        <v>1427</v>
      </c>
      <c r="BD147" s="248"/>
      <c r="BE147" s="249"/>
      <c r="BF147" s="249"/>
      <c r="BG147" s="249"/>
      <c r="BH147" s="249"/>
      <c r="BI147" s="249"/>
      <c r="BJ147" s="249"/>
      <c r="BK147" s="249"/>
      <c r="BL147" s="249"/>
      <c r="BM147" s="249"/>
      <c r="BN147" s="249"/>
      <c r="BO147" s="249"/>
      <c r="BP147" s="249"/>
      <c r="BQ147" s="249"/>
      <c r="BR147" s="249"/>
      <c r="BS147" s="249"/>
      <c r="BT147" s="249"/>
      <c r="BU147" s="249"/>
      <c r="BV147" s="249"/>
      <c r="BW147" s="249"/>
      <c r="BX147" s="249"/>
      <c r="BY147" s="249"/>
      <c r="BZ147" s="249"/>
      <c r="CA147" s="249"/>
      <c r="CB147" s="249"/>
      <c r="CC147" s="249"/>
      <c r="CD147" s="249"/>
      <c r="CE147" s="249"/>
    </row>
    <row r="148" spans="1:83" s="50" customFormat="1" ht="18" customHeight="1">
      <c r="A148" s="68" t="s">
        <v>53</v>
      </c>
      <c r="B148" s="68"/>
      <c r="C148" s="68" t="s">
        <v>53</v>
      </c>
      <c r="D148" s="69"/>
      <c r="E148" s="69"/>
      <c r="F148" s="69"/>
      <c r="G148" s="70"/>
      <c r="H148" s="70"/>
      <c r="I148" s="70"/>
      <c r="J148" s="70"/>
      <c r="K148" s="70"/>
      <c r="L148" s="69"/>
      <c r="M148" s="69"/>
      <c r="N148" s="69"/>
      <c r="O148" s="69"/>
      <c r="P148" s="69"/>
      <c r="Q148" s="69"/>
      <c r="R148" s="69"/>
      <c r="S148" s="69"/>
      <c r="T148" s="69"/>
      <c r="U148" s="69"/>
      <c r="V148" s="69"/>
      <c r="W148" s="69"/>
      <c r="X148" s="131"/>
      <c r="Y148" s="131"/>
      <c r="Z148" s="71"/>
      <c r="AA148" s="71"/>
      <c r="AB148" s="71"/>
      <c r="AC148" s="71"/>
      <c r="AD148" s="71"/>
      <c r="AE148" s="71"/>
      <c r="AF148" s="71"/>
      <c r="AG148" s="71"/>
      <c r="AH148" s="71"/>
      <c r="AI148" s="71"/>
      <c r="AJ148" s="47"/>
      <c r="AK148" s="47"/>
      <c r="AL148" s="47"/>
      <c r="AM148" s="47"/>
      <c r="AN148" s="47"/>
      <c r="AO148" s="47"/>
      <c r="AP148" s="47"/>
      <c r="AQ148" s="72"/>
      <c r="AR148" s="72"/>
      <c r="AS148" s="73"/>
      <c r="AT148" s="73"/>
      <c r="AU148" s="73"/>
      <c r="AV148" s="73"/>
      <c r="AW148" s="73"/>
      <c r="AX148" s="288"/>
      <c r="AY148" s="73"/>
      <c r="AZ148" s="73"/>
      <c r="BA148" s="73"/>
      <c r="BB148" s="168" t="s">
        <v>49</v>
      </c>
      <c r="BC148" s="172"/>
      <c r="BD148" s="169"/>
      <c r="BE148" s="308"/>
      <c r="BF148" s="243"/>
      <c r="BG148" s="243"/>
      <c r="BH148" s="243"/>
      <c r="BI148" s="243"/>
      <c r="BJ148" s="243"/>
      <c r="BK148" s="243"/>
      <c r="BL148" s="243"/>
      <c r="BM148" s="243"/>
      <c r="BN148" s="243"/>
      <c r="BO148" s="243"/>
      <c r="BP148" s="243"/>
      <c r="BQ148" s="243"/>
      <c r="BR148" s="243"/>
      <c r="BS148" s="243"/>
      <c r="BT148" s="243"/>
      <c r="BU148" s="243"/>
      <c r="BV148" s="243"/>
      <c r="BW148" s="243"/>
      <c r="BX148" s="243"/>
      <c r="BY148" s="243"/>
      <c r="BZ148" s="243"/>
      <c r="CA148" s="243"/>
      <c r="CB148" s="243"/>
      <c r="CC148" s="243"/>
      <c r="CD148" s="243"/>
      <c r="CE148" s="243"/>
    </row>
    <row r="149" spans="1:83" ht="12.95" customHeight="1">
      <c r="A149" s="21" t="s">
        <v>304</v>
      </c>
      <c r="B149" s="21" t="s">
        <v>3564</v>
      </c>
      <c r="C149" s="51" t="s">
        <v>304</v>
      </c>
      <c r="D149" s="52" t="s">
        <v>1955</v>
      </c>
      <c r="E149" s="52" t="s">
        <v>1956</v>
      </c>
      <c r="F149" s="53" t="s">
        <v>537</v>
      </c>
      <c r="G149" s="179"/>
      <c r="H149" s="180" t="s">
        <v>1535</v>
      </c>
      <c r="I149" s="55" t="s">
        <v>1429</v>
      </c>
      <c r="J149" s="55" t="s">
        <v>1429</v>
      </c>
      <c r="K149" s="56" t="s">
        <v>1429</v>
      </c>
      <c r="L149" s="54" t="s">
        <v>1580</v>
      </c>
      <c r="M149" s="55" t="s">
        <v>1581</v>
      </c>
      <c r="N149" s="55" t="s">
        <v>1429</v>
      </c>
      <c r="O149" s="55" t="s">
        <v>1429</v>
      </c>
      <c r="P149" s="56" t="s">
        <v>1429</v>
      </c>
      <c r="Q149" s="52" t="s">
        <v>165</v>
      </c>
      <c r="R149" s="52" t="s">
        <v>113</v>
      </c>
      <c r="S149" s="52" t="s">
        <v>99</v>
      </c>
      <c r="T149" s="52" t="s">
        <v>100</v>
      </c>
      <c r="U149" s="105" t="s">
        <v>113</v>
      </c>
      <c r="V149" s="146" t="s">
        <v>1957</v>
      </c>
      <c r="W149" s="51" t="s">
        <v>1737</v>
      </c>
      <c r="X149" s="130" t="s">
        <v>1429</v>
      </c>
      <c r="Y149" s="130" t="s">
        <v>1958</v>
      </c>
      <c r="Z149" s="51" t="s">
        <v>1585</v>
      </c>
      <c r="AA149" s="51" t="s">
        <v>1586</v>
      </c>
      <c r="AB149" s="51" t="s">
        <v>1435</v>
      </c>
      <c r="AC149" s="51" t="s">
        <v>1587</v>
      </c>
      <c r="AD149" s="59" t="str">
        <f t="shared" ref="AD149:AD205" si="30">IF(OR($AQ149="",$AQ149=$F149),$U149,IF($AQ149=$G149,SUBSTITUTE(SUBSTITUTE($AQ149,"GPIO3_","GPIO_"),".0",""),IF($AQ149=$H149,$Q149,IF($AQ149=$I149,$R149,IF($AQ149=$J149,$S149,IF($AQ149=$K149,$T149,"INVALID"))))))</f>
        <v>UARTB</v>
      </c>
      <c r="AE149" s="66"/>
      <c r="AF149" s="61" t="str">
        <f t="shared" ref="AF149:AF205" si="31">IF(AND(OR($AS149="Int PU",$AS149="Int PD"),OR(AND($AY149&lt;&gt;"",$AY149&lt;&gt;"0"),AND($AZ149&lt;&gt;"",$AZ149&lt;&gt;"0"))),"INVALID",IF(OR($AQ149=$F149,$AS149="Int PD"),"PULL_DOWN",IF(OR($AS149="Int PU",AND($AE149="YES",OR($AY149="",$AY149="0"),OR($AZ149="",$AZ149="0"),OR($AR149="Input",$AR149="Bidirectional"))),"PULL_UP","NORMAL")))</f>
        <v>NORMAL</v>
      </c>
      <c r="AG149" s="61" t="str">
        <f t="shared" si="26"/>
        <v>NORMAL</v>
      </c>
      <c r="AH149" s="61" t="str">
        <f t="shared" ref="AH149:AH205" si="32">IF(OR($AQ149=$F149,$AR149="Output"),"DISABLE","ENABLE")</f>
        <v>DISABLE</v>
      </c>
      <c r="AI149" s="67" t="str">
        <f t="shared" si="28"/>
        <v>N/A</v>
      </c>
      <c r="AJ149" s="176" t="b">
        <v>1</v>
      </c>
      <c r="AK149" s="176" t="b">
        <v>1</v>
      </c>
      <c r="AL149" s="176" t="b">
        <v>1</v>
      </c>
      <c r="AM149" s="176" t="b">
        <v>1</v>
      </c>
      <c r="AN149" s="176" t="b">
        <v>1</v>
      </c>
      <c r="AO149" s="176" t="b">
        <v>1</v>
      </c>
      <c r="AP149" s="64" t="str">
        <f t="shared" ref="AP149:AP178" si="33">IF(AND($AJ149:$AO149), "VALID", "INVALID")</f>
        <v>VALID</v>
      </c>
      <c r="AQ149" s="225" t="s">
        <v>1535</v>
      </c>
      <c r="AR149" s="3" t="s">
        <v>3495</v>
      </c>
      <c r="AS149" s="181"/>
      <c r="AT149" s="214"/>
      <c r="AU149" s="214"/>
      <c r="AV149" s="214"/>
      <c r="AW149" s="181" t="s">
        <v>125</v>
      </c>
      <c r="AX149" s="286"/>
      <c r="AY149" s="4"/>
      <c r="AZ149" s="4"/>
      <c r="BA149" s="12" t="s">
        <v>101</v>
      </c>
      <c r="BB149" s="216"/>
      <c r="BC149" s="15" t="s">
        <v>3741</v>
      </c>
      <c r="BD149" s="238"/>
      <c r="BE149" s="239"/>
      <c r="BF149" s="239"/>
      <c r="BG149" s="239"/>
      <c r="BH149" s="239"/>
      <c r="BI149" s="239"/>
      <c r="BJ149" s="239"/>
      <c r="BK149" s="239"/>
      <c r="BL149" s="239"/>
      <c r="BM149" s="239"/>
      <c r="BN149" s="239"/>
      <c r="BO149" s="239"/>
      <c r="BP149" s="239"/>
      <c r="BQ149" s="239"/>
      <c r="BR149" s="239"/>
      <c r="BS149" s="239"/>
      <c r="BT149" s="239"/>
      <c r="BU149" s="239"/>
      <c r="BV149" s="239"/>
      <c r="BW149" s="239"/>
      <c r="BX149" s="239"/>
      <c r="BY149" s="239"/>
      <c r="BZ149" s="239"/>
      <c r="CA149" s="239"/>
      <c r="CB149" s="239"/>
      <c r="CC149" s="239"/>
      <c r="CD149" s="239"/>
      <c r="CE149" s="239"/>
    </row>
    <row r="150" spans="1:83" ht="12.95" customHeight="1">
      <c r="A150" s="21" t="s">
        <v>305</v>
      </c>
      <c r="B150" s="21" t="s">
        <v>2370</v>
      </c>
      <c r="C150" s="51" t="s">
        <v>305</v>
      </c>
      <c r="D150" s="52" t="s">
        <v>1956</v>
      </c>
      <c r="E150" s="52" t="s">
        <v>1959</v>
      </c>
      <c r="F150" s="53" t="s">
        <v>763</v>
      </c>
      <c r="G150" s="179"/>
      <c r="H150" s="180" t="s">
        <v>1536</v>
      </c>
      <c r="I150" s="55" t="s">
        <v>1429</v>
      </c>
      <c r="J150" s="55" t="s">
        <v>1429</v>
      </c>
      <c r="K150" s="56" t="s">
        <v>1429</v>
      </c>
      <c r="L150" s="54" t="s">
        <v>1580</v>
      </c>
      <c r="M150" s="55" t="s">
        <v>1590</v>
      </c>
      <c r="N150" s="55" t="s">
        <v>1429</v>
      </c>
      <c r="O150" s="55" t="s">
        <v>1429</v>
      </c>
      <c r="P150" s="56" t="s">
        <v>1429</v>
      </c>
      <c r="Q150" s="52" t="s">
        <v>165</v>
      </c>
      <c r="R150" s="52" t="s">
        <v>113</v>
      </c>
      <c r="S150" s="52" t="s">
        <v>99</v>
      </c>
      <c r="T150" s="52" t="s">
        <v>100</v>
      </c>
      <c r="U150" s="57" t="s">
        <v>113</v>
      </c>
      <c r="V150" s="146" t="s">
        <v>1960</v>
      </c>
      <c r="W150" s="51" t="s">
        <v>1737</v>
      </c>
      <c r="X150" s="130" t="s">
        <v>1429</v>
      </c>
      <c r="Y150" s="130" t="s">
        <v>1429</v>
      </c>
      <c r="Z150" s="51" t="s">
        <v>1585</v>
      </c>
      <c r="AA150" s="51" t="s">
        <v>1586</v>
      </c>
      <c r="AB150" s="51" t="s">
        <v>1435</v>
      </c>
      <c r="AC150" s="51" t="s">
        <v>1587</v>
      </c>
      <c r="AD150" s="59" t="str">
        <f t="shared" si="30"/>
        <v>UARTB</v>
      </c>
      <c r="AE150" s="66"/>
      <c r="AF150" s="61" t="str">
        <f t="shared" si="31"/>
        <v>PULL_UP</v>
      </c>
      <c r="AG150" s="61" t="str">
        <f t="shared" si="26"/>
        <v>TRISTATE</v>
      </c>
      <c r="AH150" s="61" t="str">
        <f t="shared" si="32"/>
        <v>ENABLE</v>
      </c>
      <c r="AI150" s="67" t="str">
        <f t="shared" si="28"/>
        <v>N/A</v>
      </c>
      <c r="AJ150" s="176" t="b">
        <v>1</v>
      </c>
      <c r="AK150" s="176" t="b">
        <v>1</v>
      </c>
      <c r="AL150" s="176" t="b">
        <v>1</v>
      </c>
      <c r="AM150" s="176" t="b">
        <v>1</v>
      </c>
      <c r="AN150" s="176" t="b">
        <v>1</v>
      </c>
      <c r="AO150" s="176" t="b">
        <v>1</v>
      </c>
      <c r="AP150" s="64" t="str">
        <f t="shared" si="33"/>
        <v>VALID</v>
      </c>
      <c r="AQ150" s="226" t="s">
        <v>1536</v>
      </c>
      <c r="AR150" s="182" t="s">
        <v>3496</v>
      </c>
      <c r="AS150" s="181" t="s">
        <v>3497</v>
      </c>
      <c r="AT150" s="5"/>
      <c r="AU150" s="5"/>
      <c r="AV150" s="5"/>
      <c r="AW150" s="181" t="s">
        <v>125</v>
      </c>
      <c r="AX150" s="284"/>
      <c r="AY150" s="181"/>
      <c r="AZ150" s="181"/>
      <c r="BA150" s="7"/>
      <c r="BB150" s="212"/>
      <c r="BC150" s="10" t="s">
        <v>3742</v>
      </c>
      <c r="BD150" s="238"/>
      <c r="BE150" s="239"/>
      <c r="BF150" s="239"/>
      <c r="BG150" s="239"/>
      <c r="BH150" s="239"/>
      <c r="BI150" s="239"/>
      <c r="BJ150" s="239"/>
      <c r="BK150" s="239"/>
      <c r="BL150" s="239"/>
      <c r="BM150" s="239"/>
      <c r="BN150" s="239"/>
      <c r="BO150" s="239"/>
      <c r="BP150" s="239"/>
      <c r="BQ150" s="239"/>
      <c r="BR150" s="239"/>
      <c r="BS150" s="239"/>
      <c r="BT150" s="239"/>
      <c r="BU150" s="239"/>
      <c r="BV150" s="239"/>
      <c r="BW150" s="239"/>
      <c r="BX150" s="239"/>
      <c r="BY150" s="239"/>
      <c r="BZ150" s="239"/>
      <c r="CA150" s="239"/>
      <c r="CB150" s="239"/>
      <c r="CC150" s="239"/>
      <c r="CD150" s="239"/>
      <c r="CE150" s="239"/>
    </row>
    <row r="151" spans="1:83" ht="12.95" customHeight="1">
      <c r="A151" s="21" t="s">
        <v>3494</v>
      </c>
      <c r="B151" s="21" t="s">
        <v>3555</v>
      </c>
      <c r="C151" s="51" t="s">
        <v>279</v>
      </c>
      <c r="D151" s="52" t="s">
        <v>1961</v>
      </c>
      <c r="E151" s="52" t="s">
        <v>1687</v>
      </c>
      <c r="F151" s="53" t="s">
        <v>538</v>
      </c>
      <c r="G151" s="179"/>
      <c r="H151" s="180" t="s">
        <v>1962</v>
      </c>
      <c r="I151" s="55" t="s">
        <v>1429</v>
      </c>
      <c r="J151" s="55" t="s">
        <v>1429</v>
      </c>
      <c r="K151" s="56" t="s">
        <v>1429</v>
      </c>
      <c r="L151" s="54" t="s">
        <v>1580</v>
      </c>
      <c r="M151" s="55" t="s">
        <v>1581</v>
      </c>
      <c r="N151" s="55" t="s">
        <v>1429</v>
      </c>
      <c r="O151" s="55" t="s">
        <v>1429</v>
      </c>
      <c r="P151" s="56" t="s">
        <v>1429</v>
      </c>
      <c r="Q151" s="52" t="s">
        <v>165</v>
      </c>
      <c r="R151" s="52" t="s">
        <v>113</v>
      </c>
      <c r="S151" s="52" t="s">
        <v>99</v>
      </c>
      <c r="T151" s="52" t="s">
        <v>100</v>
      </c>
      <c r="U151" s="57" t="s">
        <v>113</v>
      </c>
      <c r="V151" s="146" t="s">
        <v>1963</v>
      </c>
      <c r="W151" s="51" t="s">
        <v>1737</v>
      </c>
      <c r="X151" s="130" t="s">
        <v>1429</v>
      </c>
      <c r="Y151" s="130" t="s">
        <v>1964</v>
      </c>
      <c r="Z151" s="51" t="s">
        <v>1585</v>
      </c>
      <c r="AA151" s="51" t="s">
        <v>1586</v>
      </c>
      <c r="AB151" s="51" t="s">
        <v>1435</v>
      </c>
      <c r="AC151" s="51" t="s">
        <v>1587</v>
      </c>
      <c r="AD151" s="59" t="str">
        <f t="shared" si="30"/>
        <v>UARTB</v>
      </c>
      <c r="AE151" s="66"/>
      <c r="AF151" s="61" t="str">
        <f t="shared" si="31"/>
        <v>NORMAL</v>
      </c>
      <c r="AG151" s="61" t="str">
        <f t="shared" si="26"/>
        <v>NORMAL</v>
      </c>
      <c r="AH151" s="61" t="str">
        <f t="shared" si="32"/>
        <v>DISABLE</v>
      </c>
      <c r="AI151" s="67" t="str">
        <f t="shared" si="28"/>
        <v>N/A</v>
      </c>
      <c r="AJ151" s="176" t="b">
        <v>1</v>
      </c>
      <c r="AK151" s="176" t="b">
        <v>1</v>
      </c>
      <c r="AL151" s="176" t="b">
        <v>1</v>
      </c>
      <c r="AM151" s="176" t="b">
        <v>1</v>
      </c>
      <c r="AN151" s="176" t="b">
        <v>1</v>
      </c>
      <c r="AO151" s="176" t="b">
        <v>1</v>
      </c>
      <c r="AP151" s="64" t="str">
        <f t="shared" si="33"/>
        <v>VALID</v>
      </c>
      <c r="AQ151" s="226" t="s">
        <v>1962</v>
      </c>
      <c r="AR151" s="182" t="s">
        <v>3495</v>
      </c>
      <c r="AS151" s="181"/>
      <c r="AT151" s="5"/>
      <c r="AU151" s="5"/>
      <c r="AV151" s="5"/>
      <c r="AW151" s="181" t="s">
        <v>125</v>
      </c>
      <c r="AX151" s="284"/>
      <c r="AY151" s="181"/>
      <c r="AZ151" s="181"/>
      <c r="BA151" s="7"/>
      <c r="BB151" s="212"/>
      <c r="BC151" s="10" t="s">
        <v>3743</v>
      </c>
      <c r="BD151" s="238"/>
      <c r="BE151" s="239"/>
      <c r="BF151" s="239"/>
      <c r="BG151" s="239"/>
      <c r="BH151" s="239"/>
      <c r="BI151" s="239"/>
      <c r="BJ151" s="239"/>
      <c r="BK151" s="239"/>
      <c r="BL151" s="239"/>
      <c r="BM151" s="239"/>
      <c r="BN151" s="239"/>
      <c r="BO151" s="239"/>
      <c r="BP151" s="239"/>
      <c r="BQ151" s="239"/>
      <c r="BR151" s="239"/>
      <c r="BS151" s="239"/>
      <c r="BT151" s="239"/>
      <c r="BU151" s="239"/>
      <c r="BV151" s="239"/>
      <c r="BW151" s="239"/>
      <c r="BX151" s="239"/>
      <c r="BY151" s="239"/>
      <c r="BZ151" s="239"/>
      <c r="CA151" s="239"/>
      <c r="CB151" s="239"/>
      <c r="CC151" s="239"/>
      <c r="CD151" s="239"/>
      <c r="CE151" s="239"/>
    </row>
    <row r="152" spans="1:83" ht="12.95" customHeight="1">
      <c r="A152" s="21" t="s">
        <v>3492</v>
      </c>
      <c r="B152" s="21" t="s">
        <v>2359</v>
      </c>
      <c r="C152" s="51" t="s">
        <v>278</v>
      </c>
      <c r="D152" s="52" t="s">
        <v>1965</v>
      </c>
      <c r="E152" s="52" t="s">
        <v>1966</v>
      </c>
      <c r="F152" s="53" t="s">
        <v>539</v>
      </c>
      <c r="G152" s="179"/>
      <c r="H152" s="180" t="s">
        <v>1967</v>
      </c>
      <c r="I152" s="55" t="s">
        <v>1429</v>
      </c>
      <c r="J152" s="55" t="s">
        <v>1429</v>
      </c>
      <c r="K152" s="56" t="s">
        <v>1429</v>
      </c>
      <c r="L152" s="54" t="s">
        <v>1580</v>
      </c>
      <c r="M152" s="55" t="s">
        <v>1590</v>
      </c>
      <c r="N152" s="55" t="s">
        <v>1429</v>
      </c>
      <c r="O152" s="55" t="s">
        <v>1429</v>
      </c>
      <c r="P152" s="56" t="s">
        <v>1429</v>
      </c>
      <c r="Q152" s="52" t="s">
        <v>165</v>
      </c>
      <c r="R152" s="52" t="s">
        <v>113</v>
      </c>
      <c r="S152" s="52" t="s">
        <v>99</v>
      </c>
      <c r="T152" s="52" t="s">
        <v>100</v>
      </c>
      <c r="U152" s="57" t="s">
        <v>113</v>
      </c>
      <c r="V152" s="146" t="s">
        <v>1968</v>
      </c>
      <c r="W152" s="51" t="s">
        <v>1737</v>
      </c>
      <c r="X152" s="130" t="s">
        <v>1969</v>
      </c>
      <c r="Y152" s="130" t="s">
        <v>1429</v>
      </c>
      <c r="Z152" s="51" t="s">
        <v>1585</v>
      </c>
      <c r="AA152" s="51" t="s">
        <v>1600</v>
      </c>
      <c r="AB152" s="51" t="s">
        <v>1435</v>
      </c>
      <c r="AC152" s="51" t="s">
        <v>1587</v>
      </c>
      <c r="AD152" s="59" t="str">
        <f t="shared" si="30"/>
        <v>UARTB</v>
      </c>
      <c r="AE152" s="66"/>
      <c r="AF152" s="61" t="str">
        <f t="shared" si="31"/>
        <v>PULL_UP</v>
      </c>
      <c r="AG152" s="61" t="str">
        <f t="shared" si="26"/>
        <v>TRISTATE</v>
      </c>
      <c r="AH152" s="61" t="str">
        <f t="shared" si="32"/>
        <v>ENABLE</v>
      </c>
      <c r="AI152" s="67" t="str">
        <f t="shared" si="28"/>
        <v>N/A</v>
      </c>
      <c r="AJ152" s="176" t="b">
        <v>1</v>
      </c>
      <c r="AK152" s="176" t="b">
        <v>1</v>
      </c>
      <c r="AL152" s="176" t="b">
        <v>1</v>
      </c>
      <c r="AM152" s="176" t="b">
        <v>1</v>
      </c>
      <c r="AN152" s="176" t="b">
        <v>1</v>
      </c>
      <c r="AO152" s="176" t="b">
        <v>1</v>
      </c>
      <c r="AP152" s="64" t="str">
        <f t="shared" si="33"/>
        <v>VALID</v>
      </c>
      <c r="AQ152" s="226" t="s">
        <v>1967</v>
      </c>
      <c r="AR152" s="182" t="s">
        <v>3496</v>
      </c>
      <c r="AS152" s="181" t="s">
        <v>3497</v>
      </c>
      <c r="AT152" s="181" t="s">
        <v>104</v>
      </c>
      <c r="AU152" s="5"/>
      <c r="AV152" s="5"/>
      <c r="AW152" s="181" t="s">
        <v>125</v>
      </c>
      <c r="AX152" s="284"/>
      <c r="AY152" s="181"/>
      <c r="AZ152" s="181"/>
      <c r="BA152" s="7"/>
      <c r="BB152" s="212"/>
      <c r="BC152" s="10" t="s">
        <v>3744</v>
      </c>
      <c r="BD152" s="238"/>
      <c r="BE152" s="239"/>
      <c r="BF152" s="239"/>
      <c r="BG152" s="239"/>
      <c r="BH152" s="239"/>
      <c r="BI152" s="239"/>
      <c r="BJ152" s="239"/>
      <c r="BK152" s="239"/>
      <c r="BL152" s="239"/>
      <c r="BM152" s="239"/>
      <c r="BN152" s="239"/>
      <c r="BO152" s="239"/>
      <c r="BP152" s="239"/>
      <c r="BQ152" s="239"/>
      <c r="BR152" s="239"/>
      <c r="BS152" s="239"/>
      <c r="BT152" s="239"/>
      <c r="BU152" s="239"/>
      <c r="BV152" s="239"/>
      <c r="BW152" s="239"/>
      <c r="BX152" s="239"/>
      <c r="BY152" s="239"/>
      <c r="BZ152" s="239"/>
      <c r="CA152" s="239"/>
      <c r="CB152" s="239"/>
      <c r="CC152" s="239"/>
      <c r="CD152" s="239"/>
      <c r="CE152" s="239"/>
    </row>
    <row r="153" spans="1:83" ht="12.95" customHeight="1">
      <c r="A153" s="21" t="s">
        <v>1471</v>
      </c>
      <c r="B153" s="21" t="s">
        <v>2380</v>
      </c>
      <c r="C153" s="51" t="s">
        <v>982</v>
      </c>
      <c r="D153" s="52" t="s">
        <v>1970</v>
      </c>
      <c r="E153" s="52" t="s">
        <v>1961</v>
      </c>
      <c r="F153" s="53" t="s">
        <v>1250</v>
      </c>
      <c r="G153" s="179" t="s">
        <v>1971</v>
      </c>
      <c r="H153" s="180"/>
      <c r="I153" s="55"/>
      <c r="J153" s="55" t="s">
        <v>1972</v>
      </c>
      <c r="K153" s="56" t="s">
        <v>1429</v>
      </c>
      <c r="L153" s="54" t="s">
        <v>1580</v>
      </c>
      <c r="M153" s="55" t="s">
        <v>1581</v>
      </c>
      <c r="N153" s="55" t="s">
        <v>1580</v>
      </c>
      <c r="O153" s="55" t="s">
        <v>1590</v>
      </c>
      <c r="P153" s="56" t="s">
        <v>1429</v>
      </c>
      <c r="Q153" s="52" t="s">
        <v>1366</v>
      </c>
      <c r="R153" s="52" t="s">
        <v>120</v>
      </c>
      <c r="S153" s="52" t="s">
        <v>1367</v>
      </c>
      <c r="T153" s="52" t="s">
        <v>100</v>
      </c>
      <c r="U153" s="57" t="s">
        <v>100</v>
      </c>
      <c r="V153" s="146" t="s">
        <v>1973</v>
      </c>
      <c r="W153" s="51" t="s">
        <v>1737</v>
      </c>
      <c r="X153" s="130" t="s">
        <v>1429</v>
      </c>
      <c r="Y153" s="130" t="s">
        <v>1429</v>
      </c>
      <c r="Z153" s="51" t="s">
        <v>1585</v>
      </c>
      <c r="AA153" s="51" t="s">
        <v>1586</v>
      </c>
      <c r="AB153" s="51" t="s">
        <v>1435</v>
      </c>
      <c r="AC153" s="51" t="s">
        <v>1587</v>
      </c>
      <c r="AD153" s="59" t="str">
        <f t="shared" si="30"/>
        <v>NV</v>
      </c>
      <c r="AE153" s="66"/>
      <c r="AF153" s="61" t="str">
        <f t="shared" si="31"/>
        <v>NORMAL</v>
      </c>
      <c r="AG153" s="61" t="str">
        <f t="shared" si="26"/>
        <v>TRISTATE</v>
      </c>
      <c r="AH153" s="61" t="str">
        <f t="shared" si="32"/>
        <v>ENABLE</v>
      </c>
      <c r="AI153" s="67" t="str">
        <f t="shared" si="28"/>
        <v>N/A</v>
      </c>
      <c r="AJ153" s="176" t="b">
        <v>1</v>
      </c>
      <c r="AK153" s="176" t="b">
        <v>1</v>
      </c>
      <c r="AL153" s="176" t="b">
        <v>1</v>
      </c>
      <c r="AM153" s="176" t="b">
        <v>1</v>
      </c>
      <c r="AN153" s="176" t="b">
        <v>1</v>
      </c>
      <c r="AO153" s="176" t="b">
        <v>1</v>
      </c>
      <c r="AP153" s="64" t="str">
        <f t="shared" si="33"/>
        <v>VALID</v>
      </c>
      <c r="AQ153" s="227" t="s">
        <v>1972</v>
      </c>
      <c r="AR153" s="182" t="s">
        <v>3496</v>
      </c>
      <c r="AS153" s="181"/>
      <c r="AT153" s="5"/>
      <c r="AU153" s="5"/>
      <c r="AV153" s="5"/>
      <c r="AW153" s="181" t="s">
        <v>125</v>
      </c>
      <c r="AX153" s="284"/>
      <c r="AY153" s="181"/>
      <c r="AZ153" s="181"/>
      <c r="BA153" s="7"/>
      <c r="BB153" s="212"/>
      <c r="BC153" s="10" t="s">
        <v>3745</v>
      </c>
      <c r="BD153" s="238"/>
      <c r="BE153" s="239"/>
      <c r="BF153" s="239"/>
      <c r="BG153" s="239"/>
      <c r="BH153" s="239"/>
      <c r="BI153" s="239"/>
      <c r="BJ153" s="239"/>
      <c r="BK153" s="239"/>
      <c r="BL153" s="239"/>
      <c r="BM153" s="239"/>
      <c r="BN153" s="239"/>
      <c r="BO153" s="239"/>
      <c r="BP153" s="239"/>
      <c r="BQ153" s="239"/>
      <c r="BR153" s="239"/>
      <c r="BS153" s="239"/>
      <c r="BT153" s="239"/>
      <c r="BU153" s="239"/>
      <c r="BV153" s="239"/>
      <c r="BW153" s="239"/>
      <c r="BX153" s="239"/>
      <c r="BY153" s="239"/>
      <c r="BZ153" s="239"/>
      <c r="CA153" s="239"/>
      <c r="CB153" s="239"/>
      <c r="CC153" s="239"/>
      <c r="CD153" s="239"/>
      <c r="CE153" s="239"/>
    </row>
    <row r="154" spans="1:83" ht="12.95" customHeight="1">
      <c r="A154" s="208"/>
      <c r="B154" s="208"/>
      <c r="C154" s="51" t="s">
        <v>983</v>
      </c>
      <c r="D154" s="52" t="s">
        <v>1974</v>
      </c>
      <c r="E154" s="52" t="s">
        <v>1975</v>
      </c>
      <c r="F154" s="53" t="s">
        <v>1251</v>
      </c>
      <c r="G154" s="179"/>
      <c r="H154" s="180"/>
      <c r="I154" s="55"/>
      <c r="J154" s="55" t="s">
        <v>3668</v>
      </c>
      <c r="K154" s="56" t="s">
        <v>1429</v>
      </c>
      <c r="L154" s="54" t="s">
        <v>1580</v>
      </c>
      <c r="M154" s="55" t="s">
        <v>1590</v>
      </c>
      <c r="N154" s="55" t="s">
        <v>1580</v>
      </c>
      <c r="O154" s="55" t="s">
        <v>1581</v>
      </c>
      <c r="P154" s="56" t="s">
        <v>1429</v>
      </c>
      <c r="Q154" s="52" t="s">
        <v>1366</v>
      </c>
      <c r="R154" s="52" t="s">
        <v>120</v>
      </c>
      <c r="S154" s="52" t="s">
        <v>1362</v>
      </c>
      <c r="T154" s="52" t="s">
        <v>100</v>
      </c>
      <c r="U154" s="57" t="s">
        <v>100</v>
      </c>
      <c r="V154" s="146" t="s">
        <v>1976</v>
      </c>
      <c r="W154" s="51" t="s">
        <v>1737</v>
      </c>
      <c r="X154" s="130" t="s">
        <v>1429</v>
      </c>
      <c r="Y154" s="130" t="s">
        <v>1429</v>
      </c>
      <c r="Z154" s="51" t="s">
        <v>1585</v>
      </c>
      <c r="AA154" s="51" t="s">
        <v>1586</v>
      </c>
      <c r="AB154" s="51" t="s">
        <v>1435</v>
      </c>
      <c r="AC154" s="51" t="s">
        <v>1587</v>
      </c>
      <c r="AD154" s="59" t="str">
        <f t="shared" si="30"/>
        <v>GP</v>
      </c>
      <c r="AE154" s="66"/>
      <c r="AF154" s="61" t="str">
        <f t="shared" si="31"/>
        <v>NORMAL</v>
      </c>
      <c r="AG154" s="61" t="str">
        <f t="shared" si="26"/>
        <v>TRISTATE</v>
      </c>
      <c r="AH154" s="61" t="str">
        <f t="shared" si="32"/>
        <v>DISABLE</v>
      </c>
      <c r="AI154" s="67" t="str">
        <f t="shared" si="28"/>
        <v>N/A</v>
      </c>
      <c r="AJ154" s="176" t="b">
        <v>1</v>
      </c>
      <c r="AK154" s="176" t="b">
        <v>1</v>
      </c>
      <c r="AL154" s="176" t="b">
        <v>1</v>
      </c>
      <c r="AM154" s="176" t="b">
        <v>1</v>
      </c>
      <c r="AN154" s="176" t="b">
        <v>1</v>
      </c>
      <c r="AO154" s="176" t="b">
        <v>1</v>
      </c>
      <c r="AP154" s="64" t="str">
        <f t="shared" si="33"/>
        <v>VALID</v>
      </c>
      <c r="AQ154" s="347" t="s">
        <v>3668</v>
      </c>
      <c r="AR154" s="336" t="s">
        <v>3495</v>
      </c>
      <c r="AS154" s="337" t="s">
        <v>3666</v>
      </c>
      <c r="AT154" s="342"/>
      <c r="AU154" s="342"/>
      <c r="AV154" s="342"/>
      <c r="AW154" s="337" t="s">
        <v>125</v>
      </c>
      <c r="AX154" s="342"/>
      <c r="AY154" s="337"/>
      <c r="AZ154" s="337"/>
      <c r="BA154" s="343"/>
      <c r="BB154" s="338"/>
      <c r="BC154" s="344" t="s">
        <v>3787</v>
      </c>
      <c r="BD154" s="240"/>
      <c r="BE154" s="239"/>
      <c r="BF154" s="239"/>
      <c r="BG154" s="239"/>
      <c r="BH154" s="239"/>
      <c r="BI154" s="239"/>
      <c r="BJ154" s="239"/>
      <c r="BK154" s="239"/>
      <c r="BL154" s="239"/>
      <c r="BM154" s="239"/>
      <c r="BN154" s="239"/>
      <c r="BO154" s="239"/>
      <c r="BP154" s="239"/>
      <c r="BQ154" s="239"/>
      <c r="BR154" s="239"/>
      <c r="BS154" s="239"/>
      <c r="BT154" s="239"/>
      <c r="BU154" s="239"/>
      <c r="BV154" s="239"/>
      <c r="BW154" s="239"/>
      <c r="BX154" s="239"/>
      <c r="BY154" s="239"/>
      <c r="BZ154" s="239"/>
      <c r="CA154" s="239"/>
      <c r="CB154" s="239"/>
      <c r="CC154" s="239"/>
      <c r="CD154" s="239"/>
      <c r="CE154" s="239"/>
    </row>
    <row r="155" spans="1:83" ht="12.95" customHeight="1">
      <c r="A155" s="21" t="s">
        <v>3804</v>
      </c>
      <c r="B155" s="21" t="s">
        <v>3640</v>
      </c>
      <c r="C155" s="51" t="s">
        <v>984</v>
      </c>
      <c r="D155" s="52" t="s">
        <v>1977</v>
      </c>
      <c r="E155" s="52" t="s">
        <v>1978</v>
      </c>
      <c r="F155" s="53" t="s">
        <v>1252</v>
      </c>
      <c r="G155" s="179" t="s">
        <v>1979</v>
      </c>
      <c r="H155" s="180"/>
      <c r="I155" s="55"/>
      <c r="J155" s="55" t="s">
        <v>1429</v>
      </c>
      <c r="K155" s="56" t="s">
        <v>1429</v>
      </c>
      <c r="L155" s="54" t="s">
        <v>1580</v>
      </c>
      <c r="M155" s="55" t="s">
        <v>1581</v>
      </c>
      <c r="N155" s="55" t="s">
        <v>1580</v>
      </c>
      <c r="O155" s="55" t="s">
        <v>1429</v>
      </c>
      <c r="P155" s="56" t="s">
        <v>1429</v>
      </c>
      <c r="Q155" s="6" t="s">
        <v>1366</v>
      </c>
      <c r="R155" s="52" t="s">
        <v>120</v>
      </c>
      <c r="S155" s="52" t="s">
        <v>99</v>
      </c>
      <c r="T155" s="52" t="s">
        <v>100</v>
      </c>
      <c r="U155" s="58" t="s">
        <v>99</v>
      </c>
      <c r="V155" s="146" t="s">
        <v>1980</v>
      </c>
      <c r="W155" s="51" t="s">
        <v>1737</v>
      </c>
      <c r="X155" s="130" t="s">
        <v>1429</v>
      </c>
      <c r="Y155" s="130" t="s">
        <v>1429</v>
      </c>
      <c r="Z155" s="51" t="s">
        <v>1585</v>
      </c>
      <c r="AA155" s="51" t="s">
        <v>1586</v>
      </c>
      <c r="AB155" s="51" t="s">
        <v>1435</v>
      </c>
      <c r="AC155" s="51" t="s">
        <v>1674</v>
      </c>
      <c r="AD155" s="59" t="str">
        <f t="shared" si="30"/>
        <v>GPIO_PX6</v>
      </c>
      <c r="AE155" s="66"/>
      <c r="AF155" s="61" t="str">
        <f t="shared" si="31"/>
        <v>NORMAL</v>
      </c>
      <c r="AG155" s="61" t="str">
        <f t="shared" si="26"/>
        <v>NORMAL</v>
      </c>
      <c r="AH155" s="61" t="str">
        <f t="shared" si="32"/>
        <v>DISABLE</v>
      </c>
      <c r="AI155" s="67" t="str">
        <f t="shared" si="28"/>
        <v>0</v>
      </c>
      <c r="AJ155" s="176" t="b">
        <v>1</v>
      </c>
      <c r="AK155" s="176" t="b">
        <v>1</v>
      </c>
      <c r="AL155" s="176" t="b">
        <v>1</v>
      </c>
      <c r="AM155" s="176" t="b">
        <v>1</v>
      </c>
      <c r="AN155" s="176" t="b">
        <v>1</v>
      </c>
      <c r="AO155" s="176" t="b">
        <v>1</v>
      </c>
      <c r="AP155" s="64" t="str">
        <f t="shared" si="33"/>
        <v>VALID</v>
      </c>
      <c r="AQ155" s="227" t="s">
        <v>1979</v>
      </c>
      <c r="AR155" s="182" t="s">
        <v>3495</v>
      </c>
      <c r="AS155" s="181" t="s">
        <v>3500</v>
      </c>
      <c r="AT155" s="5"/>
      <c r="AU155" s="5"/>
      <c r="AV155" s="5"/>
      <c r="AW155" s="181" t="s">
        <v>125</v>
      </c>
      <c r="AX155" s="284"/>
      <c r="AY155" s="181"/>
      <c r="AZ155" s="181"/>
      <c r="BA155" s="7"/>
      <c r="BB155" s="212"/>
      <c r="BC155" s="10" t="s">
        <v>3746</v>
      </c>
      <c r="BD155" s="240"/>
      <c r="BE155" s="239"/>
      <c r="BF155" s="239"/>
      <c r="BG155" s="239"/>
      <c r="BH155" s="239"/>
      <c r="BI155" s="239"/>
      <c r="BJ155" s="239"/>
      <c r="BK155" s="239"/>
      <c r="BL155" s="239"/>
      <c r="BM155" s="239"/>
      <c r="BN155" s="239"/>
      <c r="BO155" s="239"/>
      <c r="BP155" s="239"/>
      <c r="BQ155" s="239"/>
      <c r="BR155" s="239"/>
      <c r="BS155" s="239"/>
      <c r="BT155" s="239"/>
      <c r="BU155" s="239"/>
      <c r="BV155" s="239"/>
      <c r="BW155" s="239"/>
      <c r="BX155" s="239"/>
      <c r="BY155" s="239"/>
      <c r="BZ155" s="239"/>
      <c r="CA155" s="239"/>
      <c r="CB155" s="239"/>
      <c r="CC155" s="239"/>
      <c r="CD155" s="239"/>
      <c r="CE155" s="239"/>
    </row>
    <row r="156" spans="1:83" ht="12.95" customHeight="1">
      <c r="A156" s="21" t="s">
        <v>1409</v>
      </c>
      <c r="B156" s="21" t="s">
        <v>3570</v>
      </c>
      <c r="C156" s="51" t="s">
        <v>985</v>
      </c>
      <c r="D156" s="52" t="s">
        <v>1981</v>
      </c>
      <c r="E156" s="52" t="s">
        <v>1982</v>
      </c>
      <c r="F156" s="53" t="s">
        <v>1253</v>
      </c>
      <c r="G156" s="179" t="s">
        <v>1983</v>
      </c>
      <c r="H156" s="180"/>
      <c r="I156" s="55"/>
      <c r="J156" s="55" t="s">
        <v>1429</v>
      </c>
      <c r="K156" s="56" t="s">
        <v>1429</v>
      </c>
      <c r="L156" s="54" t="s">
        <v>1580</v>
      </c>
      <c r="M156" s="55" t="s">
        <v>1590</v>
      </c>
      <c r="N156" s="55" t="s">
        <v>1580</v>
      </c>
      <c r="O156" s="55" t="s">
        <v>1429</v>
      </c>
      <c r="P156" s="56" t="s">
        <v>1429</v>
      </c>
      <c r="Q156" s="6" t="s">
        <v>1366</v>
      </c>
      <c r="R156" s="52" t="s">
        <v>120</v>
      </c>
      <c r="S156" s="52" t="s">
        <v>99</v>
      </c>
      <c r="T156" s="52" t="s">
        <v>100</v>
      </c>
      <c r="U156" s="58" t="s">
        <v>99</v>
      </c>
      <c r="V156" s="146" t="s">
        <v>1984</v>
      </c>
      <c r="W156" s="51" t="s">
        <v>1737</v>
      </c>
      <c r="X156" s="130" t="s">
        <v>1985</v>
      </c>
      <c r="Y156" s="130" t="s">
        <v>1429</v>
      </c>
      <c r="Z156" s="51" t="s">
        <v>1585</v>
      </c>
      <c r="AA156" s="51" t="s">
        <v>1600</v>
      </c>
      <c r="AB156" s="51" t="s">
        <v>1435</v>
      </c>
      <c r="AC156" s="51" t="s">
        <v>1674</v>
      </c>
      <c r="AD156" s="59" t="str">
        <f t="shared" si="30"/>
        <v>GPIO_PX7</v>
      </c>
      <c r="AE156" s="66"/>
      <c r="AF156" s="61" t="str">
        <f t="shared" si="31"/>
        <v>PULL_UP</v>
      </c>
      <c r="AG156" s="61" t="str">
        <f t="shared" si="26"/>
        <v>TRISTATE</v>
      </c>
      <c r="AH156" s="61" t="str">
        <f t="shared" si="32"/>
        <v>ENABLE</v>
      </c>
      <c r="AI156" s="67" t="str">
        <f t="shared" si="28"/>
        <v/>
      </c>
      <c r="AJ156" s="176" t="b">
        <v>1</v>
      </c>
      <c r="AK156" s="176" t="b">
        <v>1</v>
      </c>
      <c r="AL156" s="176" t="b">
        <v>1</v>
      </c>
      <c r="AM156" s="176" t="b">
        <v>1</v>
      </c>
      <c r="AN156" s="176" t="b">
        <v>1</v>
      </c>
      <c r="AO156" s="176" t="b">
        <v>1</v>
      </c>
      <c r="AP156" s="64" t="str">
        <f t="shared" si="33"/>
        <v>VALID</v>
      </c>
      <c r="AQ156" s="227" t="s">
        <v>1983</v>
      </c>
      <c r="AR156" s="182" t="s">
        <v>3496</v>
      </c>
      <c r="AS156" s="181" t="s">
        <v>3497</v>
      </c>
      <c r="AT156" s="181" t="s">
        <v>3499</v>
      </c>
      <c r="AU156" s="5"/>
      <c r="AV156" s="5"/>
      <c r="AW156" s="181" t="s">
        <v>125</v>
      </c>
      <c r="AX156" s="284"/>
      <c r="AY156" s="181"/>
      <c r="AZ156" s="181"/>
      <c r="BA156" s="7"/>
      <c r="BB156" s="212"/>
      <c r="BC156" s="10" t="s">
        <v>3747</v>
      </c>
      <c r="BD156" s="240"/>
      <c r="BE156" s="239"/>
      <c r="BF156" s="239"/>
      <c r="BG156" s="239"/>
      <c r="BH156" s="239"/>
      <c r="BI156" s="239"/>
      <c r="BJ156" s="239"/>
      <c r="BK156" s="239"/>
      <c r="BL156" s="239"/>
      <c r="BM156" s="239"/>
      <c r="BN156" s="239"/>
      <c r="BO156" s="239"/>
      <c r="BP156" s="239"/>
      <c r="BQ156" s="239"/>
      <c r="BR156" s="239"/>
      <c r="BS156" s="239"/>
      <c r="BT156" s="239"/>
      <c r="BU156" s="239"/>
      <c r="BV156" s="239"/>
      <c r="BW156" s="239"/>
      <c r="BX156" s="239"/>
      <c r="BY156" s="239"/>
      <c r="BZ156" s="239"/>
      <c r="CA156" s="239"/>
      <c r="CB156" s="239"/>
      <c r="CC156" s="239"/>
      <c r="CD156" s="239"/>
      <c r="CE156" s="239"/>
    </row>
    <row r="157" spans="1:83" ht="12.95" customHeight="1">
      <c r="A157" s="21" t="s">
        <v>1410</v>
      </c>
      <c r="B157" s="21" t="s">
        <v>1863</v>
      </c>
      <c r="C157" s="51" t="s">
        <v>986</v>
      </c>
      <c r="D157" s="52" t="s">
        <v>1986</v>
      </c>
      <c r="E157" s="52" t="s">
        <v>1987</v>
      </c>
      <c r="F157" s="53" t="s">
        <v>1254</v>
      </c>
      <c r="G157" s="179" t="s">
        <v>1537</v>
      </c>
      <c r="H157" s="180" t="s">
        <v>1429</v>
      </c>
      <c r="I157" s="55" t="s">
        <v>1429</v>
      </c>
      <c r="J157" s="55" t="s">
        <v>1429</v>
      </c>
      <c r="K157" s="56" t="s">
        <v>1429</v>
      </c>
      <c r="L157" s="54" t="s">
        <v>1580</v>
      </c>
      <c r="M157" s="55" t="s">
        <v>1429</v>
      </c>
      <c r="N157" s="55" t="s">
        <v>1429</v>
      </c>
      <c r="O157" s="55" t="s">
        <v>1429</v>
      </c>
      <c r="P157" s="56" t="s">
        <v>1429</v>
      </c>
      <c r="Q157" s="52" t="s">
        <v>755</v>
      </c>
      <c r="R157" s="52" t="s">
        <v>113</v>
      </c>
      <c r="S157" s="52" t="s">
        <v>99</v>
      </c>
      <c r="T157" s="52" t="s">
        <v>100</v>
      </c>
      <c r="U157" s="58" t="s">
        <v>755</v>
      </c>
      <c r="V157" s="146" t="s">
        <v>1988</v>
      </c>
      <c r="W157" s="51" t="s">
        <v>1737</v>
      </c>
      <c r="X157" s="130" t="s">
        <v>1989</v>
      </c>
      <c r="Y157" s="130" t="s">
        <v>1429</v>
      </c>
      <c r="Z157" s="51" t="s">
        <v>1585</v>
      </c>
      <c r="AA157" s="51" t="s">
        <v>1600</v>
      </c>
      <c r="AB157" s="51" t="s">
        <v>1435</v>
      </c>
      <c r="AC157" s="51" t="s">
        <v>1587</v>
      </c>
      <c r="AD157" s="59" t="str">
        <f t="shared" si="30"/>
        <v>GPIO_PY0</v>
      </c>
      <c r="AE157" s="66"/>
      <c r="AF157" s="61" t="str">
        <f t="shared" si="31"/>
        <v>PULL_UP</v>
      </c>
      <c r="AG157" s="61" t="str">
        <f t="shared" si="26"/>
        <v>TRISTATE</v>
      </c>
      <c r="AH157" s="61" t="str">
        <f t="shared" si="32"/>
        <v>ENABLE</v>
      </c>
      <c r="AI157" s="67" t="str">
        <f t="shared" si="28"/>
        <v/>
      </c>
      <c r="AJ157" s="176" t="b">
        <v>1</v>
      </c>
      <c r="AK157" s="176" t="b">
        <v>1</v>
      </c>
      <c r="AL157" s="176" t="b">
        <v>1</v>
      </c>
      <c r="AM157" s="176" t="b">
        <v>1</v>
      </c>
      <c r="AN157" s="176" t="b">
        <v>1</v>
      </c>
      <c r="AO157" s="176" t="b">
        <v>1</v>
      </c>
      <c r="AP157" s="64" t="str">
        <f t="shared" si="33"/>
        <v>VALID</v>
      </c>
      <c r="AQ157" s="226" t="s">
        <v>1537</v>
      </c>
      <c r="AR157" s="182" t="s">
        <v>3496</v>
      </c>
      <c r="AS157" s="181" t="s">
        <v>3497</v>
      </c>
      <c r="AT157" s="181" t="s">
        <v>3499</v>
      </c>
      <c r="AU157" s="5"/>
      <c r="AV157" s="5"/>
      <c r="AW157" s="181" t="s">
        <v>125</v>
      </c>
      <c r="AX157" s="284"/>
      <c r="AY157" s="181"/>
      <c r="AZ157" s="181"/>
      <c r="BA157" s="7" t="s">
        <v>101</v>
      </c>
      <c r="BB157" s="212"/>
      <c r="BC157" s="10" t="s">
        <v>3748</v>
      </c>
      <c r="BD157" s="240"/>
      <c r="BE157" s="239"/>
      <c r="BF157" s="239"/>
      <c r="BG157" s="239"/>
      <c r="BH157" s="239"/>
      <c r="BI157" s="239"/>
      <c r="BJ157" s="239"/>
      <c r="BK157" s="239"/>
      <c r="BL157" s="239"/>
      <c r="BM157" s="239"/>
      <c r="BN157" s="239"/>
      <c r="BO157" s="239"/>
      <c r="BP157" s="239"/>
      <c r="BQ157" s="239"/>
      <c r="BR157" s="239"/>
      <c r="BS157" s="239"/>
      <c r="BT157" s="239"/>
      <c r="BU157" s="239"/>
      <c r="BV157" s="239"/>
      <c r="BW157" s="239"/>
      <c r="BX157" s="239"/>
      <c r="BY157" s="239"/>
      <c r="BZ157" s="239"/>
      <c r="CA157" s="239"/>
      <c r="CB157" s="239"/>
      <c r="CC157" s="239"/>
      <c r="CD157" s="239"/>
      <c r="CE157" s="239"/>
    </row>
    <row r="158" spans="1:83" ht="12.95" customHeight="1">
      <c r="A158" s="21" t="s">
        <v>3805</v>
      </c>
      <c r="B158" s="21" t="s">
        <v>3553</v>
      </c>
      <c r="C158" s="51" t="s">
        <v>987</v>
      </c>
      <c r="D158" s="52" t="s">
        <v>1990</v>
      </c>
      <c r="E158" s="52" t="s">
        <v>1981</v>
      </c>
      <c r="F158" s="53" t="s">
        <v>1255</v>
      </c>
      <c r="G158" s="179" t="s">
        <v>1538</v>
      </c>
      <c r="H158" s="180" t="s">
        <v>1429</v>
      </c>
      <c r="I158" s="55" t="s">
        <v>1429</v>
      </c>
      <c r="J158" s="55" t="s">
        <v>1429</v>
      </c>
      <c r="K158" s="56" t="s">
        <v>1429</v>
      </c>
      <c r="L158" s="54" t="s">
        <v>1580</v>
      </c>
      <c r="M158" s="55" t="s">
        <v>1429</v>
      </c>
      <c r="N158" s="55" t="s">
        <v>1429</v>
      </c>
      <c r="O158" s="55" t="s">
        <v>1429</v>
      </c>
      <c r="P158" s="56" t="s">
        <v>1429</v>
      </c>
      <c r="Q158" s="52" t="s">
        <v>755</v>
      </c>
      <c r="R158" s="52" t="s">
        <v>113</v>
      </c>
      <c r="S158" s="52" t="s">
        <v>99</v>
      </c>
      <c r="T158" s="52" t="s">
        <v>100</v>
      </c>
      <c r="U158" s="58" t="s">
        <v>755</v>
      </c>
      <c r="V158" s="146" t="s">
        <v>1991</v>
      </c>
      <c r="W158" s="51" t="s">
        <v>1737</v>
      </c>
      <c r="X158" s="130" t="s">
        <v>1992</v>
      </c>
      <c r="Y158" s="130" t="s">
        <v>1429</v>
      </c>
      <c r="Z158" s="51" t="s">
        <v>1585</v>
      </c>
      <c r="AA158" s="51" t="s">
        <v>1600</v>
      </c>
      <c r="AB158" s="51" t="s">
        <v>1435</v>
      </c>
      <c r="AC158" s="51" t="s">
        <v>1587</v>
      </c>
      <c r="AD158" s="59" t="str">
        <f t="shared" si="30"/>
        <v>GPIO_PY1</v>
      </c>
      <c r="AE158" s="66"/>
      <c r="AF158" s="61" t="str">
        <f t="shared" si="31"/>
        <v>PULL_UP</v>
      </c>
      <c r="AG158" s="61" t="str">
        <f t="shared" si="26"/>
        <v>TRISTATE</v>
      </c>
      <c r="AH158" s="61" t="str">
        <f t="shared" si="32"/>
        <v>ENABLE</v>
      </c>
      <c r="AI158" s="67" t="str">
        <f t="shared" si="28"/>
        <v/>
      </c>
      <c r="AJ158" s="176" t="b">
        <v>1</v>
      </c>
      <c r="AK158" s="176" t="b">
        <v>1</v>
      </c>
      <c r="AL158" s="176" t="b">
        <v>1</v>
      </c>
      <c r="AM158" s="176" t="b">
        <v>1</v>
      </c>
      <c r="AN158" s="176" t="b">
        <v>1</v>
      </c>
      <c r="AO158" s="176" t="b">
        <v>1</v>
      </c>
      <c r="AP158" s="64" t="str">
        <f t="shared" si="33"/>
        <v>VALID</v>
      </c>
      <c r="AQ158" s="226" t="s">
        <v>1538</v>
      </c>
      <c r="AR158" s="182" t="s">
        <v>3496</v>
      </c>
      <c r="AS158" s="181" t="s">
        <v>3497</v>
      </c>
      <c r="AT158" s="181" t="s">
        <v>3499</v>
      </c>
      <c r="AU158" s="5"/>
      <c r="AV158" s="5"/>
      <c r="AW158" s="181" t="s">
        <v>125</v>
      </c>
      <c r="AX158" s="284"/>
      <c r="AY158" s="181"/>
      <c r="AZ158" s="181"/>
      <c r="BA158" s="7"/>
      <c r="BB158" s="212"/>
      <c r="BC158" s="10" t="s">
        <v>1411</v>
      </c>
      <c r="BD158" s="240"/>
      <c r="BE158" s="239"/>
      <c r="BF158" s="239"/>
      <c r="BG158" s="239"/>
      <c r="BH158" s="239"/>
      <c r="BI158" s="239"/>
      <c r="BJ158" s="239"/>
      <c r="BK158" s="239"/>
      <c r="BL158" s="239"/>
      <c r="BM158" s="239"/>
      <c r="BN158" s="239"/>
      <c r="BO158" s="239"/>
      <c r="BP158" s="239"/>
      <c r="BQ158" s="239"/>
      <c r="BR158" s="239"/>
      <c r="BS158" s="239"/>
      <c r="BT158" s="239"/>
      <c r="BU158" s="239"/>
      <c r="BV158" s="239"/>
      <c r="BW158" s="239"/>
      <c r="BX158" s="239"/>
      <c r="BY158" s="239"/>
      <c r="BZ158" s="239"/>
      <c r="CA158" s="239"/>
      <c r="CB158" s="239"/>
      <c r="CC158" s="239"/>
      <c r="CD158" s="239"/>
      <c r="CE158" s="239"/>
    </row>
    <row r="159" spans="1:83" ht="12.95" customHeight="1">
      <c r="A159" s="21" t="s">
        <v>1412</v>
      </c>
      <c r="B159" s="21" t="s">
        <v>3577</v>
      </c>
      <c r="C159" s="51" t="s">
        <v>988</v>
      </c>
      <c r="D159" s="52" t="s">
        <v>1966</v>
      </c>
      <c r="E159" s="52" t="s">
        <v>1986</v>
      </c>
      <c r="F159" s="53" t="s">
        <v>1256</v>
      </c>
      <c r="G159" s="179" t="s">
        <v>1539</v>
      </c>
      <c r="H159" s="180" t="s">
        <v>1429</v>
      </c>
      <c r="I159" s="55" t="s">
        <v>1429</v>
      </c>
      <c r="J159" s="55" t="s">
        <v>1429</v>
      </c>
      <c r="K159" s="56" t="s">
        <v>1429</v>
      </c>
      <c r="L159" s="54" t="s">
        <v>1580</v>
      </c>
      <c r="M159" s="55" t="s">
        <v>1429</v>
      </c>
      <c r="N159" s="55" t="s">
        <v>1429</v>
      </c>
      <c r="O159" s="55" t="s">
        <v>1429</v>
      </c>
      <c r="P159" s="56" t="s">
        <v>1429</v>
      </c>
      <c r="Q159" s="52" t="s">
        <v>755</v>
      </c>
      <c r="R159" s="52" t="s">
        <v>113</v>
      </c>
      <c r="S159" s="52" t="s">
        <v>99</v>
      </c>
      <c r="T159" s="52" t="s">
        <v>100</v>
      </c>
      <c r="U159" s="58" t="s">
        <v>755</v>
      </c>
      <c r="V159" s="146" t="s">
        <v>1993</v>
      </c>
      <c r="W159" s="51" t="s">
        <v>1737</v>
      </c>
      <c r="X159" s="130" t="s">
        <v>1994</v>
      </c>
      <c r="Y159" s="130" t="s">
        <v>1429</v>
      </c>
      <c r="Z159" s="51" t="s">
        <v>1585</v>
      </c>
      <c r="AA159" s="51" t="s">
        <v>1600</v>
      </c>
      <c r="AB159" s="51" t="s">
        <v>1435</v>
      </c>
      <c r="AC159" s="51" t="s">
        <v>1587</v>
      </c>
      <c r="AD159" s="59" t="str">
        <f t="shared" si="30"/>
        <v>GPIO_PY2</v>
      </c>
      <c r="AE159" s="66"/>
      <c r="AF159" s="61" t="str">
        <f t="shared" si="31"/>
        <v>PULL_UP</v>
      </c>
      <c r="AG159" s="61" t="str">
        <f t="shared" si="26"/>
        <v>TRISTATE</v>
      </c>
      <c r="AH159" s="61" t="str">
        <f t="shared" si="32"/>
        <v>ENABLE</v>
      </c>
      <c r="AI159" s="67" t="str">
        <f t="shared" si="28"/>
        <v/>
      </c>
      <c r="AJ159" s="176" t="b">
        <v>1</v>
      </c>
      <c r="AK159" s="176" t="b">
        <v>1</v>
      </c>
      <c r="AL159" s="176" t="b">
        <v>1</v>
      </c>
      <c r="AM159" s="176" t="b">
        <v>1</v>
      </c>
      <c r="AN159" s="176" t="b">
        <v>1</v>
      </c>
      <c r="AO159" s="176" t="b">
        <v>1</v>
      </c>
      <c r="AP159" s="64" t="str">
        <f t="shared" si="33"/>
        <v>VALID</v>
      </c>
      <c r="AQ159" s="226" t="s">
        <v>1539</v>
      </c>
      <c r="AR159" s="182" t="s">
        <v>3496</v>
      </c>
      <c r="AS159" s="181" t="s">
        <v>3497</v>
      </c>
      <c r="AT159" s="181" t="s">
        <v>3499</v>
      </c>
      <c r="AU159" s="5"/>
      <c r="AV159" s="5"/>
      <c r="AW159" s="181" t="s">
        <v>125</v>
      </c>
      <c r="AX159" s="284"/>
      <c r="AY159" s="181"/>
      <c r="AZ159" s="181"/>
      <c r="BA159" s="7"/>
      <c r="BB159" s="212"/>
      <c r="BC159" s="10" t="s">
        <v>3749</v>
      </c>
      <c r="BD159" s="240"/>
      <c r="BE159" s="239"/>
      <c r="BF159" s="239"/>
      <c r="BG159" s="239"/>
      <c r="BH159" s="239"/>
      <c r="BI159" s="239"/>
      <c r="BJ159" s="239"/>
      <c r="BK159" s="239"/>
      <c r="BL159" s="239"/>
      <c r="BM159" s="239"/>
      <c r="BN159" s="239"/>
      <c r="BO159" s="239"/>
      <c r="BP159" s="239"/>
      <c r="BQ159" s="239"/>
      <c r="BR159" s="239"/>
      <c r="BS159" s="239"/>
      <c r="BT159" s="239"/>
      <c r="BU159" s="239"/>
      <c r="BV159" s="239"/>
      <c r="BW159" s="239"/>
      <c r="BX159" s="239"/>
      <c r="BY159" s="239"/>
      <c r="BZ159" s="239"/>
      <c r="CA159" s="239"/>
      <c r="CB159" s="239"/>
      <c r="CC159" s="239"/>
      <c r="CD159" s="239"/>
      <c r="CE159" s="239"/>
    </row>
    <row r="160" spans="1:83" ht="12.95" customHeight="1">
      <c r="A160" s="21" t="s">
        <v>3491</v>
      </c>
      <c r="B160" s="21" t="s">
        <v>3597</v>
      </c>
      <c r="C160" s="51" t="s">
        <v>989</v>
      </c>
      <c r="D160" s="52" t="s">
        <v>1995</v>
      </c>
      <c r="E160" s="52" t="s">
        <v>1996</v>
      </c>
      <c r="F160" s="53" t="s">
        <v>1257</v>
      </c>
      <c r="G160" s="179"/>
      <c r="H160" s="180" t="s">
        <v>1429</v>
      </c>
      <c r="I160" s="55" t="s">
        <v>1540</v>
      </c>
      <c r="J160" s="55"/>
      <c r="K160" s="56" t="s">
        <v>1429</v>
      </c>
      <c r="L160" s="54" t="s">
        <v>1580</v>
      </c>
      <c r="M160" s="55" t="s">
        <v>1429</v>
      </c>
      <c r="N160" s="55" t="s">
        <v>1580</v>
      </c>
      <c r="O160" s="55" t="s">
        <v>1581</v>
      </c>
      <c r="P160" s="56" t="s">
        <v>1429</v>
      </c>
      <c r="Q160" s="52" t="s">
        <v>755</v>
      </c>
      <c r="R160" s="52" t="s">
        <v>111</v>
      </c>
      <c r="S160" s="52" t="s">
        <v>749</v>
      </c>
      <c r="T160" s="52" t="s">
        <v>100</v>
      </c>
      <c r="U160" s="58" t="s">
        <v>755</v>
      </c>
      <c r="V160" s="146" t="s">
        <v>1997</v>
      </c>
      <c r="W160" s="51" t="s">
        <v>1737</v>
      </c>
      <c r="X160" s="130" t="s">
        <v>1429</v>
      </c>
      <c r="Y160" s="130" t="s">
        <v>1429</v>
      </c>
      <c r="Z160" s="51" t="s">
        <v>1585</v>
      </c>
      <c r="AA160" s="51" t="s">
        <v>1586</v>
      </c>
      <c r="AB160" s="51" t="s">
        <v>1435</v>
      </c>
      <c r="AC160" s="51" t="s">
        <v>1674</v>
      </c>
      <c r="AD160" s="59" t="str">
        <f t="shared" si="30"/>
        <v>SPI1</v>
      </c>
      <c r="AE160" s="66"/>
      <c r="AF160" s="61" t="str">
        <f t="shared" si="31"/>
        <v>PULL_UP</v>
      </c>
      <c r="AG160" s="61" t="str">
        <f t="shared" si="26"/>
        <v>NORMAL</v>
      </c>
      <c r="AH160" s="61" t="str">
        <f t="shared" si="32"/>
        <v>DISABLE</v>
      </c>
      <c r="AI160" s="67" t="str">
        <f t="shared" si="28"/>
        <v>N/A</v>
      </c>
      <c r="AJ160" s="176" t="b">
        <v>1</v>
      </c>
      <c r="AK160" s="176" t="b">
        <v>1</v>
      </c>
      <c r="AL160" s="176" t="b">
        <v>1</v>
      </c>
      <c r="AM160" s="176" t="b">
        <v>1</v>
      </c>
      <c r="AN160" s="176" t="b">
        <v>1</v>
      </c>
      <c r="AO160" s="176" t="b">
        <v>1</v>
      </c>
      <c r="AP160" s="64" t="str">
        <f t="shared" si="33"/>
        <v>VALID</v>
      </c>
      <c r="AQ160" s="226" t="s">
        <v>1540</v>
      </c>
      <c r="AR160" s="182" t="s">
        <v>3495</v>
      </c>
      <c r="AS160" s="181" t="s">
        <v>3497</v>
      </c>
      <c r="AT160" s="5"/>
      <c r="AU160" s="5"/>
      <c r="AV160" s="5"/>
      <c r="AW160" s="181" t="s">
        <v>125</v>
      </c>
      <c r="AX160" s="284"/>
      <c r="AY160" s="181"/>
      <c r="AZ160" s="181"/>
      <c r="BA160" s="7"/>
      <c r="BB160" s="212"/>
      <c r="BC160" s="10" t="s">
        <v>3750</v>
      </c>
      <c r="BD160" s="238"/>
      <c r="BE160" s="239"/>
      <c r="BF160" s="239"/>
      <c r="BG160" s="239"/>
      <c r="BH160" s="239"/>
      <c r="BI160" s="239"/>
      <c r="BJ160" s="239"/>
      <c r="BK160" s="239"/>
      <c r="BL160" s="239"/>
      <c r="BM160" s="239"/>
      <c r="BN160" s="239"/>
      <c r="BO160" s="239"/>
      <c r="BP160" s="239"/>
      <c r="BQ160" s="239"/>
      <c r="BR160" s="239"/>
      <c r="BS160" s="239"/>
      <c r="BT160" s="239"/>
      <c r="BU160" s="239"/>
      <c r="BV160" s="239"/>
      <c r="BW160" s="239"/>
      <c r="BX160" s="239"/>
      <c r="BY160" s="239"/>
      <c r="BZ160" s="239"/>
      <c r="CA160" s="239"/>
      <c r="CB160" s="239"/>
      <c r="CC160" s="239"/>
      <c r="CD160" s="239"/>
      <c r="CE160" s="239"/>
    </row>
    <row r="161" spans="1:83" ht="12.95" customHeight="1">
      <c r="A161" s="1"/>
      <c r="B161" s="1"/>
      <c r="C161" s="51" t="s">
        <v>990</v>
      </c>
      <c r="D161" s="52" t="s">
        <v>1998</v>
      </c>
      <c r="E161" s="52" t="s">
        <v>1999</v>
      </c>
      <c r="F161" s="53" t="s">
        <v>1258</v>
      </c>
      <c r="G161" s="179" t="s">
        <v>2000</v>
      </c>
      <c r="H161" s="180" t="s">
        <v>1429</v>
      </c>
      <c r="I161" s="55"/>
      <c r="J161" s="55" t="s">
        <v>1429</v>
      </c>
      <c r="K161" s="56" t="s">
        <v>1429</v>
      </c>
      <c r="L161" s="54" t="s">
        <v>1580</v>
      </c>
      <c r="M161" s="55" t="s">
        <v>1429</v>
      </c>
      <c r="N161" s="55" t="s">
        <v>1580</v>
      </c>
      <c r="O161" s="55" t="s">
        <v>1429</v>
      </c>
      <c r="P161" s="56" t="s">
        <v>1429</v>
      </c>
      <c r="Q161" s="52" t="s">
        <v>755</v>
      </c>
      <c r="R161" s="52" t="s">
        <v>111</v>
      </c>
      <c r="S161" s="52" t="s">
        <v>99</v>
      </c>
      <c r="T161" s="52" t="s">
        <v>100</v>
      </c>
      <c r="U161" s="58" t="s">
        <v>755</v>
      </c>
      <c r="V161" s="146" t="s">
        <v>2001</v>
      </c>
      <c r="W161" s="51" t="s">
        <v>1737</v>
      </c>
      <c r="X161" s="130" t="s">
        <v>1429</v>
      </c>
      <c r="Y161" s="130" t="s">
        <v>1429</v>
      </c>
      <c r="Z161" s="51" t="s">
        <v>1585</v>
      </c>
      <c r="AA161" s="51" t="s">
        <v>1586</v>
      </c>
      <c r="AB161" s="51" t="s">
        <v>1435</v>
      </c>
      <c r="AC161" s="51" t="s">
        <v>1674</v>
      </c>
      <c r="AD161" s="59" t="str">
        <f t="shared" si="30"/>
        <v>GPIO_PY4</v>
      </c>
      <c r="AE161" s="66"/>
      <c r="AF161" s="61" t="str">
        <f t="shared" si="31"/>
        <v>NORMAL</v>
      </c>
      <c r="AG161" s="61" t="str">
        <f t="shared" si="26"/>
        <v>NORMAL</v>
      </c>
      <c r="AH161" s="61" t="str">
        <f t="shared" si="32"/>
        <v>DISABLE</v>
      </c>
      <c r="AI161" s="67" t="str">
        <f t="shared" si="28"/>
        <v>0</v>
      </c>
      <c r="AJ161" s="176" t="b">
        <v>1</v>
      </c>
      <c r="AK161" s="176" t="b">
        <v>1</v>
      </c>
      <c r="AL161" s="176" t="b">
        <v>1</v>
      </c>
      <c r="AM161" s="176" t="b">
        <v>1</v>
      </c>
      <c r="AN161" s="176" t="b">
        <v>1</v>
      </c>
      <c r="AO161" s="176" t="b">
        <v>1</v>
      </c>
      <c r="AP161" s="64" t="str">
        <f t="shared" si="33"/>
        <v>VALID</v>
      </c>
      <c r="AQ161" s="347" t="s">
        <v>2000</v>
      </c>
      <c r="AR161" s="336" t="s">
        <v>3495</v>
      </c>
      <c r="AS161" s="337" t="s">
        <v>3500</v>
      </c>
      <c r="AT161" s="342"/>
      <c r="AU161" s="342"/>
      <c r="AV161" s="342"/>
      <c r="AW161" s="337" t="s">
        <v>125</v>
      </c>
      <c r="AX161" s="342"/>
      <c r="AY161" s="337"/>
      <c r="AZ161" s="337"/>
      <c r="BA161" s="343"/>
      <c r="BB161" s="338"/>
      <c r="BC161" s="344" t="s">
        <v>3751</v>
      </c>
      <c r="BD161" s="248"/>
      <c r="BE161" s="239"/>
      <c r="BF161" s="239"/>
      <c r="BG161" s="239"/>
      <c r="BH161" s="239"/>
      <c r="BI161" s="239"/>
      <c r="BJ161" s="239"/>
      <c r="BK161" s="239"/>
      <c r="BL161" s="239"/>
      <c r="BM161" s="239"/>
      <c r="BN161" s="239"/>
      <c r="BO161" s="239"/>
      <c r="BP161" s="239"/>
      <c r="BQ161" s="239"/>
      <c r="BR161" s="239"/>
      <c r="BS161" s="239"/>
      <c r="BT161" s="239"/>
      <c r="BU161" s="239"/>
      <c r="BV161" s="239"/>
      <c r="BW161" s="239"/>
      <c r="BX161" s="239"/>
      <c r="BY161" s="239"/>
      <c r="BZ161" s="239"/>
      <c r="CA161" s="239"/>
      <c r="CB161" s="239"/>
      <c r="CC161" s="239"/>
      <c r="CD161" s="239"/>
      <c r="CE161" s="239"/>
    </row>
    <row r="162" spans="1:83" ht="12.95" customHeight="1">
      <c r="A162" s="1"/>
      <c r="B162" s="1"/>
      <c r="C162" s="51" t="s">
        <v>991</v>
      </c>
      <c r="D162" s="52" t="s">
        <v>1749</v>
      </c>
      <c r="E162" s="52" t="s">
        <v>2002</v>
      </c>
      <c r="F162" s="53" t="s">
        <v>1259</v>
      </c>
      <c r="G162" s="179" t="s">
        <v>1541</v>
      </c>
      <c r="H162" s="180" t="s">
        <v>2003</v>
      </c>
      <c r="I162" s="55" t="s">
        <v>1429</v>
      </c>
      <c r="J162" s="55" t="s">
        <v>1429</v>
      </c>
      <c r="K162" s="56" t="s">
        <v>1429</v>
      </c>
      <c r="L162" s="54" t="s">
        <v>1580</v>
      </c>
      <c r="M162" s="55" t="s">
        <v>1590</v>
      </c>
      <c r="N162" s="55" t="s">
        <v>1429</v>
      </c>
      <c r="O162" s="55" t="s">
        <v>1429</v>
      </c>
      <c r="P162" s="56" t="s">
        <v>1429</v>
      </c>
      <c r="Q162" s="52" t="s">
        <v>134</v>
      </c>
      <c r="R162" s="52" t="s">
        <v>113</v>
      </c>
      <c r="S162" s="52" t="s">
        <v>99</v>
      </c>
      <c r="T162" s="52" t="s">
        <v>100</v>
      </c>
      <c r="U162" s="58" t="s">
        <v>113</v>
      </c>
      <c r="V162" s="146" t="s">
        <v>2004</v>
      </c>
      <c r="W162" s="51" t="s">
        <v>1737</v>
      </c>
      <c r="X162" s="130" t="s">
        <v>2005</v>
      </c>
      <c r="Y162" s="130" t="s">
        <v>1429</v>
      </c>
      <c r="Z162" s="51" t="s">
        <v>1585</v>
      </c>
      <c r="AA162" s="51" t="s">
        <v>1600</v>
      </c>
      <c r="AB162" s="51" t="s">
        <v>1435</v>
      </c>
      <c r="AC162" s="51" t="s">
        <v>1587</v>
      </c>
      <c r="AD162" s="59" t="str">
        <f t="shared" si="30"/>
        <v>GPIO_PY5</v>
      </c>
      <c r="AE162" s="66"/>
      <c r="AF162" s="61" t="str">
        <f t="shared" si="31"/>
        <v>PULL_UP</v>
      </c>
      <c r="AG162" s="61" t="str">
        <f t="shared" si="26"/>
        <v>TRISTATE</v>
      </c>
      <c r="AH162" s="61" t="str">
        <f t="shared" si="32"/>
        <v>ENABLE</v>
      </c>
      <c r="AI162" s="67" t="str">
        <f t="shared" si="28"/>
        <v/>
      </c>
      <c r="AJ162" s="176" t="b">
        <v>1</v>
      </c>
      <c r="AK162" s="176" t="b">
        <v>1</v>
      </c>
      <c r="AL162" s="176" t="b">
        <v>1</v>
      </c>
      <c r="AM162" s="176" t="b">
        <v>1</v>
      </c>
      <c r="AN162" s="176" t="b">
        <v>1</v>
      </c>
      <c r="AO162" s="176" t="b">
        <v>1</v>
      </c>
      <c r="AP162" s="64" t="str">
        <f t="shared" si="33"/>
        <v>VALID</v>
      </c>
      <c r="AQ162" s="347" t="s">
        <v>1541</v>
      </c>
      <c r="AR162" s="336" t="s">
        <v>3496</v>
      </c>
      <c r="AS162" s="337" t="s">
        <v>3497</v>
      </c>
      <c r="AT162" s="337" t="s">
        <v>3499</v>
      </c>
      <c r="AU162" s="342"/>
      <c r="AV162" s="342"/>
      <c r="AW162" s="337" t="s">
        <v>125</v>
      </c>
      <c r="AX162" s="342"/>
      <c r="AY162" s="337"/>
      <c r="AZ162" s="337"/>
      <c r="BA162" s="343"/>
      <c r="BB162" s="338"/>
      <c r="BC162" s="344" t="s">
        <v>3752</v>
      </c>
      <c r="BD162" s="248"/>
      <c r="BE162" s="239"/>
      <c r="BF162" s="239"/>
      <c r="BG162" s="239"/>
      <c r="BH162" s="239"/>
      <c r="BI162" s="239"/>
      <c r="BJ162" s="239"/>
      <c r="BK162" s="239"/>
      <c r="BL162" s="239"/>
      <c r="BM162" s="239"/>
      <c r="BN162" s="239"/>
      <c r="BO162" s="239"/>
      <c r="BP162" s="239"/>
      <c r="BQ162" s="239"/>
      <c r="BR162" s="239"/>
      <c r="BS162" s="239"/>
      <c r="BT162" s="239"/>
      <c r="BU162" s="239"/>
      <c r="BV162" s="239"/>
      <c r="BW162" s="239"/>
      <c r="BX162" s="239"/>
      <c r="BY162" s="239"/>
      <c r="BZ162" s="239"/>
      <c r="CA162" s="239"/>
      <c r="CB162" s="239"/>
      <c r="CC162" s="239"/>
      <c r="CD162" s="239"/>
      <c r="CE162" s="239"/>
    </row>
    <row r="163" spans="1:83" ht="12.95" customHeight="1">
      <c r="A163" s="21" t="s">
        <v>1413</v>
      </c>
      <c r="B163" s="21" t="s">
        <v>3556</v>
      </c>
      <c r="C163" s="51" t="s">
        <v>992</v>
      </c>
      <c r="D163" s="52" t="s">
        <v>1753</v>
      </c>
      <c r="E163" s="52" t="s">
        <v>2006</v>
      </c>
      <c r="F163" s="53" t="s">
        <v>1260</v>
      </c>
      <c r="G163" s="179" t="s">
        <v>1542</v>
      </c>
      <c r="H163" s="180" t="s">
        <v>1429</v>
      </c>
      <c r="I163" s="55" t="s">
        <v>1429</v>
      </c>
      <c r="J163" s="55" t="s">
        <v>1429</v>
      </c>
      <c r="K163" s="56" t="s">
        <v>1429</v>
      </c>
      <c r="L163" s="54" t="s">
        <v>1580</v>
      </c>
      <c r="M163" s="55" t="s">
        <v>1429</v>
      </c>
      <c r="N163" s="55" t="s">
        <v>1429</v>
      </c>
      <c r="O163" s="55" t="s">
        <v>1429</v>
      </c>
      <c r="P163" s="56" t="s">
        <v>1429</v>
      </c>
      <c r="Q163" s="6" t="s">
        <v>755</v>
      </c>
      <c r="R163" s="52" t="s">
        <v>113</v>
      </c>
      <c r="S163" s="52" t="s">
        <v>99</v>
      </c>
      <c r="T163" s="52" t="s">
        <v>100</v>
      </c>
      <c r="U163" s="58" t="s">
        <v>755</v>
      </c>
      <c r="V163" s="146" t="s">
        <v>2007</v>
      </c>
      <c r="W163" s="51" t="s">
        <v>1737</v>
      </c>
      <c r="X163" s="130" t="s">
        <v>2008</v>
      </c>
      <c r="Y163" s="130" t="s">
        <v>1429</v>
      </c>
      <c r="Z163" s="51" t="s">
        <v>1585</v>
      </c>
      <c r="AA163" s="51" t="s">
        <v>1600</v>
      </c>
      <c r="AB163" s="51" t="s">
        <v>1435</v>
      </c>
      <c r="AC163" s="51" t="s">
        <v>1587</v>
      </c>
      <c r="AD163" s="59" t="str">
        <f t="shared" si="30"/>
        <v>GPIO_PY6</v>
      </c>
      <c r="AE163" s="66"/>
      <c r="AF163" s="61" t="str">
        <f t="shared" si="31"/>
        <v>PULL_UP</v>
      </c>
      <c r="AG163" s="61" t="str">
        <f t="shared" si="26"/>
        <v>TRISTATE</v>
      </c>
      <c r="AH163" s="61" t="str">
        <f t="shared" si="32"/>
        <v>ENABLE</v>
      </c>
      <c r="AI163" s="67" t="str">
        <f t="shared" si="28"/>
        <v/>
      </c>
      <c r="AJ163" s="176" t="b">
        <v>1</v>
      </c>
      <c r="AK163" s="176" t="b">
        <v>1</v>
      </c>
      <c r="AL163" s="176" t="b">
        <v>1</v>
      </c>
      <c r="AM163" s="176" t="b">
        <v>1</v>
      </c>
      <c r="AN163" s="176" t="b">
        <v>1</v>
      </c>
      <c r="AO163" s="176" t="b">
        <v>1</v>
      </c>
      <c r="AP163" s="64" t="str">
        <f t="shared" si="33"/>
        <v>VALID</v>
      </c>
      <c r="AQ163" s="227" t="s">
        <v>1542</v>
      </c>
      <c r="AR163" s="182" t="s">
        <v>3496</v>
      </c>
      <c r="AS163" s="181" t="s">
        <v>3497</v>
      </c>
      <c r="AT163" s="181" t="s">
        <v>3499</v>
      </c>
      <c r="AU163" s="5"/>
      <c r="AV163" s="5"/>
      <c r="AW163" s="181" t="s">
        <v>125</v>
      </c>
      <c r="AX163" s="284"/>
      <c r="AY163" s="181"/>
      <c r="AZ163" s="181"/>
      <c r="BA163" s="7"/>
      <c r="BB163" s="212"/>
      <c r="BC163" s="10" t="s">
        <v>3753</v>
      </c>
      <c r="BD163" s="240"/>
      <c r="BE163" s="239"/>
      <c r="BF163" s="239"/>
      <c r="BG163" s="239"/>
      <c r="BH163" s="239"/>
      <c r="BI163" s="239"/>
      <c r="BJ163" s="239"/>
      <c r="BK163" s="239"/>
      <c r="BL163" s="239"/>
      <c r="BM163" s="239"/>
      <c r="BN163" s="239"/>
      <c r="BO163" s="239"/>
      <c r="BP163" s="239"/>
      <c r="BQ163" s="239"/>
      <c r="BR163" s="239"/>
      <c r="BS163" s="239"/>
      <c r="BT163" s="239"/>
      <c r="BU163" s="239"/>
      <c r="BV163" s="239"/>
      <c r="BW163" s="239"/>
      <c r="BX163" s="239"/>
      <c r="BY163" s="239"/>
      <c r="BZ163" s="239"/>
      <c r="CA163" s="239"/>
      <c r="CB163" s="239"/>
      <c r="CC163" s="239"/>
      <c r="CD163" s="239"/>
      <c r="CE163" s="239"/>
    </row>
    <row r="164" spans="1:83" ht="12.95" customHeight="1">
      <c r="A164" s="21" t="s">
        <v>3489</v>
      </c>
      <c r="B164" s="21" t="s">
        <v>2339</v>
      </c>
      <c r="C164" s="51" t="s">
        <v>993</v>
      </c>
      <c r="D164" s="52" t="s">
        <v>2009</v>
      </c>
      <c r="E164" s="52" t="s">
        <v>2010</v>
      </c>
      <c r="F164" s="53" t="s">
        <v>1261</v>
      </c>
      <c r="G164" s="179" t="s">
        <v>2011</v>
      </c>
      <c r="H164" s="180" t="s">
        <v>2012</v>
      </c>
      <c r="I164" s="55"/>
      <c r="J164" s="55" t="s">
        <v>1429</v>
      </c>
      <c r="K164" s="56" t="s">
        <v>1429</v>
      </c>
      <c r="L164" s="54" t="s">
        <v>1580</v>
      </c>
      <c r="M164" s="55" t="s">
        <v>1580</v>
      </c>
      <c r="N164" s="55" t="s">
        <v>1580</v>
      </c>
      <c r="O164" s="55" t="s">
        <v>1429</v>
      </c>
      <c r="P164" s="56" t="s">
        <v>1429</v>
      </c>
      <c r="Q164" s="6" t="s">
        <v>1368</v>
      </c>
      <c r="R164" s="52" t="s">
        <v>1369</v>
      </c>
      <c r="S164" s="52" t="s">
        <v>99</v>
      </c>
      <c r="T164" s="52" t="s">
        <v>100</v>
      </c>
      <c r="U164" s="58" t="s">
        <v>99</v>
      </c>
      <c r="V164" s="146" t="s">
        <v>2013</v>
      </c>
      <c r="W164" s="51" t="s">
        <v>1737</v>
      </c>
      <c r="X164" s="130" t="s">
        <v>1429</v>
      </c>
      <c r="Y164" s="130" t="s">
        <v>1429</v>
      </c>
      <c r="Z164" s="51" t="s">
        <v>1631</v>
      </c>
      <c r="AA164" s="51" t="s">
        <v>1632</v>
      </c>
      <c r="AB164" s="51" t="s">
        <v>1435</v>
      </c>
      <c r="AC164" s="51" t="s">
        <v>1633</v>
      </c>
      <c r="AD164" s="59" t="str">
        <f t="shared" si="30"/>
        <v>I2C7</v>
      </c>
      <c r="AE164" s="66"/>
      <c r="AF164" s="61" t="str">
        <f t="shared" si="31"/>
        <v>NORMAL</v>
      </c>
      <c r="AG164" s="61" t="str">
        <f t="shared" si="26"/>
        <v>NORMAL</v>
      </c>
      <c r="AH164" s="61" t="str">
        <f t="shared" si="32"/>
        <v>ENABLE</v>
      </c>
      <c r="AI164" s="67" t="str">
        <f t="shared" si="28"/>
        <v>N/A</v>
      </c>
      <c r="AJ164" s="176" t="b">
        <v>1</v>
      </c>
      <c r="AK164" s="176" t="b">
        <v>1</v>
      </c>
      <c r="AL164" s="176" t="b">
        <v>1</v>
      </c>
      <c r="AM164" s="176" t="b">
        <v>1</v>
      </c>
      <c r="AN164" s="176" t="b">
        <v>1</v>
      </c>
      <c r="AO164" s="176" t="b">
        <v>1</v>
      </c>
      <c r="AP164" s="64" t="str">
        <f t="shared" si="33"/>
        <v>VALID</v>
      </c>
      <c r="AQ164" s="227" t="s">
        <v>2012</v>
      </c>
      <c r="AR164" s="182" t="s">
        <v>3501</v>
      </c>
      <c r="AS164" s="181"/>
      <c r="AT164" s="5"/>
      <c r="AU164" s="5"/>
      <c r="AV164" s="181" t="s">
        <v>125</v>
      </c>
      <c r="AW164" s="181" t="s">
        <v>125</v>
      </c>
      <c r="AX164" s="284"/>
      <c r="AY164" s="181" t="s">
        <v>67</v>
      </c>
      <c r="AZ164" s="181"/>
      <c r="BA164" s="7"/>
      <c r="BB164" s="212"/>
      <c r="BC164" s="10" t="s">
        <v>3771</v>
      </c>
      <c r="BD164" s="238"/>
      <c r="BE164" s="239"/>
      <c r="BF164" s="239"/>
      <c r="BG164" s="239"/>
      <c r="BH164" s="239"/>
      <c r="BI164" s="239"/>
      <c r="BJ164" s="239"/>
      <c r="BK164" s="239"/>
      <c r="BL164" s="239"/>
      <c r="BM164" s="239"/>
      <c r="BN164" s="239"/>
      <c r="BO164" s="239"/>
      <c r="BP164" s="239"/>
      <c r="BQ164" s="239"/>
      <c r="BR164" s="239"/>
      <c r="BS164" s="239"/>
      <c r="BT164" s="239"/>
      <c r="BU164" s="239"/>
      <c r="BV164" s="239"/>
      <c r="BW164" s="239"/>
      <c r="BX164" s="239"/>
      <c r="BY164" s="239"/>
      <c r="BZ164" s="239"/>
      <c r="CA164" s="239"/>
      <c r="CB164" s="239"/>
      <c r="CC164" s="239"/>
      <c r="CD164" s="239"/>
      <c r="CE164" s="239"/>
    </row>
    <row r="165" spans="1:83" ht="12.95" customHeight="1">
      <c r="A165" s="21" t="s">
        <v>3490</v>
      </c>
      <c r="B165" s="21" t="s">
        <v>3641</v>
      </c>
      <c r="C165" s="51" t="s">
        <v>994</v>
      </c>
      <c r="D165" s="52" t="s">
        <v>2014</v>
      </c>
      <c r="E165" s="52" t="s">
        <v>2015</v>
      </c>
      <c r="F165" s="53" t="s">
        <v>1262</v>
      </c>
      <c r="G165" s="179" t="s">
        <v>2016</v>
      </c>
      <c r="H165" s="180" t="s">
        <v>2017</v>
      </c>
      <c r="I165" s="55"/>
      <c r="J165" s="55" t="s">
        <v>1429</v>
      </c>
      <c r="K165" s="56" t="s">
        <v>1429</v>
      </c>
      <c r="L165" s="54" t="s">
        <v>1580</v>
      </c>
      <c r="M165" s="55" t="s">
        <v>1580</v>
      </c>
      <c r="N165" s="55" t="s">
        <v>1580</v>
      </c>
      <c r="O165" s="55" t="s">
        <v>1429</v>
      </c>
      <c r="P165" s="56" t="s">
        <v>1429</v>
      </c>
      <c r="Q165" s="6" t="s">
        <v>1368</v>
      </c>
      <c r="R165" s="52" t="s">
        <v>1369</v>
      </c>
      <c r="S165" s="52" t="s">
        <v>99</v>
      </c>
      <c r="T165" s="52" t="s">
        <v>100</v>
      </c>
      <c r="U165" s="58" t="s">
        <v>99</v>
      </c>
      <c r="V165" s="146" t="s">
        <v>2018</v>
      </c>
      <c r="W165" s="51" t="s">
        <v>1737</v>
      </c>
      <c r="X165" s="130" t="s">
        <v>2019</v>
      </c>
      <c r="Y165" s="130" t="s">
        <v>1429</v>
      </c>
      <c r="Z165" s="51" t="s">
        <v>1631</v>
      </c>
      <c r="AA165" s="51" t="s">
        <v>1632</v>
      </c>
      <c r="AB165" s="51" t="s">
        <v>1435</v>
      </c>
      <c r="AC165" s="51" t="s">
        <v>1633</v>
      </c>
      <c r="AD165" s="59" t="str">
        <f t="shared" si="30"/>
        <v>I2C7</v>
      </c>
      <c r="AE165" s="66"/>
      <c r="AF165" s="61" t="str">
        <f t="shared" si="31"/>
        <v>NORMAL</v>
      </c>
      <c r="AG165" s="61" t="str">
        <f t="shared" si="26"/>
        <v>NORMAL</v>
      </c>
      <c r="AH165" s="61" t="str">
        <f t="shared" si="32"/>
        <v>ENABLE</v>
      </c>
      <c r="AI165" s="67" t="str">
        <f t="shared" si="28"/>
        <v>N/A</v>
      </c>
      <c r="AJ165" s="176" t="b">
        <v>1</v>
      </c>
      <c r="AK165" s="176" t="b">
        <v>1</v>
      </c>
      <c r="AL165" s="176" t="b">
        <v>1</v>
      </c>
      <c r="AM165" s="176" t="b">
        <v>1</v>
      </c>
      <c r="AN165" s="176" t="b">
        <v>1</v>
      </c>
      <c r="AO165" s="176" t="b">
        <v>1</v>
      </c>
      <c r="AP165" s="64" t="str">
        <f t="shared" si="33"/>
        <v>VALID</v>
      </c>
      <c r="AQ165" s="227" t="s">
        <v>2017</v>
      </c>
      <c r="AR165" s="182" t="s">
        <v>3501</v>
      </c>
      <c r="AS165" s="181"/>
      <c r="AT165" s="181" t="s">
        <v>104</v>
      </c>
      <c r="AU165" s="5"/>
      <c r="AV165" s="181" t="s">
        <v>125</v>
      </c>
      <c r="AW165" s="181" t="s">
        <v>125</v>
      </c>
      <c r="AX165" s="284"/>
      <c r="AY165" s="181" t="s">
        <v>67</v>
      </c>
      <c r="AZ165" s="181"/>
      <c r="BA165" s="7"/>
      <c r="BB165" s="212"/>
      <c r="BC165" s="10" t="s">
        <v>3772</v>
      </c>
      <c r="BD165" s="238"/>
      <c r="BE165" s="239"/>
      <c r="BF165" s="239"/>
      <c r="BG165" s="239"/>
      <c r="BH165" s="239"/>
      <c r="BI165" s="239"/>
      <c r="BJ165" s="239"/>
      <c r="BK165" s="239"/>
      <c r="BL165" s="239"/>
      <c r="BM165" s="239"/>
      <c r="BN165" s="239"/>
      <c r="BO165" s="239"/>
      <c r="BP165" s="239"/>
      <c r="BQ165" s="239"/>
      <c r="BR165" s="239"/>
      <c r="BS165" s="239"/>
      <c r="BT165" s="239"/>
      <c r="BU165" s="239"/>
      <c r="BV165" s="239"/>
      <c r="BW165" s="239"/>
      <c r="BX165" s="239"/>
      <c r="BY165" s="239"/>
      <c r="BZ165" s="239"/>
      <c r="CA165" s="239"/>
      <c r="CB165" s="239"/>
      <c r="CC165" s="239"/>
      <c r="CD165" s="239"/>
      <c r="CE165" s="239"/>
    </row>
    <row r="166" spans="1:83" ht="12.95" customHeight="1">
      <c r="A166" s="21" t="s">
        <v>1414</v>
      </c>
      <c r="B166" s="21" t="s">
        <v>2342</v>
      </c>
      <c r="C166" s="51" t="s">
        <v>995</v>
      </c>
      <c r="D166" s="52" t="s">
        <v>2020</v>
      </c>
      <c r="E166" s="52" t="s">
        <v>2021</v>
      </c>
      <c r="F166" s="53" t="s">
        <v>1263</v>
      </c>
      <c r="G166" s="179" t="s">
        <v>2022</v>
      </c>
      <c r="H166" s="180" t="s">
        <v>2023</v>
      </c>
      <c r="I166" s="55"/>
      <c r="J166" s="55" t="s">
        <v>1429</v>
      </c>
      <c r="K166" s="56" t="s">
        <v>1429</v>
      </c>
      <c r="L166" s="54" t="s">
        <v>1580</v>
      </c>
      <c r="M166" s="55" t="s">
        <v>1580</v>
      </c>
      <c r="N166" s="55" t="s">
        <v>1590</v>
      </c>
      <c r="O166" s="55" t="s">
        <v>1429</v>
      </c>
      <c r="P166" s="56" t="s">
        <v>1429</v>
      </c>
      <c r="Q166" s="6" t="s">
        <v>1370</v>
      </c>
      <c r="R166" s="52" t="s">
        <v>1369</v>
      </c>
      <c r="S166" s="52" t="s">
        <v>99</v>
      </c>
      <c r="T166" s="52" t="s">
        <v>100</v>
      </c>
      <c r="U166" s="58" t="s">
        <v>99</v>
      </c>
      <c r="V166" s="146" t="s">
        <v>2024</v>
      </c>
      <c r="W166" s="51" t="s">
        <v>1737</v>
      </c>
      <c r="X166" s="130" t="s">
        <v>1429</v>
      </c>
      <c r="Y166" s="130" t="s">
        <v>1429</v>
      </c>
      <c r="Z166" s="51" t="s">
        <v>1631</v>
      </c>
      <c r="AA166" s="51" t="s">
        <v>1632</v>
      </c>
      <c r="AB166" s="51" t="s">
        <v>1435</v>
      </c>
      <c r="AC166" s="51" t="s">
        <v>1633</v>
      </c>
      <c r="AD166" s="59" t="str">
        <f t="shared" si="30"/>
        <v>I2C9</v>
      </c>
      <c r="AE166" s="66"/>
      <c r="AF166" s="61" t="str">
        <f t="shared" si="31"/>
        <v>NORMAL</v>
      </c>
      <c r="AG166" s="61" t="str">
        <f t="shared" si="26"/>
        <v>NORMAL</v>
      </c>
      <c r="AH166" s="61" t="str">
        <f t="shared" si="32"/>
        <v>ENABLE</v>
      </c>
      <c r="AI166" s="67" t="str">
        <f t="shared" si="28"/>
        <v>N/A</v>
      </c>
      <c r="AJ166" s="176" t="b">
        <v>1</v>
      </c>
      <c r="AK166" s="176" t="b">
        <v>1</v>
      </c>
      <c r="AL166" s="176" t="b">
        <v>1</v>
      </c>
      <c r="AM166" s="176" t="b">
        <v>1</v>
      </c>
      <c r="AN166" s="176" t="b">
        <v>1</v>
      </c>
      <c r="AO166" s="176" t="b">
        <v>1</v>
      </c>
      <c r="AP166" s="64" t="str">
        <f t="shared" si="33"/>
        <v>VALID</v>
      </c>
      <c r="AQ166" s="227" t="s">
        <v>2023</v>
      </c>
      <c r="AR166" s="182" t="s">
        <v>3501</v>
      </c>
      <c r="AS166" s="181"/>
      <c r="AT166" s="5"/>
      <c r="AU166" s="5"/>
      <c r="AV166" s="181" t="s">
        <v>125</v>
      </c>
      <c r="AW166" s="181" t="s">
        <v>125</v>
      </c>
      <c r="AX166" s="284"/>
      <c r="AY166" s="181" t="s">
        <v>67</v>
      </c>
      <c r="AZ166" s="181"/>
      <c r="BA166" s="7"/>
      <c r="BB166" s="212"/>
      <c r="BC166" s="10" t="s">
        <v>3773</v>
      </c>
      <c r="BD166" s="238"/>
      <c r="BE166" s="239"/>
      <c r="BF166" s="239"/>
      <c r="BG166" s="239"/>
      <c r="BH166" s="239"/>
      <c r="BI166" s="239"/>
      <c r="BJ166" s="239"/>
      <c r="BK166" s="239"/>
      <c r="BL166" s="239"/>
      <c r="BM166" s="239"/>
      <c r="BN166" s="239"/>
      <c r="BO166" s="239"/>
      <c r="BP166" s="239"/>
      <c r="BQ166" s="239"/>
      <c r="BR166" s="239"/>
      <c r="BS166" s="239"/>
      <c r="BT166" s="239"/>
      <c r="BU166" s="239"/>
      <c r="BV166" s="239"/>
      <c r="BW166" s="239"/>
      <c r="BX166" s="239"/>
      <c r="BY166" s="239"/>
      <c r="BZ166" s="239"/>
      <c r="CA166" s="239"/>
      <c r="CB166" s="239"/>
      <c r="CC166" s="239"/>
      <c r="CD166" s="239"/>
      <c r="CE166" s="239"/>
    </row>
    <row r="167" spans="1:83" ht="12.95" customHeight="1">
      <c r="A167" s="21" t="s">
        <v>1415</v>
      </c>
      <c r="B167" s="21" t="s">
        <v>3642</v>
      </c>
      <c r="C167" s="51" t="s">
        <v>996</v>
      </c>
      <c r="D167" s="52" t="s">
        <v>2025</v>
      </c>
      <c r="E167" s="52" t="s">
        <v>2026</v>
      </c>
      <c r="F167" s="53" t="s">
        <v>1264</v>
      </c>
      <c r="G167" s="179" t="s">
        <v>2027</v>
      </c>
      <c r="H167" s="180" t="s">
        <v>2028</v>
      </c>
      <c r="I167" s="55"/>
      <c r="J167" s="55" t="s">
        <v>1429</v>
      </c>
      <c r="K167" s="56" t="s">
        <v>1429</v>
      </c>
      <c r="L167" s="54" t="s">
        <v>1580</v>
      </c>
      <c r="M167" s="55" t="s">
        <v>1580</v>
      </c>
      <c r="N167" s="55" t="s">
        <v>1580</v>
      </c>
      <c r="O167" s="55" t="s">
        <v>1429</v>
      </c>
      <c r="P167" s="56" t="s">
        <v>1429</v>
      </c>
      <c r="Q167" s="6" t="s">
        <v>1370</v>
      </c>
      <c r="R167" s="52" t="s">
        <v>1369</v>
      </c>
      <c r="S167" s="52" t="s">
        <v>99</v>
      </c>
      <c r="T167" s="52" t="s">
        <v>100</v>
      </c>
      <c r="U167" s="58" t="s">
        <v>99</v>
      </c>
      <c r="V167" s="146" t="s">
        <v>2029</v>
      </c>
      <c r="W167" s="51" t="s">
        <v>1737</v>
      </c>
      <c r="X167" s="130" t="s">
        <v>2030</v>
      </c>
      <c r="Y167" s="130" t="s">
        <v>1429</v>
      </c>
      <c r="Z167" s="51" t="s">
        <v>1631</v>
      </c>
      <c r="AA167" s="51" t="s">
        <v>1632</v>
      </c>
      <c r="AB167" s="51" t="s">
        <v>1435</v>
      </c>
      <c r="AC167" s="51" t="s">
        <v>1633</v>
      </c>
      <c r="AD167" s="59" t="str">
        <f t="shared" si="30"/>
        <v>I2C9</v>
      </c>
      <c r="AE167" s="66"/>
      <c r="AF167" s="61" t="str">
        <f t="shared" si="31"/>
        <v>NORMAL</v>
      </c>
      <c r="AG167" s="61" t="str">
        <f t="shared" si="26"/>
        <v>NORMAL</v>
      </c>
      <c r="AH167" s="61" t="str">
        <f t="shared" si="32"/>
        <v>ENABLE</v>
      </c>
      <c r="AI167" s="67" t="str">
        <f t="shared" si="28"/>
        <v>N/A</v>
      </c>
      <c r="AJ167" s="176" t="b">
        <v>1</v>
      </c>
      <c r="AK167" s="176" t="b">
        <v>1</v>
      </c>
      <c r="AL167" s="176" t="b">
        <v>1</v>
      </c>
      <c r="AM167" s="176" t="b">
        <v>1</v>
      </c>
      <c r="AN167" s="176" t="b">
        <v>1</v>
      </c>
      <c r="AO167" s="176" t="b">
        <v>1</v>
      </c>
      <c r="AP167" s="64" t="str">
        <f t="shared" si="33"/>
        <v>VALID</v>
      </c>
      <c r="AQ167" s="227" t="s">
        <v>2028</v>
      </c>
      <c r="AR167" s="182" t="s">
        <v>3501</v>
      </c>
      <c r="AS167" s="181"/>
      <c r="AT167" s="181" t="s">
        <v>104</v>
      </c>
      <c r="AU167" s="5"/>
      <c r="AV167" s="181" t="s">
        <v>125</v>
      </c>
      <c r="AW167" s="181" t="s">
        <v>125</v>
      </c>
      <c r="AX167" s="284"/>
      <c r="AY167" s="181" t="s">
        <v>67</v>
      </c>
      <c r="AZ167" s="181"/>
      <c r="BA167" s="7"/>
      <c r="BB167" s="212"/>
      <c r="BC167" s="10" t="s">
        <v>3774</v>
      </c>
      <c r="BD167" s="238"/>
      <c r="BE167" s="239"/>
      <c r="BF167" s="239"/>
      <c r="BG167" s="239"/>
      <c r="BH167" s="239"/>
      <c r="BI167" s="239"/>
      <c r="BJ167" s="239"/>
      <c r="BK167" s="239"/>
      <c r="BL167" s="239"/>
      <c r="BM167" s="239"/>
      <c r="BN167" s="239"/>
      <c r="BO167" s="239"/>
      <c r="BP167" s="239"/>
      <c r="BQ167" s="239"/>
      <c r="BR167" s="239"/>
      <c r="BS167" s="239"/>
      <c r="BT167" s="239"/>
      <c r="BU167" s="239"/>
      <c r="BV167" s="239"/>
      <c r="BW167" s="239"/>
      <c r="BX167" s="239"/>
      <c r="BY167" s="239"/>
      <c r="BZ167" s="239"/>
      <c r="CA167" s="239"/>
      <c r="CB167" s="239"/>
      <c r="CC167" s="239"/>
      <c r="CD167" s="239"/>
      <c r="CE167" s="239"/>
    </row>
    <row r="168" spans="1:83" ht="12.95" customHeight="1">
      <c r="A168" s="21" t="s">
        <v>3487</v>
      </c>
      <c r="B168" s="21" t="s">
        <v>2376</v>
      </c>
      <c r="C168" s="51" t="s">
        <v>58</v>
      </c>
      <c r="D168" s="52" t="s">
        <v>1765</v>
      </c>
      <c r="E168" s="52" t="s">
        <v>2031</v>
      </c>
      <c r="F168" s="53" t="s">
        <v>168</v>
      </c>
      <c r="G168" s="179" t="s">
        <v>1543</v>
      </c>
      <c r="H168" s="180" t="s">
        <v>58</v>
      </c>
      <c r="I168" s="55" t="s">
        <v>1429</v>
      </c>
      <c r="J168" s="55" t="s">
        <v>1429</v>
      </c>
      <c r="K168" s="56" t="s">
        <v>1429</v>
      </c>
      <c r="L168" s="54" t="s">
        <v>1580</v>
      </c>
      <c r="M168" s="55" t="s">
        <v>1580</v>
      </c>
      <c r="N168" s="55" t="s">
        <v>1429</v>
      </c>
      <c r="O168" s="55" t="s">
        <v>1429</v>
      </c>
      <c r="P168" s="56" t="s">
        <v>1429</v>
      </c>
      <c r="Q168" s="52" t="s">
        <v>118</v>
      </c>
      <c r="R168" s="52" t="s">
        <v>113</v>
      </c>
      <c r="S168" s="52" t="s">
        <v>99</v>
      </c>
      <c r="T168" s="52" t="s">
        <v>100</v>
      </c>
      <c r="U168" s="58" t="s">
        <v>113</v>
      </c>
      <c r="V168" s="146" t="s">
        <v>2032</v>
      </c>
      <c r="W168" s="51" t="s">
        <v>1737</v>
      </c>
      <c r="X168" s="130" t="s">
        <v>2033</v>
      </c>
      <c r="Y168" s="130" t="s">
        <v>1429</v>
      </c>
      <c r="Z168" s="51" t="s">
        <v>1631</v>
      </c>
      <c r="AA168" s="51" t="s">
        <v>1632</v>
      </c>
      <c r="AB168" s="51" t="s">
        <v>1435</v>
      </c>
      <c r="AC168" s="51">
        <v>0</v>
      </c>
      <c r="AD168" s="59" t="str">
        <f t="shared" si="30"/>
        <v>GPIO_PL4</v>
      </c>
      <c r="AE168" s="66"/>
      <c r="AF168" s="61" t="str">
        <f t="shared" si="31"/>
        <v>NORMAL</v>
      </c>
      <c r="AG168" s="61" t="str">
        <f t="shared" si="26"/>
        <v>NORMAL</v>
      </c>
      <c r="AH168" s="61" t="str">
        <f t="shared" si="32"/>
        <v>DISABLE</v>
      </c>
      <c r="AI168" s="67" t="str">
        <f t="shared" si="28"/>
        <v>0</v>
      </c>
      <c r="AJ168" s="176" t="b">
        <v>1</v>
      </c>
      <c r="AK168" s="176" t="b">
        <v>1</v>
      </c>
      <c r="AL168" s="176" t="b">
        <v>1</v>
      </c>
      <c r="AM168" s="176" t="b">
        <v>1</v>
      </c>
      <c r="AN168" s="176" t="b">
        <v>1</v>
      </c>
      <c r="AO168" s="176" t="b">
        <v>1</v>
      </c>
      <c r="AP168" s="64" t="str">
        <f t="shared" si="33"/>
        <v>VALID</v>
      </c>
      <c r="AQ168" s="226" t="s">
        <v>1543</v>
      </c>
      <c r="AR168" s="182" t="s">
        <v>3495</v>
      </c>
      <c r="AS168" s="181" t="s">
        <v>3500</v>
      </c>
      <c r="AT168" s="181" t="s">
        <v>104</v>
      </c>
      <c r="AU168" s="5"/>
      <c r="AV168" s="181" t="s">
        <v>3502</v>
      </c>
      <c r="AW168" s="181" t="s">
        <v>125</v>
      </c>
      <c r="AX168" s="284"/>
      <c r="AY168" s="181" t="s">
        <v>3504</v>
      </c>
      <c r="AZ168" s="181"/>
      <c r="BA168" s="7"/>
      <c r="BB168" s="212"/>
      <c r="BC168" s="10" t="s">
        <v>3754</v>
      </c>
      <c r="BD168" s="240"/>
      <c r="BE168" s="239"/>
      <c r="BF168" s="239"/>
      <c r="BG168" s="239"/>
      <c r="BH168" s="239"/>
      <c r="BI168" s="239"/>
      <c r="BJ168" s="239"/>
      <c r="BK168" s="239"/>
      <c r="BL168" s="239"/>
      <c r="BM168" s="239"/>
      <c r="BN168" s="239"/>
      <c r="BO168" s="239"/>
      <c r="BP168" s="239"/>
      <c r="BQ168" s="239"/>
      <c r="BR168" s="239"/>
      <c r="BS168" s="239"/>
      <c r="BT168" s="239"/>
      <c r="BU168" s="239"/>
      <c r="BV168" s="239"/>
      <c r="BW168" s="239"/>
      <c r="BX168" s="239"/>
      <c r="BY168" s="239"/>
      <c r="BZ168" s="239"/>
      <c r="CA168" s="239"/>
      <c r="CB168" s="239"/>
      <c r="CC168" s="239"/>
      <c r="CD168" s="239"/>
      <c r="CE168" s="239"/>
    </row>
    <row r="169" spans="1:83" ht="12.95" customHeight="1">
      <c r="A169" s="21" t="s">
        <v>3488</v>
      </c>
      <c r="B169" s="21" t="s">
        <v>2374</v>
      </c>
      <c r="C169" s="51" t="s">
        <v>59</v>
      </c>
      <c r="D169" s="52" t="s">
        <v>1761</v>
      </c>
      <c r="E169" s="52" t="s">
        <v>2034</v>
      </c>
      <c r="F169" s="53" t="s">
        <v>169</v>
      </c>
      <c r="G169" s="179" t="s">
        <v>1544</v>
      </c>
      <c r="H169" s="180" t="s">
        <v>59</v>
      </c>
      <c r="I169" s="55" t="s">
        <v>1429</v>
      </c>
      <c r="J169" s="55" t="s">
        <v>1429</v>
      </c>
      <c r="K169" s="56" t="s">
        <v>1429</v>
      </c>
      <c r="L169" s="54" t="s">
        <v>1580</v>
      </c>
      <c r="M169" s="55" t="s">
        <v>1580</v>
      </c>
      <c r="N169" s="55" t="s">
        <v>1429</v>
      </c>
      <c r="O169" s="55" t="s">
        <v>1429</v>
      </c>
      <c r="P169" s="56" t="s">
        <v>1429</v>
      </c>
      <c r="Q169" s="52" t="s">
        <v>118</v>
      </c>
      <c r="R169" s="52" t="s">
        <v>113</v>
      </c>
      <c r="S169" s="52" t="s">
        <v>99</v>
      </c>
      <c r="T169" s="52" t="s">
        <v>100</v>
      </c>
      <c r="U169" s="58" t="s">
        <v>113</v>
      </c>
      <c r="V169" s="146" t="s">
        <v>2035</v>
      </c>
      <c r="W169" s="51" t="s">
        <v>1737</v>
      </c>
      <c r="X169" s="130" t="s">
        <v>2036</v>
      </c>
      <c r="Y169" s="130" t="s">
        <v>1429</v>
      </c>
      <c r="Z169" s="51" t="s">
        <v>1631</v>
      </c>
      <c r="AA169" s="51" t="s">
        <v>1632</v>
      </c>
      <c r="AB169" s="51" t="s">
        <v>1435</v>
      </c>
      <c r="AC169" s="51">
        <v>0</v>
      </c>
      <c r="AD169" s="59" t="str">
        <f t="shared" si="30"/>
        <v>GPIO_PL5</v>
      </c>
      <c r="AE169" s="66"/>
      <c r="AF169" s="61" t="str">
        <f t="shared" si="31"/>
        <v>NORMAL</v>
      </c>
      <c r="AG169" s="61" t="str">
        <f t="shared" si="26"/>
        <v>NORMAL</v>
      </c>
      <c r="AH169" s="61" t="str">
        <f t="shared" si="32"/>
        <v>DISABLE</v>
      </c>
      <c r="AI169" s="67" t="str">
        <f t="shared" si="28"/>
        <v>0</v>
      </c>
      <c r="AJ169" s="176" t="b">
        <v>1</v>
      </c>
      <c r="AK169" s="176" t="b">
        <v>1</v>
      </c>
      <c r="AL169" s="176" t="b">
        <v>1</v>
      </c>
      <c r="AM169" s="176" t="b">
        <v>1</v>
      </c>
      <c r="AN169" s="176" t="b">
        <v>1</v>
      </c>
      <c r="AO169" s="176" t="b">
        <v>1</v>
      </c>
      <c r="AP169" s="64" t="str">
        <f t="shared" si="33"/>
        <v>VALID</v>
      </c>
      <c r="AQ169" s="226" t="s">
        <v>1544</v>
      </c>
      <c r="AR169" s="182" t="s">
        <v>3495</v>
      </c>
      <c r="AS169" s="181" t="s">
        <v>3500</v>
      </c>
      <c r="AT169" s="181" t="s">
        <v>104</v>
      </c>
      <c r="AU169" s="5"/>
      <c r="AV169" s="181" t="s">
        <v>3502</v>
      </c>
      <c r="AW169" s="181" t="s">
        <v>125</v>
      </c>
      <c r="AX169" s="284"/>
      <c r="AY169" s="181" t="s">
        <v>3504</v>
      </c>
      <c r="AZ169" s="181"/>
      <c r="BA169" s="7"/>
      <c r="BB169" s="212"/>
      <c r="BC169" s="10" t="s">
        <v>3755</v>
      </c>
      <c r="BD169" s="240"/>
      <c r="BE169" s="239"/>
      <c r="BF169" s="239"/>
      <c r="BG169" s="239"/>
      <c r="BH169" s="239"/>
      <c r="BI169" s="239"/>
      <c r="BJ169" s="239"/>
      <c r="BK169" s="239"/>
      <c r="BL169" s="239"/>
      <c r="BM169" s="239"/>
      <c r="BN169" s="239"/>
      <c r="BO169" s="239"/>
      <c r="BP169" s="239"/>
      <c r="BQ169" s="239"/>
      <c r="BR169" s="239"/>
      <c r="BS169" s="239"/>
      <c r="BT169" s="239"/>
      <c r="BU169" s="239"/>
      <c r="BV169" s="239"/>
      <c r="BW169" s="239"/>
      <c r="BX169" s="239"/>
      <c r="BY169" s="239"/>
      <c r="BZ169" s="239"/>
      <c r="CA169" s="239"/>
      <c r="CB169" s="239"/>
      <c r="CC169" s="239"/>
      <c r="CD169" s="239"/>
      <c r="CE169" s="239"/>
    </row>
    <row r="170" spans="1:83" ht="12.95" customHeight="1">
      <c r="A170" s="1"/>
      <c r="B170" s="1"/>
      <c r="C170" s="51" t="s">
        <v>997</v>
      </c>
      <c r="D170" s="52" t="s">
        <v>1745</v>
      </c>
      <c r="E170" s="52" t="s">
        <v>2037</v>
      </c>
      <c r="F170" s="53" t="s">
        <v>1265</v>
      </c>
      <c r="G170" s="179" t="s">
        <v>1546</v>
      </c>
      <c r="H170" s="180" t="s">
        <v>1429</v>
      </c>
      <c r="I170" s="55" t="s">
        <v>1429</v>
      </c>
      <c r="J170" s="55" t="s">
        <v>1429</v>
      </c>
      <c r="K170" s="56" t="s">
        <v>1429</v>
      </c>
      <c r="L170" s="54" t="s">
        <v>1580</v>
      </c>
      <c r="M170" s="55" t="s">
        <v>1429</v>
      </c>
      <c r="N170" s="55" t="s">
        <v>1429</v>
      </c>
      <c r="O170" s="55" t="s">
        <v>1429</v>
      </c>
      <c r="P170" s="56" t="s">
        <v>1429</v>
      </c>
      <c r="Q170" s="52" t="s">
        <v>755</v>
      </c>
      <c r="R170" s="52" t="s">
        <v>113</v>
      </c>
      <c r="S170" s="52" t="s">
        <v>99</v>
      </c>
      <c r="T170" s="52" t="s">
        <v>100</v>
      </c>
      <c r="U170" s="58" t="s">
        <v>755</v>
      </c>
      <c r="V170" s="146" t="s">
        <v>2038</v>
      </c>
      <c r="W170" s="51" t="s">
        <v>1737</v>
      </c>
      <c r="X170" s="130" t="s">
        <v>1429</v>
      </c>
      <c r="Y170" s="130" t="s">
        <v>1429</v>
      </c>
      <c r="Z170" s="51" t="s">
        <v>1585</v>
      </c>
      <c r="AA170" s="51" t="s">
        <v>1586</v>
      </c>
      <c r="AB170" s="51" t="s">
        <v>1435</v>
      </c>
      <c r="AC170" s="51">
        <v>0</v>
      </c>
      <c r="AD170" s="59" t="str">
        <f t="shared" si="30"/>
        <v>GPIO_PH4</v>
      </c>
      <c r="AE170" s="66"/>
      <c r="AF170" s="61" t="str">
        <f t="shared" si="31"/>
        <v>NORMAL</v>
      </c>
      <c r="AG170" s="61" t="str">
        <f t="shared" si="26"/>
        <v>NORMAL</v>
      </c>
      <c r="AH170" s="61" t="str">
        <f t="shared" si="32"/>
        <v>DISABLE</v>
      </c>
      <c r="AI170" s="67" t="str">
        <f t="shared" si="28"/>
        <v>0</v>
      </c>
      <c r="AJ170" s="176" t="b">
        <v>1</v>
      </c>
      <c r="AK170" s="176" t="b">
        <v>1</v>
      </c>
      <c r="AL170" s="176" t="b">
        <v>1</v>
      </c>
      <c r="AM170" s="176" t="b">
        <v>1</v>
      </c>
      <c r="AN170" s="176" t="b">
        <v>1</v>
      </c>
      <c r="AO170" s="176" t="b">
        <v>1</v>
      </c>
      <c r="AP170" s="64" t="str">
        <f t="shared" si="33"/>
        <v>VALID</v>
      </c>
      <c r="AQ170" s="348" t="s">
        <v>1546</v>
      </c>
      <c r="AR170" s="336" t="s">
        <v>3495</v>
      </c>
      <c r="AS170" s="337" t="s">
        <v>3500</v>
      </c>
      <c r="AT170" s="342"/>
      <c r="AU170" s="342"/>
      <c r="AV170" s="342"/>
      <c r="AW170" s="337" t="s">
        <v>125</v>
      </c>
      <c r="AX170" s="342"/>
      <c r="AY170" s="337"/>
      <c r="AZ170" s="337"/>
      <c r="BA170" s="343"/>
      <c r="BB170" s="338"/>
      <c r="BC170" s="344" t="s">
        <v>3517</v>
      </c>
      <c r="BD170" s="240"/>
      <c r="BE170" s="239"/>
      <c r="BF170" s="239"/>
      <c r="BG170" s="239"/>
      <c r="BH170" s="239"/>
      <c r="BI170" s="239"/>
      <c r="BJ170" s="239"/>
      <c r="BK170" s="239"/>
      <c r="BL170" s="239"/>
      <c r="BM170" s="239"/>
      <c r="BN170" s="239"/>
      <c r="BO170" s="239"/>
      <c r="BP170" s="239"/>
      <c r="BQ170" s="239"/>
      <c r="BR170" s="239"/>
      <c r="BS170" s="239"/>
      <c r="BT170" s="239"/>
      <c r="BU170" s="239"/>
      <c r="BV170" s="239"/>
      <c r="BW170" s="239"/>
      <c r="BX170" s="239"/>
      <c r="BY170" s="239"/>
      <c r="BZ170" s="239"/>
      <c r="CA170" s="239"/>
      <c r="CB170" s="239"/>
      <c r="CC170" s="239"/>
      <c r="CD170" s="239"/>
      <c r="CE170" s="239"/>
    </row>
    <row r="171" spans="1:83" ht="12.95" customHeight="1">
      <c r="A171" s="1"/>
      <c r="B171" s="1"/>
      <c r="C171" s="51" t="s">
        <v>998</v>
      </c>
      <c r="D171" s="52" t="s">
        <v>2039</v>
      </c>
      <c r="E171" s="52" t="s">
        <v>2040</v>
      </c>
      <c r="F171" s="53" t="s">
        <v>1266</v>
      </c>
      <c r="G171" s="179" t="s">
        <v>2041</v>
      </c>
      <c r="H171" s="180" t="s">
        <v>1429</v>
      </c>
      <c r="I171" s="55" t="s">
        <v>1429</v>
      </c>
      <c r="J171" s="55" t="s">
        <v>1429</v>
      </c>
      <c r="K171" s="56" t="s">
        <v>1429</v>
      </c>
      <c r="L171" s="54" t="s">
        <v>1580</v>
      </c>
      <c r="M171" s="55" t="s">
        <v>1429</v>
      </c>
      <c r="N171" s="55" t="s">
        <v>1429</v>
      </c>
      <c r="O171" s="55" t="s">
        <v>1429</v>
      </c>
      <c r="P171" s="56" t="s">
        <v>1429</v>
      </c>
      <c r="Q171" s="52" t="s">
        <v>755</v>
      </c>
      <c r="R171" s="52" t="s">
        <v>113</v>
      </c>
      <c r="S171" s="52" t="s">
        <v>99</v>
      </c>
      <c r="T171" s="52" t="s">
        <v>100</v>
      </c>
      <c r="U171" s="58" t="s">
        <v>755</v>
      </c>
      <c r="V171" s="146" t="s">
        <v>2042</v>
      </c>
      <c r="W171" s="51" t="s">
        <v>1737</v>
      </c>
      <c r="X171" s="130" t="s">
        <v>1429</v>
      </c>
      <c r="Y171" s="130" t="s">
        <v>1429</v>
      </c>
      <c r="Z171" s="51" t="s">
        <v>1585</v>
      </c>
      <c r="AA171" s="51" t="s">
        <v>1586</v>
      </c>
      <c r="AB171" s="51" t="s">
        <v>1435</v>
      </c>
      <c r="AC171" s="51">
        <v>0</v>
      </c>
      <c r="AD171" s="59" t="str">
        <f t="shared" si="30"/>
        <v>GPIO_PH5</v>
      </c>
      <c r="AE171" s="66"/>
      <c r="AF171" s="61" t="str">
        <f t="shared" si="31"/>
        <v>NORMAL</v>
      </c>
      <c r="AG171" s="61" t="str">
        <f t="shared" si="26"/>
        <v>NORMAL</v>
      </c>
      <c r="AH171" s="61" t="str">
        <f t="shared" si="32"/>
        <v>DISABLE</v>
      </c>
      <c r="AI171" s="67" t="str">
        <f t="shared" si="28"/>
        <v>0</v>
      </c>
      <c r="AJ171" s="176" t="b">
        <v>1</v>
      </c>
      <c r="AK171" s="176" t="b">
        <v>1</v>
      </c>
      <c r="AL171" s="176" t="b">
        <v>1</v>
      </c>
      <c r="AM171" s="176" t="b">
        <v>1</v>
      </c>
      <c r="AN171" s="176" t="b">
        <v>1</v>
      </c>
      <c r="AO171" s="176" t="b">
        <v>1</v>
      </c>
      <c r="AP171" s="64" t="str">
        <f t="shared" si="33"/>
        <v>VALID</v>
      </c>
      <c r="AQ171" s="347" t="s">
        <v>2041</v>
      </c>
      <c r="AR171" s="336" t="s">
        <v>3495</v>
      </c>
      <c r="AS171" s="337" t="s">
        <v>3500</v>
      </c>
      <c r="AT171" s="342"/>
      <c r="AU171" s="342"/>
      <c r="AV171" s="342"/>
      <c r="AW171" s="337" t="s">
        <v>125</v>
      </c>
      <c r="AX171" s="342"/>
      <c r="AY171" s="337"/>
      <c r="AZ171" s="337"/>
      <c r="BA171" s="343"/>
      <c r="BB171" s="338"/>
      <c r="BC171" s="344" t="s">
        <v>3756</v>
      </c>
      <c r="BD171" s="240"/>
      <c r="BE171" s="239"/>
      <c r="BF171" s="239"/>
      <c r="BG171" s="239"/>
      <c r="BH171" s="239"/>
      <c r="BI171" s="239"/>
      <c r="BJ171" s="239"/>
      <c r="BK171" s="239"/>
      <c r="BL171" s="239"/>
      <c r="BM171" s="239"/>
      <c r="BN171" s="239"/>
      <c r="BO171" s="239"/>
      <c r="BP171" s="239"/>
      <c r="BQ171" s="239"/>
      <c r="BR171" s="239"/>
      <c r="BS171" s="239"/>
      <c r="BT171" s="239"/>
      <c r="BU171" s="239"/>
      <c r="BV171" s="239"/>
      <c r="BW171" s="239"/>
      <c r="BX171" s="239"/>
      <c r="BY171" s="239"/>
      <c r="BZ171" s="239"/>
      <c r="CA171" s="239"/>
      <c r="CB171" s="239"/>
      <c r="CC171" s="239"/>
      <c r="CD171" s="239"/>
      <c r="CE171" s="239"/>
    </row>
    <row r="172" spans="1:83" ht="12.95" customHeight="1">
      <c r="A172" s="1"/>
      <c r="B172" s="1"/>
      <c r="C172" s="51" t="s">
        <v>999</v>
      </c>
      <c r="D172" s="52" t="s">
        <v>2043</v>
      </c>
      <c r="E172" s="52" t="s">
        <v>2044</v>
      </c>
      <c r="F172" s="53" t="s">
        <v>1267</v>
      </c>
      <c r="G172" s="179" t="s">
        <v>1545</v>
      </c>
      <c r="H172" s="180" t="s">
        <v>1429</v>
      </c>
      <c r="I172" s="55" t="s">
        <v>1429</v>
      </c>
      <c r="J172" s="55" t="s">
        <v>1429</v>
      </c>
      <c r="K172" s="56" t="s">
        <v>1429</v>
      </c>
      <c r="L172" s="54" t="s">
        <v>1580</v>
      </c>
      <c r="M172" s="55" t="s">
        <v>1429</v>
      </c>
      <c r="N172" s="55" t="s">
        <v>1429</v>
      </c>
      <c r="O172" s="55" t="s">
        <v>1429</v>
      </c>
      <c r="P172" s="56" t="s">
        <v>1429</v>
      </c>
      <c r="Q172" s="52" t="s">
        <v>755</v>
      </c>
      <c r="R172" s="52" t="s">
        <v>113</v>
      </c>
      <c r="S172" s="52" t="s">
        <v>99</v>
      </c>
      <c r="T172" s="52" t="s">
        <v>100</v>
      </c>
      <c r="U172" s="58" t="s">
        <v>755</v>
      </c>
      <c r="V172" s="146" t="s">
        <v>2045</v>
      </c>
      <c r="W172" s="51" t="s">
        <v>1737</v>
      </c>
      <c r="X172" s="130" t="s">
        <v>1429</v>
      </c>
      <c r="Y172" s="130" t="s">
        <v>1429</v>
      </c>
      <c r="Z172" s="51" t="s">
        <v>1585</v>
      </c>
      <c r="AA172" s="51" t="s">
        <v>1586</v>
      </c>
      <c r="AB172" s="51" t="s">
        <v>1435</v>
      </c>
      <c r="AC172" s="51">
        <v>0</v>
      </c>
      <c r="AD172" s="59" t="str">
        <f t="shared" si="30"/>
        <v>GPIO_PH6</v>
      </c>
      <c r="AE172" s="66"/>
      <c r="AF172" s="61" t="str">
        <f t="shared" si="31"/>
        <v>NORMAL</v>
      </c>
      <c r="AG172" s="61" t="str">
        <f t="shared" si="26"/>
        <v>NORMAL</v>
      </c>
      <c r="AH172" s="61" t="str">
        <f t="shared" si="32"/>
        <v>DISABLE</v>
      </c>
      <c r="AI172" s="67" t="str">
        <f t="shared" si="28"/>
        <v>0</v>
      </c>
      <c r="AJ172" s="176" t="b">
        <v>1</v>
      </c>
      <c r="AK172" s="176" t="b">
        <v>1</v>
      </c>
      <c r="AL172" s="176" t="b">
        <v>1</v>
      </c>
      <c r="AM172" s="176" t="b">
        <v>1</v>
      </c>
      <c r="AN172" s="176" t="b">
        <v>1</v>
      </c>
      <c r="AO172" s="176" t="b">
        <v>1</v>
      </c>
      <c r="AP172" s="64" t="str">
        <f t="shared" si="33"/>
        <v>VALID</v>
      </c>
      <c r="AQ172" s="347" t="s">
        <v>1545</v>
      </c>
      <c r="AR172" s="336" t="s">
        <v>3495</v>
      </c>
      <c r="AS172" s="337" t="s">
        <v>3500</v>
      </c>
      <c r="AT172" s="342"/>
      <c r="AU172" s="342"/>
      <c r="AV172" s="342"/>
      <c r="AW172" s="337" t="s">
        <v>125</v>
      </c>
      <c r="AX172" s="342"/>
      <c r="AY172" s="337"/>
      <c r="AZ172" s="337"/>
      <c r="BA172" s="343"/>
      <c r="BB172" s="338"/>
      <c r="BC172" s="344" t="s">
        <v>3518</v>
      </c>
      <c r="BD172" s="240"/>
      <c r="BE172" s="239"/>
      <c r="BF172" s="239"/>
      <c r="BG172" s="239"/>
      <c r="BH172" s="239"/>
      <c r="BI172" s="239"/>
      <c r="BJ172" s="239"/>
      <c r="BK172" s="239"/>
      <c r="BL172" s="239"/>
      <c r="BM172" s="239"/>
      <c r="BN172" s="239"/>
      <c r="BO172" s="239"/>
      <c r="BP172" s="239"/>
      <c r="BQ172" s="239"/>
      <c r="BR172" s="239"/>
      <c r="BS172" s="239"/>
      <c r="BT172" s="239"/>
      <c r="BU172" s="239"/>
      <c r="BV172" s="239"/>
      <c r="BW172" s="239"/>
      <c r="BX172" s="239"/>
      <c r="BY172" s="239"/>
      <c r="BZ172" s="239"/>
      <c r="CA172" s="239"/>
      <c r="CB172" s="239"/>
      <c r="CC172" s="239"/>
      <c r="CD172" s="239"/>
      <c r="CE172" s="239"/>
    </row>
    <row r="173" spans="1:83" ht="12.95" customHeight="1">
      <c r="A173" s="208"/>
      <c r="B173" s="208"/>
      <c r="C173" s="51" t="s">
        <v>1000</v>
      </c>
      <c r="D173" s="52" t="s">
        <v>2046</v>
      </c>
      <c r="E173" s="52" t="s">
        <v>2047</v>
      </c>
      <c r="F173" s="53" t="s">
        <v>1268</v>
      </c>
      <c r="G173" s="179"/>
      <c r="H173" s="180" t="s">
        <v>1000</v>
      </c>
      <c r="I173" s="55" t="s">
        <v>1429</v>
      </c>
      <c r="J173" s="55" t="s">
        <v>1429</v>
      </c>
      <c r="K173" s="56" t="s">
        <v>1429</v>
      </c>
      <c r="L173" s="54" t="s">
        <v>1580</v>
      </c>
      <c r="M173" s="55" t="s">
        <v>1581</v>
      </c>
      <c r="N173" s="55" t="s">
        <v>1429</v>
      </c>
      <c r="O173" s="55" t="s">
        <v>1429</v>
      </c>
      <c r="P173" s="56" t="s">
        <v>1429</v>
      </c>
      <c r="Q173" s="6" t="s">
        <v>1362</v>
      </c>
      <c r="R173" s="52" t="s">
        <v>113</v>
      </c>
      <c r="S173" s="52" t="s">
        <v>99</v>
      </c>
      <c r="T173" s="52" t="s">
        <v>100</v>
      </c>
      <c r="U173" s="58" t="s">
        <v>113</v>
      </c>
      <c r="V173" s="146" t="s">
        <v>2048</v>
      </c>
      <c r="W173" s="51" t="s">
        <v>1737</v>
      </c>
      <c r="X173" s="130" t="s">
        <v>1429</v>
      </c>
      <c r="Y173" s="130" t="s">
        <v>1429</v>
      </c>
      <c r="Z173" s="51" t="s">
        <v>1585</v>
      </c>
      <c r="AA173" s="51" t="s">
        <v>1586</v>
      </c>
      <c r="AB173" s="51" t="s">
        <v>1435</v>
      </c>
      <c r="AC173" s="51" t="s">
        <v>1587</v>
      </c>
      <c r="AD173" s="59" t="str">
        <f t="shared" si="30"/>
        <v>GP</v>
      </c>
      <c r="AE173" s="66"/>
      <c r="AF173" s="61" t="str">
        <f t="shared" si="31"/>
        <v>NORMAL</v>
      </c>
      <c r="AG173" s="61" t="str">
        <f t="shared" si="26"/>
        <v>TRISTATE</v>
      </c>
      <c r="AH173" s="61" t="str">
        <f t="shared" si="32"/>
        <v>DISABLE</v>
      </c>
      <c r="AI173" s="67" t="str">
        <f t="shared" si="28"/>
        <v>N/A</v>
      </c>
      <c r="AJ173" s="176" t="b">
        <v>1</v>
      </c>
      <c r="AK173" s="176" t="b">
        <v>1</v>
      </c>
      <c r="AL173" s="176" t="b">
        <v>1</v>
      </c>
      <c r="AM173" s="176" t="b">
        <v>1</v>
      </c>
      <c r="AN173" s="176" t="b">
        <v>1</v>
      </c>
      <c r="AO173" s="176" t="b">
        <v>1</v>
      </c>
      <c r="AP173" s="64" t="str">
        <f t="shared" si="33"/>
        <v>VALID</v>
      </c>
      <c r="AQ173" s="347" t="s">
        <v>1000</v>
      </c>
      <c r="AR173" s="336" t="s">
        <v>3495</v>
      </c>
      <c r="AS173" s="337" t="s">
        <v>3666</v>
      </c>
      <c r="AT173" s="342"/>
      <c r="AU173" s="342"/>
      <c r="AV173" s="342"/>
      <c r="AW173" s="337" t="s">
        <v>125</v>
      </c>
      <c r="AX173" s="342"/>
      <c r="AY173" s="337"/>
      <c r="AZ173" s="337"/>
      <c r="BA173" s="343"/>
      <c r="BB173" s="338"/>
      <c r="BC173" s="344" t="s">
        <v>3788</v>
      </c>
      <c r="BD173" s="240"/>
      <c r="BE173" s="239"/>
      <c r="BF173" s="239"/>
      <c r="BG173" s="239"/>
      <c r="BH173" s="239"/>
      <c r="BI173" s="239"/>
      <c r="BJ173" s="239"/>
      <c r="BK173" s="239"/>
      <c r="BL173" s="239"/>
      <c r="BM173" s="239"/>
      <c r="BN173" s="239"/>
      <c r="BO173" s="239"/>
      <c r="BP173" s="239"/>
      <c r="BQ173" s="239"/>
      <c r="BR173" s="239"/>
      <c r="BS173" s="239"/>
      <c r="BT173" s="239"/>
      <c r="BU173" s="239"/>
      <c r="BV173" s="239"/>
      <c r="BW173" s="239"/>
      <c r="BX173" s="239"/>
      <c r="BY173" s="239"/>
      <c r="BZ173" s="239"/>
      <c r="CA173" s="239"/>
      <c r="CB173" s="239"/>
      <c r="CC173" s="239"/>
      <c r="CD173" s="239"/>
      <c r="CE173" s="239"/>
    </row>
    <row r="174" spans="1:83" ht="12.95" customHeight="1">
      <c r="A174" s="1"/>
      <c r="B174" s="1"/>
      <c r="C174" s="51" t="s">
        <v>1001</v>
      </c>
      <c r="D174" s="52" t="s">
        <v>1757</v>
      </c>
      <c r="E174" s="52" t="s">
        <v>2049</v>
      </c>
      <c r="F174" s="53" t="s">
        <v>1269</v>
      </c>
      <c r="G174" s="179"/>
      <c r="H174" s="180" t="s">
        <v>1001</v>
      </c>
      <c r="I174" s="55" t="s">
        <v>1429</v>
      </c>
      <c r="J174" s="55" t="s">
        <v>1429</v>
      </c>
      <c r="K174" s="56" t="s">
        <v>1429</v>
      </c>
      <c r="L174" s="54" t="s">
        <v>1580</v>
      </c>
      <c r="M174" s="55" t="s">
        <v>1581</v>
      </c>
      <c r="N174" s="55" t="s">
        <v>1429</v>
      </c>
      <c r="O174" s="55" t="s">
        <v>1429</v>
      </c>
      <c r="P174" s="56" t="s">
        <v>1429</v>
      </c>
      <c r="Q174" s="6" t="s">
        <v>1362</v>
      </c>
      <c r="R174" s="52" t="s">
        <v>113</v>
      </c>
      <c r="S174" s="52" t="s">
        <v>99</v>
      </c>
      <c r="T174" s="52" t="s">
        <v>100</v>
      </c>
      <c r="U174" s="58" t="s">
        <v>113</v>
      </c>
      <c r="V174" s="146" t="s">
        <v>2050</v>
      </c>
      <c r="W174" s="51" t="s">
        <v>1737</v>
      </c>
      <c r="X174" s="130" t="s">
        <v>1429</v>
      </c>
      <c r="Y174" s="130" t="s">
        <v>1429</v>
      </c>
      <c r="Z174" s="51" t="s">
        <v>1585</v>
      </c>
      <c r="AA174" s="51" t="s">
        <v>1586</v>
      </c>
      <c r="AB174" s="51" t="s">
        <v>1435</v>
      </c>
      <c r="AC174" s="51" t="s">
        <v>1587</v>
      </c>
      <c r="AD174" s="59" t="str">
        <f t="shared" si="30"/>
        <v>GP</v>
      </c>
      <c r="AE174" s="66"/>
      <c r="AF174" s="61" t="str">
        <f t="shared" si="31"/>
        <v>NORMAL</v>
      </c>
      <c r="AG174" s="61" t="str">
        <f t="shared" si="26"/>
        <v>TRISTATE</v>
      </c>
      <c r="AH174" s="61" t="str">
        <f t="shared" si="32"/>
        <v>DISABLE</v>
      </c>
      <c r="AI174" s="67" t="str">
        <f t="shared" si="28"/>
        <v>N/A</v>
      </c>
      <c r="AJ174" s="176" t="b">
        <v>1</v>
      </c>
      <c r="AK174" s="176" t="b">
        <v>1</v>
      </c>
      <c r="AL174" s="176" t="b">
        <v>1</v>
      </c>
      <c r="AM174" s="176" t="b">
        <v>1</v>
      </c>
      <c r="AN174" s="176" t="b">
        <v>1</v>
      </c>
      <c r="AO174" s="176" t="b">
        <v>1</v>
      </c>
      <c r="AP174" s="64" t="str">
        <f t="shared" si="33"/>
        <v>VALID</v>
      </c>
      <c r="AQ174" s="347" t="s">
        <v>1001</v>
      </c>
      <c r="AR174" s="336" t="s">
        <v>3495</v>
      </c>
      <c r="AS174" s="337" t="s">
        <v>3666</v>
      </c>
      <c r="AT174" s="342"/>
      <c r="AU174" s="342"/>
      <c r="AV174" s="342"/>
      <c r="AW174" s="337" t="s">
        <v>125</v>
      </c>
      <c r="AX174" s="342"/>
      <c r="AY174" s="337"/>
      <c r="AZ174" s="337"/>
      <c r="BA174" s="343"/>
      <c r="BB174" s="338"/>
      <c r="BC174" s="344" t="s">
        <v>3789</v>
      </c>
      <c r="BD174" s="248"/>
      <c r="BE174" s="239"/>
      <c r="BF174" s="239"/>
      <c r="BG174" s="239"/>
      <c r="BH174" s="239"/>
      <c r="BI174" s="239"/>
      <c r="BJ174" s="239"/>
      <c r="BK174" s="239"/>
      <c r="BL174" s="239"/>
      <c r="BM174" s="239"/>
      <c r="BN174" s="239"/>
      <c r="BO174" s="239"/>
      <c r="BP174" s="239"/>
      <c r="BQ174" s="239"/>
      <c r="BR174" s="239"/>
      <c r="BS174" s="239"/>
      <c r="BT174" s="239"/>
      <c r="BU174" s="239"/>
      <c r="BV174" s="239"/>
      <c r="BW174" s="239"/>
      <c r="BX174" s="239"/>
      <c r="BY174" s="239"/>
      <c r="BZ174" s="239"/>
      <c r="CA174" s="239"/>
      <c r="CB174" s="239"/>
      <c r="CC174" s="239"/>
      <c r="CD174" s="239"/>
      <c r="CE174" s="239"/>
    </row>
    <row r="175" spans="1:83" ht="12.95" customHeight="1">
      <c r="A175" s="21" t="s">
        <v>3485</v>
      </c>
      <c r="B175" s="21" t="s">
        <v>2392</v>
      </c>
      <c r="C175" s="51" t="s">
        <v>1002</v>
      </c>
      <c r="D175" s="52" t="s">
        <v>1982</v>
      </c>
      <c r="E175" s="52" t="s">
        <v>1703</v>
      </c>
      <c r="F175" s="53" t="s">
        <v>1270</v>
      </c>
      <c r="G175" s="179"/>
      <c r="H175" s="180" t="s">
        <v>1429</v>
      </c>
      <c r="I175" s="55" t="s">
        <v>1429</v>
      </c>
      <c r="J175" s="55" t="s">
        <v>1547</v>
      </c>
      <c r="K175" s="56" t="s">
        <v>1429</v>
      </c>
      <c r="L175" s="54" t="s">
        <v>1580</v>
      </c>
      <c r="M175" s="55" t="s">
        <v>1429</v>
      </c>
      <c r="N175" s="55" t="s">
        <v>1429</v>
      </c>
      <c r="O175" s="55" t="s">
        <v>1580</v>
      </c>
      <c r="P175" s="56" t="s">
        <v>1429</v>
      </c>
      <c r="Q175" s="6" t="s">
        <v>755</v>
      </c>
      <c r="R175" s="52" t="s">
        <v>113</v>
      </c>
      <c r="S175" s="52" t="s">
        <v>111</v>
      </c>
      <c r="T175" s="52" t="s">
        <v>100</v>
      </c>
      <c r="U175" s="58" t="s">
        <v>755</v>
      </c>
      <c r="V175" s="146" t="s">
        <v>2051</v>
      </c>
      <c r="W175" s="51" t="s">
        <v>1737</v>
      </c>
      <c r="X175" s="130" t="s">
        <v>1429</v>
      </c>
      <c r="Y175" s="130" t="s">
        <v>1429</v>
      </c>
      <c r="Z175" s="51" t="s">
        <v>1585</v>
      </c>
      <c r="AA175" s="51" t="s">
        <v>1586</v>
      </c>
      <c r="AB175" s="51" t="s">
        <v>1435</v>
      </c>
      <c r="AC175" s="51" t="s">
        <v>1587</v>
      </c>
      <c r="AD175" s="59" t="str">
        <f t="shared" si="30"/>
        <v>SPI1</v>
      </c>
      <c r="AE175" s="66"/>
      <c r="AF175" s="61" t="str">
        <f t="shared" si="31"/>
        <v>NORMAL</v>
      </c>
      <c r="AG175" s="61" t="str">
        <f t="shared" si="26"/>
        <v>NORMAL</v>
      </c>
      <c r="AH175" s="61" t="str">
        <f t="shared" si="32"/>
        <v>DISABLE</v>
      </c>
      <c r="AI175" s="67" t="str">
        <f t="shared" si="28"/>
        <v>N/A</v>
      </c>
      <c r="AJ175" s="176" t="b">
        <v>1</v>
      </c>
      <c r="AK175" s="176" t="b">
        <v>1</v>
      </c>
      <c r="AL175" s="176" t="b">
        <v>1</v>
      </c>
      <c r="AM175" s="176" t="b">
        <v>1</v>
      </c>
      <c r="AN175" s="176" t="b">
        <v>1</v>
      </c>
      <c r="AO175" s="176" t="b">
        <v>1</v>
      </c>
      <c r="AP175" s="64" t="str">
        <f t="shared" si="33"/>
        <v>VALID</v>
      </c>
      <c r="AQ175" s="227" t="s">
        <v>1547</v>
      </c>
      <c r="AR175" s="182" t="s">
        <v>3495</v>
      </c>
      <c r="AS175" s="181"/>
      <c r="AT175" s="5"/>
      <c r="AU175" s="5"/>
      <c r="AV175" s="5"/>
      <c r="AW175" s="181" t="s">
        <v>125</v>
      </c>
      <c r="AX175" s="284"/>
      <c r="AY175" s="181"/>
      <c r="AZ175" s="181"/>
      <c r="BA175" s="7"/>
      <c r="BB175" s="212"/>
      <c r="BC175" s="10" t="s">
        <v>3757</v>
      </c>
      <c r="BD175" s="238"/>
      <c r="BE175" s="239"/>
      <c r="BF175" s="239"/>
      <c r="BG175" s="239"/>
      <c r="BH175" s="239"/>
      <c r="BI175" s="239"/>
      <c r="BJ175" s="239"/>
      <c r="BK175" s="239"/>
      <c r="BL175" s="239"/>
      <c r="BM175" s="239"/>
      <c r="BN175" s="239"/>
      <c r="BO175" s="239"/>
      <c r="BP175" s="239"/>
      <c r="BQ175" s="239"/>
      <c r="BR175" s="239"/>
      <c r="BS175" s="239"/>
      <c r="BT175" s="239"/>
      <c r="BU175" s="239"/>
      <c r="BV175" s="239"/>
      <c r="BW175" s="239"/>
      <c r="BX175" s="239"/>
      <c r="BY175" s="239"/>
      <c r="BZ175" s="239"/>
      <c r="CA175" s="239"/>
      <c r="CB175" s="239"/>
      <c r="CC175" s="239"/>
      <c r="CD175" s="239"/>
      <c r="CE175" s="239"/>
    </row>
    <row r="176" spans="1:83" ht="12.95" customHeight="1">
      <c r="A176" s="21" t="s">
        <v>3484</v>
      </c>
      <c r="B176" s="21" t="s">
        <v>2404</v>
      </c>
      <c r="C176" s="51" t="s">
        <v>1003</v>
      </c>
      <c r="D176" s="52" t="s">
        <v>2052</v>
      </c>
      <c r="E176" s="52" t="s">
        <v>1680</v>
      </c>
      <c r="F176" s="53" t="s">
        <v>1271</v>
      </c>
      <c r="G176" s="179"/>
      <c r="H176" s="180" t="s">
        <v>1429</v>
      </c>
      <c r="I176" s="55" t="s">
        <v>1429</v>
      </c>
      <c r="J176" s="55" t="s">
        <v>1548</v>
      </c>
      <c r="K176" s="56" t="s">
        <v>1429</v>
      </c>
      <c r="L176" s="54" t="s">
        <v>1580</v>
      </c>
      <c r="M176" s="55" t="s">
        <v>1429</v>
      </c>
      <c r="N176" s="55" t="s">
        <v>1429</v>
      </c>
      <c r="O176" s="55" t="s">
        <v>1580</v>
      </c>
      <c r="P176" s="56" t="s">
        <v>1429</v>
      </c>
      <c r="Q176" s="6" t="s">
        <v>755</v>
      </c>
      <c r="R176" s="52" t="s">
        <v>113</v>
      </c>
      <c r="S176" s="52" t="s">
        <v>111</v>
      </c>
      <c r="T176" s="52" t="s">
        <v>100</v>
      </c>
      <c r="U176" s="58" t="s">
        <v>755</v>
      </c>
      <c r="V176" s="146" t="s">
        <v>2053</v>
      </c>
      <c r="W176" s="51" t="s">
        <v>1737</v>
      </c>
      <c r="X176" s="130" t="s">
        <v>1429</v>
      </c>
      <c r="Y176" s="130" t="s">
        <v>1429</v>
      </c>
      <c r="Z176" s="51" t="s">
        <v>1585</v>
      </c>
      <c r="AA176" s="51" t="s">
        <v>1586</v>
      </c>
      <c r="AB176" s="51" t="s">
        <v>1435</v>
      </c>
      <c r="AC176" s="51" t="s">
        <v>1587</v>
      </c>
      <c r="AD176" s="59" t="str">
        <f t="shared" si="30"/>
        <v>SPI1</v>
      </c>
      <c r="AE176" s="66"/>
      <c r="AF176" s="61" t="str">
        <f t="shared" si="31"/>
        <v>PULL_DOWN</v>
      </c>
      <c r="AG176" s="61" t="str">
        <f t="shared" si="26"/>
        <v>TRISTATE</v>
      </c>
      <c r="AH176" s="61" t="str">
        <f t="shared" si="32"/>
        <v>ENABLE</v>
      </c>
      <c r="AI176" s="67" t="str">
        <f t="shared" si="28"/>
        <v>N/A</v>
      </c>
      <c r="AJ176" s="176" t="b">
        <v>1</v>
      </c>
      <c r="AK176" s="176" t="b">
        <v>1</v>
      </c>
      <c r="AL176" s="176" t="b">
        <v>1</v>
      </c>
      <c r="AM176" s="176" t="b">
        <v>1</v>
      </c>
      <c r="AN176" s="176" t="b">
        <v>1</v>
      </c>
      <c r="AO176" s="176" t="b">
        <v>1</v>
      </c>
      <c r="AP176" s="64" t="str">
        <f t="shared" si="33"/>
        <v>VALID</v>
      </c>
      <c r="AQ176" s="227" t="s">
        <v>1548</v>
      </c>
      <c r="AR176" s="182" t="s">
        <v>3496</v>
      </c>
      <c r="AS176" s="181" t="s">
        <v>3503</v>
      </c>
      <c r="AT176" s="5"/>
      <c r="AU176" s="5"/>
      <c r="AV176" s="5"/>
      <c r="AW176" s="181" t="s">
        <v>125</v>
      </c>
      <c r="AX176" s="284"/>
      <c r="AY176" s="181"/>
      <c r="AZ176" s="181"/>
      <c r="BA176" s="7"/>
      <c r="BB176" s="212"/>
      <c r="BC176" s="10" t="s">
        <v>3758</v>
      </c>
      <c r="BD176" s="238"/>
      <c r="BE176" s="239"/>
      <c r="BF176" s="239"/>
      <c r="BG176" s="239"/>
      <c r="BH176" s="239"/>
      <c r="BI176" s="239"/>
      <c r="BJ176" s="239"/>
      <c r="BK176" s="239"/>
      <c r="BL176" s="239"/>
      <c r="BM176" s="239"/>
      <c r="BN176" s="239"/>
      <c r="BO176" s="239"/>
      <c r="BP176" s="239"/>
      <c r="BQ176" s="239"/>
      <c r="BR176" s="239"/>
      <c r="BS176" s="239"/>
      <c r="BT176" s="239"/>
      <c r="BU176" s="239"/>
      <c r="BV176" s="239"/>
      <c r="BW176" s="239"/>
      <c r="BX176" s="239"/>
      <c r="BY176" s="239"/>
      <c r="BZ176" s="239"/>
      <c r="CA176" s="239"/>
      <c r="CB176" s="239"/>
      <c r="CC176" s="239"/>
      <c r="CD176" s="239"/>
      <c r="CE176" s="239"/>
    </row>
    <row r="177" spans="1:83" ht="12.95" customHeight="1">
      <c r="A177" s="21" t="s">
        <v>3483</v>
      </c>
      <c r="B177" s="21" t="s">
        <v>2402</v>
      </c>
      <c r="C177" s="51" t="s">
        <v>1004</v>
      </c>
      <c r="D177" s="52" t="s">
        <v>1959</v>
      </c>
      <c r="E177" s="52" t="s">
        <v>2054</v>
      </c>
      <c r="F177" s="53" t="s">
        <v>1272</v>
      </c>
      <c r="G177" s="179"/>
      <c r="H177" s="180" t="s">
        <v>1429</v>
      </c>
      <c r="I177" s="55" t="s">
        <v>1429</v>
      </c>
      <c r="J177" s="55" t="s">
        <v>1549</v>
      </c>
      <c r="K177" s="56" t="s">
        <v>1429</v>
      </c>
      <c r="L177" s="54" t="s">
        <v>1580</v>
      </c>
      <c r="M177" s="55" t="s">
        <v>1429</v>
      </c>
      <c r="N177" s="55" t="s">
        <v>1429</v>
      </c>
      <c r="O177" s="55" t="s">
        <v>1580</v>
      </c>
      <c r="P177" s="56" t="s">
        <v>1429</v>
      </c>
      <c r="Q177" s="6" t="s">
        <v>755</v>
      </c>
      <c r="R177" s="52" t="s">
        <v>113</v>
      </c>
      <c r="S177" s="52" t="s">
        <v>111</v>
      </c>
      <c r="T177" s="52" t="s">
        <v>100</v>
      </c>
      <c r="U177" s="58" t="s">
        <v>755</v>
      </c>
      <c r="V177" s="146" t="s">
        <v>2055</v>
      </c>
      <c r="W177" s="51" t="s">
        <v>1737</v>
      </c>
      <c r="X177" s="130" t="s">
        <v>2056</v>
      </c>
      <c r="Y177" s="130" t="s">
        <v>1429</v>
      </c>
      <c r="Z177" s="51" t="s">
        <v>1585</v>
      </c>
      <c r="AA177" s="51" t="s">
        <v>1600</v>
      </c>
      <c r="AB177" s="51" t="s">
        <v>1435</v>
      </c>
      <c r="AC177" s="51" t="s">
        <v>1587</v>
      </c>
      <c r="AD177" s="59" t="str">
        <f t="shared" si="30"/>
        <v>SPI1</v>
      </c>
      <c r="AE177" s="66"/>
      <c r="AF177" s="61" t="str">
        <f t="shared" si="31"/>
        <v>NORMAL</v>
      </c>
      <c r="AG177" s="61" t="str">
        <f t="shared" si="26"/>
        <v>NORMAL</v>
      </c>
      <c r="AH177" s="61" t="str">
        <f t="shared" si="32"/>
        <v>DISABLE</v>
      </c>
      <c r="AI177" s="67" t="str">
        <f t="shared" si="28"/>
        <v>N/A</v>
      </c>
      <c r="AJ177" s="176" t="b">
        <v>1</v>
      </c>
      <c r="AK177" s="176" t="b">
        <v>1</v>
      </c>
      <c r="AL177" s="176" t="b">
        <v>1</v>
      </c>
      <c r="AM177" s="176" t="b">
        <v>1</v>
      </c>
      <c r="AN177" s="176" t="b">
        <v>1</v>
      </c>
      <c r="AO177" s="176" t="b">
        <v>1</v>
      </c>
      <c r="AP177" s="64" t="str">
        <f t="shared" si="33"/>
        <v>VALID</v>
      </c>
      <c r="AQ177" s="227" t="s">
        <v>1549</v>
      </c>
      <c r="AR177" s="182" t="s">
        <v>3495</v>
      </c>
      <c r="AS177" s="181"/>
      <c r="AT177" s="181" t="s">
        <v>104</v>
      </c>
      <c r="AU177" s="5"/>
      <c r="AV177" s="5"/>
      <c r="AW177" s="181" t="s">
        <v>125</v>
      </c>
      <c r="AX177" s="284"/>
      <c r="AY177" s="181"/>
      <c r="AZ177" s="181"/>
      <c r="BA177" s="7"/>
      <c r="BB177" s="212"/>
      <c r="BC177" s="10" t="s">
        <v>3759</v>
      </c>
      <c r="BD177" s="238"/>
      <c r="BE177" s="239"/>
      <c r="BF177" s="239"/>
      <c r="BG177" s="239"/>
      <c r="BH177" s="239"/>
      <c r="BI177" s="239"/>
      <c r="BJ177" s="239"/>
      <c r="BK177" s="239"/>
      <c r="BL177" s="239"/>
      <c r="BM177" s="239"/>
      <c r="BN177" s="239"/>
      <c r="BO177" s="239"/>
      <c r="BP177" s="239"/>
      <c r="BQ177" s="239"/>
      <c r="BR177" s="239"/>
      <c r="BS177" s="239"/>
      <c r="BT177" s="239"/>
      <c r="BU177" s="239"/>
      <c r="BV177" s="239"/>
      <c r="BW177" s="239"/>
      <c r="BX177" s="239"/>
      <c r="BY177" s="239"/>
      <c r="BZ177" s="239"/>
      <c r="CA177" s="239"/>
      <c r="CB177" s="239"/>
      <c r="CC177" s="239"/>
      <c r="CD177" s="239"/>
      <c r="CE177" s="239"/>
    </row>
    <row r="178" spans="1:83" ht="12.95" customHeight="1">
      <c r="A178" s="21" t="s">
        <v>3482</v>
      </c>
      <c r="B178" s="21" t="s">
        <v>3604</v>
      </c>
      <c r="C178" s="51" t="s">
        <v>1005</v>
      </c>
      <c r="D178" s="52" t="s">
        <v>2057</v>
      </c>
      <c r="E178" s="52" t="s">
        <v>2058</v>
      </c>
      <c r="F178" s="53" t="s">
        <v>1273</v>
      </c>
      <c r="G178" s="179"/>
      <c r="H178" s="180" t="s">
        <v>1429</v>
      </c>
      <c r="I178" s="55" t="s">
        <v>1429</v>
      </c>
      <c r="J178" s="55" t="s">
        <v>1550</v>
      </c>
      <c r="K178" s="56" t="s">
        <v>1429</v>
      </c>
      <c r="L178" s="54" t="s">
        <v>1580</v>
      </c>
      <c r="M178" s="55" t="s">
        <v>1429</v>
      </c>
      <c r="N178" s="55" t="s">
        <v>1429</v>
      </c>
      <c r="O178" s="55" t="s">
        <v>1580</v>
      </c>
      <c r="P178" s="56" t="s">
        <v>1429</v>
      </c>
      <c r="Q178" s="6" t="s">
        <v>755</v>
      </c>
      <c r="R178" s="52" t="s">
        <v>113</v>
      </c>
      <c r="S178" s="52" t="s">
        <v>111</v>
      </c>
      <c r="T178" s="52" t="s">
        <v>100</v>
      </c>
      <c r="U178" s="57" t="s">
        <v>755</v>
      </c>
      <c r="V178" s="146" t="s">
        <v>2059</v>
      </c>
      <c r="W178" s="51" t="s">
        <v>1737</v>
      </c>
      <c r="X178" s="130" t="s">
        <v>2060</v>
      </c>
      <c r="Y178" s="130" t="s">
        <v>1429</v>
      </c>
      <c r="Z178" s="51" t="s">
        <v>1585</v>
      </c>
      <c r="AA178" s="51" t="s">
        <v>1600</v>
      </c>
      <c r="AB178" s="51" t="s">
        <v>1435</v>
      </c>
      <c r="AC178" s="51" t="s">
        <v>1674</v>
      </c>
      <c r="AD178" s="59" t="str">
        <f t="shared" si="30"/>
        <v>SPI1</v>
      </c>
      <c r="AE178" s="66"/>
      <c r="AF178" s="61" t="str">
        <f t="shared" si="31"/>
        <v>PULL_UP</v>
      </c>
      <c r="AG178" s="61" t="str">
        <f t="shared" si="26"/>
        <v>NORMAL</v>
      </c>
      <c r="AH178" s="61" t="str">
        <f t="shared" si="32"/>
        <v>DISABLE</v>
      </c>
      <c r="AI178" s="67" t="str">
        <f t="shared" si="28"/>
        <v>N/A</v>
      </c>
      <c r="AJ178" s="176" t="b">
        <v>1</v>
      </c>
      <c r="AK178" s="176" t="b">
        <v>1</v>
      </c>
      <c r="AL178" s="176" t="b">
        <v>1</v>
      </c>
      <c r="AM178" s="176" t="b">
        <v>1</v>
      </c>
      <c r="AN178" s="176" t="b">
        <v>1</v>
      </c>
      <c r="AO178" s="176" t="b">
        <v>1</v>
      </c>
      <c r="AP178" s="64" t="str">
        <f t="shared" si="33"/>
        <v>VALID</v>
      </c>
      <c r="AQ178" s="227" t="s">
        <v>1550</v>
      </c>
      <c r="AR178" s="182" t="s">
        <v>3495</v>
      </c>
      <c r="AS178" s="181" t="s">
        <v>3497</v>
      </c>
      <c r="AT178" s="181" t="s">
        <v>104</v>
      </c>
      <c r="AU178" s="5"/>
      <c r="AV178" s="5"/>
      <c r="AW178" s="181" t="s">
        <v>125</v>
      </c>
      <c r="AX178" s="284"/>
      <c r="AY178" s="181"/>
      <c r="AZ178" s="181"/>
      <c r="BA178" s="7"/>
      <c r="BB178" s="212"/>
      <c r="BC178" s="10" t="s">
        <v>3760</v>
      </c>
      <c r="BD178" s="238"/>
      <c r="BE178" s="239"/>
      <c r="BF178" s="239"/>
      <c r="BG178" s="239"/>
      <c r="BH178" s="239"/>
      <c r="BI178" s="239"/>
      <c r="BJ178" s="239"/>
      <c r="BK178" s="239"/>
      <c r="BL178" s="239"/>
      <c r="BM178" s="239"/>
      <c r="BN178" s="239"/>
      <c r="BO178" s="239"/>
      <c r="BP178" s="239"/>
      <c r="BQ178" s="239"/>
      <c r="BR178" s="239"/>
      <c r="BS178" s="239"/>
      <c r="BT178" s="239"/>
      <c r="BU178" s="239"/>
      <c r="BV178" s="239"/>
      <c r="BW178" s="239"/>
      <c r="BX178" s="239"/>
      <c r="BY178" s="239"/>
      <c r="BZ178" s="239"/>
      <c r="CA178" s="239"/>
      <c r="CB178" s="239"/>
      <c r="CC178" s="239"/>
      <c r="CD178" s="239"/>
      <c r="CE178" s="239"/>
    </row>
    <row r="179" spans="1:83" ht="12.95" customHeight="1">
      <c r="A179" s="1"/>
      <c r="B179" s="1"/>
      <c r="C179" s="51" t="s">
        <v>231</v>
      </c>
      <c r="D179" s="52" t="s">
        <v>2061</v>
      </c>
      <c r="E179" s="52" t="s">
        <v>2062</v>
      </c>
      <c r="F179" s="53" t="s">
        <v>232</v>
      </c>
      <c r="G179" s="179" t="s">
        <v>1429</v>
      </c>
      <c r="H179" s="180" t="s">
        <v>231</v>
      </c>
      <c r="I179" s="55" t="s">
        <v>1429</v>
      </c>
      <c r="J179" s="55" t="s">
        <v>1429</v>
      </c>
      <c r="K179" s="56" t="s">
        <v>1429</v>
      </c>
      <c r="L179" s="54" t="s">
        <v>1429</v>
      </c>
      <c r="M179" s="55" t="s">
        <v>2063</v>
      </c>
      <c r="N179" s="55" t="s">
        <v>1429</v>
      </c>
      <c r="O179" s="55" t="s">
        <v>1429</v>
      </c>
      <c r="P179" s="56" t="s">
        <v>1429</v>
      </c>
      <c r="Q179" s="85"/>
      <c r="R179" s="85"/>
      <c r="S179" s="85"/>
      <c r="T179" s="85"/>
      <c r="U179" s="85"/>
      <c r="V179" s="146" t="s">
        <v>2064</v>
      </c>
      <c r="W179" s="51" t="s">
        <v>1737</v>
      </c>
      <c r="X179" s="130" t="s">
        <v>1429</v>
      </c>
      <c r="Y179" s="130" t="s">
        <v>1429</v>
      </c>
      <c r="Z179" s="51" t="s">
        <v>1429</v>
      </c>
      <c r="AA179" s="51" t="s">
        <v>2065</v>
      </c>
      <c r="AB179" s="51" t="s">
        <v>1429</v>
      </c>
      <c r="AC179" s="51" t="s">
        <v>1429</v>
      </c>
      <c r="AD179" s="177"/>
      <c r="AE179" s="66"/>
      <c r="AF179" s="61" t="str">
        <f>IF(AND(OR($AS179="Int PU",$AS179="Int PD"),OR(AND($AY179&lt;&gt;"",$AY179&lt;&gt;"0"),AND($AZ179&lt;&gt;"",$AZ179&lt;&gt;"0"))),"INVALID",IF(OR($AQ179=$F179,$AS179="Int PD"),"PULL_DOWN",IF(OR($AS179="Int PU",AND($AE179="YES",OR($AY179="",$AY179="0"),OR($AZ179="",$AZ179="0"),OR($AR179="Input",$AR179="Bidirectional"))),"PULL_UP","NORMAL")))</f>
        <v>NORMAL</v>
      </c>
      <c r="AG179" s="61" t="str">
        <f t="shared" si="26"/>
        <v>NORMAL</v>
      </c>
      <c r="AH179" s="61" t="str">
        <f>IF(OR($AQ179=$F179,$AR179="Output"),"DISABLE","ENABLE")</f>
        <v>ENABLE</v>
      </c>
      <c r="AI179" s="67" t="str">
        <f>IF($AQ179&lt;&gt;$G179,"N/A",IF($AS179="Drive 1", "1", IF($AS179="Drive 0", "0", "")))</f>
        <v>N/A</v>
      </c>
      <c r="AJ179" s="176" t="b">
        <v>1</v>
      </c>
      <c r="AK179" s="176" t="b">
        <v>1</v>
      </c>
      <c r="AL179" s="176" t="b">
        <v>1</v>
      </c>
      <c r="AM179" s="176" t="b">
        <v>1</v>
      </c>
      <c r="AN179" s="176" t="b">
        <v>1</v>
      </c>
      <c r="AO179" s="176" t="b">
        <v>1</v>
      </c>
      <c r="AP179" s="64" t="str">
        <f>IF(AND($AJ179:$AO179), "VALID", "INVALID")</f>
        <v>VALID</v>
      </c>
      <c r="AQ179" s="347" t="s">
        <v>231</v>
      </c>
      <c r="AR179" s="336" t="s">
        <v>3501</v>
      </c>
      <c r="AS179" s="337"/>
      <c r="AT179" s="342"/>
      <c r="AU179" s="342"/>
      <c r="AV179" s="342"/>
      <c r="AW179" s="342"/>
      <c r="AX179" s="342"/>
      <c r="AY179" s="337"/>
      <c r="AZ179" s="337"/>
      <c r="BA179" s="343"/>
      <c r="BB179" s="338"/>
      <c r="BC179" s="344" t="s">
        <v>3775</v>
      </c>
      <c r="BD179" s="248"/>
      <c r="BE179" s="239"/>
      <c r="BF179" s="239"/>
      <c r="BG179" s="239"/>
      <c r="BH179" s="239"/>
      <c r="BI179" s="239"/>
      <c r="BJ179" s="239"/>
      <c r="BK179" s="239"/>
      <c r="BL179" s="239"/>
      <c r="BM179" s="239"/>
      <c r="BN179" s="239"/>
      <c r="BO179" s="239"/>
      <c r="BP179" s="239"/>
      <c r="BQ179" s="239"/>
      <c r="BR179" s="239"/>
      <c r="BS179" s="239"/>
      <c r="BT179" s="239"/>
      <c r="BU179" s="239"/>
      <c r="BV179" s="239"/>
      <c r="BW179" s="239"/>
      <c r="BX179" s="239"/>
      <c r="BY179" s="239"/>
      <c r="BZ179" s="239"/>
      <c r="CA179" s="239"/>
      <c r="CB179" s="239"/>
      <c r="CC179" s="239"/>
      <c r="CD179" s="239"/>
      <c r="CE179" s="239"/>
    </row>
    <row r="180" spans="1:83" ht="12.95" customHeight="1">
      <c r="A180" s="1"/>
      <c r="B180" s="1"/>
      <c r="C180" s="51" t="s">
        <v>233</v>
      </c>
      <c r="D180" s="52" t="s">
        <v>2066</v>
      </c>
      <c r="E180" s="52" t="s">
        <v>2067</v>
      </c>
      <c r="F180" s="53" t="s">
        <v>234</v>
      </c>
      <c r="G180" s="179" t="s">
        <v>1429</v>
      </c>
      <c r="H180" s="180" t="s">
        <v>233</v>
      </c>
      <c r="I180" s="55" t="s">
        <v>1429</v>
      </c>
      <c r="J180" s="55" t="s">
        <v>1429</v>
      </c>
      <c r="K180" s="56" t="s">
        <v>1429</v>
      </c>
      <c r="L180" s="54" t="s">
        <v>1429</v>
      </c>
      <c r="M180" s="55" t="s">
        <v>2068</v>
      </c>
      <c r="N180" s="55" t="s">
        <v>1429</v>
      </c>
      <c r="O180" s="55" t="s">
        <v>1429</v>
      </c>
      <c r="P180" s="56" t="s">
        <v>1429</v>
      </c>
      <c r="Q180" s="85"/>
      <c r="R180" s="85"/>
      <c r="S180" s="85"/>
      <c r="T180" s="85"/>
      <c r="U180" s="85"/>
      <c r="V180" s="146" t="s">
        <v>2069</v>
      </c>
      <c r="W180" s="51" t="s">
        <v>1737</v>
      </c>
      <c r="X180" s="130" t="s">
        <v>1429</v>
      </c>
      <c r="Y180" s="130" t="s">
        <v>1429</v>
      </c>
      <c r="Z180" s="51" t="s">
        <v>1429</v>
      </c>
      <c r="AA180" s="51" t="s">
        <v>2065</v>
      </c>
      <c r="AB180" s="51" t="s">
        <v>1429</v>
      </c>
      <c r="AC180" s="51" t="s">
        <v>1429</v>
      </c>
      <c r="AD180" s="177"/>
      <c r="AE180" s="66"/>
      <c r="AF180" s="61" t="str">
        <f>IF(AND(OR($AS180="Int PU",$AS180="Int PD"),OR(AND($AY180&lt;&gt;"",$AY180&lt;&gt;"0"),AND($AZ180&lt;&gt;"",$AZ180&lt;&gt;"0"))),"INVALID",IF(OR($AQ180=$F180,$AS180="Int PD"),"PULL_DOWN",IF(OR($AS180="Int PU",AND($AE180="YES",OR($AY180="",$AY180="0"),OR($AZ180="",$AZ180="0"),OR($AR180="Input",$AR180="Bidirectional"))),"PULL_UP","NORMAL")))</f>
        <v>NORMAL</v>
      </c>
      <c r="AG180" s="61" t="str">
        <f t="shared" si="26"/>
        <v>NORMAL</v>
      </c>
      <c r="AH180" s="61" t="str">
        <f>IF(OR($AQ180=$F180,$AR180="Output"),"DISABLE","ENABLE")</f>
        <v>ENABLE</v>
      </c>
      <c r="AI180" s="67" t="str">
        <f>IF($AQ180&lt;&gt;$G180,"N/A",IF($AS180="Drive 1", "1", IF($AS180="Drive 0", "0", "")))</f>
        <v>N/A</v>
      </c>
      <c r="AJ180" s="176" t="b">
        <v>1</v>
      </c>
      <c r="AK180" s="176" t="b">
        <v>1</v>
      </c>
      <c r="AL180" s="176" t="b">
        <v>1</v>
      </c>
      <c r="AM180" s="176" t="b">
        <v>1</v>
      </c>
      <c r="AN180" s="176" t="b">
        <v>1</v>
      </c>
      <c r="AO180" s="176" t="b">
        <v>1</v>
      </c>
      <c r="AP180" s="64" t="str">
        <f>IF(AND($AJ180:$AO180), "VALID", "INVALID")</f>
        <v>VALID</v>
      </c>
      <c r="AQ180" s="347" t="s">
        <v>233</v>
      </c>
      <c r="AR180" s="336" t="s">
        <v>3501</v>
      </c>
      <c r="AS180" s="337"/>
      <c r="AT180" s="342"/>
      <c r="AU180" s="342"/>
      <c r="AV180" s="342"/>
      <c r="AW180" s="342"/>
      <c r="AX180" s="342"/>
      <c r="AY180" s="337"/>
      <c r="AZ180" s="337"/>
      <c r="BA180" s="343" t="s">
        <v>101</v>
      </c>
      <c r="BB180" s="338"/>
      <c r="BC180" s="344" t="s">
        <v>3775</v>
      </c>
      <c r="BD180" s="248"/>
      <c r="BE180" s="239"/>
      <c r="BF180" s="239"/>
      <c r="BG180" s="239"/>
      <c r="BH180" s="239"/>
      <c r="BI180" s="239"/>
      <c r="BJ180" s="239"/>
      <c r="BK180" s="239"/>
      <c r="BL180" s="239"/>
      <c r="BM180" s="239"/>
      <c r="BN180" s="239"/>
      <c r="BO180" s="239"/>
      <c r="BP180" s="239"/>
      <c r="BQ180" s="239"/>
      <c r="BR180" s="239"/>
      <c r="BS180" s="239"/>
      <c r="BT180" s="239"/>
      <c r="BU180" s="239"/>
      <c r="BV180" s="239"/>
      <c r="BW180" s="239"/>
      <c r="BX180" s="239"/>
      <c r="BY180" s="239"/>
      <c r="BZ180" s="239"/>
      <c r="CA180" s="239"/>
      <c r="CB180" s="239"/>
      <c r="CC180" s="239"/>
      <c r="CD180" s="239"/>
      <c r="CE180" s="239"/>
    </row>
    <row r="181" spans="1:83" s="50" customFormat="1" ht="18" customHeight="1">
      <c r="A181" s="68" t="s">
        <v>308</v>
      </c>
      <c r="B181" s="68"/>
      <c r="C181" s="68"/>
      <c r="D181" s="69"/>
      <c r="E181" s="69"/>
      <c r="F181" s="69"/>
      <c r="G181" s="70"/>
      <c r="H181" s="70"/>
      <c r="I181" s="70"/>
      <c r="J181" s="70"/>
      <c r="K181" s="70"/>
      <c r="L181" s="69"/>
      <c r="M181" s="69"/>
      <c r="N181" s="69"/>
      <c r="O181" s="69"/>
      <c r="P181" s="69"/>
      <c r="Q181" s="69"/>
      <c r="R181" s="69"/>
      <c r="S181" s="69"/>
      <c r="T181" s="69"/>
      <c r="U181" s="69"/>
      <c r="V181" s="69"/>
      <c r="W181" s="69"/>
      <c r="X181" s="69"/>
      <c r="Y181" s="69"/>
      <c r="Z181" s="69"/>
      <c r="AA181" s="69"/>
      <c r="AB181" s="69"/>
      <c r="AC181" s="69"/>
      <c r="AD181" s="69"/>
      <c r="AE181" s="69"/>
      <c r="AF181" s="71"/>
      <c r="AG181" s="71"/>
      <c r="AH181" s="71"/>
      <c r="AI181" s="71"/>
      <c r="AJ181" s="47"/>
      <c r="AK181" s="47"/>
      <c r="AL181" s="47"/>
      <c r="AM181" s="47"/>
      <c r="AN181" s="47"/>
      <c r="AO181" s="47"/>
      <c r="AP181" s="47"/>
      <c r="AQ181" s="72"/>
      <c r="AR181" s="72"/>
      <c r="AS181" s="73"/>
      <c r="AT181" s="73"/>
      <c r="AU181" s="73"/>
      <c r="AV181" s="73"/>
      <c r="AW181" s="73"/>
      <c r="AX181" s="288"/>
      <c r="AY181" s="73"/>
      <c r="AZ181" s="73"/>
      <c r="BA181" s="73"/>
      <c r="BB181" s="168" t="s">
        <v>49</v>
      </c>
      <c r="BC181" s="172"/>
      <c r="BD181" s="169"/>
      <c r="BE181" s="308"/>
      <c r="BF181" s="243"/>
      <c r="BG181" s="243"/>
      <c r="BH181" s="243"/>
      <c r="BI181" s="243"/>
      <c r="BJ181" s="243"/>
      <c r="BK181" s="243"/>
      <c r="BL181" s="243"/>
      <c r="BM181" s="243"/>
      <c r="BN181" s="243"/>
      <c r="BO181" s="243"/>
      <c r="BP181" s="243"/>
      <c r="BQ181" s="243"/>
      <c r="BR181" s="243"/>
      <c r="BS181" s="243"/>
      <c r="BT181" s="243"/>
      <c r="BU181" s="243"/>
      <c r="BV181" s="243"/>
      <c r="BW181" s="243"/>
      <c r="BX181" s="243"/>
      <c r="BY181" s="243"/>
      <c r="BZ181" s="243"/>
      <c r="CA181" s="243"/>
      <c r="CB181" s="243"/>
      <c r="CC181" s="243"/>
      <c r="CD181" s="243"/>
      <c r="CE181" s="243"/>
    </row>
    <row r="182" spans="1:83" ht="12.95" customHeight="1">
      <c r="A182" s="21" t="s">
        <v>3471</v>
      </c>
      <c r="B182" s="21" t="s">
        <v>2365</v>
      </c>
      <c r="C182" s="51" t="s">
        <v>309</v>
      </c>
      <c r="D182" s="52" t="s">
        <v>2070</v>
      </c>
      <c r="E182" s="52" t="s">
        <v>1764</v>
      </c>
      <c r="F182" s="53" t="s">
        <v>540</v>
      </c>
      <c r="G182" s="179" t="s">
        <v>2071</v>
      </c>
      <c r="H182" s="180" t="s">
        <v>1440</v>
      </c>
      <c r="I182" s="55" t="s">
        <v>1429</v>
      </c>
      <c r="J182" s="55" t="s">
        <v>1429</v>
      </c>
      <c r="K182" s="56" t="s">
        <v>1429</v>
      </c>
      <c r="L182" s="54" t="s">
        <v>1580</v>
      </c>
      <c r="M182" s="55" t="s">
        <v>1581</v>
      </c>
      <c r="N182" s="55" t="s">
        <v>1429</v>
      </c>
      <c r="O182" s="55" t="s">
        <v>1429</v>
      </c>
      <c r="P182" s="56" t="s">
        <v>1429</v>
      </c>
      <c r="Q182" s="6" t="s">
        <v>121</v>
      </c>
      <c r="R182" s="52" t="s">
        <v>113</v>
      </c>
      <c r="S182" s="52" t="s">
        <v>99</v>
      </c>
      <c r="T182" s="52" t="s">
        <v>100</v>
      </c>
      <c r="U182" s="57" t="s">
        <v>113</v>
      </c>
      <c r="V182" s="146" t="s">
        <v>2072</v>
      </c>
      <c r="W182" s="51" t="s">
        <v>2073</v>
      </c>
      <c r="X182" s="130" t="s">
        <v>1429</v>
      </c>
      <c r="Y182" s="130" t="s">
        <v>1429</v>
      </c>
      <c r="Z182" s="51" t="s">
        <v>1585</v>
      </c>
      <c r="AA182" s="51" t="s">
        <v>1586</v>
      </c>
      <c r="AB182" s="51" t="s">
        <v>1435</v>
      </c>
      <c r="AC182" s="51" t="s">
        <v>1674</v>
      </c>
      <c r="AD182" s="59" t="str">
        <f t="shared" si="30"/>
        <v>UARTA</v>
      </c>
      <c r="AE182" s="66"/>
      <c r="AF182" s="61" t="str">
        <f t="shared" si="31"/>
        <v>NORMAL</v>
      </c>
      <c r="AG182" s="61" t="str">
        <f t="shared" si="26"/>
        <v>NORMAL</v>
      </c>
      <c r="AH182" s="61" t="str">
        <f t="shared" si="32"/>
        <v>DISABLE</v>
      </c>
      <c r="AI182" s="67" t="str">
        <f t="shared" si="28"/>
        <v>N/A</v>
      </c>
      <c r="AJ182" s="176" t="b">
        <v>1</v>
      </c>
      <c r="AK182" s="176" t="b">
        <v>1</v>
      </c>
      <c r="AL182" s="176" t="b">
        <v>1</v>
      </c>
      <c r="AM182" s="176" t="b">
        <v>1</v>
      </c>
      <c r="AN182" s="176" t="b">
        <v>1</v>
      </c>
      <c r="AO182" s="176" t="b">
        <v>1</v>
      </c>
      <c r="AP182" s="64" t="str">
        <f t="shared" ref="AP182:AP191" si="34">IF(AND($AJ182:$AO182), "VALID", "INVALID")</f>
        <v>VALID</v>
      </c>
      <c r="AQ182" s="227" t="s">
        <v>1440</v>
      </c>
      <c r="AR182" s="182" t="s">
        <v>3495</v>
      </c>
      <c r="AS182" s="181"/>
      <c r="AT182" s="5"/>
      <c r="AU182" s="5"/>
      <c r="AV182" s="5"/>
      <c r="AW182" s="181" t="s">
        <v>125</v>
      </c>
      <c r="AX182" s="284"/>
      <c r="AY182" s="181"/>
      <c r="AZ182" s="181"/>
      <c r="BA182" s="7"/>
      <c r="BB182" s="212"/>
      <c r="BC182" s="10" t="s">
        <v>1440</v>
      </c>
      <c r="BD182" s="238"/>
      <c r="BE182" s="239"/>
      <c r="BF182" s="239"/>
      <c r="BG182" s="239"/>
      <c r="BH182" s="239"/>
      <c r="BI182" s="239"/>
      <c r="BJ182" s="239"/>
      <c r="BK182" s="239"/>
      <c r="BL182" s="239"/>
      <c r="BM182" s="239"/>
      <c r="BN182" s="239"/>
      <c r="BO182" s="239"/>
      <c r="BP182" s="239"/>
      <c r="BQ182" s="239"/>
      <c r="BR182" s="239"/>
      <c r="BS182" s="239"/>
      <c r="BT182" s="239"/>
      <c r="BU182" s="239"/>
      <c r="BV182" s="239"/>
      <c r="BW182" s="239"/>
      <c r="BX182" s="239"/>
      <c r="BY182" s="239"/>
      <c r="BZ182" s="239"/>
      <c r="CA182" s="239"/>
      <c r="CB182" s="239"/>
      <c r="CC182" s="239"/>
      <c r="CD182" s="239"/>
      <c r="CE182" s="239"/>
    </row>
    <row r="183" spans="1:83" ht="12.95" customHeight="1">
      <c r="A183" s="21" t="s">
        <v>3470</v>
      </c>
      <c r="B183" s="21" t="s">
        <v>2362</v>
      </c>
      <c r="C183" s="51" t="s">
        <v>310</v>
      </c>
      <c r="D183" s="52" t="s">
        <v>2074</v>
      </c>
      <c r="E183" s="52" t="s">
        <v>2075</v>
      </c>
      <c r="F183" s="53" t="s">
        <v>541</v>
      </c>
      <c r="G183" s="179" t="s">
        <v>2076</v>
      </c>
      <c r="H183" s="180" t="s">
        <v>1441</v>
      </c>
      <c r="I183" s="55" t="s">
        <v>1429</v>
      </c>
      <c r="J183" s="55" t="s">
        <v>1429</v>
      </c>
      <c r="K183" s="56" t="s">
        <v>1429</v>
      </c>
      <c r="L183" s="54" t="s">
        <v>1580</v>
      </c>
      <c r="M183" s="55" t="s">
        <v>1590</v>
      </c>
      <c r="N183" s="55" t="s">
        <v>1429</v>
      </c>
      <c r="O183" s="55" t="s">
        <v>1429</v>
      </c>
      <c r="P183" s="56" t="s">
        <v>1429</v>
      </c>
      <c r="Q183" s="6" t="s">
        <v>121</v>
      </c>
      <c r="R183" s="52" t="s">
        <v>113</v>
      </c>
      <c r="S183" s="52" t="s">
        <v>99</v>
      </c>
      <c r="T183" s="52" t="s">
        <v>100</v>
      </c>
      <c r="U183" s="57" t="s">
        <v>113</v>
      </c>
      <c r="V183" s="146" t="s">
        <v>2077</v>
      </c>
      <c r="W183" s="51" t="s">
        <v>2073</v>
      </c>
      <c r="X183" s="130" t="s">
        <v>1429</v>
      </c>
      <c r="Y183" s="130" t="s">
        <v>1429</v>
      </c>
      <c r="Z183" s="51" t="s">
        <v>1585</v>
      </c>
      <c r="AA183" s="51" t="s">
        <v>1586</v>
      </c>
      <c r="AB183" s="51" t="s">
        <v>1435</v>
      </c>
      <c r="AC183" s="51" t="s">
        <v>1674</v>
      </c>
      <c r="AD183" s="59" t="str">
        <f t="shared" si="30"/>
        <v>UARTA</v>
      </c>
      <c r="AE183" s="66"/>
      <c r="AF183" s="61" t="str">
        <f t="shared" si="31"/>
        <v>PULL_UP</v>
      </c>
      <c r="AG183" s="61" t="str">
        <f t="shared" si="26"/>
        <v>TRISTATE</v>
      </c>
      <c r="AH183" s="61" t="str">
        <f t="shared" si="32"/>
        <v>ENABLE</v>
      </c>
      <c r="AI183" s="67" t="str">
        <f t="shared" si="28"/>
        <v>N/A</v>
      </c>
      <c r="AJ183" s="176" t="b">
        <v>1</v>
      </c>
      <c r="AK183" s="176" t="b">
        <v>1</v>
      </c>
      <c r="AL183" s="176" t="b">
        <v>1</v>
      </c>
      <c r="AM183" s="176" t="b">
        <v>1</v>
      </c>
      <c r="AN183" s="176" t="b">
        <v>1</v>
      </c>
      <c r="AO183" s="176" t="b">
        <v>1</v>
      </c>
      <c r="AP183" s="64" t="str">
        <f t="shared" si="34"/>
        <v>VALID</v>
      </c>
      <c r="AQ183" s="227" t="s">
        <v>1441</v>
      </c>
      <c r="AR183" s="182" t="s">
        <v>3496</v>
      </c>
      <c r="AS183" s="181" t="s">
        <v>3497</v>
      </c>
      <c r="AT183" s="5"/>
      <c r="AU183" s="5"/>
      <c r="AV183" s="5"/>
      <c r="AW183" s="181" t="s">
        <v>125</v>
      </c>
      <c r="AX183" s="284"/>
      <c r="AY183" s="181"/>
      <c r="AZ183" s="181"/>
      <c r="BA183" s="7"/>
      <c r="BB183" s="212"/>
      <c r="BC183" s="10" t="s">
        <v>1441</v>
      </c>
      <c r="BD183" s="238"/>
      <c r="BE183" s="239"/>
      <c r="BF183" s="239"/>
      <c r="BG183" s="239"/>
      <c r="BH183" s="239"/>
      <c r="BI183" s="239"/>
      <c r="BJ183" s="239"/>
      <c r="BK183" s="239"/>
      <c r="BL183" s="239"/>
      <c r="BM183" s="239"/>
      <c r="BN183" s="239"/>
      <c r="BO183" s="239"/>
      <c r="BP183" s="239"/>
      <c r="BQ183" s="239"/>
      <c r="BR183" s="239"/>
      <c r="BS183" s="239"/>
      <c r="BT183" s="239"/>
      <c r="BU183" s="239"/>
      <c r="BV183" s="239"/>
      <c r="BW183" s="239"/>
      <c r="BX183" s="239"/>
      <c r="BY183" s="239"/>
      <c r="BZ183" s="239"/>
      <c r="CA183" s="239"/>
      <c r="CB183" s="239"/>
      <c r="CC183" s="239"/>
      <c r="CD183" s="239"/>
      <c r="CE183" s="239"/>
    </row>
    <row r="184" spans="1:83" ht="12.95" customHeight="1">
      <c r="A184" s="21" t="s">
        <v>3469</v>
      </c>
      <c r="B184" s="21" t="s">
        <v>2340</v>
      </c>
      <c r="C184" s="51" t="s">
        <v>311</v>
      </c>
      <c r="D184" s="52" t="s">
        <v>2078</v>
      </c>
      <c r="E184" s="52" t="s">
        <v>1752</v>
      </c>
      <c r="F184" s="53" t="s">
        <v>542</v>
      </c>
      <c r="G184" s="179" t="s">
        <v>1442</v>
      </c>
      <c r="H184" s="180" t="s">
        <v>1551</v>
      </c>
      <c r="I184" s="55" t="s">
        <v>1429</v>
      </c>
      <c r="J184" s="55" t="s">
        <v>1429</v>
      </c>
      <c r="K184" s="56" t="s">
        <v>1429</v>
      </c>
      <c r="L184" s="54" t="s">
        <v>1580</v>
      </c>
      <c r="M184" s="55" t="s">
        <v>1581</v>
      </c>
      <c r="N184" s="55" t="s">
        <v>1429</v>
      </c>
      <c r="O184" s="55" t="s">
        <v>1429</v>
      </c>
      <c r="P184" s="56" t="s">
        <v>1429</v>
      </c>
      <c r="Q184" s="6" t="s">
        <v>121</v>
      </c>
      <c r="R184" s="52" t="s">
        <v>113</v>
      </c>
      <c r="S184" s="52" t="s">
        <v>99</v>
      </c>
      <c r="T184" s="52" t="s">
        <v>100</v>
      </c>
      <c r="U184" s="57" t="s">
        <v>113</v>
      </c>
      <c r="V184" s="146" t="s">
        <v>2079</v>
      </c>
      <c r="W184" s="51" t="s">
        <v>2073</v>
      </c>
      <c r="X184" s="130" t="s">
        <v>1429</v>
      </c>
      <c r="Y184" s="130" t="s">
        <v>2080</v>
      </c>
      <c r="Z184" s="51" t="s">
        <v>1585</v>
      </c>
      <c r="AA184" s="51" t="s">
        <v>1586</v>
      </c>
      <c r="AB184" s="51" t="s">
        <v>1435</v>
      </c>
      <c r="AC184" s="51" t="s">
        <v>1587</v>
      </c>
      <c r="AD184" s="59" t="str">
        <f t="shared" si="30"/>
        <v>UARTA</v>
      </c>
      <c r="AE184" s="66"/>
      <c r="AF184" s="61" t="str">
        <f t="shared" si="31"/>
        <v>NORMAL</v>
      </c>
      <c r="AG184" s="61" t="str">
        <f t="shared" si="26"/>
        <v>NORMAL</v>
      </c>
      <c r="AH184" s="61" t="str">
        <f t="shared" si="32"/>
        <v>DISABLE</v>
      </c>
      <c r="AI184" s="67" t="str">
        <f t="shared" si="28"/>
        <v>N/A</v>
      </c>
      <c r="AJ184" s="176" t="b">
        <v>1</v>
      </c>
      <c r="AK184" s="176" t="b">
        <v>1</v>
      </c>
      <c r="AL184" s="176" t="b">
        <v>1</v>
      </c>
      <c r="AM184" s="176" t="b">
        <v>1</v>
      </c>
      <c r="AN184" s="176" t="b">
        <v>1</v>
      </c>
      <c r="AO184" s="176" t="b">
        <v>1</v>
      </c>
      <c r="AP184" s="64" t="str">
        <f t="shared" si="34"/>
        <v>VALID</v>
      </c>
      <c r="AQ184" s="227" t="s">
        <v>1551</v>
      </c>
      <c r="AR184" s="182" t="s">
        <v>3495</v>
      </c>
      <c r="AS184" s="181"/>
      <c r="AT184" s="5"/>
      <c r="AU184" s="5"/>
      <c r="AV184" s="5"/>
      <c r="AW184" s="181" t="s">
        <v>125</v>
      </c>
      <c r="AX184" s="284"/>
      <c r="AY184" s="181"/>
      <c r="AZ184" s="181"/>
      <c r="BA184" s="7"/>
      <c r="BB184" s="212"/>
      <c r="BC184" s="10" t="s">
        <v>1551</v>
      </c>
      <c r="BD184" s="240"/>
      <c r="BE184" s="239"/>
      <c r="BF184" s="239"/>
      <c r="BG184" s="239"/>
      <c r="BH184" s="239"/>
      <c r="BI184" s="239"/>
      <c r="BJ184" s="239"/>
      <c r="BK184" s="239"/>
      <c r="BL184" s="239"/>
      <c r="BM184" s="239"/>
      <c r="BN184" s="239"/>
      <c r="BO184" s="239"/>
      <c r="BP184" s="239"/>
      <c r="BQ184" s="239"/>
      <c r="BR184" s="239"/>
      <c r="BS184" s="239"/>
      <c r="BT184" s="239"/>
      <c r="BU184" s="239"/>
      <c r="BV184" s="239"/>
      <c r="BW184" s="239"/>
      <c r="BX184" s="239"/>
      <c r="BY184" s="239"/>
      <c r="BZ184" s="239"/>
      <c r="CA184" s="239"/>
      <c r="CB184" s="239"/>
      <c r="CC184" s="239"/>
      <c r="CD184" s="239"/>
      <c r="CE184" s="239"/>
    </row>
    <row r="185" spans="1:83" ht="12.95" customHeight="1">
      <c r="A185" s="21" t="s">
        <v>3468</v>
      </c>
      <c r="B185" s="21" t="s">
        <v>2427</v>
      </c>
      <c r="C185" s="51" t="s">
        <v>312</v>
      </c>
      <c r="D185" s="52" t="s">
        <v>2081</v>
      </c>
      <c r="E185" s="52" t="s">
        <v>2082</v>
      </c>
      <c r="F185" s="53" t="s">
        <v>543</v>
      </c>
      <c r="G185" s="179" t="s">
        <v>1443</v>
      </c>
      <c r="H185" s="180" t="s">
        <v>1552</v>
      </c>
      <c r="I185" s="55" t="s">
        <v>1429</v>
      </c>
      <c r="J185" s="55" t="s">
        <v>1429</v>
      </c>
      <c r="K185" s="56" t="s">
        <v>1429</v>
      </c>
      <c r="L185" s="54" t="s">
        <v>1580</v>
      </c>
      <c r="M185" s="55" t="s">
        <v>1590</v>
      </c>
      <c r="N185" s="55" t="s">
        <v>1429</v>
      </c>
      <c r="O185" s="55" t="s">
        <v>1429</v>
      </c>
      <c r="P185" s="56" t="s">
        <v>1429</v>
      </c>
      <c r="Q185" s="6" t="s">
        <v>121</v>
      </c>
      <c r="R185" s="52" t="s">
        <v>113</v>
      </c>
      <c r="S185" s="52" t="s">
        <v>99</v>
      </c>
      <c r="T185" s="52" t="s">
        <v>100</v>
      </c>
      <c r="U185" s="57" t="s">
        <v>113</v>
      </c>
      <c r="V185" s="146" t="s">
        <v>2083</v>
      </c>
      <c r="W185" s="51" t="s">
        <v>2073</v>
      </c>
      <c r="X185" s="130" t="s">
        <v>1429</v>
      </c>
      <c r="Y185" s="130" t="s">
        <v>1429</v>
      </c>
      <c r="Z185" s="51" t="s">
        <v>1585</v>
      </c>
      <c r="AA185" s="51" t="s">
        <v>1586</v>
      </c>
      <c r="AB185" s="51" t="s">
        <v>1435</v>
      </c>
      <c r="AC185" s="51" t="s">
        <v>1587</v>
      </c>
      <c r="AD185" s="59" t="str">
        <f t="shared" si="30"/>
        <v>UARTA</v>
      </c>
      <c r="AE185" s="66"/>
      <c r="AF185" s="61" t="str">
        <f t="shared" si="31"/>
        <v>NORMAL</v>
      </c>
      <c r="AG185" s="61" t="str">
        <f t="shared" si="26"/>
        <v>TRISTATE</v>
      </c>
      <c r="AH185" s="61" t="str">
        <f t="shared" si="32"/>
        <v>ENABLE</v>
      </c>
      <c r="AI185" s="67" t="str">
        <f t="shared" si="28"/>
        <v>N/A</v>
      </c>
      <c r="AJ185" s="176" t="b">
        <v>1</v>
      </c>
      <c r="AK185" s="176" t="b">
        <v>1</v>
      </c>
      <c r="AL185" s="176" t="b">
        <v>1</v>
      </c>
      <c r="AM185" s="176" t="b">
        <v>1</v>
      </c>
      <c r="AN185" s="176" t="b">
        <v>1</v>
      </c>
      <c r="AO185" s="176" t="b">
        <v>1</v>
      </c>
      <c r="AP185" s="64" t="str">
        <f t="shared" si="34"/>
        <v>VALID</v>
      </c>
      <c r="AQ185" s="227" t="s">
        <v>1552</v>
      </c>
      <c r="AR185" s="182" t="s">
        <v>3496</v>
      </c>
      <c r="AS185" s="181"/>
      <c r="AT185" s="5"/>
      <c r="AU185" s="5"/>
      <c r="AV185" s="5"/>
      <c r="AW185" s="181" t="s">
        <v>125</v>
      </c>
      <c r="AX185" s="284"/>
      <c r="AY185" s="181"/>
      <c r="AZ185" s="181"/>
      <c r="BA185" s="7"/>
      <c r="BB185" s="212"/>
      <c r="BC185" s="10" t="s">
        <v>1552</v>
      </c>
      <c r="BD185" s="240"/>
      <c r="BE185" s="239"/>
      <c r="BF185" s="239"/>
      <c r="BG185" s="239"/>
      <c r="BH185" s="239"/>
      <c r="BI185" s="239"/>
      <c r="BJ185" s="239"/>
      <c r="BK185" s="239"/>
      <c r="BL185" s="239"/>
      <c r="BM185" s="239"/>
      <c r="BN185" s="239"/>
      <c r="BO185" s="239"/>
      <c r="BP185" s="239"/>
      <c r="BQ185" s="239"/>
      <c r="BR185" s="239"/>
      <c r="BS185" s="239"/>
      <c r="BT185" s="239"/>
      <c r="BU185" s="239"/>
      <c r="BV185" s="239"/>
      <c r="BW185" s="239"/>
      <c r="BX185" s="239"/>
      <c r="BY185" s="239"/>
      <c r="BZ185" s="239"/>
      <c r="CA185" s="239"/>
      <c r="CB185" s="239"/>
      <c r="CC185" s="239"/>
      <c r="CD185" s="239"/>
      <c r="CE185" s="239"/>
    </row>
    <row r="186" spans="1:83" ht="12.95" customHeight="1">
      <c r="A186" s="21" t="s">
        <v>1417</v>
      </c>
      <c r="B186" s="21" t="s">
        <v>2335</v>
      </c>
      <c r="C186" s="51" t="s">
        <v>1006</v>
      </c>
      <c r="D186" s="52" t="s">
        <v>2084</v>
      </c>
      <c r="E186" s="52" t="s">
        <v>1741</v>
      </c>
      <c r="F186" s="53" t="s">
        <v>1274</v>
      </c>
      <c r="G186" s="179" t="s">
        <v>1429</v>
      </c>
      <c r="H186" s="180" t="s">
        <v>1006</v>
      </c>
      <c r="I186" s="55" t="s">
        <v>1429</v>
      </c>
      <c r="J186" s="55" t="s">
        <v>1429</v>
      </c>
      <c r="K186" s="56" t="s">
        <v>1429</v>
      </c>
      <c r="L186" s="54" t="s">
        <v>1429</v>
      </c>
      <c r="M186" s="55" t="s">
        <v>1590</v>
      </c>
      <c r="N186" s="55" t="s">
        <v>1429</v>
      </c>
      <c r="O186" s="55" t="s">
        <v>1429</v>
      </c>
      <c r="P186" s="56" t="s">
        <v>1429</v>
      </c>
      <c r="Q186" s="85"/>
      <c r="R186" s="85"/>
      <c r="S186" s="85"/>
      <c r="T186" s="85"/>
      <c r="U186" s="85"/>
      <c r="V186" s="146" t="s">
        <v>2085</v>
      </c>
      <c r="W186" s="51" t="s">
        <v>2073</v>
      </c>
      <c r="X186" s="130" t="s">
        <v>1429</v>
      </c>
      <c r="Y186" s="130" t="s">
        <v>1429</v>
      </c>
      <c r="Z186" s="51" t="s">
        <v>1928</v>
      </c>
      <c r="AA186" s="51" t="s">
        <v>1929</v>
      </c>
      <c r="AB186" s="51" t="s">
        <v>1476</v>
      </c>
      <c r="AC186" s="51" t="s">
        <v>1633</v>
      </c>
      <c r="AD186" s="177"/>
      <c r="AE186" s="66"/>
      <c r="AF186" s="61" t="str">
        <f t="shared" si="31"/>
        <v>NORMAL</v>
      </c>
      <c r="AG186" s="61" t="str">
        <f t="shared" si="26"/>
        <v>TRISTATE</v>
      </c>
      <c r="AH186" s="61" t="str">
        <f t="shared" si="32"/>
        <v>ENABLE</v>
      </c>
      <c r="AI186" s="67" t="str">
        <f t="shared" si="28"/>
        <v>N/A</v>
      </c>
      <c r="AJ186" s="176" t="b">
        <v>1</v>
      </c>
      <c r="AK186" s="176" t="b">
        <v>1</v>
      </c>
      <c r="AL186" s="176" t="b">
        <v>1</v>
      </c>
      <c r="AM186" s="176" t="b">
        <v>1</v>
      </c>
      <c r="AN186" s="176" t="b">
        <v>1</v>
      </c>
      <c r="AO186" s="176" t="b">
        <v>1</v>
      </c>
      <c r="AP186" s="64" t="str">
        <f t="shared" si="34"/>
        <v>VALID</v>
      </c>
      <c r="AQ186" s="226" t="s">
        <v>1006</v>
      </c>
      <c r="AR186" s="182" t="s">
        <v>3496</v>
      </c>
      <c r="AS186" s="181"/>
      <c r="AT186" s="5"/>
      <c r="AU186" s="5"/>
      <c r="AV186" s="5"/>
      <c r="AW186" s="5"/>
      <c r="AX186" s="284"/>
      <c r="AY186" s="181"/>
      <c r="AZ186" s="181"/>
      <c r="BA186" s="7"/>
      <c r="BB186" s="212"/>
      <c r="BC186" s="10" t="s">
        <v>1006</v>
      </c>
      <c r="BD186" s="238"/>
      <c r="BE186" s="239"/>
      <c r="BF186" s="239"/>
      <c r="BG186" s="239"/>
      <c r="BH186" s="239"/>
      <c r="BI186" s="239"/>
      <c r="BJ186" s="239"/>
      <c r="BK186" s="239"/>
      <c r="BL186" s="239"/>
      <c r="BM186" s="239"/>
      <c r="BN186" s="239"/>
      <c r="BO186" s="239"/>
      <c r="BP186" s="239"/>
      <c r="BQ186" s="239"/>
      <c r="BR186" s="239"/>
      <c r="BS186" s="239"/>
      <c r="BT186" s="239"/>
      <c r="BU186" s="239"/>
      <c r="BV186" s="239"/>
      <c r="BW186" s="239"/>
      <c r="BX186" s="239"/>
      <c r="BY186" s="239"/>
      <c r="BZ186" s="239"/>
      <c r="CA186" s="239"/>
      <c r="CB186" s="239"/>
      <c r="CC186" s="239"/>
      <c r="CD186" s="239"/>
      <c r="CE186" s="239"/>
    </row>
    <row r="187" spans="1:83" ht="12.95" customHeight="1">
      <c r="A187" s="21" t="s">
        <v>1416</v>
      </c>
      <c r="B187" s="21" t="s">
        <v>3563</v>
      </c>
      <c r="C187" s="51" t="s">
        <v>150</v>
      </c>
      <c r="D187" s="52" t="s">
        <v>2082</v>
      </c>
      <c r="E187" s="52" t="s">
        <v>2086</v>
      </c>
      <c r="F187" s="53" t="s">
        <v>544</v>
      </c>
      <c r="G187" s="179" t="s">
        <v>1429</v>
      </c>
      <c r="H187" s="180" t="s">
        <v>150</v>
      </c>
      <c r="I187" s="55" t="s">
        <v>1429</v>
      </c>
      <c r="J187" s="55" t="s">
        <v>1429</v>
      </c>
      <c r="K187" s="56" t="s">
        <v>1429</v>
      </c>
      <c r="L187" s="54" t="s">
        <v>1429</v>
      </c>
      <c r="M187" s="55" t="s">
        <v>1590</v>
      </c>
      <c r="N187" s="55" t="s">
        <v>1429</v>
      </c>
      <c r="O187" s="55" t="s">
        <v>1429</v>
      </c>
      <c r="P187" s="56" t="s">
        <v>1429</v>
      </c>
      <c r="Q187" s="85"/>
      <c r="R187" s="85"/>
      <c r="S187" s="85"/>
      <c r="T187" s="85"/>
      <c r="U187" s="85"/>
      <c r="V187" s="146" t="s">
        <v>2087</v>
      </c>
      <c r="W187" s="51" t="s">
        <v>2073</v>
      </c>
      <c r="X187" s="130" t="s">
        <v>1429</v>
      </c>
      <c r="Y187" s="130" t="s">
        <v>1429</v>
      </c>
      <c r="Z187" s="51" t="s">
        <v>1928</v>
      </c>
      <c r="AA187" s="51" t="s">
        <v>1929</v>
      </c>
      <c r="AB187" s="51" t="s">
        <v>1476</v>
      </c>
      <c r="AC187" s="51" t="s">
        <v>1587</v>
      </c>
      <c r="AD187" s="175"/>
      <c r="AE187" s="66"/>
      <c r="AF187" s="61" t="str">
        <f t="shared" si="31"/>
        <v>PULL_DOWN</v>
      </c>
      <c r="AG187" s="61" t="str">
        <f t="shared" si="26"/>
        <v>TRISTATE</v>
      </c>
      <c r="AH187" s="61" t="str">
        <f t="shared" si="32"/>
        <v>ENABLE</v>
      </c>
      <c r="AI187" s="67" t="str">
        <f t="shared" si="28"/>
        <v>N/A</v>
      </c>
      <c r="AJ187" s="176" t="b">
        <v>1</v>
      </c>
      <c r="AK187" s="176" t="b">
        <v>1</v>
      </c>
      <c r="AL187" s="176" t="b">
        <v>1</v>
      </c>
      <c r="AM187" s="176" t="b">
        <v>1</v>
      </c>
      <c r="AN187" s="176" t="b">
        <v>1</v>
      </c>
      <c r="AO187" s="176" t="b">
        <v>1</v>
      </c>
      <c r="AP187" s="64" t="str">
        <f t="shared" si="34"/>
        <v>VALID</v>
      </c>
      <c r="AQ187" s="226" t="s">
        <v>150</v>
      </c>
      <c r="AR187" s="182" t="s">
        <v>3496</v>
      </c>
      <c r="AS187" s="181" t="s">
        <v>3503</v>
      </c>
      <c r="AT187" s="5"/>
      <c r="AU187" s="5"/>
      <c r="AV187" s="5"/>
      <c r="AW187" s="5"/>
      <c r="AX187" s="284"/>
      <c r="AY187" s="181"/>
      <c r="AZ187" s="181"/>
      <c r="BA187" s="7"/>
      <c r="BB187" s="212"/>
      <c r="BC187" s="10" t="s">
        <v>150</v>
      </c>
      <c r="BD187" s="238"/>
      <c r="BE187" s="239"/>
      <c r="BF187" s="239"/>
      <c r="BG187" s="239"/>
      <c r="BH187" s="239"/>
      <c r="BI187" s="239"/>
      <c r="BJ187" s="239"/>
      <c r="BK187" s="239"/>
      <c r="BL187" s="239"/>
      <c r="BM187" s="239"/>
      <c r="BN187" s="239"/>
      <c r="BO187" s="239"/>
      <c r="BP187" s="239"/>
      <c r="BQ187" s="239"/>
      <c r="BR187" s="239"/>
      <c r="BS187" s="239"/>
      <c r="BT187" s="239"/>
      <c r="BU187" s="239"/>
      <c r="BV187" s="239"/>
      <c r="BW187" s="239"/>
      <c r="BX187" s="239"/>
      <c r="BY187" s="239"/>
      <c r="BZ187" s="239"/>
      <c r="CA187" s="239"/>
      <c r="CB187" s="239"/>
      <c r="CC187" s="239"/>
      <c r="CD187" s="239"/>
      <c r="CE187" s="239"/>
    </row>
    <row r="188" spans="1:83" ht="12.95" customHeight="1">
      <c r="A188" s="21" t="s">
        <v>151</v>
      </c>
      <c r="B188" s="21" t="s">
        <v>3554</v>
      </c>
      <c r="C188" s="51" t="s">
        <v>151</v>
      </c>
      <c r="D188" s="52" t="s">
        <v>2088</v>
      </c>
      <c r="E188" s="52" t="s">
        <v>1748</v>
      </c>
      <c r="F188" s="53" t="s">
        <v>545</v>
      </c>
      <c r="G188" s="179" t="s">
        <v>1429</v>
      </c>
      <c r="H188" s="180" t="s">
        <v>151</v>
      </c>
      <c r="I188" s="55" t="s">
        <v>1429</v>
      </c>
      <c r="J188" s="55" t="s">
        <v>1429</v>
      </c>
      <c r="K188" s="56" t="s">
        <v>1429</v>
      </c>
      <c r="L188" s="54" t="s">
        <v>1429</v>
      </c>
      <c r="M188" s="55" t="s">
        <v>1581</v>
      </c>
      <c r="N188" s="55" t="s">
        <v>1429</v>
      </c>
      <c r="O188" s="55" t="s">
        <v>1429</v>
      </c>
      <c r="P188" s="56" t="s">
        <v>1429</v>
      </c>
      <c r="Q188" s="85"/>
      <c r="R188" s="85"/>
      <c r="S188" s="85"/>
      <c r="T188" s="85"/>
      <c r="U188" s="85"/>
      <c r="V188" s="146" t="s">
        <v>2089</v>
      </c>
      <c r="W188" s="51" t="s">
        <v>2073</v>
      </c>
      <c r="X188" s="130" t="s">
        <v>1429</v>
      </c>
      <c r="Y188" s="130" t="s">
        <v>1429</v>
      </c>
      <c r="Z188" s="51" t="s">
        <v>1585</v>
      </c>
      <c r="AA188" s="51" t="s">
        <v>1893</v>
      </c>
      <c r="AB188" s="51" t="s">
        <v>1435</v>
      </c>
      <c r="AC188" s="51" t="s">
        <v>1633</v>
      </c>
      <c r="AD188" s="175"/>
      <c r="AE188" s="66"/>
      <c r="AF188" s="61" t="str">
        <f t="shared" si="31"/>
        <v>NORMAL</v>
      </c>
      <c r="AG188" s="61" t="str">
        <f t="shared" si="26"/>
        <v>NORMAL</v>
      </c>
      <c r="AH188" s="61" t="str">
        <f t="shared" si="32"/>
        <v>DISABLE</v>
      </c>
      <c r="AI188" s="67" t="str">
        <f t="shared" si="28"/>
        <v>N/A</v>
      </c>
      <c r="AJ188" s="176" t="b">
        <v>1</v>
      </c>
      <c r="AK188" s="176" t="b">
        <v>1</v>
      </c>
      <c r="AL188" s="176" t="b">
        <v>1</v>
      </c>
      <c r="AM188" s="176" t="b">
        <v>1</v>
      </c>
      <c r="AN188" s="176" t="b">
        <v>1</v>
      </c>
      <c r="AO188" s="176" t="b">
        <v>1</v>
      </c>
      <c r="AP188" s="64" t="str">
        <f t="shared" si="34"/>
        <v>VALID</v>
      </c>
      <c r="AQ188" s="226" t="s">
        <v>151</v>
      </c>
      <c r="AR188" s="182" t="s">
        <v>3495</v>
      </c>
      <c r="AS188" s="181"/>
      <c r="AT188" s="5"/>
      <c r="AU188" s="5"/>
      <c r="AV188" s="5"/>
      <c r="AW188" s="5"/>
      <c r="AX188" s="284"/>
      <c r="AY188" s="181"/>
      <c r="AZ188" s="181"/>
      <c r="BA188" s="7"/>
      <c r="BB188" s="212"/>
      <c r="BC188" s="10" t="s">
        <v>151</v>
      </c>
      <c r="BD188" s="238"/>
      <c r="BE188" s="239"/>
      <c r="BF188" s="239"/>
      <c r="BG188" s="239"/>
      <c r="BH188" s="239"/>
      <c r="BI188" s="239"/>
      <c r="BJ188" s="239"/>
      <c r="BK188" s="239"/>
      <c r="BL188" s="239"/>
      <c r="BM188" s="239"/>
      <c r="BN188" s="239"/>
      <c r="BO188" s="239"/>
      <c r="BP188" s="239"/>
      <c r="BQ188" s="239"/>
      <c r="BR188" s="239"/>
      <c r="BS188" s="239"/>
      <c r="BT188" s="239"/>
      <c r="BU188" s="239"/>
      <c r="BV188" s="239"/>
      <c r="BW188" s="239"/>
      <c r="BX188" s="239"/>
      <c r="BY188" s="239"/>
      <c r="BZ188" s="239"/>
      <c r="CA188" s="239"/>
      <c r="CB188" s="239"/>
      <c r="CC188" s="239"/>
      <c r="CD188" s="239"/>
      <c r="CE188" s="239"/>
    </row>
    <row r="189" spans="1:83" ht="12.95" customHeight="1">
      <c r="A189" s="21" t="s">
        <v>152</v>
      </c>
      <c r="B189" s="21" t="s">
        <v>2333</v>
      </c>
      <c r="C189" s="51" t="s">
        <v>152</v>
      </c>
      <c r="D189" s="52" t="s">
        <v>2090</v>
      </c>
      <c r="E189" s="52" t="s">
        <v>2091</v>
      </c>
      <c r="F189" s="53" t="s">
        <v>546</v>
      </c>
      <c r="G189" s="179" t="s">
        <v>1429</v>
      </c>
      <c r="H189" s="180" t="s">
        <v>152</v>
      </c>
      <c r="I189" s="55" t="s">
        <v>1429</v>
      </c>
      <c r="J189" s="55" t="s">
        <v>1429</v>
      </c>
      <c r="K189" s="56" t="s">
        <v>1429</v>
      </c>
      <c r="L189" s="54" t="s">
        <v>1429</v>
      </c>
      <c r="M189" s="55" t="s">
        <v>1590</v>
      </c>
      <c r="N189" s="55" t="s">
        <v>1429</v>
      </c>
      <c r="O189" s="55" t="s">
        <v>1429</v>
      </c>
      <c r="P189" s="56" t="s">
        <v>1429</v>
      </c>
      <c r="Q189" s="85"/>
      <c r="R189" s="85"/>
      <c r="S189" s="85"/>
      <c r="T189" s="85"/>
      <c r="U189" s="85"/>
      <c r="V189" s="146" t="s">
        <v>2092</v>
      </c>
      <c r="W189" s="51" t="s">
        <v>2073</v>
      </c>
      <c r="X189" s="130" t="s">
        <v>1429</v>
      </c>
      <c r="Y189" s="130" t="s">
        <v>1429</v>
      </c>
      <c r="Z189" s="51" t="s">
        <v>1928</v>
      </c>
      <c r="AA189" s="51" t="s">
        <v>1929</v>
      </c>
      <c r="AB189" s="51" t="s">
        <v>1476</v>
      </c>
      <c r="AC189" s="51" t="s">
        <v>1674</v>
      </c>
      <c r="AD189" s="175"/>
      <c r="AE189" s="66"/>
      <c r="AF189" s="61" t="str">
        <f t="shared" si="31"/>
        <v>PULL_UP</v>
      </c>
      <c r="AG189" s="61" t="str">
        <f t="shared" si="26"/>
        <v>TRISTATE</v>
      </c>
      <c r="AH189" s="61" t="str">
        <f t="shared" si="32"/>
        <v>ENABLE</v>
      </c>
      <c r="AI189" s="67" t="str">
        <f t="shared" si="28"/>
        <v>N/A</v>
      </c>
      <c r="AJ189" s="176" t="b">
        <v>1</v>
      </c>
      <c r="AK189" s="176" t="b">
        <v>1</v>
      </c>
      <c r="AL189" s="176" t="b">
        <v>1</v>
      </c>
      <c r="AM189" s="176" t="b">
        <v>1</v>
      </c>
      <c r="AN189" s="176" t="b">
        <v>1</v>
      </c>
      <c r="AO189" s="176" t="b">
        <v>1</v>
      </c>
      <c r="AP189" s="64" t="str">
        <f t="shared" si="34"/>
        <v>VALID</v>
      </c>
      <c r="AQ189" s="226" t="s">
        <v>152</v>
      </c>
      <c r="AR189" s="182" t="s">
        <v>3496</v>
      </c>
      <c r="AS189" s="181" t="s">
        <v>3497</v>
      </c>
      <c r="AT189" s="5"/>
      <c r="AU189" s="5"/>
      <c r="AV189" s="5"/>
      <c r="AW189" s="5"/>
      <c r="AX189" s="284"/>
      <c r="AY189" s="181"/>
      <c r="AZ189" s="181"/>
      <c r="BA189" s="7"/>
      <c r="BB189" s="212"/>
      <c r="BC189" s="10" t="s">
        <v>152</v>
      </c>
      <c r="BD189" s="238"/>
      <c r="BE189" s="239"/>
      <c r="BF189" s="239"/>
      <c r="BG189" s="239"/>
      <c r="BH189" s="239"/>
      <c r="BI189" s="239"/>
      <c r="BJ189" s="239"/>
      <c r="BK189" s="239"/>
      <c r="BL189" s="239"/>
      <c r="BM189" s="239"/>
      <c r="BN189" s="239"/>
      <c r="BO189" s="239"/>
      <c r="BP189" s="239"/>
      <c r="BQ189" s="239"/>
      <c r="BR189" s="239"/>
      <c r="BS189" s="239"/>
      <c r="BT189" s="239"/>
      <c r="BU189" s="239"/>
      <c r="BV189" s="239"/>
      <c r="BW189" s="239"/>
      <c r="BX189" s="239"/>
      <c r="BY189" s="239"/>
      <c r="BZ189" s="239"/>
      <c r="CA189" s="239"/>
      <c r="CB189" s="239"/>
      <c r="CC189" s="239"/>
      <c r="CD189" s="239"/>
      <c r="CE189" s="239"/>
    </row>
    <row r="190" spans="1:83" ht="12.95" customHeight="1">
      <c r="A190" s="21" t="s">
        <v>153</v>
      </c>
      <c r="B190" s="21" t="s">
        <v>2337</v>
      </c>
      <c r="C190" s="51" t="s">
        <v>153</v>
      </c>
      <c r="D190" s="52" t="s">
        <v>2093</v>
      </c>
      <c r="E190" s="52" t="s">
        <v>2094</v>
      </c>
      <c r="F190" s="53" t="s">
        <v>547</v>
      </c>
      <c r="G190" s="179" t="s">
        <v>1429</v>
      </c>
      <c r="H190" s="180" t="s">
        <v>153</v>
      </c>
      <c r="I190" s="55" t="s">
        <v>1429</v>
      </c>
      <c r="J190" s="55" t="s">
        <v>1429</v>
      </c>
      <c r="K190" s="56" t="s">
        <v>1429</v>
      </c>
      <c r="L190" s="54" t="s">
        <v>1429</v>
      </c>
      <c r="M190" s="55" t="s">
        <v>1590</v>
      </c>
      <c r="N190" s="55" t="s">
        <v>1429</v>
      </c>
      <c r="O190" s="55" t="s">
        <v>1429</v>
      </c>
      <c r="P190" s="56" t="s">
        <v>1429</v>
      </c>
      <c r="Q190" s="85"/>
      <c r="R190" s="85"/>
      <c r="S190" s="85"/>
      <c r="T190" s="85"/>
      <c r="U190" s="85"/>
      <c r="V190" s="146" t="s">
        <v>2095</v>
      </c>
      <c r="W190" s="51" t="s">
        <v>2073</v>
      </c>
      <c r="X190" s="130" t="s">
        <v>1429</v>
      </c>
      <c r="Y190" s="130" t="s">
        <v>1429</v>
      </c>
      <c r="Z190" s="51" t="s">
        <v>1928</v>
      </c>
      <c r="AA190" s="51" t="s">
        <v>1929</v>
      </c>
      <c r="AB190" s="51" t="s">
        <v>1476</v>
      </c>
      <c r="AC190" s="51" t="s">
        <v>1633</v>
      </c>
      <c r="AD190" s="175"/>
      <c r="AE190" s="66"/>
      <c r="AF190" s="61" t="str">
        <f t="shared" si="31"/>
        <v>PULL_DOWN</v>
      </c>
      <c r="AG190" s="61" t="str">
        <f t="shared" si="26"/>
        <v>TRISTATE</v>
      </c>
      <c r="AH190" s="61" t="str">
        <f t="shared" si="32"/>
        <v>ENABLE</v>
      </c>
      <c r="AI190" s="67" t="str">
        <f t="shared" si="28"/>
        <v>N/A</v>
      </c>
      <c r="AJ190" s="176" t="b">
        <v>1</v>
      </c>
      <c r="AK190" s="176" t="b">
        <v>1</v>
      </c>
      <c r="AL190" s="176" t="b">
        <v>1</v>
      </c>
      <c r="AM190" s="176" t="b">
        <v>1</v>
      </c>
      <c r="AN190" s="176" t="b">
        <v>1</v>
      </c>
      <c r="AO190" s="176" t="b">
        <v>1</v>
      </c>
      <c r="AP190" s="64" t="str">
        <f t="shared" si="34"/>
        <v>VALID</v>
      </c>
      <c r="AQ190" s="226" t="s">
        <v>153</v>
      </c>
      <c r="AR190" s="182" t="s">
        <v>3496</v>
      </c>
      <c r="AS190" s="181" t="s">
        <v>3503</v>
      </c>
      <c r="AT190" s="5"/>
      <c r="AU190" s="5"/>
      <c r="AV190" s="5"/>
      <c r="AW190" s="5"/>
      <c r="AX190" s="284"/>
      <c r="AY190" s="181"/>
      <c r="AZ190" s="181"/>
      <c r="BA190" s="7"/>
      <c r="BB190" s="212"/>
      <c r="BC190" s="10" t="s">
        <v>153</v>
      </c>
      <c r="BD190" s="238"/>
      <c r="BE190" s="239"/>
      <c r="BF190" s="239"/>
      <c r="BG190" s="239"/>
      <c r="BH190" s="239"/>
      <c r="BI190" s="239"/>
      <c r="BJ190" s="239"/>
      <c r="BK190" s="239"/>
      <c r="BL190" s="239"/>
      <c r="BM190" s="239"/>
      <c r="BN190" s="239"/>
      <c r="BO190" s="239"/>
      <c r="BP190" s="239"/>
      <c r="BQ190" s="239"/>
      <c r="BR190" s="239"/>
      <c r="BS190" s="239"/>
      <c r="BT190" s="239"/>
      <c r="BU190" s="239"/>
      <c r="BV190" s="239"/>
      <c r="BW190" s="239"/>
      <c r="BX190" s="239"/>
      <c r="BY190" s="239"/>
      <c r="BZ190" s="239"/>
      <c r="CA190" s="239"/>
      <c r="CB190" s="239"/>
      <c r="CC190" s="239"/>
      <c r="CD190" s="239"/>
      <c r="CE190" s="239"/>
    </row>
    <row r="191" spans="1:83" ht="12.95" customHeight="1">
      <c r="A191" s="21" t="s">
        <v>154</v>
      </c>
      <c r="B191" s="21" t="s">
        <v>2344</v>
      </c>
      <c r="C191" s="51" t="s">
        <v>154</v>
      </c>
      <c r="D191" s="52" t="s">
        <v>2096</v>
      </c>
      <c r="E191" s="52" t="s">
        <v>2097</v>
      </c>
      <c r="F191" s="53" t="s">
        <v>548</v>
      </c>
      <c r="G191" s="179" t="s">
        <v>1429</v>
      </c>
      <c r="H191" s="180" t="s">
        <v>154</v>
      </c>
      <c r="I191" s="55" t="s">
        <v>1429</v>
      </c>
      <c r="J191" s="55" t="s">
        <v>1429</v>
      </c>
      <c r="K191" s="56" t="s">
        <v>1429</v>
      </c>
      <c r="L191" s="54" t="s">
        <v>1429</v>
      </c>
      <c r="M191" s="55" t="s">
        <v>1590</v>
      </c>
      <c r="N191" s="55" t="s">
        <v>1429</v>
      </c>
      <c r="O191" s="55" t="s">
        <v>1429</v>
      </c>
      <c r="P191" s="56" t="s">
        <v>1429</v>
      </c>
      <c r="Q191" s="85"/>
      <c r="R191" s="85"/>
      <c r="S191" s="85"/>
      <c r="T191" s="85"/>
      <c r="U191" s="85"/>
      <c r="V191" s="146" t="s">
        <v>2098</v>
      </c>
      <c r="W191" s="51" t="s">
        <v>2073</v>
      </c>
      <c r="X191" s="130" t="s">
        <v>1429</v>
      </c>
      <c r="Y191" s="130" t="s">
        <v>1429</v>
      </c>
      <c r="Z191" s="51" t="s">
        <v>1928</v>
      </c>
      <c r="AA191" s="51" t="s">
        <v>1929</v>
      </c>
      <c r="AB191" s="51" t="s">
        <v>1476</v>
      </c>
      <c r="AC191" s="51" t="s">
        <v>1674</v>
      </c>
      <c r="AD191" s="175"/>
      <c r="AE191" s="66"/>
      <c r="AF191" s="61" t="str">
        <f t="shared" si="31"/>
        <v>PULL_UP</v>
      </c>
      <c r="AG191" s="61" t="str">
        <f t="shared" ref="AG191:AG247" si="35">IF($AR191="Input", "TRISTATE", IF($AS191="Z","TRISTATE",IF($AQ191=$F191,"TRISTATE","NORMAL")))</f>
        <v>TRISTATE</v>
      </c>
      <c r="AH191" s="61" t="str">
        <f t="shared" si="32"/>
        <v>ENABLE</v>
      </c>
      <c r="AI191" s="67" t="str">
        <f t="shared" si="28"/>
        <v>N/A</v>
      </c>
      <c r="AJ191" s="176" t="b">
        <v>1</v>
      </c>
      <c r="AK191" s="176" t="b">
        <v>1</v>
      </c>
      <c r="AL191" s="176" t="b">
        <v>1</v>
      </c>
      <c r="AM191" s="176" t="b">
        <v>1</v>
      </c>
      <c r="AN191" s="176" t="b">
        <v>1</v>
      </c>
      <c r="AO191" s="176" t="b">
        <v>1</v>
      </c>
      <c r="AP191" s="64" t="str">
        <f t="shared" si="34"/>
        <v>VALID</v>
      </c>
      <c r="AQ191" s="226" t="s">
        <v>154</v>
      </c>
      <c r="AR191" s="182" t="s">
        <v>3496</v>
      </c>
      <c r="AS191" s="181" t="s">
        <v>3497</v>
      </c>
      <c r="AT191" s="5"/>
      <c r="AU191" s="5"/>
      <c r="AV191" s="5"/>
      <c r="AW191" s="5"/>
      <c r="AX191" s="284"/>
      <c r="AY191" s="181"/>
      <c r="AZ191" s="181"/>
      <c r="BA191" s="7"/>
      <c r="BB191" s="212"/>
      <c r="BC191" s="10" t="s">
        <v>154</v>
      </c>
      <c r="BD191" s="238"/>
      <c r="BE191" s="239"/>
      <c r="BF191" s="239"/>
      <c r="BG191" s="239"/>
      <c r="BH191" s="239"/>
      <c r="BI191" s="239"/>
      <c r="BJ191" s="239"/>
      <c r="BK191" s="239"/>
      <c r="BL191" s="239"/>
      <c r="BM191" s="239"/>
      <c r="BN191" s="239"/>
      <c r="BO191" s="239"/>
      <c r="BP191" s="239"/>
      <c r="BQ191" s="239"/>
      <c r="BR191" s="239"/>
      <c r="BS191" s="239"/>
      <c r="BT191" s="239"/>
      <c r="BU191" s="239"/>
      <c r="BV191" s="239"/>
      <c r="BW191" s="239"/>
      <c r="BX191" s="239"/>
      <c r="BY191" s="239"/>
      <c r="BZ191" s="239"/>
      <c r="CA191" s="239"/>
      <c r="CB191" s="239"/>
      <c r="CC191" s="239"/>
      <c r="CD191" s="239"/>
      <c r="CE191" s="239"/>
    </row>
    <row r="192" spans="1:83" s="50" customFormat="1" ht="18" customHeight="1">
      <c r="A192" s="171" t="s">
        <v>954</v>
      </c>
      <c r="B192" s="171"/>
      <c r="C192" s="171"/>
      <c r="D192" s="69"/>
      <c r="E192" s="69"/>
      <c r="F192" s="69"/>
      <c r="G192" s="70"/>
      <c r="H192" s="70"/>
      <c r="I192" s="70"/>
      <c r="J192" s="70"/>
      <c r="K192" s="70"/>
      <c r="L192" s="69"/>
      <c r="M192" s="69"/>
      <c r="N192" s="69"/>
      <c r="O192" s="69"/>
      <c r="P192" s="69"/>
      <c r="Q192" s="69"/>
      <c r="R192" s="69"/>
      <c r="S192" s="69"/>
      <c r="T192" s="69"/>
      <c r="U192" s="69"/>
      <c r="V192" s="69"/>
      <c r="W192" s="69"/>
      <c r="X192" s="69"/>
      <c r="Y192" s="69"/>
      <c r="Z192" s="69"/>
      <c r="AA192" s="69"/>
      <c r="AB192" s="69"/>
      <c r="AC192" s="69"/>
      <c r="AD192" s="69"/>
      <c r="AE192" s="69"/>
      <c r="AF192" s="71"/>
      <c r="AG192" s="71"/>
      <c r="AH192" s="71"/>
      <c r="AI192" s="71"/>
      <c r="AJ192" s="47" t="b">
        <v>0</v>
      </c>
      <c r="AK192" s="47"/>
      <c r="AL192" s="47"/>
      <c r="AM192" s="47"/>
      <c r="AN192" s="47"/>
      <c r="AO192" s="47"/>
      <c r="AP192" s="47"/>
      <c r="AQ192" s="72"/>
      <c r="AR192" s="72"/>
      <c r="AS192" s="73"/>
      <c r="AT192" s="73"/>
      <c r="AU192" s="73"/>
      <c r="AV192" s="73"/>
      <c r="AW192" s="73"/>
      <c r="AX192" s="288"/>
      <c r="AY192" s="73"/>
      <c r="AZ192" s="73"/>
      <c r="BA192" s="73"/>
      <c r="BB192" s="168" t="s">
        <v>49</v>
      </c>
      <c r="BC192" s="172"/>
      <c r="BD192" s="169"/>
      <c r="BE192" s="308"/>
      <c r="BF192" s="243"/>
      <c r="BG192" s="243"/>
      <c r="BH192" s="243"/>
      <c r="BI192" s="243"/>
      <c r="BJ192" s="243"/>
      <c r="BK192" s="243"/>
      <c r="BL192" s="243"/>
      <c r="BM192" s="243"/>
      <c r="BN192" s="243"/>
      <c r="BO192" s="243"/>
      <c r="BP192" s="243"/>
      <c r="BQ192" s="243"/>
      <c r="BR192" s="243"/>
      <c r="BS192" s="243"/>
      <c r="BT192" s="243"/>
      <c r="BU192" s="243"/>
      <c r="BV192" s="243"/>
      <c r="BW192" s="243"/>
      <c r="BX192" s="243"/>
      <c r="BY192" s="243"/>
      <c r="BZ192" s="243"/>
      <c r="CA192" s="243"/>
      <c r="CB192" s="243"/>
      <c r="CC192" s="243"/>
      <c r="CD192" s="243"/>
      <c r="CE192" s="243"/>
    </row>
    <row r="193" spans="1:83" ht="12.95" customHeight="1">
      <c r="A193" s="21" t="s">
        <v>309</v>
      </c>
      <c r="B193" s="21" t="s">
        <v>2287</v>
      </c>
      <c r="C193" s="51" t="s">
        <v>306</v>
      </c>
      <c r="D193" s="52" t="s">
        <v>2099</v>
      </c>
      <c r="E193" s="52" t="s">
        <v>1873</v>
      </c>
      <c r="F193" s="53" t="s">
        <v>549</v>
      </c>
      <c r="G193" s="179"/>
      <c r="H193" s="180" t="s">
        <v>1553</v>
      </c>
      <c r="I193" s="55" t="s">
        <v>1429</v>
      </c>
      <c r="J193" s="55" t="s">
        <v>1429</v>
      </c>
      <c r="K193" s="56" t="s">
        <v>1429</v>
      </c>
      <c r="L193" s="54" t="s">
        <v>1580</v>
      </c>
      <c r="M193" s="55" t="s">
        <v>1581</v>
      </c>
      <c r="N193" s="55" t="s">
        <v>1429</v>
      </c>
      <c r="O193" s="55" t="s">
        <v>1429</v>
      </c>
      <c r="P193" s="56" t="s">
        <v>1429</v>
      </c>
      <c r="Q193" s="6" t="s">
        <v>166</v>
      </c>
      <c r="R193" s="52" t="s">
        <v>113</v>
      </c>
      <c r="S193" s="52" t="s">
        <v>99</v>
      </c>
      <c r="T193" s="52" t="s">
        <v>100</v>
      </c>
      <c r="U193" s="57" t="s">
        <v>113</v>
      </c>
      <c r="V193" s="146" t="s">
        <v>2100</v>
      </c>
      <c r="W193" s="51" t="s">
        <v>2101</v>
      </c>
      <c r="X193" s="130" t="s">
        <v>2102</v>
      </c>
      <c r="Y193" s="130" t="s">
        <v>2103</v>
      </c>
      <c r="Z193" s="51" t="s">
        <v>1585</v>
      </c>
      <c r="AA193" s="51" t="s">
        <v>1893</v>
      </c>
      <c r="AB193" s="51" t="s">
        <v>1435</v>
      </c>
      <c r="AC193" s="51" t="s">
        <v>1587</v>
      </c>
      <c r="AD193" s="59" t="str">
        <f t="shared" si="30"/>
        <v>UARTC</v>
      </c>
      <c r="AE193" s="66"/>
      <c r="AF193" s="61" t="str">
        <f t="shared" si="31"/>
        <v>NORMAL</v>
      </c>
      <c r="AG193" s="61" t="str">
        <f t="shared" si="35"/>
        <v>NORMAL</v>
      </c>
      <c r="AH193" s="61" t="str">
        <f t="shared" si="32"/>
        <v>DISABLE</v>
      </c>
      <c r="AI193" s="67" t="str">
        <f t="shared" si="28"/>
        <v>N/A</v>
      </c>
      <c r="AJ193" s="176" t="b">
        <v>1</v>
      </c>
      <c r="AK193" s="176" t="b">
        <v>1</v>
      </c>
      <c r="AL193" s="176" t="b">
        <v>1</v>
      </c>
      <c r="AM193" s="176" t="b">
        <v>1</v>
      </c>
      <c r="AN193" s="176" t="b">
        <v>1</v>
      </c>
      <c r="AO193" s="176" t="b">
        <v>1</v>
      </c>
      <c r="AP193" s="64" t="str">
        <f t="shared" ref="AP193:AP224" si="36">IF(AND($AJ193:$AO193), "VALID", "INVALID")</f>
        <v>VALID</v>
      </c>
      <c r="AQ193" s="227" t="s">
        <v>1553</v>
      </c>
      <c r="AR193" s="182" t="s">
        <v>3495</v>
      </c>
      <c r="AS193" s="181"/>
      <c r="AT193" s="181" t="s">
        <v>104</v>
      </c>
      <c r="AU193" s="5"/>
      <c r="AV193" s="5"/>
      <c r="AW193" s="181" t="s">
        <v>125</v>
      </c>
      <c r="AX193" s="284"/>
      <c r="AY193" s="181"/>
      <c r="AZ193" s="181"/>
      <c r="BA193" s="7"/>
      <c r="BB193" s="212"/>
      <c r="BC193" s="10" t="s">
        <v>3519</v>
      </c>
      <c r="BD193" s="238"/>
      <c r="BE193" s="239"/>
      <c r="BF193" s="239"/>
      <c r="BG193" s="239"/>
      <c r="BH193" s="239"/>
      <c r="BI193" s="239"/>
      <c r="BJ193" s="239"/>
      <c r="BK193" s="239"/>
      <c r="BL193" s="239"/>
      <c r="BM193" s="239"/>
      <c r="BN193" s="239"/>
      <c r="BO193" s="239"/>
      <c r="BP193" s="239"/>
      <c r="BQ193" s="239"/>
      <c r="BR193" s="239"/>
      <c r="BS193" s="239"/>
      <c r="BT193" s="239"/>
      <c r="BU193" s="239"/>
      <c r="BV193" s="239"/>
      <c r="BW193" s="239"/>
      <c r="BX193" s="239"/>
      <c r="BY193" s="239"/>
      <c r="BZ193" s="239"/>
      <c r="CA193" s="239"/>
      <c r="CB193" s="239"/>
      <c r="CC193" s="239"/>
      <c r="CD193" s="239"/>
      <c r="CE193" s="239"/>
    </row>
    <row r="194" spans="1:83" ht="12.95" customHeight="1">
      <c r="A194" s="21" t="s">
        <v>310</v>
      </c>
      <c r="B194" s="21" t="s">
        <v>2426</v>
      </c>
      <c r="C194" s="51" t="s">
        <v>307</v>
      </c>
      <c r="D194" s="52" t="s">
        <v>2104</v>
      </c>
      <c r="E194" s="52" t="s">
        <v>1863</v>
      </c>
      <c r="F194" s="53" t="s">
        <v>550</v>
      </c>
      <c r="G194" s="179"/>
      <c r="H194" s="180" t="s">
        <v>1554</v>
      </c>
      <c r="I194" s="55" t="s">
        <v>1429</v>
      </c>
      <c r="J194" s="55" t="s">
        <v>1429</v>
      </c>
      <c r="K194" s="56" t="s">
        <v>1429</v>
      </c>
      <c r="L194" s="54" t="s">
        <v>1580</v>
      </c>
      <c r="M194" s="55" t="s">
        <v>1590</v>
      </c>
      <c r="N194" s="55" t="s">
        <v>1429</v>
      </c>
      <c r="O194" s="55" t="s">
        <v>1429</v>
      </c>
      <c r="P194" s="56" t="s">
        <v>1429</v>
      </c>
      <c r="Q194" s="6" t="s">
        <v>166</v>
      </c>
      <c r="R194" s="52" t="s">
        <v>113</v>
      </c>
      <c r="S194" s="52" t="s">
        <v>99</v>
      </c>
      <c r="T194" s="52" t="s">
        <v>100</v>
      </c>
      <c r="U194" s="57" t="s">
        <v>113</v>
      </c>
      <c r="V194" s="146" t="s">
        <v>2105</v>
      </c>
      <c r="W194" s="51" t="s">
        <v>2101</v>
      </c>
      <c r="X194" s="130" t="s">
        <v>1429</v>
      </c>
      <c r="Y194" s="130" t="s">
        <v>1429</v>
      </c>
      <c r="Z194" s="51" t="s">
        <v>1585</v>
      </c>
      <c r="AA194" s="51" t="s">
        <v>1893</v>
      </c>
      <c r="AB194" s="51" t="s">
        <v>1435</v>
      </c>
      <c r="AC194" s="51" t="s">
        <v>1674</v>
      </c>
      <c r="AD194" s="59" t="str">
        <f t="shared" si="30"/>
        <v>UARTC</v>
      </c>
      <c r="AE194" s="66"/>
      <c r="AF194" s="61" t="str">
        <f t="shared" si="31"/>
        <v>PULL_UP</v>
      </c>
      <c r="AG194" s="61" t="str">
        <f t="shared" si="35"/>
        <v>TRISTATE</v>
      </c>
      <c r="AH194" s="61" t="str">
        <f t="shared" si="32"/>
        <v>ENABLE</v>
      </c>
      <c r="AI194" s="67" t="str">
        <f t="shared" si="28"/>
        <v>N/A</v>
      </c>
      <c r="AJ194" s="176" t="b">
        <v>1</v>
      </c>
      <c r="AK194" s="176" t="b">
        <v>1</v>
      </c>
      <c r="AL194" s="176" t="b">
        <v>1</v>
      </c>
      <c r="AM194" s="176" t="b">
        <v>1</v>
      </c>
      <c r="AN194" s="176" t="b">
        <v>1</v>
      </c>
      <c r="AO194" s="176" t="b">
        <v>1</v>
      </c>
      <c r="AP194" s="64" t="str">
        <f t="shared" si="36"/>
        <v>VALID</v>
      </c>
      <c r="AQ194" s="227" t="s">
        <v>1554</v>
      </c>
      <c r="AR194" s="182" t="s">
        <v>3496</v>
      </c>
      <c r="AS194" s="181" t="s">
        <v>3497</v>
      </c>
      <c r="AT194" s="5"/>
      <c r="AU194" s="5"/>
      <c r="AV194" s="5"/>
      <c r="AW194" s="181" t="s">
        <v>125</v>
      </c>
      <c r="AX194" s="284"/>
      <c r="AY194" s="181"/>
      <c r="AZ194" s="181"/>
      <c r="BA194" s="7"/>
      <c r="BB194" s="212"/>
      <c r="BC194" s="10" t="s">
        <v>3519</v>
      </c>
      <c r="BD194" s="238"/>
      <c r="BE194" s="239"/>
      <c r="BF194" s="239"/>
      <c r="BG194" s="239"/>
      <c r="BH194" s="239"/>
      <c r="BI194" s="239"/>
      <c r="BJ194" s="239"/>
      <c r="BK194" s="239"/>
      <c r="BL194" s="239"/>
      <c r="BM194" s="239"/>
      <c r="BN194" s="239"/>
      <c r="BO194" s="239"/>
      <c r="BP194" s="239"/>
      <c r="BQ194" s="239"/>
      <c r="BR194" s="239"/>
      <c r="BS194" s="239"/>
      <c r="BT194" s="239"/>
      <c r="BU194" s="239"/>
      <c r="BV194" s="239"/>
      <c r="BW194" s="239"/>
      <c r="BX194" s="239"/>
      <c r="BY194" s="239"/>
      <c r="BZ194" s="239"/>
      <c r="CA194" s="239"/>
      <c r="CB194" s="239"/>
      <c r="CC194" s="239"/>
      <c r="CD194" s="239"/>
      <c r="CE194" s="239"/>
    </row>
    <row r="195" spans="1:83" ht="12.95" customHeight="1">
      <c r="A195" s="21" t="s">
        <v>3472</v>
      </c>
      <c r="B195" s="21" t="s">
        <v>2301</v>
      </c>
      <c r="C195" s="51" t="s">
        <v>281</v>
      </c>
      <c r="D195" s="52" t="s">
        <v>2106</v>
      </c>
      <c r="E195" s="52" t="s">
        <v>1882</v>
      </c>
      <c r="F195" s="53" t="s">
        <v>551</v>
      </c>
      <c r="G195" s="179"/>
      <c r="H195" s="180" t="s">
        <v>2107</v>
      </c>
      <c r="I195" s="55" t="s">
        <v>1429</v>
      </c>
      <c r="J195" s="55" t="s">
        <v>1429</v>
      </c>
      <c r="K195" s="56" t="s">
        <v>1429</v>
      </c>
      <c r="L195" s="54" t="s">
        <v>1580</v>
      </c>
      <c r="M195" s="55" t="s">
        <v>1581</v>
      </c>
      <c r="N195" s="55" t="s">
        <v>1429</v>
      </c>
      <c r="O195" s="55" t="s">
        <v>1429</v>
      </c>
      <c r="P195" s="56" t="s">
        <v>1429</v>
      </c>
      <c r="Q195" s="6" t="s">
        <v>166</v>
      </c>
      <c r="R195" s="52" t="s">
        <v>113</v>
      </c>
      <c r="S195" s="52" t="s">
        <v>99</v>
      </c>
      <c r="T195" s="52" t="s">
        <v>100</v>
      </c>
      <c r="U195" s="57" t="s">
        <v>113</v>
      </c>
      <c r="V195" s="146" t="s">
        <v>2108</v>
      </c>
      <c r="W195" s="51" t="s">
        <v>2101</v>
      </c>
      <c r="X195" s="130" t="s">
        <v>1429</v>
      </c>
      <c r="Y195" s="130" t="s">
        <v>1429</v>
      </c>
      <c r="Z195" s="51" t="s">
        <v>1585</v>
      </c>
      <c r="AA195" s="51" t="s">
        <v>1893</v>
      </c>
      <c r="AB195" s="51" t="s">
        <v>1435</v>
      </c>
      <c r="AC195" s="51" t="s">
        <v>1587</v>
      </c>
      <c r="AD195" s="59" t="str">
        <f t="shared" si="30"/>
        <v>UARTC</v>
      </c>
      <c r="AE195" s="66"/>
      <c r="AF195" s="61" t="str">
        <f t="shared" si="31"/>
        <v>NORMAL</v>
      </c>
      <c r="AG195" s="61" t="str">
        <f t="shared" si="35"/>
        <v>NORMAL</v>
      </c>
      <c r="AH195" s="61" t="str">
        <f t="shared" si="32"/>
        <v>DISABLE</v>
      </c>
      <c r="AI195" s="67" t="str">
        <f t="shared" si="28"/>
        <v>N/A</v>
      </c>
      <c r="AJ195" s="176" t="b">
        <v>1</v>
      </c>
      <c r="AK195" s="176" t="b">
        <v>1</v>
      </c>
      <c r="AL195" s="176" t="b">
        <v>1</v>
      </c>
      <c r="AM195" s="176" t="b">
        <v>1</v>
      </c>
      <c r="AN195" s="176" t="b">
        <v>1</v>
      </c>
      <c r="AO195" s="176" t="b">
        <v>1</v>
      </c>
      <c r="AP195" s="64" t="str">
        <f t="shared" si="36"/>
        <v>VALID</v>
      </c>
      <c r="AQ195" s="227" t="s">
        <v>2107</v>
      </c>
      <c r="AR195" s="182" t="s">
        <v>3495</v>
      </c>
      <c r="AS195" s="181"/>
      <c r="AT195" s="5"/>
      <c r="AU195" s="5"/>
      <c r="AV195" s="5"/>
      <c r="AW195" s="181" t="s">
        <v>125</v>
      </c>
      <c r="AX195" s="284"/>
      <c r="AY195" s="181"/>
      <c r="AZ195" s="181"/>
      <c r="BA195" s="7"/>
      <c r="BB195" s="212"/>
      <c r="BC195" s="10" t="s">
        <v>3519</v>
      </c>
      <c r="BD195" s="238"/>
      <c r="BE195" s="239"/>
      <c r="BF195" s="239"/>
      <c r="BG195" s="239"/>
      <c r="BH195" s="239"/>
      <c r="BI195" s="239"/>
      <c r="BJ195" s="239"/>
      <c r="BK195" s="239"/>
      <c r="BL195" s="239"/>
      <c r="BM195" s="239"/>
      <c r="BN195" s="239"/>
      <c r="BO195" s="239"/>
      <c r="BP195" s="239"/>
      <c r="BQ195" s="239"/>
      <c r="BR195" s="239"/>
      <c r="BS195" s="239"/>
      <c r="BT195" s="239"/>
      <c r="BU195" s="239"/>
      <c r="BV195" s="239"/>
      <c r="BW195" s="239"/>
      <c r="BX195" s="239"/>
      <c r="BY195" s="239"/>
      <c r="BZ195" s="239"/>
      <c r="CA195" s="239"/>
      <c r="CB195" s="239"/>
      <c r="CC195" s="239"/>
      <c r="CD195" s="239"/>
      <c r="CE195" s="239"/>
    </row>
    <row r="196" spans="1:83" ht="12.95" customHeight="1">
      <c r="A196" s="21" t="s">
        <v>3473</v>
      </c>
      <c r="B196" s="21" t="s">
        <v>3589</v>
      </c>
      <c r="C196" s="51" t="s">
        <v>280</v>
      </c>
      <c r="D196" s="52" t="s">
        <v>2109</v>
      </c>
      <c r="E196" s="52" t="s">
        <v>1867</v>
      </c>
      <c r="F196" s="53" t="s">
        <v>552</v>
      </c>
      <c r="G196" s="179"/>
      <c r="H196" s="180" t="s">
        <v>2110</v>
      </c>
      <c r="I196" s="55" t="s">
        <v>1429</v>
      </c>
      <c r="J196" s="55" t="s">
        <v>1429</v>
      </c>
      <c r="K196" s="56" t="s">
        <v>1429</v>
      </c>
      <c r="L196" s="54" t="s">
        <v>1580</v>
      </c>
      <c r="M196" s="55" t="s">
        <v>1590</v>
      </c>
      <c r="N196" s="55" t="s">
        <v>1429</v>
      </c>
      <c r="O196" s="55" t="s">
        <v>1429</v>
      </c>
      <c r="P196" s="56" t="s">
        <v>1429</v>
      </c>
      <c r="Q196" s="6" t="s">
        <v>166</v>
      </c>
      <c r="R196" s="52" t="s">
        <v>113</v>
      </c>
      <c r="S196" s="52" t="s">
        <v>99</v>
      </c>
      <c r="T196" s="52" t="s">
        <v>100</v>
      </c>
      <c r="U196" s="57" t="s">
        <v>113</v>
      </c>
      <c r="V196" s="146" t="s">
        <v>2111</v>
      </c>
      <c r="W196" s="51" t="s">
        <v>2101</v>
      </c>
      <c r="X196" s="130" t="s">
        <v>2112</v>
      </c>
      <c r="Y196" s="130" t="s">
        <v>1429</v>
      </c>
      <c r="Z196" s="51" t="s">
        <v>1585</v>
      </c>
      <c r="AA196" s="51" t="s">
        <v>1893</v>
      </c>
      <c r="AB196" s="51" t="s">
        <v>1435</v>
      </c>
      <c r="AC196" s="51" t="s">
        <v>1587</v>
      </c>
      <c r="AD196" s="59" t="str">
        <f t="shared" si="30"/>
        <v>UARTC</v>
      </c>
      <c r="AE196" s="66"/>
      <c r="AF196" s="61" t="str">
        <f t="shared" si="31"/>
        <v>PULL_UP</v>
      </c>
      <c r="AG196" s="61" t="str">
        <f t="shared" si="35"/>
        <v>TRISTATE</v>
      </c>
      <c r="AH196" s="61" t="str">
        <f t="shared" si="32"/>
        <v>ENABLE</v>
      </c>
      <c r="AI196" s="67" t="str">
        <f t="shared" si="28"/>
        <v>N/A</v>
      </c>
      <c r="AJ196" s="176" t="b">
        <v>1</v>
      </c>
      <c r="AK196" s="176" t="b">
        <v>1</v>
      </c>
      <c r="AL196" s="176" t="b">
        <v>1</v>
      </c>
      <c r="AM196" s="176" t="b">
        <v>1</v>
      </c>
      <c r="AN196" s="176" t="b">
        <v>1</v>
      </c>
      <c r="AO196" s="176" t="b">
        <v>1</v>
      </c>
      <c r="AP196" s="64" t="str">
        <f t="shared" si="36"/>
        <v>VALID</v>
      </c>
      <c r="AQ196" s="227" t="s">
        <v>2110</v>
      </c>
      <c r="AR196" s="182" t="s">
        <v>3496</v>
      </c>
      <c r="AS196" s="181" t="s">
        <v>3497</v>
      </c>
      <c r="AT196" s="181" t="s">
        <v>104</v>
      </c>
      <c r="AU196" s="5"/>
      <c r="AV196" s="5"/>
      <c r="AW196" s="181" t="s">
        <v>125</v>
      </c>
      <c r="AX196" s="284"/>
      <c r="AY196" s="181"/>
      <c r="AZ196" s="181"/>
      <c r="BA196" s="7"/>
      <c r="BB196" s="212"/>
      <c r="BC196" s="10" t="s">
        <v>3519</v>
      </c>
      <c r="BD196" s="238"/>
      <c r="BE196" s="239"/>
      <c r="BF196" s="239"/>
      <c r="BG196" s="239"/>
      <c r="BH196" s="239"/>
      <c r="BI196" s="239"/>
      <c r="BJ196" s="239"/>
      <c r="BK196" s="239"/>
      <c r="BL196" s="239"/>
      <c r="BM196" s="239"/>
      <c r="BN196" s="239"/>
      <c r="BO196" s="239"/>
      <c r="BP196" s="239"/>
      <c r="BQ196" s="239"/>
      <c r="BR196" s="239"/>
      <c r="BS196" s="239"/>
      <c r="BT196" s="239"/>
      <c r="BU196" s="239"/>
      <c r="BV196" s="239"/>
      <c r="BW196" s="239"/>
      <c r="BX196" s="239"/>
      <c r="BY196" s="239"/>
      <c r="BZ196" s="239"/>
      <c r="CA196" s="239"/>
      <c r="CB196" s="239"/>
      <c r="CC196" s="239"/>
      <c r="CD196" s="239"/>
      <c r="CE196" s="239"/>
    </row>
    <row r="197" spans="1:83" ht="12.95" customHeight="1">
      <c r="A197" s="21" t="s">
        <v>3474</v>
      </c>
      <c r="B197" s="21" t="s">
        <v>2302</v>
      </c>
      <c r="C197" s="51" t="s">
        <v>955</v>
      </c>
      <c r="D197" s="52" t="s">
        <v>2113</v>
      </c>
      <c r="E197" s="52" t="s">
        <v>2114</v>
      </c>
      <c r="F197" s="53" t="s">
        <v>1275</v>
      </c>
      <c r="G197" s="179"/>
      <c r="H197" s="180" t="s">
        <v>1555</v>
      </c>
      <c r="I197" s="55" t="s">
        <v>1429</v>
      </c>
      <c r="J197" s="55" t="s">
        <v>1429</v>
      </c>
      <c r="K197" s="56" t="s">
        <v>1429</v>
      </c>
      <c r="L197" s="54" t="s">
        <v>1580</v>
      </c>
      <c r="M197" s="55" t="s">
        <v>1580</v>
      </c>
      <c r="N197" s="55" t="s">
        <v>1429</v>
      </c>
      <c r="O197" s="55" t="s">
        <v>1429</v>
      </c>
      <c r="P197" s="56" t="s">
        <v>1429</v>
      </c>
      <c r="Q197" s="6" t="s">
        <v>1371</v>
      </c>
      <c r="R197" s="52" t="s">
        <v>113</v>
      </c>
      <c r="S197" s="52" t="s">
        <v>99</v>
      </c>
      <c r="T197" s="52" t="s">
        <v>100</v>
      </c>
      <c r="U197" s="57" t="s">
        <v>113</v>
      </c>
      <c r="V197" s="146" t="s">
        <v>2115</v>
      </c>
      <c r="W197" s="51" t="s">
        <v>2101</v>
      </c>
      <c r="X197" s="130" t="s">
        <v>1429</v>
      </c>
      <c r="Y197" s="130" t="s">
        <v>1429</v>
      </c>
      <c r="Z197" s="51" t="s">
        <v>1631</v>
      </c>
      <c r="AA197" s="51" t="s">
        <v>1941</v>
      </c>
      <c r="AB197" s="51" t="s">
        <v>1435</v>
      </c>
      <c r="AC197" s="51" t="s">
        <v>1633</v>
      </c>
      <c r="AD197" s="59" t="str">
        <f t="shared" si="30"/>
        <v>I2C8</v>
      </c>
      <c r="AE197" s="66"/>
      <c r="AF197" s="61" t="str">
        <f t="shared" si="31"/>
        <v>NORMAL</v>
      </c>
      <c r="AG197" s="61" t="str">
        <f t="shared" si="35"/>
        <v>NORMAL</v>
      </c>
      <c r="AH197" s="61" t="str">
        <f t="shared" si="32"/>
        <v>ENABLE</v>
      </c>
      <c r="AI197" s="67" t="str">
        <f t="shared" si="28"/>
        <v>N/A</v>
      </c>
      <c r="AJ197" s="176" t="b">
        <v>1</v>
      </c>
      <c r="AK197" s="176" t="b">
        <v>1</v>
      </c>
      <c r="AL197" s="176" t="b">
        <v>1</v>
      </c>
      <c r="AM197" s="176" t="b">
        <v>1</v>
      </c>
      <c r="AN197" s="176" t="b">
        <v>1</v>
      </c>
      <c r="AO197" s="176" t="b">
        <v>1</v>
      </c>
      <c r="AP197" s="64" t="str">
        <f t="shared" si="36"/>
        <v>VALID</v>
      </c>
      <c r="AQ197" s="226" t="s">
        <v>1555</v>
      </c>
      <c r="AR197" s="182" t="s">
        <v>3501</v>
      </c>
      <c r="AS197" s="181"/>
      <c r="AT197" s="5"/>
      <c r="AU197" s="5"/>
      <c r="AV197" s="181" t="s">
        <v>125</v>
      </c>
      <c r="AW197" s="181" t="s">
        <v>125</v>
      </c>
      <c r="AX197" s="284"/>
      <c r="AY197" s="181" t="s">
        <v>67</v>
      </c>
      <c r="AZ197" s="181"/>
      <c r="BA197" s="7"/>
      <c r="BB197" s="212"/>
      <c r="BC197" s="10" t="s">
        <v>3474</v>
      </c>
      <c r="BD197" s="238"/>
      <c r="BE197" s="239"/>
      <c r="BF197" s="239"/>
      <c r="BG197" s="239"/>
      <c r="BH197" s="239"/>
      <c r="BI197" s="239"/>
      <c r="BJ197" s="239"/>
      <c r="BK197" s="239"/>
      <c r="BL197" s="239"/>
      <c r="BM197" s="239"/>
      <c r="BN197" s="239"/>
      <c r="BO197" s="239"/>
      <c r="BP197" s="239"/>
      <c r="BQ197" s="239"/>
      <c r="BR197" s="239"/>
      <c r="BS197" s="239"/>
      <c r="BT197" s="239"/>
      <c r="BU197" s="239"/>
      <c r="BV197" s="239"/>
      <c r="BW197" s="239"/>
      <c r="BX197" s="239"/>
      <c r="BY197" s="239"/>
      <c r="BZ197" s="239"/>
      <c r="CA197" s="239"/>
      <c r="CB197" s="239"/>
      <c r="CC197" s="239"/>
      <c r="CD197" s="239"/>
      <c r="CE197" s="239"/>
    </row>
    <row r="198" spans="1:83" ht="12.95" customHeight="1">
      <c r="A198" s="21" t="s">
        <v>3475</v>
      </c>
      <c r="B198" s="21" t="s">
        <v>2305</v>
      </c>
      <c r="C198" s="51" t="s">
        <v>956</v>
      </c>
      <c r="D198" s="52" t="s">
        <v>2116</v>
      </c>
      <c r="E198" s="52" t="s">
        <v>2117</v>
      </c>
      <c r="F198" s="53" t="s">
        <v>1276</v>
      </c>
      <c r="G198" s="179"/>
      <c r="H198" s="180" t="s">
        <v>1556</v>
      </c>
      <c r="I198" s="55" t="s">
        <v>1429</v>
      </c>
      <c r="J198" s="55" t="s">
        <v>1429</v>
      </c>
      <c r="K198" s="56" t="s">
        <v>1429</v>
      </c>
      <c r="L198" s="54" t="s">
        <v>1580</v>
      </c>
      <c r="M198" s="55" t="s">
        <v>1580</v>
      </c>
      <c r="N198" s="55" t="s">
        <v>1429</v>
      </c>
      <c r="O198" s="55" t="s">
        <v>1429</v>
      </c>
      <c r="P198" s="56" t="s">
        <v>1429</v>
      </c>
      <c r="Q198" s="52" t="s">
        <v>1371</v>
      </c>
      <c r="R198" s="52" t="s">
        <v>113</v>
      </c>
      <c r="S198" s="52" t="s">
        <v>99</v>
      </c>
      <c r="T198" s="52" t="s">
        <v>100</v>
      </c>
      <c r="U198" s="52" t="s">
        <v>113</v>
      </c>
      <c r="V198" s="146" t="s">
        <v>2118</v>
      </c>
      <c r="W198" s="51" t="s">
        <v>2101</v>
      </c>
      <c r="X198" s="130" t="s">
        <v>2119</v>
      </c>
      <c r="Y198" s="130" t="s">
        <v>1429</v>
      </c>
      <c r="Z198" s="51" t="s">
        <v>1631</v>
      </c>
      <c r="AA198" s="51" t="s">
        <v>1941</v>
      </c>
      <c r="AB198" s="51" t="s">
        <v>1435</v>
      </c>
      <c r="AC198" s="51" t="s">
        <v>1633</v>
      </c>
      <c r="AD198" s="59" t="str">
        <f t="shared" si="30"/>
        <v>I2C8</v>
      </c>
      <c r="AE198" s="66"/>
      <c r="AF198" s="61" t="str">
        <f t="shared" si="31"/>
        <v>NORMAL</v>
      </c>
      <c r="AG198" s="61" t="str">
        <f t="shared" si="35"/>
        <v>NORMAL</v>
      </c>
      <c r="AH198" s="61" t="str">
        <f t="shared" si="32"/>
        <v>ENABLE</v>
      </c>
      <c r="AI198" s="67" t="str">
        <f t="shared" si="28"/>
        <v>N/A</v>
      </c>
      <c r="AJ198" s="176" t="b">
        <v>1</v>
      </c>
      <c r="AK198" s="176" t="b">
        <v>1</v>
      </c>
      <c r="AL198" s="176" t="b">
        <v>1</v>
      </c>
      <c r="AM198" s="176" t="b">
        <v>1</v>
      </c>
      <c r="AN198" s="176" t="b">
        <v>1</v>
      </c>
      <c r="AO198" s="176" t="b">
        <v>1</v>
      </c>
      <c r="AP198" s="64" t="str">
        <f t="shared" si="36"/>
        <v>VALID</v>
      </c>
      <c r="AQ198" s="226" t="s">
        <v>1556</v>
      </c>
      <c r="AR198" s="182" t="s">
        <v>3501</v>
      </c>
      <c r="AS198" s="181"/>
      <c r="AT198" s="181" t="s">
        <v>104</v>
      </c>
      <c r="AU198" s="5"/>
      <c r="AV198" s="181" t="s">
        <v>125</v>
      </c>
      <c r="AW198" s="181" t="s">
        <v>125</v>
      </c>
      <c r="AX198" s="284"/>
      <c r="AY198" s="181" t="s">
        <v>67</v>
      </c>
      <c r="AZ198" s="181"/>
      <c r="BA198" s="7"/>
      <c r="BB198" s="212"/>
      <c r="BC198" s="10" t="s">
        <v>3475</v>
      </c>
      <c r="BD198" s="238"/>
      <c r="BE198" s="239"/>
      <c r="BF198" s="239"/>
      <c r="BG198" s="239"/>
      <c r="BH198" s="239"/>
      <c r="BI198" s="239"/>
      <c r="BJ198" s="239"/>
      <c r="BK198" s="239"/>
      <c r="BL198" s="239"/>
      <c r="BM198" s="239"/>
      <c r="BN198" s="239"/>
      <c r="BO198" s="239"/>
      <c r="BP198" s="239"/>
      <c r="BQ198" s="239"/>
      <c r="BR198" s="239"/>
      <c r="BS198" s="239"/>
      <c r="BT198" s="239"/>
      <c r="BU198" s="239"/>
      <c r="BV198" s="239"/>
      <c r="BW198" s="239"/>
      <c r="BX198" s="239"/>
      <c r="BY198" s="239"/>
      <c r="BZ198" s="239"/>
      <c r="CA198" s="239"/>
      <c r="CB198" s="239"/>
      <c r="CC198" s="239"/>
      <c r="CD198" s="239"/>
      <c r="CE198" s="239"/>
    </row>
    <row r="199" spans="1:83" ht="12.95" customHeight="1">
      <c r="A199" s="206" t="s">
        <v>957</v>
      </c>
      <c r="B199" s="206" t="s">
        <v>2292</v>
      </c>
      <c r="C199" s="51" t="s">
        <v>957</v>
      </c>
      <c r="D199" s="52" t="s">
        <v>2120</v>
      </c>
      <c r="E199" s="52" t="s">
        <v>2104</v>
      </c>
      <c r="F199" s="53" t="s">
        <v>1277</v>
      </c>
      <c r="G199" s="179" t="s">
        <v>2121</v>
      </c>
      <c r="H199" s="180" t="s">
        <v>1557</v>
      </c>
      <c r="I199" s="55" t="s">
        <v>1429</v>
      </c>
      <c r="J199" s="55" t="s">
        <v>1429</v>
      </c>
      <c r="K199" s="56" t="s">
        <v>1429</v>
      </c>
      <c r="L199" s="54" t="s">
        <v>1580</v>
      </c>
      <c r="M199" s="55" t="s">
        <v>1581</v>
      </c>
      <c r="N199" s="55" t="s">
        <v>1429</v>
      </c>
      <c r="O199" s="55" t="s">
        <v>1429</v>
      </c>
      <c r="P199" s="56" t="s">
        <v>1429</v>
      </c>
      <c r="Q199" s="52" t="s">
        <v>1372</v>
      </c>
      <c r="R199" s="52" t="s">
        <v>113</v>
      </c>
      <c r="S199" s="52" t="s">
        <v>99</v>
      </c>
      <c r="T199" s="52" t="s">
        <v>100</v>
      </c>
      <c r="U199" s="52" t="s">
        <v>113</v>
      </c>
      <c r="V199" s="146" t="s">
        <v>2122</v>
      </c>
      <c r="W199" s="51" t="s">
        <v>2101</v>
      </c>
      <c r="X199" s="130" t="s">
        <v>1429</v>
      </c>
      <c r="Y199" s="130" t="s">
        <v>2123</v>
      </c>
      <c r="Z199" s="51" t="s">
        <v>1585</v>
      </c>
      <c r="AA199" s="51" t="s">
        <v>1893</v>
      </c>
      <c r="AB199" s="51" t="s">
        <v>1435</v>
      </c>
      <c r="AC199" s="51" t="s">
        <v>1587</v>
      </c>
      <c r="AD199" s="59" t="str">
        <f t="shared" si="30"/>
        <v>UARTG</v>
      </c>
      <c r="AE199" s="66"/>
      <c r="AF199" s="61" t="str">
        <f t="shared" si="31"/>
        <v>NORMAL</v>
      </c>
      <c r="AG199" s="61" t="str">
        <f t="shared" si="35"/>
        <v>NORMAL</v>
      </c>
      <c r="AH199" s="61" t="str">
        <f t="shared" si="32"/>
        <v>DISABLE</v>
      </c>
      <c r="AI199" s="67" t="str">
        <f t="shared" si="28"/>
        <v>N/A</v>
      </c>
      <c r="AJ199" s="176" t="b">
        <v>1</v>
      </c>
      <c r="AK199" s="176" t="b">
        <v>1</v>
      </c>
      <c r="AL199" s="176" t="b">
        <v>1</v>
      </c>
      <c r="AM199" s="176" t="b">
        <v>1</v>
      </c>
      <c r="AN199" s="176" t="b">
        <v>1</v>
      </c>
      <c r="AO199" s="176" t="b">
        <v>1</v>
      </c>
      <c r="AP199" s="64" t="str">
        <f t="shared" si="36"/>
        <v>VALID</v>
      </c>
      <c r="AQ199" s="226" t="s">
        <v>1557</v>
      </c>
      <c r="AR199" s="182" t="s">
        <v>3495</v>
      </c>
      <c r="AS199" s="181"/>
      <c r="AT199" s="5"/>
      <c r="AU199" s="5"/>
      <c r="AV199" s="5"/>
      <c r="AW199" s="181" t="s">
        <v>125</v>
      </c>
      <c r="AX199" s="284"/>
      <c r="AY199" s="181"/>
      <c r="AZ199" s="181"/>
      <c r="BA199" s="7"/>
      <c r="BB199" s="212"/>
      <c r="BC199" s="10" t="s">
        <v>3520</v>
      </c>
      <c r="BD199" s="238"/>
      <c r="BE199" s="239"/>
      <c r="BF199" s="239"/>
      <c r="BG199" s="239"/>
      <c r="BH199" s="239"/>
      <c r="BI199" s="239"/>
      <c r="BJ199" s="239"/>
      <c r="BK199" s="239"/>
      <c r="BL199" s="239"/>
      <c r="BM199" s="239"/>
      <c r="BN199" s="239"/>
      <c r="BO199" s="239"/>
      <c r="BP199" s="239"/>
      <c r="BQ199" s="239"/>
      <c r="BR199" s="239"/>
      <c r="BS199" s="239"/>
      <c r="BT199" s="239"/>
      <c r="BU199" s="239"/>
      <c r="BV199" s="239"/>
      <c r="BW199" s="239"/>
      <c r="BX199" s="239"/>
      <c r="BY199" s="239"/>
      <c r="BZ199" s="239"/>
      <c r="CA199" s="239"/>
      <c r="CB199" s="239"/>
      <c r="CC199" s="239"/>
      <c r="CD199" s="239"/>
      <c r="CE199" s="239"/>
    </row>
    <row r="200" spans="1:83" ht="12.95" customHeight="1">
      <c r="A200" s="206" t="s">
        <v>958</v>
      </c>
      <c r="B200" s="206" t="s">
        <v>2452</v>
      </c>
      <c r="C200" s="51" t="s">
        <v>958</v>
      </c>
      <c r="D200" s="52" t="s">
        <v>2124</v>
      </c>
      <c r="E200" s="52" t="s">
        <v>2116</v>
      </c>
      <c r="F200" s="53" t="s">
        <v>1278</v>
      </c>
      <c r="G200" s="179" t="s">
        <v>2125</v>
      </c>
      <c r="H200" s="180" t="s">
        <v>1558</v>
      </c>
      <c r="I200" s="55" t="s">
        <v>1429</v>
      </c>
      <c r="J200" s="55" t="s">
        <v>1429</v>
      </c>
      <c r="K200" s="56" t="s">
        <v>1429</v>
      </c>
      <c r="L200" s="54" t="s">
        <v>1580</v>
      </c>
      <c r="M200" s="55" t="s">
        <v>1590</v>
      </c>
      <c r="N200" s="55" t="s">
        <v>1429</v>
      </c>
      <c r="O200" s="55" t="s">
        <v>1429</v>
      </c>
      <c r="P200" s="56" t="s">
        <v>1429</v>
      </c>
      <c r="Q200" s="52" t="s">
        <v>1372</v>
      </c>
      <c r="R200" s="52" t="s">
        <v>113</v>
      </c>
      <c r="S200" s="52" t="s">
        <v>99</v>
      </c>
      <c r="T200" s="52" t="s">
        <v>100</v>
      </c>
      <c r="U200" s="57" t="s">
        <v>113</v>
      </c>
      <c r="V200" s="146" t="s">
        <v>2126</v>
      </c>
      <c r="W200" s="51" t="s">
        <v>2101</v>
      </c>
      <c r="X200" s="130" t="s">
        <v>1429</v>
      </c>
      <c r="Y200" s="130" t="s">
        <v>1429</v>
      </c>
      <c r="Z200" s="51" t="s">
        <v>1585</v>
      </c>
      <c r="AA200" s="51" t="s">
        <v>1893</v>
      </c>
      <c r="AB200" s="51" t="s">
        <v>1435</v>
      </c>
      <c r="AC200" s="51" t="s">
        <v>1587</v>
      </c>
      <c r="AD200" s="59" t="str">
        <f t="shared" si="30"/>
        <v>UARTG</v>
      </c>
      <c r="AE200" s="66"/>
      <c r="AF200" s="61" t="str">
        <f t="shared" si="31"/>
        <v>PULL_UP</v>
      </c>
      <c r="AG200" s="61" t="str">
        <f t="shared" si="35"/>
        <v>TRISTATE</v>
      </c>
      <c r="AH200" s="61" t="str">
        <f t="shared" si="32"/>
        <v>ENABLE</v>
      </c>
      <c r="AI200" s="67" t="str">
        <f t="shared" si="28"/>
        <v>N/A</v>
      </c>
      <c r="AJ200" s="176" t="b">
        <v>1</v>
      </c>
      <c r="AK200" s="176" t="b">
        <v>1</v>
      </c>
      <c r="AL200" s="176" t="b">
        <v>1</v>
      </c>
      <c r="AM200" s="176" t="b">
        <v>1</v>
      </c>
      <c r="AN200" s="176" t="b">
        <v>1</v>
      </c>
      <c r="AO200" s="176" t="b">
        <v>1</v>
      </c>
      <c r="AP200" s="64" t="str">
        <f t="shared" si="36"/>
        <v>VALID</v>
      </c>
      <c r="AQ200" s="226" t="s">
        <v>1558</v>
      </c>
      <c r="AR200" s="182" t="s">
        <v>3496</v>
      </c>
      <c r="AS200" s="181" t="s">
        <v>3497</v>
      </c>
      <c r="AT200" s="5"/>
      <c r="AU200" s="5"/>
      <c r="AV200" s="5"/>
      <c r="AW200" s="181" t="s">
        <v>125</v>
      </c>
      <c r="AX200" s="284"/>
      <c r="AY200" s="181"/>
      <c r="AZ200" s="181"/>
      <c r="BA200" s="7"/>
      <c r="BB200" s="212"/>
      <c r="BC200" s="10" t="s">
        <v>3521</v>
      </c>
      <c r="BD200" s="238"/>
      <c r="BE200" s="239"/>
      <c r="BF200" s="239"/>
      <c r="BG200" s="239"/>
      <c r="BH200" s="239"/>
      <c r="BI200" s="239"/>
      <c r="BJ200" s="239"/>
      <c r="BK200" s="239"/>
      <c r="BL200" s="239"/>
      <c r="BM200" s="239"/>
      <c r="BN200" s="239"/>
      <c r="BO200" s="239"/>
      <c r="BP200" s="239"/>
      <c r="BQ200" s="239"/>
      <c r="BR200" s="239"/>
      <c r="BS200" s="239"/>
      <c r="BT200" s="239"/>
      <c r="BU200" s="239"/>
      <c r="BV200" s="239"/>
      <c r="BW200" s="239"/>
      <c r="BX200" s="239"/>
      <c r="BY200" s="239"/>
      <c r="BZ200" s="239"/>
      <c r="CA200" s="239"/>
      <c r="CB200" s="239"/>
      <c r="CC200" s="239"/>
      <c r="CD200" s="239"/>
      <c r="CE200" s="239"/>
    </row>
    <row r="201" spans="1:83" ht="12.95" customHeight="1">
      <c r="A201" s="1"/>
      <c r="B201" s="1"/>
      <c r="C201" s="51" t="s">
        <v>959</v>
      </c>
      <c r="D201" s="52" t="s">
        <v>2127</v>
      </c>
      <c r="E201" s="52" t="s">
        <v>2128</v>
      </c>
      <c r="F201" s="53" t="s">
        <v>1279</v>
      </c>
      <c r="G201" s="179" t="s">
        <v>1559</v>
      </c>
      <c r="H201" s="180" t="s">
        <v>1429</v>
      </c>
      <c r="I201" s="55" t="s">
        <v>1429</v>
      </c>
      <c r="J201" s="55" t="s">
        <v>1429</v>
      </c>
      <c r="K201" s="56" t="s">
        <v>1429</v>
      </c>
      <c r="L201" s="54" t="s">
        <v>1580</v>
      </c>
      <c r="M201" s="55" t="s">
        <v>1429</v>
      </c>
      <c r="N201" s="55" t="s">
        <v>1429</v>
      </c>
      <c r="O201" s="55" t="s">
        <v>1429</v>
      </c>
      <c r="P201" s="56" t="s">
        <v>1429</v>
      </c>
      <c r="Q201" s="52" t="s">
        <v>755</v>
      </c>
      <c r="R201" s="52" t="s">
        <v>113</v>
      </c>
      <c r="S201" s="52" t="s">
        <v>99</v>
      </c>
      <c r="T201" s="52" t="s">
        <v>100</v>
      </c>
      <c r="U201" s="57" t="s">
        <v>755</v>
      </c>
      <c r="V201" s="146" t="s">
        <v>2129</v>
      </c>
      <c r="W201" s="51" t="s">
        <v>2101</v>
      </c>
      <c r="X201" s="130" t="s">
        <v>2130</v>
      </c>
      <c r="Y201" s="130" t="s">
        <v>1429</v>
      </c>
      <c r="Z201" s="51" t="s">
        <v>1585</v>
      </c>
      <c r="AA201" s="51" t="s">
        <v>1893</v>
      </c>
      <c r="AB201" s="51" t="s">
        <v>1435</v>
      </c>
      <c r="AC201" s="51" t="s">
        <v>1587</v>
      </c>
      <c r="AD201" s="59" t="str">
        <f t="shared" si="30"/>
        <v>GPIO_PV0</v>
      </c>
      <c r="AE201" s="66"/>
      <c r="AF201" s="61" t="str">
        <f t="shared" si="31"/>
        <v>PULL_UP</v>
      </c>
      <c r="AG201" s="61" t="str">
        <f t="shared" si="35"/>
        <v>TRISTATE</v>
      </c>
      <c r="AH201" s="61" t="str">
        <f t="shared" si="32"/>
        <v>ENABLE</v>
      </c>
      <c r="AI201" s="67" t="str">
        <f t="shared" si="28"/>
        <v/>
      </c>
      <c r="AJ201" s="176" t="b">
        <v>1</v>
      </c>
      <c r="AK201" s="176" t="b">
        <v>1</v>
      </c>
      <c r="AL201" s="176" t="b">
        <v>1</v>
      </c>
      <c r="AM201" s="176" t="b">
        <v>1</v>
      </c>
      <c r="AN201" s="176" t="b">
        <v>1</v>
      </c>
      <c r="AO201" s="176" t="b">
        <v>1</v>
      </c>
      <c r="AP201" s="64" t="str">
        <f t="shared" si="36"/>
        <v>VALID</v>
      </c>
      <c r="AQ201" s="348" t="s">
        <v>1559</v>
      </c>
      <c r="AR201" s="336" t="s">
        <v>3496</v>
      </c>
      <c r="AS201" s="337" t="s">
        <v>3497</v>
      </c>
      <c r="AT201" s="337" t="s">
        <v>104</v>
      </c>
      <c r="AU201" s="342"/>
      <c r="AV201" s="342"/>
      <c r="AW201" s="337" t="s">
        <v>125</v>
      </c>
      <c r="AX201" s="342"/>
      <c r="AY201" s="337"/>
      <c r="AZ201" s="337"/>
      <c r="BA201" s="343"/>
      <c r="BB201" s="338"/>
      <c r="BC201" s="344" t="s">
        <v>3522</v>
      </c>
      <c r="BD201" s="238"/>
      <c r="BE201" s="239"/>
      <c r="BF201" s="239"/>
      <c r="BG201" s="239"/>
      <c r="BH201" s="239"/>
      <c r="BI201" s="239"/>
      <c r="BJ201" s="239"/>
      <c r="BK201" s="239"/>
      <c r="BL201" s="239"/>
      <c r="BM201" s="239"/>
      <c r="BN201" s="239"/>
      <c r="BO201" s="239"/>
      <c r="BP201" s="239"/>
      <c r="BQ201" s="239"/>
      <c r="BR201" s="239"/>
      <c r="BS201" s="239"/>
      <c r="BT201" s="239"/>
      <c r="BU201" s="239"/>
      <c r="BV201" s="239"/>
      <c r="BW201" s="239"/>
      <c r="BX201" s="239"/>
      <c r="BY201" s="239"/>
      <c r="BZ201" s="239"/>
      <c r="CA201" s="239"/>
      <c r="CB201" s="239"/>
      <c r="CC201" s="239"/>
      <c r="CD201" s="239"/>
      <c r="CE201" s="239"/>
    </row>
    <row r="202" spans="1:83" ht="12.95" customHeight="1">
      <c r="A202" s="21" t="s">
        <v>3481</v>
      </c>
      <c r="B202" s="21" t="s">
        <v>2274</v>
      </c>
      <c r="C202" s="51" t="s">
        <v>960</v>
      </c>
      <c r="D202" s="52" t="s">
        <v>2131</v>
      </c>
      <c r="E202" s="52" t="s">
        <v>2131</v>
      </c>
      <c r="F202" s="53" t="s">
        <v>1280</v>
      </c>
      <c r="G202" s="179"/>
      <c r="H202" s="180" t="s">
        <v>1560</v>
      </c>
      <c r="I202" s="55" t="s">
        <v>1429</v>
      </c>
      <c r="J202" s="55" t="s">
        <v>1429</v>
      </c>
      <c r="K202" s="56" t="s">
        <v>1429</v>
      </c>
      <c r="L202" s="54" t="s">
        <v>1580</v>
      </c>
      <c r="M202" s="55" t="s">
        <v>1580</v>
      </c>
      <c r="N202" s="55" t="s">
        <v>1429</v>
      </c>
      <c r="O202" s="55" t="s">
        <v>1429</v>
      </c>
      <c r="P202" s="56" t="s">
        <v>1429</v>
      </c>
      <c r="Q202" s="52" t="s">
        <v>112</v>
      </c>
      <c r="R202" s="52" t="s">
        <v>113</v>
      </c>
      <c r="S202" s="52" t="s">
        <v>99</v>
      </c>
      <c r="T202" s="52" t="s">
        <v>100</v>
      </c>
      <c r="U202" s="57" t="s">
        <v>113</v>
      </c>
      <c r="V202" s="146" t="s">
        <v>2132</v>
      </c>
      <c r="W202" s="51" t="s">
        <v>2101</v>
      </c>
      <c r="X202" s="130" t="s">
        <v>2133</v>
      </c>
      <c r="Y202" s="130" t="s">
        <v>1429</v>
      </c>
      <c r="Z202" s="51" t="s">
        <v>1585</v>
      </c>
      <c r="AA202" s="51" t="s">
        <v>1893</v>
      </c>
      <c r="AB202" s="51" t="s">
        <v>1435</v>
      </c>
      <c r="AC202" s="51" t="s">
        <v>1587</v>
      </c>
      <c r="AD202" s="59" t="str">
        <f t="shared" si="30"/>
        <v>SPI2</v>
      </c>
      <c r="AE202" s="66"/>
      <c r="AF202" s="61" t="str">
        <f t="shared" si="31"/>
        <v>NORMAL</v>
      </c>
      <c r="AG202" s="61" t="str">
        <f t="shared" si="35"/>
        <v>NORMAL</v>
      </c>
      <c r="AH202" s="61" t="str">
        <f t="shared" si="32"/>
        <v>DISABLE</v>
      </c>
      <c r="AI202" s="67" t="str">
        <f t="shared" si="28"/>
        <v>N/A</v>
      </c>
      <c r="AJ202" s="176" t="b">
        <v>1</v>
      </c>
      <c r="AK202" s="176" t="b">
        <v>1</v>
      </c>
      <c r="AL202" s="176" t="b">
        <v>1</v>
      </c>
      <c r="AM202" s="176" t="b">
        <v>1</v>
      </c>
      <c r="AN202" s="176" t="b">
        <v>1</v>
      </c>
      <c r="AO202" s="176" t="b">
        <v>1</v>
      </c>
      <c r="AP202" s="64" t="str">
        <f t="shared" si="36"/>
        <v>VALID</v>
      </c>
      <c r="AQ202" s="226" t="s">
        <v>1560</v>
      </c>
      <c r="AR202" s="182" t="s">
        <v>3495</v>
      </c>
      <c r="AS202" s="181"/>
      <c r="AT202" s="181" t="s">
        <v>104</v>
      </c>
      <c r="AU202" s="5"/>
      <c r="AV202" s="5"/>
      <c r="AW202" s="181" t="s">
        <v>125</v>
      </c>
      <c r="AX202" s="284"/>
      <c r="AY202" s="181"/>
      <c r="AZ202" s="181"/>
      <c r="BA202" s="7"/>
      <c r="BB202" s="212"/>
      <c r="BC202" s="10" t="s">
        <v>3523</v>
      </c>
      <c r="BD202" s="238"/>
      <c r="BE202" s="239"/>
      <c r="BF202" s="239"/>
      <c r="BG202" s="239"/>
      <c r="BH202" s="239"/>
      <c r="BI202" s="239"/>
      <c r="BJ202" s="239"/>
      <c r="BK202" s="239"/>
      <c r="BL202" s="239"/>
      <c r="BM202" s="239"/>
      <c r="BN202" s="239"/>
      <c r="BO202" s="239"/>
      <c r="BP202" s="239"/>
      <c r="BQ202" s="239"/>
      <c r="BR202" s="239"/>
      <c r="BS202" s="239"/>
      <c r="BT202" s="239"/>
      <c r="BU202" s="239"/>
      <c r="BV202" s="239"/>
      <c r="BW202" s="239"/>
      <c r="BX202" s="239"/>
      <c r="BY202" s="239"/>
      <c r="BZ202" s="239"/>
      <c r="CA202" s="239"/>
      <c r="CB202" s="239"/>
      <c r="CC202" s="239"/>
      <c r="CD202" s="239"/>
      <c r="CE202" s="239"/>
    </row>
    <row r="203" spans="1:83" ht="12.95" customHeight="1">
      <c r="A203" s="21" t="s">
        <v>3480</v>
      </c>
      <c r="B203" s="21" t="s">
        <v>2439</v>
      </c>
      <c r="C203" s="51" t="s">
        <v>961</v>
      </c>
      <c r="D203" s="52" t="s">
        <v>2134</v>
      </c>
      <c r="E203" s="52" t="s">
        <v>2135</v>
      </c>
      <c r="F203" s="53" t="s">
        <v>1281</v>
      </c>
      <c r="G203" s="179"/>
      <c r="H203" s="180" t="s">
        <v>1561</v>
      </c>
      <c r="I203" s="55" t="s">
        <v>1429</v>
      </c>
      <c r="J203" s="55" t="s">
        <v>1429</v>
      </c>
      <c r="K203" s="56" t="s">
        <v>1429</v>
      </c>
      <c r="L203" s="54" t="s">
        <v>1580</v>
      </c>
      <c r="M203" s="55" t="s">
        <v>1580</v>
      </c>
      <c r="N203" s="55" t="s">
        <v>1429</v>
      </c>
      <c r="O203" s="55" t="s">
        <v>1429</v>
      </c>
      <c r="P203" s="56" t="s">
        <v>1429</v>
      </c>
      <c r="Q203" s="6" t="s">
        <v>112</v>
      </c>
      <c r="R203" s="52" t="s">
        <v>113</v>
      </c>
      <c r="S203" s="52" t="s">
        <v>99</v>
      </c>
      <c r="T203" s="52" t="s">
        <v>100</v>
      </c>
      <c r="U203" s="57" t="s">
        <v>113</v>
      </c>
      <c r="V203" s="146" t="s">
        <v>2136</v>
      </c>
      <c r="W203" s="51" t="s">
        <v>2101</v>
      </c>
      <c r="X203" s="130" t="s">
        <v>2137</v>
      </c>
      <c r="Y203" s="130" t="s">
        <v>1429</v>
      </c>
      <c r="Z203" s="51" t="s">
        <v>1585</v>
      </c>
      <c r="AA203" s="51" t="s">
        <v>1893</v>
      </c>
      <c r="AB203" s="51" t="s">
        <v>1435</v>
      </c>
      <c r="AC203" s="51" t="s">
        <v>1674</v>
      </c>
      <c r="AD203" s="59" t="str">
        <f t="shared" si="30"/>
        <v>SPI2</v>
      </c>
      <c r="AE203" s="66"/>
      <c r="AF203" s="61" t="str">
        <f t="shared" si="31"/>
        <v>PULL_DOWN</v>
      </c>
      <c r="AG203" s="61" t="str">
        <f t="shared" si="35"/>
        <v>TRISTATE</v>
      </c>
      <c r="AH203" s="61" t="str">
        <f t="shared" si="32"/>
        <v>ENABLE</v>
      </c>
      <c r="AI203" s="67" t="str">
        <f t="shared" si="28"/>
        <v>N/A</v>
      </c>
      <c r="AJ203" s="176" t="b">
        <v>1</v>
      </c>
      <c r="AK203" s="176" t="b">
        <v>1</v>
      </c>
      <c r="AL203" s="176" t="b">
        <v>1</v>
      </c>
      <c r="AM203" s="176" t="b">
        <v>1</v>
      </c>
      <c r="AN203" s="176" t="b">
        <v>1</v>
      </c>
      <c r="AO203" s="176" t="b">
        <v>1</v>
      </c>
      <c r="AP203" s="64" t="str">
        <f t="shared" si="36"/>
        <v>VALID</v>
      </c>
      <c r="AQ203" s="227" t="s">
        <v>1561</v>
      </c>
      <c r="AR203" s="182" t="s">
        <v>3496</v>
      </c>
      <c r="AS203" s="181" t="s">
        <v>3503</v>
      </c>
      <c r="AT203" s="181" t="s">
        <v>104</v>
      </c>
      <c r="AU203" s="5"/>
      <c r="AV203" s="5"/>
      <c r="AW203" s="181" t="s">
        <v>125</v>
      </c>
      <c r="AX203" s="284"/>
      <c r="AY203" s="181"/>
      <c r="AZ203" s="181"/>
      <c r="BA203" s="7"/>
      <c r="BB203" s="212"/>
      <c r="BC203" s="10" t="s">
        <v>3523</v>
      </c>
      <c r="BD203" s="238"/>
      <c r="BE203" s="239"/>
      <c r="BF203" s="239"/>
      <c r="BG203" s="239"/>
      <c r="BH203" s="239"/>
      <c r="BI203" s="239"/>
      <c r="BJ203" s="239"/>
      <c r="BK203" s="239"/>
      <c r="BL203" s="239"/>
      <c r="BM203" s="239"/>
      <c r="BN203" s="239"/>
      <c r="BO203" s="239"/>
      <c r="BP203" s="239"/>
      <c r="BQ203" s="239"/>
      <c r="BR203" s="239"/>
      <c r="BS203" s="239"/>
      <c r="BT203" s="239"/>
      <c r="BU203" s="239"/>
      <c r="BV203" s="239"/>
      <c r="BW203" s="239"/>
      <c r="BX203" s="239"/>
      <c r="BY203" s="239"/>
      <c r="BZ203" s="239"/>
      <c r="CA203" s="239"/>
      <c r="CB203" s="239"/>
      <c r="CC203" s="239"/>
      <c r="CD203" s="239"/>
      <c r="CE203" s="239"/>
    </row>
    <row r="204" spans="1:83" ht="12.95" customHeight="1">
      <c r="A204" s="21" t="s">
        <v>3479</v>
      </c>
      <c r="B204" s="21" t="s">
        <v>2264</v>
      </c>
      <c r="C204" s="51" t="s">
        <v>962</v>
      </c>
      <c r="D204" s="52" t="s">
        <v>2117</v>
      </c>
      <c r="E204" s="52" t="s">
        <v>2138</v>
      </c>
      <c r="F204" s="53" t="s">
        <v>1282</v>
      </c>
      <c r="G204" s="179"/>
      <c r="H204" s="180" t="s">
        <v>1562</v>
      </c>
      <c r="I204" s="55" t="s">
        <v>1429</v>
      </c>
      <c r="J204" s="55" t="s">
        <v>1429</v>
      </c>
      <c r="K204" s="56" t="s">
        <v>1429</v>
      </c>
      <c r="L204" s="54" t="s">
        <v>1580</v>
      </c>
      <c r="M204" s="55" t="s">
        <v>1580</v>
      </c>
      <c r="N204" s="55" t="s">
        <v>1429</v>
      </c>
      <c r="O204" s="55" t="s">
        <v>1429</v>
      </c>
      <c r="P204" s="56" t="s">
        <v>1429</v>
      </c>
      <c r="Q204" s="6" t="s">
        <v>112</v>
      </c>
      <c r="R204" s="52" t="s">
        <v>113</v>
      </c>
      <c r="S204" s="52" t="s">
        <v>99</v>
      </c>
      <c r="T204" s="52" t="s">
        <v>100</v>
      </c>
      <c r="U204" s="57" t="s">
        <v>113</v>
      </c>
      <c r="V204" s="146" t="s">
        <v>2139</v>
      </c>
      <c r="W204" s="51" t="s">
        <v>2101</v>
      </c>
      <c r="X204" s="130" t="s">
        <v>2140</v>
      </c>
      <c r="Y204" s="130" t="s">
        <v>1429</v>
      </c>
      <c r="Z204" s="51" t="s">
        <v>1585</v>
      </c>
      <c r="AA204" s="51" t="s">
        <v>1893</v>
      </c>
      <c r="AB204" s="51" t="s">
        <v>1435</v>
      </c>
      <c r="AC204" s="51" t="s">
        <v>1674</v>
      </c>
      <c r="AD204" s="59" t="str">
        <f t="shared" si="30"/>
        <v>SPI2</v>
      </c>
      <c r="AE204" s="66"/>
      <c r="AF204" s="61" t="str">
        <f t="shared" si="31"/>
        <v>NORMAL</v>
      </c>
      <c r="AG204" s="61" t="str">
        <f t="shared" si="35"/>
        <v>NORMAL</v>
      </c>
      <c r="AH204" s="61" t="str">
        <f t="shared" si="32"/>
        <v>DISABLE</v>
      </c>
      <c r="AI204" s="67" t="str">
        <f t="shared" si="28"/>
        <v>N/A</v>
      </c>
      <c r="AJ204" s="176" t="b">
        <v>1</v>
      </c>
      <c r="AK204" s="176" t="b">
        <v>1</v>
      </c>
      <c r="AL204" s="176" t="b">
        <v>1</v>
      </c>
      <c r="AM204" s="176" t="b">
        <v>1</v>
      </c>
      <c r="AN204" s="176" t="b">
        <v>1</v>
      </c>
      <c r="AO204" s="176" t="b">
        <v>1</v>
      </c>
      <c r="AP204" s="64" t="str">
        <f t="shared" si="36"/>
        <v>VALID</v>
      </c>
      <c r="AQ204" s="227" t="s">
        <v>1562</v>
      </c>
      <c r="AR204" s="182" t="s">
        <v>3495</v>
      </c>
      <c r="AS204" s="181"/>
      <c r="AT204" s="181" t="s">
        <v>104</v>
      </c>
      <c r="AU204" s="5"/>
      <c r="AV204" s="5"/>
      <c r="AW204" s="181" t="s">
        <v>125</v>
      </c>
      <c r="AX204" s="284"/>
      <c r="AY204" s="181"/>
      <c r="AZ204" s="181"/>
      <c r="BA204" s="7"/>
      <c r="BB204" s="212"/>
      <c r="BC204" s="10" t="s">
        <v>3523</v>
      </c>
      <c r="BD204" s="238"/>
      <c r="BE204" s="239"/>
      <c r="BF204" s="239"/>
      <c r="BG204" s="239"/>
      <c r="BH204" s="239"/>
      <c r="BI204" s="239"/>
      <c r="BJ204" s="239"/>
      <c r="BK204" s="239"/>
      <c r="BL204" s="239"/>
      <c r="BM204" s="239"/>
      <c r="BN204" s="239"/>
      <c r="BO204" s="239"/>
      <c r="BP204" s="239"/>
      <c r="BQ204" s="239"/>
      <c r="BR204" s="239"/>
      <c r="BS204" s="239"/>
      <c r="BT204" s="239"/>
      <c r="BU204" s="239"/>
      <c r="BV204" s="239"/>
      <c r="BW204" s="239"/>
      <c r="BX204" s="239"/>
      <c r="BY204" s="239"/>
      <c r="BZ204" s="239"/>
      <c r="CA204" s="239"/>
      <c r="CB204" s="239"/>
      <c r="CC204" s="239"/>
      <c r="CD204" s="239"/>
      <c r="CE204" s="239"/>
    </row>
    <row r="205" spans="1:83" ht="12.95" customHeight="1">
      <c r="A205" s="21" t="s">
        <v>3478</v>
      </c>
      <c r="B205" s="21" t="s">
        <v>84</v>
      </c>
      <c r="C205" s="51" t="s">
        <v>963</v>
      </c>
      <c r="D205" s="52" t="s">
        <v>2141</v>
      </c>
      <c r="E205" s="52" t="s">
        <v>2142</v>
      </c>
      <c r="F205" s="53" t="s">
        <v>1283</v>
      </c>
      <c r="G205" s="179"/>
      <c r="H205" s="180" t="s">
        <v>1563</v>
      </c>
      <c r="I205" s="55" t="s">
        <v>1429</v>
      </c>
      <c r="J205" s="55" t="s">
        <v>1429</v>
      </c>
      <c r="K205" s="56" t="s">
        <v>1429</v>
      </c>
      <c r="L205" s="54" t="s">
        <v>1580</v>
      </c>
      <c r="M205" s="55" t="s">
        <v>1580</v>
      </c>
      <c r="N205" s="55" t="s">
        <v>1429</v>
      </c>
      <c r="O205" s="55" t="s">
        <v>1429</v>
      </c>
      <c r="P205" s="56" t="s">
        <v>1429</v>
      </c>
      <c r="Q205" s="6" t="s">
        <v>112</v>
      </c>
      <c r="R205" s="52" t="s">
        <v>113</v>
      </c>
      <c r="S205" s="52" t="s">
        <v>99</v>
      </c>
      <c r="T205" s="52" t="s">
        <v>100</v>
      </c>
      <c r="U205" s="57" t="s">
        <v>113</v>
      </c>
      <c r="V205" s="146" t="s">
        <v>2143</v>
      </c>
      <c r="W205" s="51" t="s">
        <v>2101</v>
      </c>
      <c r="X205" s="130" t="s">
        <v>2144</v>
      </c>
      <c r="Y205" s="130" t="s">
        <v>1429</v>
      </c>
      <c r="Z205" s="51" t="s">
        <v>1585</v>
      </c>
      <c r="AA205" s="51" t="s">
        <v>1893</v>
      </c>
      <c r="AB205" s="51" t="s">
        <v>1435</v>
      </c>
      <c r="AC205" s="51" t="s">
        <v>1674</v>
      </c>
      <c r="AD205" s="59" t="str">
        <f t="shared" si="30"/>
        <v>SPI2</v>
      </c>
      <c r="AE205" s="66"/>
      <c r="AF205" s="61" t="str">
        <f t="shared" si="31"/>
        <v>PULL_UP</v>
      </c>
      <c r="AG205" s="61" t="str">
        <f t="shared" si="35"/>
        <v>NORMAL</v>
      </c>
      <c r="AH205" s="61" t="str">
        <f t="shared" si="32"/>
        <v>DISABLE</v>
      </c>
      <c r="AI205" s="67" t="str">
        <f t="shared" ref="AI205:AI247" si="37">IF($AQ205&lt;&gt;$G205,"N/A",IF($AS205="Drive 1", "1", IF($AS205="Drive 0", "0", "")))</f>
        <v>N/A</v>
      </c>
      <c r="AJ205" s="176" t="b">
        <v>1</v>
      </c>
      <c r="AK205" s="176" t="b">
        <v>1</v>
      </c>
      <c r="AL205" s="176" t="b">
        <v>1</v>
      </c>
      <c r="AM205" s="176" t="b">
        <v>1</v>
      </c>
      <c r="AN205" s="176" t="b">
        <v>1</v>
      </c>
      <c r="AO205" s="176" t="b">
        <v>1</v>
      </c>
      <c r="AP205" s="64" t="str">
        <f t="shared" si="36"/>
        <v>VALID</v>
      </c>
      <c r="AQ205" s="227" t="s">
        <v>1563</v>
      </c>
      <c r="AR205" s="182" t="s">
        <v>3495</v>
      </c>
      <c r="AS205" s="181" t="s">
        <v>3497</v>
      </c>
      <c r="AT205" s="181" t="s">
        <v>104</v>
      </c>
      <c r="AU205" s="5"/>
      <c r="AV205" s="5"/>
      <c r="AW205" s="181" t="s">
        <v>125</v>
      </c>
      <c r="AX205" s="284"/>
      <c r="AY205" s="181"/>
      <c r="AZ205" s="181"/>
      <c r="BA205" s="7"/>
      <c r="BB205" s="212"/>
      <c r="BC205" s="10" t="s">
        <v>3523</v>
      </c>
      <c r="BD205" s="238"/>
      <c r="BE205" s="239"/>
      <c r="BF205" s="239"/>
      <c r="BG205" s="239"/>
      <c r="BH205" s="239"/>
      <c r="BI205" s="239"/>
      <c r="BJ205" s="239"/>
      <c r="BK205" s="239"/>
      <c r="BL205" s="239"/>
      <c r="BM205" s="239"/>
      <c r="BN205" s="239"/>
      <c r="BO205" s="239"/>
      <c r="BP205" s="239"/>
      <c r="BQ205" s="239"/>
      <c r="BR205" s="239"/>
      <c r="BS205" s="239"/>
      <c r="BT205" s="239"/>
      <c r="BU205" s="239"/>
      <c r="BV205" s="239"/>
      <c r="BW205" s="239"/>
      <c r="BX205" s="239"/>
      <c r="BY205" s="239"/>
      <c r="BZ205" s="239"/>
      <c r="CA205" s="239"/>
      <c r="CB205" s="239"/>
      <c r="CC205" s="239"/>
      <c r="CD205" s="239"/>
      <c r="CE205" s="239"/>
    </row>
    <row r="206" spans="1:83" ht="12.95" customHeight="1">
      <c r="A206" s="21" t="s">
        <v>3806</v>
      </c>
      <c r="B206" s="21" t="s">
        <v>3602</v>
      </c>
      <c r="C206" s="51" t="s">
        <v>964</v>
      </c>
      <c r="D206" s="52" t="s">
        <v>2145</v>
      </c>
      <c r="E206" s="52" t="s">
        <v>2141</v>
      </c>
      <c r="F206" s="53" t="s">
        <v>1284</v>
      </c>
      <c r="G206" s="179" t="s">
        <v>1564</v>
      </c>
      <c r="H206" s="180" t="s">
        <v>1429</v>
      </c>
      <c r="I206" s="55" t="s">
        <v>1429</v>
      </c>
      <c r="J206" s="55" t="s">
        <v>1429</v>
      </c>
      <c r="K206" s="56" t="s">
        <v>1429</v>
      </c>
      <c r="L206" s="54" t="s">
        <v>1580</v>
      </c>
      <c r="M206" s="55" t="s">
        <v>1429</v>
      </c>
      <c r="N206" s="55" t="s">
        <v>1429</v>
      </c>
      <c r="O206" s="55" t="s">
        <v>1429</v>
      </c>
      <c r="P206" s="56" t="s">
        <v>1429</v>
      </c>
      <c r="Q206" s="6" t="s">
        <v>755</v>
      </c>
      <c r="R206" s="52" t="s">
        <v>113</v>
      </c>
      <c r="S206" s="52" t="s">
        <v>99</v>
      </c>
      <c r="T206" s="52" t="s">
        <v>100</v>
      </c>
      <c r="U206" s="57" t="s">
        <v>755</v>
      </c>
      <c r="V206" s="146" t="s">
        <v>2146</v>
      </c>
      <c r="W206" s="51" t="s">
        <v>2101</v>
      </c>
      <c r="X206" s="130" t="s">
        <v>2147</v>
      </c>
      <c r="Y206" s="130" t="s">
        <v>1429</v>
      </c>
      <c r="Z206" s="51" t="s">
        <v>1585</v>
      </c>
      <c r="AA206" s="51" t="s">
        <v>1893</v>
      </c>
      <c r="AB206" s="51" t="s">
        <v>1435</v>
      </c>
      <c r="AC206" s="51" t="s">
        <v>1587</v>
      </c>
      <c r="AD206" s="59" t="str">
        <f t="shared" ref="AD206:AD224" si="38">IF(OR($AQ206="",$AQ206=$F206),$U206,IF($AQ206=$G206,SUBSTITUTE(SUBSTITUTE($AQ206,"GPIO3_","GPIO_"),".0",""),IF($AQ206=$H206,$Q206,IF($AQ206=$I206,$R206,IF($AQ206=$J206,$S206,IF($AQ206=$K206,$T206,"INVALID"))))))</f>
        <v>GPIO_PV5</v>
      </c>
      <c r="AE206" s="66"/>
      <c r="AF206" s="61" t="str">
        <f t="shared" ref="AF206:AF224" si="39">IF(AND(OR($AS206="Int PU",$AS206="Int PD"),OR(AND($AY206&lt;&gt;"",$AY206&lt;&gt;"0"),AND($AZ206&lt;&gt;"",$AZ206&lt;&gt;"0"))),"INVALID",IF(OR($AQ206=$F206,$AS206="Int PD"),"PULL_DOWN",IF(OR($AS206="Int PU",AND($AE206="YES",OR($AY206="",$AY206="0"),OR($AZ206="",$AZ206="0"),OR($AR206="Input",$AR206="Bidirectional"))),"PULL_UP","NORMAL")))</f>
        <v>NORMAL</v>
      </c>
      <c r="AG206" s="61" t="str">
        <f t="shared" si="35"/>
        <v>NORMAL</v>
      </c>
      <c r="AH206" s="61" t="str">
        <f t="shared" ref="AH206:AH224" si="40">IF(OR($AQ206=$F206,$AR206="Output"),"DISABLE","ENABLE")</f>
        <v>DISABLE</v>
      </c>
      <c r="AI206" s="67" t="str">
        <f t="shared" si="37"/>
        <v>0</v>
      </c>
      <c r="AJ206" s="176" t="b">
        <v>1</v>
      </c>
      <c r="AK206" s="176" t="b">
        <v>1</v>
      </c>
      <c r="AL206" s="176" t="b">
        <v>1</v>
      </c>
      <c r="AM206" s="176" t="b">
        <v>1</v>
      </c>
      <c r="AN206" s="176" t="b">
        <v>1</v>
      </c>
      <c r="AO206" s="176" t="b">
        <v>1</v>
      </c>
      <c r="AP206" s="64" t="str">
        <f t="shared" si="36"/>
        <v>VALID</v>
      </c>
      <c r="AQ206" s="226" t="s">
        <v>1564</v>
      </c>
      <c r="AR206" s="182" t="s">
        <v>3495</v>
      </c>
      <c r="AS206" s="181" t="s">
        <v>3500</v>
      </c>
      <c r="AT206" s="181" t="s">
        <v>104</v>
      </c>
      <c r="AU206" s="5"/>
      <c r="AV206" s="5"/>
      <c r="AW206" s="181" t="s">
        <v>125</v>
      </c>
      <c r="AX206" s="284"/>
      <c r="AY206" s="181"/>
      <c r="AZ206" s="181"/>
      <c r="BA206" s="7"/>
      <c r="BB206" s="212"/>
      <c r="BC206" s="10" t="s">
        <v>3669</v>
      </c>
      <c r="BD206" s="240"/>
      <c r="BE206" s="239"/>
      <c r="BF206" s="239"/>
      <c r="BG206" s="239"/>
      <c r="BH206" s="239"/>
      <c r="BI206" s="239"/>
      <c r="BJ206" s="239"/>
      <c r="BK206" s="239"/>
      <c r="BL206" s="239"/>
      <c r="BM206" s="239"/>
      <c r="BN206" s="239"/>
      <c r="BO206" s="239"/>
      <c r="BP206" s="239"/>
      <c r="BQ206" s="239"/>
      <c r="BR206" s="239"/>
      <c r="BS206" s="239"/>
      <c r="BT206" s="239"/>
      <c r="BU206" s="239"/>
      <c r="BV206" s="239"/>
      <c r="BW206" s="239"/>
      <c r="BX206" s="239"/>
      <c r="BY206" s="239"/>
      <c r="BZ206" s="239"/>
      <c r="CA206" s="239"/>
      <c r="CB206" s="239"/>
      <c r="CC206" s="239"/>
      <c r="CD206" s="239"/>
      <c r="CE206" s="239"/>
    </row>
    <row r="207" spans="1:83" ht="12.95" customHeight="1">
      <c r="A207" s="21" t="s">
        <v>1418</v>
      </c>
      <c r="B207" s="21" t="s">
        <v>3578</v>
      </c>
      <c r="C207" s="51" t="s">
        <v>965</v>
      </c>
      <c r="D207" s="52" t="s">
        <v>2135</v>
      </c>
      <c r="E207" s="52" t="s">
        <v>2120</v>
      </c>
      <c r="F207" s="53" t="s">
        <v>1285</v>
      </c>
      <c r="G207" s="179"/>
      <c r="H207" s="180" t="s">
        <v>1429</v>
      </c>
      <c r="I207" s="55" t="s">
        <v>2148</v>
      </c>
      <c r="J207" s="55" t="s">
        <v>1429</v>
      </c>
      <c r="K207" s="56" t="s">
        <v>1429</v>
      </c>
      <c r="L207" s="54" t="s">
        <v>1580</v>
      </c>
      <c r="M207" s="55" t="s">
        <v>1429</v>
      </c>
      <c r="N207" s="55" t="s">
        <v>1581</v>
      </c>
      <c r="O207" s="55" t="s">
        <v>1429</v>
      </c>
      <c r="P207" s="56" t="s">
        <v>1429</v>
      </c>
      <c r="Q207" s="52" t="s">
        <v>755</v>
      </c>
      <c r="R207" s="52" t="s">
        <v>1362</v>
      </c>
      <c r="S207" s="52" t="s">
        <v>99</v>
      </c>
      <c r="T207" s="52" t="s">
        <v>100</v>
      </c>
      <c r="U207" s="52" t="s">
        <v>755</v>
      </c>
      <c r="V207" s="146" t="s">
        <v>2149</v>
      </c>
      <c r="W207" s="51" t="s">
        <v>2101</v>
      </c>
      <c r="X207" s="130" t="s">
        <v>1429</v>
      </c>
      <c r="Y207" s="130" t="s">
        <v>1429</v>
      </c>
      <c r="Z207" s="51" t="s">
        <v>1585</v>
      </c>
      <c r="AA207" s="51" t="s">
        <v>1893</v>
      </c>
      <c r="AB207" s="51" t="s">
        <v>1435</v>
      </c>
      <c r="AC207" s="51" t="s">
        <v>1587</v>
      </c>
      <c r="AD207" s="59" t="str">
        <f t="shared" si="38"/>
        <v>GP</v>
      </c>
      <c r="AE207" s="66"/>
      <c r="AF207" s="61" t="str">
        <f t="shared" si="39"/>
        <v>NORMAL</v>
      </c>
      <c r="AG207" s="61" t="str">
        <f t="shared" si="35"/>
        <v>NORMAL</v>
      </c>
      <c r="AH207" s="61" t="str">
        <f t="shared" si="40"/>
        <v>DISABLE</v>
      </c>
      <c r="AI207" s="67" t="str">
        <f t="shared" si="37"/>
        <v>N/A</v>
      </c>
      <c r="AJ207" s="176" t="b">
        <v>1</v>
      </c>
      <c r="AK207" s="176" t="b">
        <v>1</v>
      </c>
      <c r="AL207" s="176" t="b">
        <v>1</v>
      </c>
      <c r="AM207" s="176" t="b">
        <v>1</v>
      </c>
      <c r="AN207" s="176" t="b">
        <v>1</v>
      </c>
      <c r="AO207" s="176" t="b">
        <v>1</v>
      </c>
      <c r="AP207" s="64" t="str">
        <f t="shared" si="36"/>
        <v>VALID</v>
      </c>
      <c r="AQ207" s="226" t="s">
        <v>2148</v>
      </c>
      <c r="AR207" s="182" t="s">
        <v>3495</v>
      </c>
      <c r="AS207" s="181"/>
      <c r="AT207" s="5"/>
      <c r="AU207" s="5"/>
      <c r="AV207" s="5"/>
      <c r="AW207" s="181" t="s">
        <v>125</v>
      </c>
      <c r="AX207" s="284"/>
      <c r="AY207" s="181"/>
      <c r="AZ207" s="181"/>
      <c r="BA207" s="7"/>
      <c r="BB207" s="212"/>
      <c r="BC207" s="10" t="s">
        <v>1418</v>
      </c>
      <c r="BD207" s="238"/>
      <c r="BE207" s="239"/>
      <c r="BF207" s="239"/>
      <c r="BG207" s="239"/>
      <c r="BH207" s="239"/>
      <c r="BI207" s="239"/>
      <c r="BJ207" s="239"/>
      <c r="BK207" s="239"/>
      <c r="BL207" s="239"/>
      <c r="BM207" s="239"/>
      <c r="BN207" s="239"/>
      <c r="BO207" s="239"/>
      <c r="BP207" s="239"/>
      <c r="BQ207" s="239"/>
      <c r="BR207" s="239"/>
      <c r="BS207" s="239"/>
      <c r="BT207" s="239"/>
      <c r="BU207" s="239"/>
      <c r="BV207" s="239"/>
      <c r="BW207" s="239"/>
      <c r="BX207" s="239"/>
      <c r="BY207" s="239"/>
      <c r="BZ207" s="239"/>
      <c r="CA207" s="239"/>
      <c r="CB207" s="239"/>
      <c r="CC207" s="239"/>
      <c r="CD207" s="239"/>
      <c r="CE207" s="239"/>
    </row>
    <row r="208" spans="1:83" ht="12.95" customHeight="1">
      <c r="A208" s="21" t="s">
        <v>1419</v>
      </c>
      <c r="B208" s="21" t="s">
        <v>2316</v>
      </c>
      <c r="C208" s="51" t="s">
        <v>966</v>
      </c>
      <c r="D208" s="52" t="s">
        <v>2150</v>
      </c>
      <c r="E208" s="52" t="s">
        <v>2113</v>
      </c>
      <c r="F208" s="53" t="s">
        <v>1286</v>
      </c>
      <c r="G208" s="179" t="s">
        <v>1565</v>
      </c>
      <c r="H208" s="180" t="s">
        <v>1429</v>
      </c>
      <c r="I208" s="55" t="s">
        <v>2151</v>
      </c>
      <c r="J208" s="55" t="s">
        <v>1429</v>
      </c>
      <c r="K208" s="56" t="s">
        <v>1429</v>
      </c>
      <c r="L208" s="54" t="s">
        <v>1580</v>
      </c>
      <c r="M208" s="55" t="s">
        <v>1429</v>
      </c>
      <c r="N208" s="55" t="s">
        <v>1581</v>
      </c>
      <c r="O208" s="55" t="s">
        <v>1429</v>
      </c>
      <c r="P208" s="56" t="s">
        <v>1429</v>
      </c>
      <c r="Q208" s="52" t="s">
        <v>755</v>
      </c>
      <c r="R208" s="52" t="s">
        <v>1373</v>
      </c>
      <c r="S208" s="52" t="s">
        <v>99</v>
      </c>
      <c r="T208" s="52" t="s">
        <v>100</v>
      </c>
      <c r="U208" s="52" t="s">
        <v>755</v>
      </c>
      <c r="V208" s="146" t="s">
        <v>2152</v>
      </c>
      <c r="W208" s="51" t="s">
        <v>2101</v>
      </c>
      <c r="X208" s="130" t="s">
        <v>1429</v>
      </c>
      <c r="Y208" s="130" t="s">
        <v>1429</v>
      </c>
      <c r="Z208" s="51" t="s">
        <v>1585</v>
      </c>
      <c r="AA208" s="51" t="s">
        <v>1893</v>
      </c>
      <c r="AB208" s="51" t="s">
        <v>1435</v>
      </c>
      <c r="AC208" s="51">
        <v>1</v>
      </c>
      <c r="AD208" s="59" t="str">
        <f t="shared" si="38"/>
        <v>WDT</v>
      </c>
      <c r="AE208" s="66"/>
      <c r="AF208" s="61" t="str">
        <f t="shared" si="39"/>
        <v>NORMAL</v>
      </c>
      <c r="AG208" s="61" t="str">
        <f t="shared" si="35"/>
        <v>NORMAL</v>
      </c>
      <c r="AH208" s="61" t="str">
        <f t="shared" si="40"/>
        <v>DISABLE</v>
      </c>
      <c r="AI208" s="67" t="str">
        <f t="shared" si="37"/>
        <v>N/A</v>
      </c>
      <c r="AJ208" s="176" t="b">
        <v>1</v>
      </c>
      <c r="AK208" s="176" t="b">
        <v>1</v>
      </c>
      <c r="AL208" s="176" t="b">
        <v>1</v>
      </c>
      <c r="AM208" s="176" t="b">
        <v>1</v>
      </c>
      <c r="AN208" s="176" t="b">
        <v>1</v>
      </c>
      <c r="AO208" s="176" t="b">
        <v>1</v>
      </c>
      <c r="AP208" s="64" t="str">
        <f t="shared" si="36"/>
        <v>VALID</v>
      </c>
      <c r="AQ208" s="226" t="s">
        <v>2151</v>
      </c>
      <c r="AR208" s="182" t="s">
        <v>3495</v>
      </c>
      <c r="AS208" s="181"/>
      <c r="AT208" s="5"/>
      <c r="AU208" s="5"/>
      <c r="AV208" s="5"/>
      <c r="AW208" s="181" t="s">
        <v>125</v>
      </c>
      <c r="AX208" s="284"/>
      <c r="AY208" s="181"/>
      <c r="AZ208" s="181"/>
      <c r="BA208" s="7"/>
      <c r="BB208" s="212"/>
      <c r="BC208" s="10" t="s">
        <v>1419</v>
      </c>
      <c r="BD208" s="238"/>
      <c r="BE208" s="239"/>
      <c r="BF208" s="239"/>
      <c r="BG208" s="239"/>
      <c r="BH208" s="239"/>
      <c r="BI208" s="239"/>
      <c r="BJ208" s="239"/>
      <c r="BK208" s="239"/>
      <c r="BL208" s="239"/>
      <c r="BM208" s="239"/>
      <c r="BN208" s="239"/>
      <c r="BO208" s="239"/>
      <c r="BP208" s="239"/>
      <c r="BQ208" s="239"/>
      <c r="BR208" s="239"/>
      <c r="BS208" s="239"/>
      <c r="BT208" s="239"/>
      <c r="BU208" s="239"/>
      <c r="BV208" s="239"/>
      <c r="BW208" s="239"/>
      <c r="BX208" s="239"/>
      <c r="BY208" s="239"/>
      <c r="BZ208" s="239"/>
      <c r="CA208" s="239"/>
      <c r="CB208" s="239"/>
      <c r="CC208" s="239"/>
      <c r="CD208" s="239"/>
      <c r="CE208" s="239"/>
    </row>
    <row r="209" spans="1:83" ht="12.95" customHeight="1">
      <c r="A209" s="21" t="s">
        <v>3477</v>
      </c>
      <c r="B209" s="21" t="s">
        <v>2357</v>
      </c>
      <c r="C209" s="51" t="s">
        <v>967</v>
      </c>
      <c r="D209" s="52" t="s">
        <v>2153</v>
      </c>
      <c r="E209" s="52" t="s">
        <v>2154</v>
      </c>
      <c r="F209" s="53" t="s">
        <v>1287</v>
      </c>
      <c r="G209" s="179"/>
      <c r="H209" s="180" t="s">
        <v>1429</v>
      </c>
      <c r="I209" s="55" t="s">
        <v>1566</v>
      </c>
      <c r="J209" s="55" t="s">
        <v>1429</v>
      </c>
      <c r="K209" s="56" t="s">
        <v>1429</v>
      </c>
      <c r="L209" s="54" t="s">
        <v>1580</v>
      </c>
      <c r="M209" s="55" t="s">
        <v>1429</v>
      </c>
      <c r="N209" s="55" t="s">
        <v>1580</v>
      </c>
      <c r="O209" s="55" t="s">
        <v>1429</v>
      </c>
      <c r="P209" s="56" t="s">
        <v>1429</v>
      </c>
      <c r="Q209" s="52" t="s">
        <v>755</v>
      </c>
      <c r="R209" s="52" t="s">
        <v>750</v>
      </c>
      <c r="S209" s="52" t="s">
        <v>99</v>
      </c>
      <c r="T209" s="52" t="s">
        <v>100</v>
      </c>
      <c r="U209" s="57" t="s">
        <v>755</v>
      </c>
      <c r="V209" s="146" t="s">
        <v>2155</v>
      </c>
      <c r="W209" s="51" t="s">
        <v>2101</v>
      </c>
      <c r="X209" s="130" t="s">
        <v>2156</v>
      </c>
      <c r="Y209" s="130" t="s">
        <v>1429</v>
      </c>
      <c r="Z209" s="51" t="s">
        <v>1631</v>
      </c>
      <c r="AA209" s="51" t="s">
        <v>1941</v>
      </c>
      <c r="AB209" s="51" t="s">
        <v>1435</v>
      </c>
      <c r="AC209" s="51" t="s">
        <v>1633</v>
      </c>
      <c r="AD209" s="59" t="str">
        <f t="shared" si="38"/>
        <v>I2C2</v>
      </c>
      <c r="AE209" s="66"/>
      <c r="AF209" s="61" t="str">
        <f t="shared" si="39"/>
        <v>NORMAL</v>
      </c>
      <c r="AG209" s="61" t="str">
        <f t="shared" si="35"/>
        <v>NORMAL</v>
      </c>
      <c r="AH209" s="61" t="str">
        <f t="shared" si="40"/>
        <v>ENABLE</v>
      </c>
      <c r="AI209" s="67" t="str">
        <f t="shared" si="37"/>
        <v>N/A</v>
      </c>
      <c r="AJ209" s="176" t="b">
        <v>1</v>
      </c>
      <c r="AK209" s="176" t="b">
        <v>1</v>
      </c>
      <c r="AL209" s="176" t="b">
        <v>1</v>
      </c>
      <c r="AM209" s="176" t="b">
        <v>1</v>
      </c>
      <c r="AN209" s="176" t="b">
        <v>1</v>
      </c>
      <c r="AO209" s="176" t="b">
        <v>1</v>
      </c>
      <c r="AP209" s="64" t="str">
        <f t="shared" si="36"/>
        <v>VALID</v>
      </c>
      <c r="AQ209" s="226" t="s">
        <v>1566</v>
      </c>
      <c r="AR209" s="182" t="s">
        <v>3501</v>
      </c>
      <c r="AS209" s="181"/>
      <c r="AT209" s="181" t="s">
        <v>104</v>
      </c>
      <c r="AU209" s="5"/>
      <c r="AV209" s="181" t="s">
        <v>125</v>
      </c>
      <c r="AW209" s="181" t="s">
        <v>125</v>
      </c>
      <c r="AX209" s="284"/>
      <c r="AY209" s="181" t="s">
        <v>67</v>
      </c>
      <c r="AZ209" s="181"/>
      <c r="BA209" s="7"/>
      <c r="BB209" s="212"/>
      <c r="BC209" s="10" t="s">
        <v>3477</v>
      </c>
      <c r="BD209" s="238"/>
      <c r="BE209" s="239"/>
      <c r="BF209" s="239"/>
      <c r="BG209" s="239"/>
      <c r="BH209" s="239"/>
      <c r="BI209" s="239"/>
      <c r="BJ209" s="239"/>
      <c r="BK209" s="239"/>
      <c r="BL209" s="239"/>
      <c r="BM209" s="239"/>
      <c r="BN209" s="239"/>
      <c r="BO209" s="239"/>
      <c r="BP209" s="239"/>
      <c r="BQ209" s="239"/>
      <c r="BR209" s="239"/>
      <c r="BS209" s="239"/>
      <c r="BT209" s="239"/>
      <c r="BU209" s="239"/>
      <c r="BV209" s="239"/>
      <c r="BW209" s="239"/>
      <c r="BX209" s="239"/>
      <c r="BY209" s="239"/>
      <c r="BZ209" s="239"/>
      <c r="CA209" s="239"/>
      <c r="CB209" s="239"/>
      <c r="CC209" s="239"/>
      <c r="CD209" s="239"/>
      <c r="CE209" s="239"/>
    </row>
    <row r="210" spans="1:83" ht="12.95" customHeight="1">
      <c r="A210" s="21" t="s">
        <v>3476</v>
      </c>
      <c r="B210" s="21" t="s">
        <v>2346</v>
      </c>
      <c r="C210" s="51" t="s">
        <v>968</v>
      </c>
      <c r="D210" s="52" t="s">
        <v>2157</v>
      </c>
      <c r="E210" s="52" t="s">
        <v>2127</v>
      </c>
      <c r="F210" s="53" t="s">
        <v>1288</v>
      </c>
      <c r="G210" s="179"/>
      <c r="H210" s="180" t="s">
        <v>1429</v>
      </c>
      <c r="I210" s="55" t="s">
        <v>1567</v>
      </c>
      <c r="J210" s="55" t="s">
        <v>1429</v>
      </c>
      <c r="K210" s="56" t="s">
        <v>1429</v>
      </c>
      <c r="L210" s="54" t="s">
        <v>1580</v>
      </c>
      <c r="M210" s="55" t="s">
        <v>1429</v>
      </c>
      <c r="N210" s="55" t="s">
        <v>1580</v>
      </c>
      <c r="O210" s="55" t="s">
        <v>1429</v>
      </c>
      <c r="P210" s="56" t="s">
        <v>1429</v>
      </c>
      <c r="Q210" s="52" t="s">
        <v>755</v>
      </c>
      <c r="R210" s="52" t="s">
        <v>750</v>
      </c>
      <c r="S210" s="52" t="s">
        <v>99</v>
      </c>
      <c r="T210" s="52" t="s">
        <v>100</v>
      </c>
      <c r="U210" s="57" t="s">
        <v>755</v>
      </c>
      <c r="V210" s="146" t="s">
        <v>2158</v>
      </c>
      <c r="W210" s="51" t="s">
        <v>2101</v>
      </c>
      <c r="X210" s="130" t="s">
        <v>1429</v>
      </c>
      <c r="Y210" s="130" t="s">
        <v>1429</v>
      </c>
      <c r="Z210" s="51" t="s">
        <v>1631</v>
      </c>
      <c r="AA210" s="51" t="s">
        <v>1941</v>
      </c>
      <c r="AB210" s="51" t="s">
        <v>1435</v>
      </c>
      <c r="AC210" s="51" t="s">
        <v>1633</v>
      </c>
      <c r="AD210" s="59" t="str">
        <f t="shared" si="38"/>
        <v>I2C2</v>
      </c>
      <c r="AE210" s="66"/>
      <c r="AF210" s="61" t="str">
        <f t="shared" si="39"/>
        <v>NORMAL</v>
      </c>
      <c r="AG210" s="61" t="str">
        <f t="shared" si="35"/>
        <v>NORMAL</v>
      </c>
      <c r="AH210" s="61" t="str">
        <f t="shared" si="40"/>
        <v>ENABLE</v>
      </c>
      <c r="AI210" s="67" t="str">
        <f t="shared" si="37"/>
        <v>N/A</v>
      </c>
      <c r="AJ210" s="176" t="b">
        <v>1</v>
      </c>
      <c r="AK210" s="176" t="b">
        <v>1</v>
      </c>
      <c r="AL210" s="176" t="b">
        <v>1</v>
      </c>
      <c r="AM210" s="176" t="b">
        <v>1</v>
      </c>
      <c r="AN210" s="176" t="b">
        <v>1</v>
      </c>
      <c r="AO210" s="176" t="b">
        <v>1</v>
      </c>
      <c r="AP210" s="64" t="str">
        <f t="shared" si="36"/>
        <v>VALID</v>
      </c>
      <c r="AQ210" s="226" t="s">
        <v>1567</v>
      </c>
      <c r="AR210" s="182" t="s">
        <v>3501</v>
      </c>
      <c r="AS210" s="181"/>
      <c r="AT210" s="5"/>
      <c r="AU210" s="5"/>
      <c r="AV210" s="181" t="s">
        <v>125</v>
      </c>
      <c r="AW210" s="181" t="s">
        <v>125</v>
      </c>
      <c r="AX210" s="284"/>
      <c r="AY210" s="181" t="s">
        <v>67</v>
      </c>
      <c r="AZ210" s="181"/>
      <c r="BA210" s="7"/>
      <c r="BB210" s="212"/>
      <c r="BC210" s="10" t="s">
        <v>3476</v>
      </c>
      <c r="BD210" s="238"/>
      <c r="BE210" s="239"/>
      <c r="BF210" s="239"/>
      <c r="BG210" s="239"/>
      <c r="BH210" s="239"/>
      <c r="BI210" s="239"/>
      <c r="BJ210" s="239"/>
      <c r="BK210" s="239"/>
      <c r="BL210" s="239"/>
      <c r="BM210" s="239"/>
      <c r="BN210" s="239"/>
      <c r="BO210" s="239"/>
      <c r="BP210" s="239"/>
      <c r="BQ210" s="239"/>
      <c r="BR210" s="239"/>
      <c r="BS210" s="239"/>
      <c r="BT210" s="239"/>
      <c r="BU210" s="239"/>
      <c r="BV210" s="239"/>
      <c r="BW210" s="239"/>
      <c r="BX210" s="239"/>
      <c r="BY210" s="239"/>
      <c r="BZ210" s="239"/>
      <c r="CA210" s="239"/>
      <c r="CB210" s="239"/>
      <c r="CC210" s="239"/>
      <c r="CD210" s="239"/>
      <c r="CE210" s="239"/>
    </row>
    <row r="211" spans="1:83" ht="12.95" customHeight="1">
      <c r="A211" s="21" t="s">
        <v>277</v>
      </c>
      <c r="B211" s="21" t="s">
        <v>1867</v>
      </c>
      <c r="C211" s="51" t="s">
        <v>277</v>
      </c>
      <c r="D211" s="52" t="s">
        <v>2128</v>
      </c>
      <c r="E211" s="52" t="s">
        <v>1870</v>
      </c>
      <c r="F211" s="53" t="s">
        <v>533</v>
      </c>
      <c r="G211" s="179"/>
      <c r="H211" s="180" t="s">
        <v>277</v>
      </c>
      <c r="I211" s="55" t="s">
        <v>1429</v>
      </c>
      <c r="J211" s="55" t="s">
        <v>1429</v>
      </c>
      <c r="K211" s="56" t="s">
        <v>1429</v>
      </c>
      <c r="L211" s="54" t="s">
        <v>1580</v>
      </c>
      <c r="M211" s="55" t="s">
        <v>1581</v>
      </c>
      <c r="N211" s="55" t="s">
        <v>1429</v>
      </c>
      <c r="O211" s="55" t="s">
        <v>1429</v>
      </c>
      <c r="P211" s="56" t="s">
        <v>1429</v>
      </c>
      <c r="Q211" s="52" t="s">
        <v>748</v>
      </c>
      <c r="R211" s="52" t="s">
        <v>113</v>
      </c>
      <c r="S211" s="52" t="s">
        <v>99</v>
      </c>
      <c r="T211" s="52" t="s">
        <v>100</v>
      </c>
      <c r="U211" s="57" t="s">
        <v>113</v>
      </c>
      <c r="V211" s="146" t="s">
        <v>2159</v>
      </c>
      <c r="W211" s="51" t="s">
        <v>2101</v>
      </c>
      <c r="X211" s="130" t="s">
        <v>1429</v>
      </c>
      <c r="Y211" s="130" t="s">
        <v>1429</v>
      </c>
      <c r="Z211" s="51" t="s">
        <v>1585</v>
      </c>
      <c r="AA211" s="51" t="s">
        <v>1893</v>
      </c>
      <c r="AB211" s="51" t="s">
        <v>1435</v>
      </c>
      <c r="AC211" s="51" t="s">
        <v>1587</v>
      </c>
      <c r="AD211" s="59" t="str">
        <f t="shared" si="38"/>
        <v>TOUCH</v>
      </c>
      <c r="AE211" s="66"/>
      <c r="AF211" s="61" t="str">
        <f t="shared" si="39"/>
        <v>NORMAL</v>
      </c>
      <c r="AG211" s="61" t="str">
        <f t="shared" si="35"/>
        <v>NORMAL</v>
      </c>
      <c r="AH211" s="61" t="str">
        <f t="shared" si="40"/>
        <v>DISABLE</v>
      </c>
      <c r="AI211" s="67" t="str">
        <f t="shared" si="37"/>
        <v>N/A</v>
      </c>
      <c r="AJ211" s="176" t="b">
        <v>1</v>
      </c>
      <c r="AK211" s="176" t="b">
        <v>1</v>
      </c>
      <c r="AL211" s="176" t="b">
        <v>1</v>
      </c>
      <c r="AM211" s="176" t="b">
        <v>1</v>
      </c>
      <c r="AN211" s="176" t="b">
        <v>1</v>
      </c>
      <c r="AO211" s="176" t="b">
        <v>1</v>
      </c>
      <c r="AP211" s="64" t="str">
        <f t="shared" si="36"/>
        <v>VALID</v>
      </c>
      <c r="AQ211" s="226" t="s">
        <v>277</v>
      </c>
      <c r="AR211" s="182" t="s">
        <v>3495</v>
      </c>
      <c r="AS211" s="181"/>
      <c r="AT211" s="5"/>
      <c r="AU211" s="5"/>
      <c r="AV211" s="5"/>
      <c r="AW211" s="181" t="s">
        <v>125</v>
      </c>
      <c r="AX211" s="284"/>
      <c r="AY211" s="181"/>
      <c r="AZ211" s="181"/>
      <c r="BA211" s="7"/>
      <c r="BB211" s="212"/>
      <c r="BC211" s="10" t="s">
        <v>277</v>
      </c>
      <c r="BD211" s="238"/>
      <c r="BE211" s="239"/>
      <c r="BF211" s="239"/>
      <c r="BG211" s="239"/>
      <c r="BH211" s="239"/>
      <c r="BI211" s="239"/>
      <c r="BJ211" s="239"/>
      <c r="BK211" s="239"/>
      <c r="BL211" s="239"/>
      <c r="BM211" s="239"/>
      <c r="BN211" s="239"/>
      <c r="BO211" s="239"/>
      <c r="BP211" s="239"/>
      <c r="BQ211" s="239"/>
      <c r="BR211" s="239"/>
      <c r="BS211" s="239"/>
      <c r="BT211" s="239"/>
      <c r="BU211" s="239"/>
      <c r="BV211" s="239"/>
      <c r="BW211" s="239"/>
      <c r="BX211" s="239"/>
      <c r="BY211" s="239"/>
      <c r="BZ211" s="239"/>
      <c r="CA211" s="239"/>
      <c r="CB211" s="239"/>
      <c r="CC211" s="239"/>
      <c r="CD211" s="239"/>
      <c r="CE211" s="239"/>
    </row>
    <row r="212" spans="1:83" s="50" customFormat="1" ht="18" customHeight="1">
      <c r="A212" s="171" t="s">
        <v>1352</v>
      </c>
      <c r="B212" s="171"/>
      <c r="C212" s="171"/>
      <c r="D212" s="69"/>
      <c r="E212" s="69"/>
      <c r="F212" s="69"/>
      <c r="G212" s="70"/>
      <c r="H212" s="70"/>
      <c r="I212" s="70"/>
      <c r="J212" s="70"/>
      <c r="K212" s="70"/>
      <c r="L212" s="69"/>
      <c r="M212" s="69"/>
      <c r="N212" s="69"/>
      <c r="O212" s="69"/>
      <c r="P212" s="69"/>
      <c r="Q212" s="69"/>
      <c r="R212" s="69"/>
      <c r="S212" s="69"/>
      <c r="T212" s="69"/>
      <c r="U212" s="69"/>
      <c r="V212" s="69"/>
      <c r="W212" s="69"/>
      <c r="X212" s="131"/>
      <c r="Y212" s="131"/>
      <c r="Z212" s="71"/>
      <c r="AA212" s="71"/>
      <c r="AB212" s="71"/>
      <c r="AC212" s="71"/>
      <c r="AD212" s="71"/>
      <c r="AE212" s="71"/>
      <c r="AF212" s="71"/>
      <c r="AG212" s="71"/>
      <c r="AH212" s="71"/>
      <c r="AI212" s="71"/>
      <c r="AJ212" s="47"/>
      <c r="AK212" s="47"/>
      <c r="AL212" s="47"/>
      <c r="AM212" s="47"/>
      <c r="AN212" s="47"/>
      <c r="AO212" s="47"/>
      <c r="AP212" s="47"/>
      <c r="AQ212" s="72"/>
      <c r="AR212" s="72"/>
      <c r="AS212" s="73"/>
      <c r="AT212" s="73"/>
      <c r="AU212" s="73"/>
      <c r="AV212" s="73"/>
      <c r="AW212" s="73"/>
      <c r="AX212" s="288"/>
      <c r="AY212" s="73"/>
      <c r="AZ212" s="73"/>
      <c r="BA212" s="73"/>
      <c r="BB212" s="168" t="s">
        <v>50</v>
      </c>
      <c r="BC212" s="172"/>
      <c r="BD212" s="169"/>
      <c r="BE212" s="308"/>
      <c r="BF212" s="243"/>
      <c r="BG212" s="243"/>
      <c r="BH212" s="243"/>
      <c r="BI212" s="243"/>
      <c r="BJ212" s="243"/>
      <c r="BK212" s="243"/>
      <c r="BL212" s="243"/>
      <c r="BM212" s="243"/>
      <c r="BN212" s="243"/>
      <c r="BO212" s="243"/>
      <c r="BP212" s="243"/>
      <c r="BQ212" s="243"/>
      <c r="BR212" s="243"/>
      <c r="BS212" s="243"/>
      <c r="BT212" s="243"/>
      <c r="BU212" s="243"/>
      <c r="BV212" s="243"/>
      <c r="BW212" s="243"/>
      <c r="BX212" s="243"/>
      <c r="BY212" s="243"/>
      <c r="BZ212" s="243"/>
      <c r="CA212" s="243"/>
      <c r="CB212" s="243"/>
      <c r="CC212" s="243"/>
      <c r="CD212" s="243"/>
      <c r="CE212" s="243"/>
    </row>
    <row r="213" spans="1:83" ht="12.95" customHeight="1">
      <c r="A213" s="21" t="s">
        <v>3466</v>
      </c>
      <c r="B213" s="21" t="s">
        <v>2384</v>
      </c>
      <c r="C213" s="51" t="s">
        <v>970</v>
      </c>
      <c r="D213" s="52" t="s">
        <v>1936</v>
      </c>
      <c r="E213" s="52" t="s">
        <v>2160</v>
      </c>
      <c r="F213" s="53" t="s">
        <v>1289</v>
      </c>
      <c r="G213" s="179"/>
      <c r="H213" s="180" t="s">
        <v>970</v>
      </c>
      <c r="I213" s="55" t="s">
        <v>1429</v>
      </c>
      <c r="J213" s="55" t="s">
        <v>1429</v>
      </c>
      <c r="K213" s="56" t="s">
        <v>1429</v>
      </c>
      <c r="L213" s="54" t="s">
        <v>1580</v>
      </c>
      <c r="M213" s="55" t="s">
        <v>1581</v>
      </c>
      <c r="N213" s="55" t="s">
        <v>1429</v>
      </c>
      <c r="O213" s="55" t="s">
        <v>1429</v>
      </c>
      <c r="P213" s="56" t="s">
        <v>1429</v>
      </c>
      <c r="Q213" s="6" t="s">
        <v>1374</v>
      </c>
      <c r="R213" s="52" t="s">
        <v>113</v>
      </c>
      <c r="S213" s="52" t="s">
        <v>99</v>
      </c>
      <c r="T213" s="52" t="s">
        <v>100</v>
      </c>
      <c r="U213" s="57" t="s">
        <v>113</v>
      </c>
      <c r="V213" s="146" t="s">
        <v>2161</v>
      </c>
      <c r="W213" s="51" t="s">
        <v>2162</v>
      </c>
      <c r="X213" s="130" t="s">
        <v>2163</v>
      </c>
      <c r="Y213" s="130" t="s">
        <v>1429</v>
      </c>
      <c r="Z213" s="51" t="s">
        <v>1678</v>
      </c>
      <c r="AA213" s="51" t="s">
        <v>2164</v>
      </c>
      <c r="AB213" s="51" t="s">
        <v>3664</v>
      </c>
      <c r="AC213" s="51" t="s">
        <v>1674</v>
      </c>
      <c r="AD213" s="59" t="str">
        <f t="shared" si="38"/>
        <v>CAN1</v>
      </c>
      <c r="AE213" s="66"/>
      <c r="AF213" s="61" t="str">
        <f t="shared" si="39"/>
        <v>NORMAL</v>
      </c>
      <c r="AG213" s="61" t="str">
        <f t="shared" si="35"/>
        <v>NORMAL</v>
      </c>
      <c r="AH213" s="61" t="str">
        <f t="shared" si="40"/>
        <v>DISABLE</v>
      </c>
      <c r="AI213" s="67" t="str">
        <f t="shared" ref="AI213:AI224" si="41">IF($AQ213&lt;&gt;$G213,"N/A",IF($AS213="Drive 1", "1", IF($AS213="Drive 0", "0", "")))</f>
        <v>N/A</v>
      </c>
      <c r="AJ213" s="176" t="b">
        <v>1</v>
      </c>
      <c r="AK213" s="176" t="b">
        <v>1</v>
      </c>
      <c r="AL213" s="176" t="b">
        <v>1</v>
      </c>
      <c r="AM213" s="176" t="b">
        <v>1</v>
      </c>
      <c r="AN213" s="176" t="b">
        <v>1</v>
      </c>
      <c r="AO213" s="176" t="b">
        <v>1</v>
      </c>
      <c r="AP213" s="64" t="str">
        <f t="shared" si="36"/>
        <v>VALID</v>
      </c>
      <c r="AQ213" s="227" t="s">
        <v>970</v>
      </c>
      <c r="AR213" s="182" t="s">
        <v>3495</v>
      </c>
      <c r="AS213" s="181"/>
      <c r="AT213" s="181" t="s">
        <v>104</v>
      </c>
      <c r="AU213" s="5"/>
      <c r="AV213" s="5"/>
      <c r="AW213" s="5"/>
      <c r="AX213" s="284"/>
      <c r="AY213" s="181"/>
      <c r="AZ213" s="181"/>
      <c r="BA213" s="7"/>
      <c r="BB213" s="212"/>
      <c r="BC213" s="10" t="s">
        <v>3769</v>
      </c>
      <c r="BD213" s="238"/>
      <c r="BE213" s="239"/>
      <c r="BF213" s="239"/>
      <c r="BG213" s="239"/>
      <c r="BH213" s="239"/>
      <c r="BI213" s="239"/>
      <c r="BJ213" s="239"/>
      <c r="BK213" s="239"/>
      <c r="BL213" s="239"/>
      <c r="BM213" s="239"/>
      <c r="BN213" s="239"/>
      <c r="BO213" s="239"/>
      <c r="BP213" s="239"/>
      <c r="BQ213" s="239"/>
      <c r="BR213" s="239"/>
      <c r="BS213" s="239"/>
      <c r="BT213" s="239"/>
      <c r="BU213" s="239"/>
      <c r="BV213" s="239"/>
      <c r="BW213" s="239"/>
      <c r="BX213" s="239"/>
      <c r="BY213" s="239"/>
      <c r="BZ213" s="239"/>
      <c r="CA213" s="239"/>
      <c r="CB213" s="239"/>
      <c r="CC213" s="239"/>
      <c r="CD213" s="239"/>
      <c r="CE213" s="239"/>
    </row>
    <row r="214" spans="1:83" ht="12.95" customHeight="1">
      <c r="A214" s="21" t="s">
        <v>3467</v>
      </c>
      <c r="B214" s="21" t="s">
        <v>2388</v>
      </c>
      <c r="C214" s="51" t="s">
        <v>971</v>
      </c>
      <c r="D214" s="52" t="s">
        <v>2165</v>
      </c>
      <c r="E214" s="52" t="s">
        <v>2165</v>
      </c>
      <c r="F214" s="53" t="s">
        <v>1290</v>
      </c>
      <c r="G214" s="179"/>
      <c r="H214" s="180" t="s">
        <v>971</v>
      </c>
      <c r="I214" s="55" t="s">
        <v>1429</v>
      </c>
      <c r="J214" s="55" t="s">
        <v>1429</v>
      </c>
      <c r="K214" s="56" t="s">
        <v>1429</v>
      </c>
      <c r="L214" s="54" t="s">
        <v>1580</v>
      </c>
      <c r="M214" s="55" t="s">
        <v>1590</v>
      </c>
      <c r="N214" s="55" t="s">
        <v>1429</v>
      </c>
      <c r="O214" s="55" t="s">
        <v>1429</v>
      </c>
      <c r="P214" s="56" t="s">
        <v>1429</v>
      </c>
      <c r="Q214" s="6" t="s">
        <v>1374</v>
      </c>
      <c r="R214" s="52" t="s">
        <v>113</v>
      </c>
      <c r="S214" s="52" t="s">
        <v>99</v>
      </c>
      <c r="T214" s="52" t="s">
        <v>100</v>
      </c>
      <c r="U214" s="57" t="s">
        <v>113</v>
      </c>
      <c r="V214" s="146" t="s">
        <v>2166</v>
      </c>
      <c r="W214" s="51" t="s">
        <v>2162</v>
      </c>
      <c r="X214" s="130" t="s">
        <v>2167</v>
      </c>
      <c r="Y214" s="130" t="s">
        <v>1429</v>
      </c>
      <c r="Z214" s="51" t="s">
        <v>1678</v>
      </c>
      <c r="AA214" s="51" t="s">
        <v>2164</v>
      </c>
      <c r="AB214" s="51" t="s">
        <v>3664</v>
      </c>
      <c r="AC214" s="51" t="s">
        <v>1674</v>
      </c>
      <c r="AD214" s="59" t="str">
        <f t="shared" si="38"/>
        <v>CAN1</v>
      </c>
      <c r="AE214" s="66"/>
      <c r="AF214" s="61" t="str">
        <f t="shared" si="39"/>
        <v>PULL_UP</v>
      </c>
      <c r="AG214" s="61" t="str">
        <f t="shared" si="35"/>
        <v>TRISTATE</v>
      </c>
      <c r="AH214" s="61" t="str">
        <f t="shared" si="40"/>
        <v>ENABLE</v>
      </c>
      <c r="AI214" s="67" t="str">
        <f t="shared" si="41"/>
        <v>N/A</v>
      </c>
      <c r="AJ214" s="176" t="b">
        <v>1</v>
      </c>
      <c r="AK214" s="176" t="b">
        <v>1</v>
      </c>
      <c r="AL214" s="176" t="b">
        <v>1</v>
      </c>
      <c r="AM214" s="176" t="b">
        <v>1</v>
      </c>
      <c r="AN214" s="176" t="b">
        <v>1</v>
      </c>
      <c r="AO214" s="176" t="b">
        <v>1</v>
      </c>
      <c r="AP214" s="64" t="str">
        <f t="shared" si="36"/>
        <v>VALID</v>
      </c>
      <c r="AQ214" s="227" t="s">
        <v>971</v>
      </c>
      <c r="AR214" s="182" t="s">
        <v>3496</v>
      </c>
      <c r="AS214" s="181" t="s">
        <v>3497</v>
      </c>
      <c r="AT214" s="181" t="s">
        <v>104</v>
      </c>
      <c r="AU214" s="5"/>
      <c r="AV214" s="5"/>
      <c r="AW214" s="5"/>
      <c r="AX214" s="284"/>
      <c r="AY214" s="181"/>
      <c r="AZ214" s="181"/>
      <c r="BA214" s="7"/>
      <c r="BB214" s="212"/>
      <c r="BC214" s="10" t="s">
        <v>3769</v>
      </c>
      <c r="BD214" s="238"/>
      <c r="BE214" s="239"/>
      <c r="BF214" s="239"/>
      <c r="BG214" s="239"/>
      <c r="BH214" s="239"/>
      <c r="BI214" s="239"/>
      <c r="BJ214" s="239"/>
      <c r="BK214" s="239"/>
      <c r="BL214" s="239"/>
      <c r="BM214" s="239"/>
      <c r="BN214" s="239"/>
      <c r="BO214" s="239"/>
      <c r="BP214" s="239"/>
      <c r="BQ214" s="239"/>
      <c r="BR214" s="239"/>
      <c r="BS214" s="239"/>
      <c r="BT214" s="239"/>
      <c r="BU214" s="239"/>
      <c r="BV214" s="239"/>
      <c r="BW214" s="239"/>
      <c r="BX214" s="239"/>
      <c r="BY214" s="239"/>
      <c r="BZ214" s="239"/>
      <c r="CA214" s="239"/>
      <c r="CB214" s="239"/>
      <c r="CC214" s="239"/>
      <c r="CD214" s="239"/>
      <c r="CE214" s="239"/>
    </row>
    <row r="215" spans="1:83" ht="12.95" customHeight="1">
      <c r="A215" s="21" t="s">
        <v>3465</v>
      </c>
      <c r="B215" s="21" t="s">
        <v>3644</v>
      </c>
      <c r="C215" s="51" t="s">
        <v>972</v>
      </c>
      <c r="D215" s="52" t="s">
        <v>1947</v>
      </c>
      <c r="E215" s="52" t="s">
        <v>2168</v>
      </c>
      <c r="F215" s="53" t="s">
        <v>1291</v>
      </c>
      <c r="G215" s="179"/>
      <c r="H215" s="180" t="s">
        <v>972</v>
      </c>
      <c r="I215" s="55" t="s">
        <v>1429</v>
      </c>
      <c r="J215" s="55" t="s">
        <v>1429</v>
      </c>
      <c r="K215" s="56" t="s">
        <v>1429</v>
      </c>
      <c r="L215" s="54" t="s">
        <v>1580</v>
      </c>
      <c r="M215" s="55" t="s">
        <v>1581</v>
      </c>
      <c r="N215" s="55" t="s">
        <v>1429</v>
      </c>
      <c r="O215" s="55" t="s">
        <v>1429</v>
      </c>
      <c r="P215" s="56" t="s">
        <v>1429</v>
      </c>
      <c r="Q215" s="6" t="s">
        <v>1375</v>
      </c>
      <c r="R215" s="52" t="s">
        <v>113</v>
      </c>
      <c r="S215" s="52" t="s">
        <v>99</v>
      </c>
      <c r="T215" s="52" t="s">
        <v>100</v>
      </c>
      <c r="U215" s="57" t="s">
        <v>113</v>
      </c>
      <c r="V215" s="146" t="s">
        <v>2169</v>
      </c>
      <c r="W215" s="51" t="s">
        <v>2162</v>
      </c>
      <c r="X215" s="130" t="s">
        <v>2170</v>
      </c>
      <c r="Y215" s="130" t="s">
        <v>1429</v>
      </c>
      <c r="Z215" s="51" t="s">
        <v>1678</v>
      </c>
      <c r="AA215" s="51" t="s">
        <v>2164</v>
      </c>
      <c r="AB215" s="51" t="s">
        <v>3664</v>
      </c>
      <c r="AC215" s="51" t="s">
        <v>1674</v>
      </c>
      <c r="AD215" s="59" t="str">
        <f t="shared" si="38"/>
        <v>CAN0</v>
      </c>
      <c r="AE215" s="66"/>
      <c r="AF215" s="61" t="str">
        <f t="shared" si="39"/>
        <v>NORMAL</v>
      </c>
      <c r="AG215" s="61" t="str">
        <f t="shared" si="35"/>
        <v>NORMAL</v>
      </c>
      <c r="AH215" s="61" t="str">
        <f t="shared" si="40"/>
        <v>DISABLE</v>
      </c>
      <c r="AI215" s="67" t="str">
        <f t="shared" si="41"/>
        <v>N/A</v>
      </c>
      <c r="AJ215" s="176" t="b">
        <v>1</v>
      </c>
      <c r="AK215" s="176" t="b">
        <v>1</v>
      </c>
      <c r="AL215" s="176" t="b">
        <v>1</v>
      </c>
      <c r="AM215" s="176" t="b">
        <v>1</v>
      </c>
      <c r="AN215" s="176" t="b">
        <v>1</v>
      </c>
      <c r="AO215" s="176" t="b">
        <v>1</v>
      </c>
      <c r="AP215" s="64" t="str">
        <f t="shared" si="36"/>
        <v>VALID</v>
      </c>
      <c r="AQ215" s="227" t="s">
        <v>972</v>
      </c>
      <c r="AR215" s="182" t="s">
        <v>3495</v>
      </c>
      <c r="AS215" s="181"/>
      <c r="AT215" s="181" t="s">
        <v>104</v>
      </c>
      <c r="AU215" s="5"/>
      <c r="AV215" s="5"/>
      <c r="AW215" s="5"/>
      <c r="AX215" s="284"/>
      <c r="AY215" s="181"/>
      <c r="AZ215" s="181"/>
      <c r="BA215" s="7"/>
      <c r="BB215" s="212"/>
      <c r="BC215" s="10" t="s">
        <v>3770</v>
      </c>
      <c r="BD215" s="238"/>
      <c r="BE215" s="239"/>
      <c r="BF215" s="239"/>
      <c r="BG215" s="239"/>
      <c r="BH215" s="239"/>
      <c r="BI215" s="239"/>
      <c r="BJ215" s="239"/>
      <c r="BK215" s="239"/>
      <c r="BL215" s="239"/>
      <c r="BM215" s="239"/>
      <c r="BN215" s="239"/>
      <c r="BO215" s="239"/>
      <c r="BP215" s="239"/>
      <c r="BQ215" s="239"/>
      <c r="BR215" s="239"/>
      <c r="BS215" s="239"/>
      <c r="BT215" s="239"/>
      <c r="BU215" s="239"/>
      <c r="BV215" s="239"/>
      <c r="BW215" s="239"/>
      <c r="BX215" s="239"/>
      <c r="BY215" s="239"/>
      <c r="BZ215" s="239"/>
      <c r="CA215" s="239"/>
      <c r="CB215" s="239"/>
      <c r="CC215" s="239"/>
      <c r="CD215" s="239"/>
      <c r="CE215" s="239"/>
    </row>
    <row r="216" spans="1:83" ht="12.95" customHeight="1">
      <c r="A216" s="21" t="s">
        <v>3464</v>
      </c>
      <c r="B216" s="21" t="s">
        <v>2386</v>
      </c>
      <c r="C216" s="51" t="s">
        <v>973</v>
      </c>
      <c r="D216" s="52" t="s">
        <v>1942</v>
      </c>
      <c r="E216" s="52" t="s">
        <v>2153</v>
      </c>
      <c r="F216" s="53" t="s">
        <v>1292</v>
      </c>
      <c r="G216" s="179"/>
      <c r="H216" s="180" t="s">
        <v>973</v>
      </c>
      <c r="I216" s="55" t="s">
        <v>1429</v>
      </c>
      <c r="J216" s="55" t="s">
        <v>1429</v>
      </c>
      <c r="K216" s="56" t="s">
        <v>1429</v>
      </c>
      <c r="L216" s="54" t="s">
        <v>1580</v>
      </c>
      <c r="M216" s="55" t="s">
        <v>1590</v>
      </c>
      <c r="N216" s="55" t="s">
        <v>1429</v>
      </c>
      <c r="O216" s="55" t="s">
        <v>1429</v>
      </c>
      <c r="P216" s="56" t="s">
        <v>1429</v>
      </c>
      <c r="Q216" s="6" t="s">
        <v>1375</v>
      </c>
      <c r="R216" s="52" t="s">
        <v>113</v>
      </c>
      <c r="S216" s="52" t="s">
        <v>99</v>
      </c>
      <c r="T216" s="52" t="s">
        <v>100</v>
      </c>
      <c r="U216" s="57" t="s">
        <v>113</v>
      </c>
      <c r="V216" s="146" t="s">
        <v>2171</v>
      </c>
      <c r="W216" s="51" t="s">
        <v>2162</v>
      </c>
      <c r="X216" s="130" t="s">
        <v>2172</v>
      </c>
      <c r="Y216" s="130" t="s">
        <v>1429</v>
      </c>
      <c r="Z216" s="51" t="s">
        <v>1678</v>
      </c>
      <c r="AA216" s="51" t="s">
        <v>2164</v>
      </c>
      <c r="AB216" s="51" t="s">
        <v>3664</v>
      </c>
      <c r="AC216" s="51" t="s">
        <v>1674</v>
      </c>
      <c r="AD216" s="59" t="str">
        <f t="shared" si="38"/>
        <v>CAN0</v>
      </c>
      <c r="AE216" s="66"/>
      <c r="AF216" s="61" t="str">
        <f t="shared" si="39"/>
        <v>PULL_UP</v>
      </c>
      <c r="AG216" s="61" t="str">
        <f t="shared" si="35"/>
        <v>TRISTATE</v>
      </c>
      <c r="AH216" s="61" t="str">
        <f t="shared" si="40"/>
        <v>ENABLE</v>
      </c>
      <c r="AI216" s="67" t="str">
        <f t="shared" si="41"/>
        <v>N/A</v>
      </c>
      <c r="AJ216" s="176" t="b">
        <v>1</v>
      </c>
      <c r="AK216" s="176" t="b">
        <v>1</v>
      </c>
      <c r="AL216" s="176" t="b">
        <v>1</v>
      </c>
      <c r="AM216" s="176" t="b">
        <v>1</v>
      </c>
      <c r="AN216" s="176" t="b">
        <v>1</v>
      </c>
      <c r="AO216" s="176" t="b">
        <v>1</v>
      </c>
      <c r="AP216" s="64" t="str">
        <f t="shared" si="36"/>
        <v>VALID</v>
      </c>
      <c r="AQ216" s="227" t="s">
        <v>973</v>
      </c>
      <c r="AR216" s="182" t="s">
        <v>3496</v>
      </c>
      <c r="AS216" s="181" t="s">
        <v>3497</v>
      </c>
      <c r="AT216" s="181" t="s">
        <v>104</v>
      </c>
      <c r="AU216" s="5"/>
      <c r="AV216" s="5"/>
      <c r="AW216" s="5"/>
      <c r="AX216" s="284"/>
      <c r="AY216" s="181"/>
      <c r="AZ216" s="181"/>
      <c r="BA216" s="7"/>
      <c r="BB216" s="212"/>
      <c r="BC216" s="10" t="s">
        <v>3770</v>
      </c>
      <c r="BD216" s="238"/>
      <c r="BE216" s="239"/>
      <c r="BF216" s="239"/>
      <c r="BG216" s="239"/>
      <c r="BH216" s="239"/>
      <c r="BI216" s="239"/>
      <c r="BJ216" s="239"/>
      <c r="BK216" s="239"/>
      <c r="BL216" s="239"/>
      <c r="BM216" s="239"/>
      <c r="BN216" s="239"/>
      <c r="BO216" s="239"/>
      <c r="BP216" s="239"/>
      <c r="BQ216" s="239"/>
      <c r="BR216" s="239"/>
      <c r="BS216" s="239"/>
      <c r="BT216" s="239"/>
      <c r="BU216" s="239"/>
      <c r="BV216" s="239"/>
      <c r="BW216" s="239"/>
      <c r="BX216" s="239"/>
      <c r="BY216" s="239"/>
      <c r="BZ216" s="239"/>
      <c r="CA216" s="239"/>
      <c r="CB216" s="239"/>
      <c r="CC216" s="239"/>
      <c r="CD216" s="239"/>
      <c r="CE216" s="239"/>
    </row>
    <row r="217" spans="1:83" ht="12.95" customHeight="1">
      <c r="A217" s="21" t="s">
        <v>3463</v>
      </c>
      <c r="B217" s="21" t="s">
        <v>3646</v>
      </c>
      <c r="C217" s="51" t="s">
        <v>974</v>
      </c>
      <c r="D217" s="52" t="s">
        <v>1895</v>
      </c>
      <c r="E217" s="52" t="s">
        <v>2173</v>
      </c>
      <c r="F217" s="53" t="s">
        <v>1293</v>
      </c>
      <c r="G217" s="179"/>
      <c r="H217" s="180" t="s">
        <v>1429</v>
      </c>
      <c r="I217" s="55" t="s">
        <v>2174</v>
      </c>
      <c r="J217" s="55" t="s">
        <v>2175</v>
      </c>
      <c r="K217" s="56" t="s">
        <v>1429</v>
      </c>
      <c r="L217" s="54" t="s">
        <v>1580</v>
      </c>
      <c r="M217" s="55" t="s">
        <v>1429</v>
      </c>
      <c r="N217" s="55" t="s">
        <v>1590</v>
      </c>
      <c r="O217" s="55" t="s">
        <v>1590</v>
      </c>
      <c r="P217" s="56" t="s">
        <v>1429</v>
      </c>
      <c r="Q217" s="6" t="s">
        <v>755</v>
      </c>
      <c r="R217" s="52" t="s">
        <v>744</v>
      </c>
      <c r="S217" s="52" t="s">
        <v>1376</v>
      </c>
      <c r="T217" s="52" t="s">
        <v>100</v>
      </c>
      <c r="U217" s="57" t="s">
        <v>755</v>
      </c>
      <c r="V217" s="146" t="s">
        <v>2176</v>
      </c>
      <c r="W217" s="51" t="s">
        <v>2162</v>
      </c>
      <c r="X217" s="130" t="s">
        <v>2177</v>
      </c>
      <c r="Y217" s="130" t="s">
        <v>1429</v>
      </c>
      <c r="Z217" s="51" t="s">
        <v>1678</v>
      </c>
      <c r="AA217" s="51" t="s">
        <v>2164</v>
      </c>
      <c r="AB217" s="51" t="s">
        <v>3664</v>
      </c>
      <c r="AC217" s="51" t="s">
        <v>1587</v>
      </c>
      <c r="AD217" s="59" t="str">
        <f t="shared" si="38"/>
        <v>DMIC5</v>
      </c>
      <c r="AE217" s="66"/>
      <c r="AF217" s="61" t="str">
        <f t="shared" si="39"/>
        <v>NORMAL</v>
      </c>
      <c r="AG217" s="61" t="str">
        <f t="shared" si="35"/>
        <v>TRISTATE</v>
      </c>
      <c r="AH217" s="61" t="str">
        <f t="shared" si="40"/>
        <v>ENABLE</v>
      </c>
      <c r="AI217" s="67" t="str">
        <f t="shared" si="41"/>
        <v>N/A</v>
      </c>
      <c r="AJ217" s="176" t="b">
        <v>1</v>
      </c>
      <c r="AK217" s="176" t="b">
        <v>1</v>
      </c>
      <c r="AL217" s="176" t="b">
        <v>1</v>
      </c>
      <c r="AM217" s="176" t="b">
        <v>1</v>
      </c>
      <c r="AN217" s="176" t="b">
        <v>1</v>
      </c>
      <c r="AO217" s="176" t="b">
        <v>1</v>
      </c>
      <c r="AP217" s="64" t="str">
        <f t="shared" si="36"/>
        <v>VALID</v>
      </c>
      <c r="AQ217" s="226" t="s">
        <v>2175</v>
      </c>
      <c r="AR217" s="182" t="s">
        <v>3496</v>
      </c>
      <c r="AS217" s="181"/>
      <c r="AT217" s="181" t="s">
        <v>104</v>
      </c>
      <c r="AU217" s="5"/>
      <c r="AV217" s="5"/>
      <c r="AW217" s="5"/>
      <c r="AX217" s="284"/>
      <c r="AY217" s="181"/>
      <c r="AZ217" s="181"/>
      <c r="BA217" s="7"/>
      <c r="BB217" s="212"/>
      <c r="BC217" s="10" t="s">
        <v>3524</v>
      </c>
      <c r="BD217" s="238"/>
      <c r="BE217" s="239"/>
      <c r="BF217" s="239"/>
      <c r="BG217" s="239"/>
      <c r="BH217" s="239"/>
      <c r="BI217" s="239"/>
      <c r="BJ217" s="239"/>
      <c r="BK217" s="239"/>
      <c r="BL217" s="239"/>
      <c r="BM217" s="239"/>
      <c r="BN217" s="239"/>
      <c r="BO217" s="239"/>
      <c r="BP217" s="239"/>
      <c r="BQ217" s="239"/>
      <c r="BR217" s="239"/>
      <c r="BS217" s="239"/>
      <c r="BT217" s="239"/>
      <c r="BU217" s="239"/>
      <c r="BV217" s="239"/>
      <c r="BW217" s="239"/>
      <c r="BX217" s="239"/>
      <c r="BY217" s="239"/>
      <c r="BZ217" s="239"/>
      <c r="CA217" s="239"/>
      <c r="CB217" s="239"/>
      <c r="CC217" s="239"/>
      <c r="CD217" s="239"/>
      <c r="CE217" s="239"/>
    </row>
    <row r="218" spans="1:83" ht="12.95" customHeight="1">
      <c r="A218" s="21" t="s">
        <v>3462</v>
      </c>
      <c r="B218" s="21" t="s">
        <v>3645</v>
      </c>
      <c r="C218" s="51" t="s">
        <v>975</v>
      </c>
      <c r="D218" s="52" t="s">
        <v>2178</v>
      </c>
      <c r="E218" s="52" t="s">
        <v>2145</v>
      </c>
      <c r="F218" s="53" t="s">
        <v>1294</v>
      </c>
      <c r="G218" s="179"/>
      <c r="H218" s="180" t="s">
        <v>1429</v>
      </c>
      <c r="I218" s="55" t="s">
        <v>2179</v>
      </c>
      <c r="J218" s="55" t="s">
        <v>2180</v>
      </c>
      <c r="K218" s="56" t="s">
        <v>1429</v>
      </c>
      <c r="L218" s="54" t="s">
        <v>1580</v>
      </c>
      <c r="M218" s="55" t="s">
        <v>1429</v>
      </c>
      <c r="N218" s="55" t="s">
        <v>1581</v>
      </c>
      <c r="O218" s="55" t="s">
        <v>1581</v>
      </c>
      <c r="P218" s="56" t="s">
        <v>1429</v>
      </c>
      <c r="Q218" s="52" t="s">
        <v>755</v>
      </c>
      <c r="R218" s="52" t="s">
        <v>744</v>
      </c>
      <c r="S218" s="52" t="s">
        <v>1376</v>
      </c>
      <c r="T218" s="52" t="s">
        <v>100</v>
      </c>
      <c r="U218" s="52" t="s">
        <v>755</v>
      </c>
      <c r="V218" s="146" t="s">
        <v>2181</v>
      </c>
      <c r="W218" s="51" t="s">
        <v>2162</v>
      </c>
      <c r="X218" s="130" t="s">
        <v>2182</v>
      </c>
      <c r="Y218" s="130" t="s">
        <v>1429</v>
      </c>
      <c r="Z218" s="51" t="s">
        <v>1678</v>
      </c>
      <c r="AA218" s="51" t="s">
        <v>2164</v>
      </c>
      <c r="AB218" s="51" t="s">
        <v>3664</v>
      </c>
      <c r="AC218" s="51" t="s">
        <v>1587</v>
      </c>
      <c r="AD218" s="59" t="str">
        <f t="shared" si="38"/>
        <v>DMIC5</v>
      </c>
      <c r="AE218" s="66"/>
      <c r="AF218" s="61" t="str">
        <f t="shared" si="39"/>
        <v>NORMAL</v>
      </c>
      <c r="AG218" s="61" t="str">
        <f t="shared" si="35"/>
        <v>NORMAL</v>
      </c>
      <c r="AH218" s="61" t="str">
        <f t="shared" si="40"/>
        <v>DISABLE</v>
      </c>
      <c r="AI218" s="67" t="str">
        <f t="shared" si="41"/>
        <v>N/A</v>
      </c>
      <c r="AJ218" s="176" t="b">
        <v>1</v>
      </c>
      <c r="AK218" s="176" t="b">
        <v>1</v>
      </c>
      <c r="AL218" s="176" t="b">
        <v>1</v>
      </c>
      <c r="AM218" s="176" t="b">
        <v>1</v>
      </c>
      <c r="AN218" s="176" t="b">
        <v>1</v>
      </c>
      <c r="AO218" s="176" t="b">
        <v>1</v>
      </c>
      <c r="AP218" s="64" t="str">
        <f t="shared" si="36"/>
        <v>VALID</v>
      </c>
      <c r="AQ218" s="226" t="s">
        <v>2180</v>
      </c>
      <c r="AR218" s="182" t="s">
        <v>3495</v>
      </c>
      <c r="AS218" s="181"/>
      <c r="AT218" s="181" t="s">
        <v>104</v>
      </c>
      <c r="AU218" s="5"/>
      <c r="AV218" s="5"/>
      <c r="AW218" s="5"/>
      <c r="AX218" s="284"/>
      <c r="AY218" s="181"/>
      <c r="AZ218" s="181"/>
      <c r="BA218" s="7"/>
      <c r="BB218" s="212"/>
      <c r="BC218" s="10" t="s">
        <v>3525</v>
      </c>
      <c r="BD218" s="238"/>
      <c r="BE218" s="239"/>
      <c r="BF218" s="239"/>
      <c r="BG218" s="239"/>
      <c r="BH218" s="239"/>
      <c r="BI218" s="239"/>
      <c r="BJ218" s="239"/>
      <c r="BK218" s="239"/>
      <c r="BL218" s="239"/>
      <c r="BM218" s="239"/>
      <c r="BN218" s="239"/>
      <c r="BO218" s="239"/>
      <c r="BP218" s="239"/>
      <c r="BQ218" s="239"/>
      <c r="BR218" s="239"/>
      <c r="BS218" s="239"/>
      <c r="BT218" s="239"/>
      <c r="BU218" s="239"/>
      <c r="BV218" s="239"/>
      <c r="BW218" s="239"/>
      <c r="BX218" s="239"/>
      <c r="BY218" s="239"/>
      <c r="BZ218" s="239"/>
      <c r="CA218" s="239"/>
      <c r="CB218" s="239"/>
      <c r="CC218" s="239"/>
      <c r="CD218" s="239"/>
      <c r="CE218" s="239"/>
    </row>
    <row r="219" spans="1:83" ht="12.95" customHeight="1">
      <c r="A219" s="21" t="s">
        <v>3807</v>
      </c>
      <c r="B219" s="21" t="s">
        <v>2389</v>
      </c>
      <c r="C219" s="51" t="s">
        <v>976</v>
      </c>
      <c r="D219" s="52" t="s">
        <v>1930</v>
      </c>
      <c r="E219" s="52" t="s">
        <v>2183</v>
      </c>
      <c r="F219" s="53" t="s">
        <v>1295</v>
      </c>
      <c r="G219" s="179" t="s">
        <v>2184</v>
      </c>
      <c r="H219" s="180"/>
      <c r="I219" s="55" t="s">
        <v>1429</v>
      </c>
      <c r="J219" s="55" t="s">
        <v>1429</v>
      </c>
      <c r="K219" s="56" t="s">
        <v>1429</v>
      </c>
      <c r="L219" s="54" t="s">
        <v>1580</v>
      </c>
      <c r="M219" s="55" t="s">
        <v>1580</v>
      </c>
      <c r="N219" s="55" t="s">
        <v>1429</v>
      </c>
      <c r="O219" s="55" t="s">
        <v>1429</v>
      </c>
      <c r="P219" s="56" t="s">
        <v>1429</v>
      </c>
      <c r="Q219" s="52" t="s">
        <v>69</v>
      </c>
      <c r="R219" s="52" t="s">
        <v>113</v>
      </c>
      <c r="S219" s="52" t="s">
        <v>99</v>
      </c>
      <c r="T219" s="52" t="s">
        <v>100</v>
      </c>
      <c r="U219" s="52" t="s">
        <v>113</v>
      </c>
      <c r="V219" s="146" t="s">
        <v>2185</v>
      </c>
      <c r="W219" s="51" t="s">
        <v>2162</v>
      </c>
      <c r="X219" s="130" t="s">
        <v>2186</v>
      </c>
      <c r="Y219" s="130" t="s">
        <v>1429</v>
      </c>
      <c r="Z219" s="51" t="s">
        <v>1678</v>
      </c>
      <c r="AA219" s="51" t="s">
        <v>2164</v>
      </c>
      <c r="AB219" s="51" t="s">
        <v>3664</v>
      </c>
      <c r="AC219" s="51" t="s">
        <v>1633</v>
      </c>
      <c r="AD219" s="59" t="str">
        <f t="shared" si="38"/>
        <v>GPIO_PAA2</v>
      </c>
      <c r="AE219" s="66"/>
      <c r="AF219" s="61" t="str">
        <f t="shared" si="39"/>
        <v>PULL_UP</v>
      </c>
      <c r="AG219" s="61" t="str">
        <f t="shared" si="35"/>
        <v>TRISTATE</v>
      </c>
      <c r="AH219" s="61" t="str">
        <f t="shared" si="40"/>
        <v>ENABLE</v>
      </c>
      <c r="AI219" s="67" t="str">
        <f t="shared" si="41"/>
        <v/>
      </c>
      <c r="AJ219" s="176" t="b">
        <v>1</v>
      </c>
      <c r="AK219" s="176" t="b">
        <v>1</v>
      </c>
      <c r="AL219" s="176" t="b">
        <v>1</v>
      </c>
      <c r="AM219" s="176" t="b">
        <v>1</v>
      </c>
      <c r="AN219" s="176" t="b">
        <v>1</v>
      </c>
      <c r="AO219" s="176" t="b">
        <v>1</v>
      </c>
      <c r="AP219" s="64" t="str">
        <f t="shared" si="36"/>
        <v>VALID</v>
      </c>
      <c r="AQ219" s="226" t="s">
        <v>2184</v>
      </c>
      <c r="AR219" s="182" t="s">
        <v>3496</v>
      </c>
      <c r="AS219" s="181" t="s">
        <v>3497</v>
      </c>
      <c r="AT219" s="181" t="s">
        <v>3499</v>
      </c>
      <c r="AU219" s="5"/>
      <c r="AV219" s="5"/>
      <c r="AW219" s="5"/>
      <c r="AX219" s="284"/>
      <c r="AY219" s="181"/>
      <c r="AZ219" s="181"/>
      <c r="BA219" s="7"/>
      <c r="BB219" s="212"/>
      <c r="BC219" s="10" t="s">
        <v>3526</v>
      </c>
      <c r="BD219" s="238"/>
      <c r="BE219" s="239"/>
      <c r="BF219" s="239"/>
      <c r="BG219" s="239"/>
      <c r="BH219" s="239"/>
      <c r="BI219" s="239"/>
      <c r="BJ219" s="239"/>
      <c r="BK219" s="239"/>
      <c r="BL219" s="239"/>
      <c r="BM219" s="239"/>
      <c r="BN219" s="239"/>
      <c r="BO219" s="239"/>
      <c r="BP219" s="239"/>
      <c r="BQ219" s="239"/>
      <c r="BR219" s="239"/>
      <c r="BS219" s="239"/>
      <c r="BT219" s="239"/>
      <c r="BU219" s="239"/>
      <c r="BV219" s="239"/>
      <c r="BW219" s="239"/>
      <c r="BX219" s="239"/>
      <c r="BY219" s="239"/>
      <c r="BZ219" s="239"/>
      <c r="CA219" s="239"/>
      <c r="CB219" s="239"/>
      <c r="CC219" s="239"/>
      <c r="CD219" s="239"/>
      <c r="CE219" s="239"/>
    </row>
    <row r="220" spans="1:83" ht="12.95" customHeight="1">
      <c r="A220" s="21" t="s">
        <v>3461</v>
      </c>
      <c r="B220" s="21" t="s">
        <v>3643</v>
      </c>
      <c r="C220" s="51" t="s">
        <v>977</v>
      </c>
      <c r="D220" s="52" t="s">
        <v>1900</v>
      </c>
      <c r="E220" s="52" t="s">
        <v>2187</v>
      </c>
      <c r="F220" s="53" t="s">
        <v>1296</v>
      </c>
      <c r="G220" s="179" t="s">
        <v>1568</v>
      </c>
      <c r="H220" s="180" t="s">
        <v>1429</v>
      </c>
      <c r="I220" s="55" t="s">
        <v>1429</v>
      </c>
      <c r="J220" s="55" t="s">
        <v>1429</v>
      </c>
      <c r="K220" s="56" t="s">
        <v>1429</v>
      </c>
      <c r="L220" s="54" t="s">
        <v>1580</v>
      </c>
      <c r="M220" s="55" t="s">
        <v>1429</v>
      </c>
      <c r="N220" s="55" t="s">
        <v>1429</v>
      </c>
      <c r="O220" s="55" t="s">
        <v>1429</v>
      </c>
      <c r="P220" s="56" t="s">
        <v>1429</v>
      </c>
      <c r="Q220" s="52" t="s">
        <v>755</v>
      </c>
      <c r="R220" s="52" t="s">
        <v>113</v>
      </c>
      <c r="S220" s="52" t="s">
        <v>99</v>
      </c>
      <c r="T220" s="52" t="s">
        <v>100</v>
      </c>
      <c r="U220" s="57" t="s">
        <v>755</v>
      </c>
      <c r="V220" s="146" t="s">
        <v>2188</v>
      </c>
      <c r="W220" s="51" t="s">
        <v>2162</v>
      </c>
      <c r="X220" s="130" t="s">
        <v>2189</v>
      </c>
      <c r="Y220" s="130" t="s">
        <v>1429</v>
      </c>
      <c r="Z220" s="51" t="s">
        <v>1678</v>
      </c>
      <c r="AA220" s="51" t="s">
        <v>2164</v>
      </c>
      <c r="AB220" s="51" t="s">
        <v>3664</v>
      </c>
      <c r="AC220" s="51" t="s">
        <v>1633</v>
      </c>
      <c r="AD220" s="59" t="str">
        <f t="shared" si="38"/>
        <v>GPIO_PAA3</v>
      </c>
      <c r="AE220" s="66"/>
      <c r="AF220" s="61" t="str">
        <f t="shared" si="39"/>
        <v>NORMAL</v>
      </c>
      <c r="AG220" s="61" t="str">
        <f t="shared" si="35"/>
        <v>NORMAL</v>
      </c>
      <c r="AH220" s="61" t="str">
        <f t="shared" si="40"/>
        <v>ENABLE</v>
      </c>
      <c r="AI220" s="67" t="str">
        <f t="shared" si="41"/>
        <v/>
      </c>
      <c r="AJ220" s="176" t="b">
        <v>1</v>
      </c>
      <c r="AK220" s="176" t="b">
        <v>1</v>
      </c>
      <c r="AL220" s="176" t="b">
        <v>1</v>
      </c>
      <c r="AM220" s="176" t="b">
        <v>1</v>
      </c>
      <c r="AN220" s="176" t="b">
        <v>1</v>
      </c>
      <c r="AO220" s="176" t="b">
        <v>1</v>
      </c>
      <c r="AP220" s="64" t="str">
        <f t="shared" si="36"/>
        <v>VALID</v>
      </c>
      <c r="AQ220" s="226" t="s">
        <v>1568</v>
      </c>
      <c r="AR220" s="182" t="s">
        <v>3501</v>
      </c>
      <c r="AS220" s="181"/>
      <c r="AT220" s="181" t="s">
        <v>3499</v>
      </c>
      <c r="AU220" s="5"/>
      <c r="AV220" s="5"/>
      <c r="AW220" s="5"/>
      <c r="AX220" s="284"/>
      <c r="AY220" s="181"/>
      <c r="AZ220" s="181"/>
      <c r="BA220" s="7"/>
      <c r="BB220" s="212"/>
      <c r="BC220" s="10" t="s">
        <v>3527</v>
      </c>
      <c r="BD220" s="240"/>
      <c r="BE220" s="239"/>
      <c r="BF220" s="239"/>
      <c r="BG220" s="239"/>
      <c r="BH220" s="239"/>
      <c r="BI220" s="239"/>
      <c r="BJ220" s="239"/>
      <c r="BK220" s="239"/>
      <c r="BL220" s="239"/>
      <c r="BM220" s="239"/>
      <c r="BN220" s="239"/>
      <c r="BO220" s="239"/>
      <c r="BP220" s="239"/>
      <c r="BQ220" s="239"/>
      <c r="BR220" s="239"/>
      <c r="BS220" s="239"/>
      <c r="BT220" s="239"/>
      <c r="BU220" s="239"/>
      <c r="BV220" s="239"/>
      <c r="BW220" s="239"/>
      <c r="BX220" s="239"/>
      <c r="BY220" s="239"/>
      <c r="BZ220" s="239"/>
      <c r="CA220" s="239"/>
      <c r="CB220" s="239"/>
      <c r="CC220" s="239"/>
      <c r="CD220" s="239"/>
      <c r="CE220" s="239"/>
    </row>
    <row r="221" spans="1:83" ht="12.95" customHeight="1">
      <c r="A221" s="21" t="s">
        <v>3460</v>
      </c>
      <c r="B221" s="21" t="s">
        <v>1864</v>
      </c>
      <c r="C221" s="51" t="s">
        <v>978</v>
      </c>
      <c r="D221" s="52" t="s">
        <v>1952</v>
      </c>
      <c r="E221" s="52" t="s">
        <v>2190</v>
      </c>
      <c r="F221" s="53" t="s">
        <v>1297</v>
      </c>
      <c r="G221" s="179" t="s">
        <v>1569</v>
      </c>
      <c r="H221" s="180" t="s">
        <v>1429</v>
      </c>
      <c r="I221" s="55" t="s">
        <v>1429</v>
      </c>
      <c r="J221" s="55" t="s">
        <v>1429</v>
      </c>
      <c r="K221" s="56" t="s">
        <v>1429</v>
      </c>
      <c r="L221" s="54" t="s">
        <v>1580</v>
      </c>
      <c r="M221" s="55" t="s">
        <v>1429</v>
      </c>
      <c r="N221" s="55" t="s">
        <v>1429</v>
      </c>
      <c r="O221" s="55" t="s">
        <v>1429</v>
      </c>
      <c r="P221" s="56" t="s">
        <v>1429</v>
      </c>
      <c r="Q221" s="52" t="s">
        <v>755</v>
      </c>
      <c r="R221" s="52" t="s">
        <v>113</v>
      </c>
      <c r="S221" s="52" t="s">
        <v>99</v>
      </c>
      <c r="T221" s="52" t="s">
        <v>100</v>
      </c>
      <c r="U221" s="57" t="s">
        <v>755</v>
      </c>
      <c r="V221" s="146" t="s">
        <v>2191</v>
      </c>
      <c r="W221" s="51" t="s">
        <v>2162</v>
      </c>
      <c r="X221" s="130" t="s">
        <v>2192</v>
      </c>
      <c r="Y221" s="130" t="s">
        <v>1429</v>
      </c>
      <c r="Z221" s="51" t="s">
        <v>1678</v>
      </c>
      <c r="AA221" s="51" t="s">
        <v>2164</v>
      </c>
      <c r="AB221" s="51" t="s">
        <v>3664</v>
      </c>
      <c r="AC221" s="51" t="s">
        <v>1633</v>
      </c>
      <c r="AD221" s="59" t="str">
        <f t="shared" si="38"/>
        <v>GPIO_PAA4</v>
      </c>
      <c r="AE221" s="66"/>
      <c r="AF221" s="61" t="str">
        <f t="shared" si="39"/>
        <v>PULL_UP</v>
      </c>
      <c r="AG221" s="61" t="str">
        <f t="shared" si="35"/>
        <v>TRISTATE</v>
      </c>
      <c r="AH221" s="61" t="str">
        <f t="shared" si="40"/>
        <v>ENABLE</v>
      </c>
      <c r="AI221" s="67" t="str">
        <f t="shared" si="41"/>
        <v/>
      </c>
      <c r="AJ221" s="176" t="b">
        <v>1</v>
      </c>
      <c r="AK221" s="176" t="b">
        <v>1</v>
      </c>
      <c r="AL221" s="176" t="b">
        <v>1</v>
      </c>
      <c r="AM221" s="176" t="b">
        <v>1</v>
      </c>
      <c r="AN221" s="176" t="b">
        <v>1</v>
      </c>
      <c r="AO221" s="176" t="b">
        <v>1</v>
      </c>
      <c r="AP221" s="64" t="str">
        <f t="shared" si="36"/>
        <v>VALID</v>
      </c>
      <c r="AQ221" s="226" t="s">
        <v>1569</v>
      </c>
      <c r="AR221" s="182" t="s">
        <v>3496</v>
      </c>
      <c r="AS221" s="181" t="s">
        <v>3497</v>
      </c>
      <c r="AT221" s="181" t="s">
        <v>3499</v>
      </c>
      <c r="AU221" s="5"/>
      <c r="AV221" s="5"/>
      <c r="AW221" s="5"/>
      <c r="AX221" s="284"/>
      <c r="AY221" s="181"/>
      <c r="AZ221" s="181"/>
      <c r="BA221" s="7"/>
      <c r="BB221" s="212"/>
      <c r="BC221" s="10" t="s">
        <v>3528</v>
      </c>
      <c r="BD221" s="240"/>
      <c r="BE221" s="239"/>
      <c r="BF221" s="239"/>
      <c r="BG221" s="239"/>
      <c r="BH221" s="239"/>
      <c r="BI221" s="239"/>
      <c r="BJ221" s="239"/>
      <c r="BK221" s="239"/>
      <c r="BL221" s="239"/>
      <c r="BM221" s="239"/>
      <c r="BN221" s="239"/>
      <c r="BO221" s="239"/>
      <c r="BP221" s="239"/>
      <c r="BQ221" s="239"/>
      <c r="BR221" s="239"/>
      <c r="BS221" s="239"/>
      <c r="BT221" s="239"/>
      <c r="BU221" s="239"/>
      <c r="BV221" s="239"/>
      <c r="BW221" s="239"/>
      <c r="BX221" s="239"/>
      <c r="BY221" s="239"/>
      <c r="BZ221" s="239"/>
      <c r="CA221" s="239"/>
      <c r="CB221" s="239"/>
      <c r="CC221" s="239"/>
      <c r="CD221" s="239"/>
      <c r="CE221" s="239"/>
    </row>
    <row r="222" spans="1:83" ht="12.95" customHeight="1">
      <c r="A222" s="21" t="s">
        <v>3459</v>
      </c>
      <c r="B222" s="21" t="s">
        <v>2399</v>
      </c>
      <c r="C222" s="51" t="s">
        <v>979</v>
      </c>
      <c r="D222" s="52" t="s">
        <v>2193</v>
      </c>
      <c r="E222" s="52" t="s">
        <v>2194</v>
      </c>
      <c r="F222" s="53" t="s">
        <v>1298</v>
      </c>
      <c r="G222" s="179" t="s">
        <v>1570</v>
      </c>
      <c r="H222" s="180" t="s">
        <v>1429</v>
      </c>
      <c r="I222" s="55" t="s">
        <v>1429</v>
      </c>
      <c r="J222" s="55" t="s">
        <v>1429</v>
      </c>
      <c r="K222" s="56" t="s">
        <v>1429</v>
      </c>
      <c r="L222" s="54" t="s">
        <v>1580</v>
      </c>
      <c r="M222" s="55" t="s">
        <v>1429</v>
      </c>
      <c r="N222" s="55" t="s">
        <v>1429</v>
      </c>
      <c r="O222" s="55" t="s">
        <v>1429</v>
      </c>
      <c r="P222" s="56" t="s">
        <v>1429</v>
      </c>
      <c r="Q222" s="52" t="s">
        <v>755</v>
      </c>
      <c r="R222" s="52" t="s">
        <v>113</v>
      </c>
      <c r="S222" s="52" t="s">
        <v>99</v>
      </c>
      <c r="T222" s="52" t="s">
        <v>100</v>
      </c>
      <c r="U222" s="57" t="s">
        <v>755</v>
      </c>
      <c r="V222" s="146" t="s">
        <v>2195</v>
      </c>
      <c r="W222" s="51" t="s">
        <v>2162</v>
      </c>
      <c r="X222" s="130" t="s">
        <v>2196</v>
      </c>
      <c r="Y222" s="130" t="s">
        <v>1429</v>
      </c>
      <c r="Z222" s="51" t="s">
        <v>1678</v>
      </c>
      <c r="AA222" s="51" t="s">
        <v>2164</v>
      </c>
      <c r="AB222" s="51" t="s">
        <v>3664</v>
      </c>
      <c r="AC222" s="51" t="s">
        <v>1633</v>
      </c>
      <c r="AD222" s="59" t="str">
        <f t="shared" si="38"/>
        <v>GPIO_PAA5</v>
      </c>
      <c r="AE222" s="66"/>
      <c r="AF222" s="61" t="str">
        <f t="shared" si="39"/>
        <v>NORMAL</v>
      </c>
      <c r="AG222" s="61" t="str">
        <f t="shared" si="35"/>
        <v>NORMAL</v>
      </c>
      <c r="AH222" s="61" t="str">
        <f t="shared" si="40"/>
        <v>ENABLE</v>
      </c>
      <c r="AI222" s="67" t="str">
        <f t="shared" si="41"/>
        <v/>
      </c>
      <c r="AJ222" s="176" t="b">
        <v>1</v>
      </c>
      <c r="AK222" s="176" t="b">
        <v>1</v>
      </c>
      <c r="AL222" s="176" t="b">
        <v>1</v>
      </c>
      <c r="AM222" s="176" t="b">
        <v>1</v>
      </c>
      <c r="AN222" s="176" t="b">
        <v>1</v>
      </c>
      <c r="AO222" s="176" t="b">
        <v>1</v>
      </c>
      <c r="AP222" s="64" t="str">
        <f t="shared" si="36"/>
        <v>VALID</v>
      </c>
      <c r="AQ222" s="226" t="s">
        <v>1570</v>
      </c>
      <c r="AR222" s="182" t="s">
        <v>3501</v>
      </c>
      <c r="AS222" s="181"/>
      <c r="AT222" s="181" t="s">
        <v>3499</v>
      </c>
      <c r="AU222" s="5"/>
      <c r="AV222" s="5"/>
      <c r="AW222" s="5"/>
      <c r="AX222" s="284"/>
      <c r="AY222" s="181"/>
      <c r="AZ222" s="181"/>
      <c r="BA222" s="7"/>
      <c r="BB222" s="212"/>
      <c r="BC222" s="10" t="s">
        <v>3529</v>
      </c>
      <c r="BD222" s="240"/>
      <c r="BE222" s="239"/>
      <c r="BF222" s="239"/>
      <c r="BG222" s="239"/>
      <c r="BH222" s="239"/>
      <c r="BI222" s="239"/>
      <c r="BJ222" s="239"/>
      <c r="BK222" s="239"/>
      <c r="BL222" s="239"/>
      <c r="BM222" s="239"/>
      <c r="BN222" s="239"/>
      <c r="BO222" s="239"/>
      <c r="BP222" s="239"/>
      <c r="BQ222" s="239"/>
      <c r="BR222" s="239"/>
      <c r="BS222" s="239"/>
      <c r="BT222" s="239"/>
      <c r="BU222" s="239"/>
      <c r="BV222" s="239"/>
      <c r="BW222" s="239"/>
      <c r="BX222" s="239"/>
      <c r="BY222" s="239"/>
      <c r="BZ222" s="239"/>
      <c r="CA222" s="239"/>
      <c r="CB222" s="239"/>
      <c r="CC222" s="239"/>
      <c r="CD222" s="239"/>
      <c r="CE222" s="239"/>
    </row>
    <row r="223" spans="1:83" ht="12.95" customHeight="1">
      <c r="A223" s="21" t="s">
        <v>3458</v>
      </c>
      <c r="B223" s="21" t="s">
        <v>2378</v>
      </c>
      <c r="C223" s="51" t="s">
        <v>980</v>
      </c>
      <c r="D223" s="52" t="s">
        <v>2187</v>
      </c>
      <c r="E223" s="52" t="s">
        <v>2197</v>
      </c>
      <c r="F223" s="53" t="s">
        <v>1299</v>
      </c>
      <c r="G223" s="179" t="s">
        <v>1571</v>
      </c>
      <c r="H223" s="180" t="s">
        <v>1429</v>
      </c>
      <c r="I223" s="55" t="s">
        <v>1429</v>
      </c>
      <c r="J223" s="55" t="s">
        <v>1429</v>
      </c>
      <c r="K223" s="56" t="s">
        <v>1429</v>
      </c>
      <c r="L223" s="54" t="s">
        <v>1580</v>
      </c>
      <c r="M223" s="55" t="s">
        <v>1429</v>
      </c>
      <c r="N223" s="55" t="s">
        <v>1429</v>
      </c>
      <c r="O223" s="55" t="s">
        <v>1429</v>
      </c>
      <c r="P223" s="56" t="s">
        <v>1429</v>
      </c>
      <c r="Q223" s="6" t="s">
        <v>755</v>
      </c>
      <c r="R223" s="52" t="s">
        <v>113</v>
      </c>
      <c r="S223" s="52" t="s">
        <v>99</v>
      </c>
      <c r="T223" s="52" t="s">
        <v>100</v>
      </c>
      <c r="U223" s="57" t="s">
        <v>755</v>
      </c>
      <c r="V223" s="146" t="s">
        <v>2198</v>
      </c>
      <c r="W223" s="51" t="s">
        <v>2162</v>
      </c>
      <c r="X223" s="130" t="s">
        <v>2199</v>
      </c>
      <c r="Y223" s="130" t="s">
        <v>1429</v>
      </c>
      <c r="Z223" s="51" t="s">
        <v>1678</v>
      </c>
      <c r="AA223" s="51" t="s">
        <v>2164</v>
      </c>
      <c r="AB223" s="51" t="s">
        <v>3664</v>
      </c>
      <c r="AC223" s="51" t="s">
        <v>1587</v>
      </c>
      <c r="AD223" s="59" t="str">
        <f t="shared" si="38"/>
        <v>GPIO_PAA6</v>
      </c>
      <c r="AE223" s="66"/>
      <c r="AF223" s="61" t="str">
        <f t="shared" si="39"/>
        <v>NORMAL</v>
      </c>
      <c r="AG223" s="61" t="str">
        <f t="shared" si="35"/>
        <v>NORMAL</v>
      </c>
      <c r="AH223" s="61" t="str">
        <f t="shared" si="40"/>
        <v>DISABLE</v>
      </c>
      <c r="AI223" s="67" t="str">
        <f t="shared" si="41"/>
        <v>0</v>
      </c>
      <c r="AJ223" s="176" t="b">
        <v>1</v>
      </c>
      <c r="AK223" s="176" t="b">
        <v>1</v>
      </c>
      <c r="AL223" s="176" t="b">
        <v>1</v>
      </c>
      <c r="AM223" s="176" t="b">
        <v>1</v>
      </c>
      <c r="AN223" s="176" t="b">
        <v>1</v>
      </c>
      <c r="AO223" s="176" t="b">
        <v>1</v>
      </c>
      <c r="AP223" s="64" t="str">
        <f t="shared" si="36"/>
        <v>VALID</v>
      </c>
      <c r="AQ223" s="227" t="s">
        <v>1571</v>
      </c>
      <c r="AR223" s="182" t="s">
        <v>3495</v>
      </c>
      <c r="AS223" s="181" t="s">
        <v>3500</v>
      </c>
      <c r="AT223" s="181" t="s">
        <v>104</v>
      </c>
      <c r="AU223" s="5"/>
      <c r="AV223" s="5"/>
      <c r="AW223" s="5"/>
      <c r="AX223" s="284"/>
      <c r="AY223" s="181"/>
      <c r="AZ223" s="181"/>
      <c r="BA223" s="7"/>
      <c r="BB223" s="212"/>
      <c r="BC223" s="10" t="s">
        <v>3530</v>
      </c>
      <c r="BD223" s="240"/>
      <c r="BE223" s="239"/>
      <c r="BF223" s="239"/>
      <c r="BG223" s="239"/>
      <c r="BH223" s="239"/>
      <c r="BI223" s="239"/>
      <c r="BJ223" s="239"/>
      <c r="BK223" s="239"/>
      <c r="BL223" s="239"/>
      <c r="BM223" s="239"/>
      <c r="BN223" s="239"/>
      <c r="BO223" s="239"/>
      <c r="BP223" s="239"/>
      <c r="BQ223" s="239"/>
      <c r="BR223" s="239"/>
      <c r="BS223" s="239"/>
      <c r="BT223" s="239"/>
      <c r="BU223" s="239"/>
      <c r="BV223" s="239"/>
      <c r="BW223" s="239"/>
      <c r="BX223" s="239"/>
      <c r="BY223" s="239"/>
      <c r="BZ223" s="239"/>
      <c r="CA223" s="239"/>
      <c r="CB223" s="239"/>
      <c r="CC223" s="239"/>
      <c r="CD223" s="239"/>
      <c r="CE223" s="239"/>
    </row>
    <row r="224" spans="1:83" ht="12.95" customHeight="1">
      <c r="A224" s="21" t="s">
        <v>3808</v>
      </c>
      <c r="B224" s="21" t="s">
        <v>3567</v>
      </c>
      <c r="C224" s="51" t="s">
        <v>981</v>
      </c>
      <c r="D224" s="52" t="s">
        <v>1904</v>
      </c>
      <c r="E224" s="52" t="s">
        <v>2200</v>
      </c>
      <c r="F224" s="53" t="s">
        <v>1300</v>
      </c>
      <c r="G224" s="179" t="s">
        <v>1572</v>
      </c>
      <c r="H224" s="180" t="s">
        <v>1429</v>
      </c>
      <c r="I224" s="55"/>
      <c r="J224" s="55" t="s">
        <v>1429</v>
      </c>
      <c r="K224" s="56" t="s">
        <v>1429</v>
      </c>
      <c r="L224" s="54" t="s">
        <v>1580</v>
      </c>
      <c r="M224" s="55" t="s">
        <v>1429</v>
      </c>
      <c r="N224" s="55" t="s">
        <v>1581</v>
      </c>
      <c r="O224" s="55" t="s">
        <v>1429</v>
      </c>
      <c r="P224" s="56" t="s">
        <v>1429</v>
      </c>
      <c r="Q224" s="6" t="s">
        <v>755</v>
      </c>
      <c r="R224" s="52" t="s">
        <v>1373</v>
      </c>
      <c r="S224" s="52" t="s">
        <v>99</v>
      </c>
      <c r="T224" s="52" t="s">
        <v>100</v>
      </c>
      <c r="U224" s="57" t="s">
        <v>755</v>
      </c>
      <c r="V224" s="146" t="s">
        <v>2201</v>
      </c>
      <c r="W224" s="51" t="s">
        <v>2162</v>
      </c>
      <c r="X224" s="130" t="s">
        <v>2202</v>
      </c>
      <c r="Y224" s="130" t="s">
        <v>1429</v>
      </c>
      <c r="Z224" s="51" t="s">
        <v>1678</v>
      </c>
      <c r="AA224" s="51" t="s">
        <v>2164</v>
      </c>
      <c r="AB224" s="51" t="s">
        <v>3664</v>
      </c>
      <c r="AC224" s="51">
        <v>1</v>
      </c>
      <c r="AD224" s="59" t="str">
        <f t="shared" si="38"/>
        <v>GPIO_PAA7</v>
      </c>
      <c r="AE224" s="66"/>
      <c r="AF224" s="61" t="str">
        <f t="shared" si="39"/>
        <v>NORMAL</v>
      </c>
      <c r="AG224" s="61" t="str">
        <f t="shared" si="35"/>
        <v>TRISTATE</v>
      </c>
      <c r="AH224" s="61" t="str">
        <f t="shared" si="40"/>
        <v>ENABLE</v>
      </c>
      <c r="AI224" s="67" t="str">
        <f t="shared" si="41"/>
        <v/>
      </c>
      <c r="AJ224" s="176" t="b">
        <v>1</v>
      </c>
      <c r="AK224" s="176" t="b">
        <v>1</v>
      </c>
      <c r="AL224" s="176" t="b">
        <v>1</v>
      </c>
      <c r="AM224" s="176" t="b">
        <v>1</v>
      </c>
      <c r="AN224" s="176" t="b">
        <v>1</v>
      </c>
      <c r="AO224" s="176" t="b">
        <v>1</v>
      </c>
      <c r="AP224" s="64" t="str">
        <f t="shared" si="36"/>
        <v>VALID</v>
      </c>
      <c r="AQ224" s="227" t="s">
        <v>1572</v>
      </c>
      <c r="AR224" s="182" t="s">
        <v>3496</v>
      </c>
      <c r="AS224" s="181"/>
      <c r="AT224" s="181" t="s">
        <v>3499</v>
      </c>
      <c r="AU224" s="5"/>
      <c r="AV224" s="5"/>
      <c r="AW224" s="5"/>
      <c r="AX224" s="284"/>
      <c r="AY224" s="181"/>
      <c r="AZ224" s="181"/>
      <c r="BA224" s="7"/>
      <c r="BB224" s="212"/>
      <c r="BC224" s="10" t="s">
        <v>3531</v>
      </c>
      <c r="BD224" s="240"/>
      <c r="BE224" s="239"/>
      <c r="BF224" s="239"/>
      <c r="BG224" s="239"/>
      <c r="BH224" s="239"/>
      <c r="BI224" s="239"/>
      <c r="BJ224" s="239"/>
      <c r="BK224" s="239"/>
      <c r="BL224" s="239"/>
      <c r="BM224" s="239"/>
      <c r="BN224" s="239"/>
      <c r="BO224" s="239"/>
      <c r="BP224" s="239"/>
      <c r="BQ224" s="239"/>
      <c r="BR224" s="239"/>
      <c r="BS224" s="239"/>
      <c r="BT224" s="239"/>
      <c r="BU224" s="239"/>
      <c r="BV224" s="239"/>
      <c r="BW224" s="239"/>
      <c r="BX224" s="239"/>
      <c r="BY224" s="239"/>
      <c r="BZ224" s="239"/>
      <c r="CA224" s="239"/>
      <c r="CB224" s="239"/>
      <c r="CC224" s="239"/>
      <c r="CD224" s="239"/>
      <c r="CE224" s="239"/>
    </row>
    <row r="225" spans="1:83" s="50" customFormat="1" ht="18" customHeight="1">
      <c r="A225" s="171" t="s">
        <v>303</v>
      </c>
      <c r="B225" s="171"/>
      <c r="C225" s="171"/>
      <c r="D225" s="69"/>
      <c r="E225" s="69"/>
      <c r="F225" s="69"/>
      <c r="G225" s="70"/>
      <c r="H225" s="70"/>
      <c r="I225" s="70"/>
      <c r="J225" s="70"/>
      <c r="K225" s="70"/>
      <c r="L225" s="69"/>
      <c r="M225" s="69"/>
      <c r="N225" s="69"/>
      <c r="O225" s="69"/>
      <c r="P225" s="69"/>
      <c r="Q225" s="69"/>
      <c r="R225" s="69"/>
      <c r="S225" s="69"/>
      <c r="T225" s="69"/>
      <c r="U225" s="69"/>
      <c r="V225" s="69"/>
      <c r="W225" s="69"/>
      <c r="X225" s="131"/>
      <c r="Y225" s="131"/>
      <c r="Z225" s="71"/>
      <c r="AA225" s="71"/>
      <c r="AB225" s="71"/>
      <c r="AC225" s="71"/>
      <c r="AD225" s="71"/>
      <c r="AE225" s="71"/>
      <c r="AF225" s="71"/>
      <c r="AG225" s="71"/>
      <c r="AH225" s="71"/>
      <c r="AI225" s="71"/>
      <c r="AJ225" s="47"/>
      <c r="AK225" s="47"/>
      <c r="AL225" s="47"/>
      <c r="AM225" s="47"/>
      <c r="AN225" s="47"/>
      <c r="AO225" s="47"/>
      <c r="AP225" s="47"/>
      <c r="AQ225" s="72"/>
      <c r="AR225" s="72"/>
      <c r="AS225" s="73"/>
      <c r="AT225" s="73"/>
      <c r="AU225" s="73"/>
      <c r="AV225" s="73"/>
      <c r="AW225" s="73"/>
      <c r="AX225" s="288"/>
      <c r="AY225" s="73"/>
      <c r="AZ225" s="73"/>
      <c r="BA225" s="73"/>
      <c r="BB225" s="168" t="s">
        <v>49</v>
      </c>
      <c r="BC225" s="172"/>
      <c r="BD225" s="169"/>
      <c r="BE225" s="308"/>
      <c r="BF225" s="243"/>
      <c r="BG225" s="243"/>
      <c r="BH225" s="243"/>
      <c r="BI225" s="243"/>
      <c r="BJ225" s="243"/>
      <c r="BK225" s="243"/>
      <c r="BL225" s="243"/>
      <c r="BM225" s="243"/>
      <c r="BN225" s="243"/>
      <c r="BO225" s="243"/>
      <c r="BP225" s="243"/>
      <c r="BQ225" s="243"/>
      <c r="BR225" s="243"/>
      <c r="BS225" s="243"/>
      <c r="BT225" s="243"/>
      <c r="BU225" s="243"/>
      <c r="BV225" s="243"/>
      <c r="BW225" s="243"/>
      <c r="BX225" s="243"/>
      <c r="BY225" s="243"/>
      <c r="BZ225" s="243"/>
      <c r="CA225" s="243"/>
      <c r="CB225" s="243"/>
      <c r="CC225" s="243"/>
      <c r="CD225" s="243"/>
      <c r="CE225" s="243"/>
    </row>
    <row r="226" spans="1:83" ht="12.95" customHeight="1">
      <c r="A226" s="21" t="s">
        <v>3809</v>
      </c>
      <c r="B226" s="21" t="s">
        <v>2246</v>
      </c>
      <c r="C226" s="51" t="s">
        <v>345</v>
      </c>
      <c r="D226" s="52" t="s">
        <v>2203</v>
      </c>
      <c r="E226" s="52" t="s">
        <v>2204</v>
      </c>
      <c r="F226" s="53" t="s">
        <v>557</v>
      </c>
      <c r="G226" s="179" t="s">
        <v>2205</v>
      </c>
      <c r="H226" s="180"/>
      <c r="I226" s="55" t="s">
        <v>1429</v>
      </c>
      <c r="J226" s="55" t="s">
        <v>1429</v>
      </c>
      <c r="K226" s="56" t="s">
        <v>1429</v>
      </c>
      <c r="L226" s="54" t="s">
        <v>1580</v>
      </c>
      <c r="M226" s="55" t="s">
        <v>1580</v>
      </c>
      <c r="N226" s="55" t="s">
        <v>1429</v>
      </c>
      <c r="O226" s="55" t="s">
        <v>1429</v>
      </c>
      <c r="P226" s="56" t="s">
        <v>1429</v>
      </c>
      <c r="Q226" s="52" t="s">
        <v>753</v>
      </c>
      <c r="R226" s="52" t="s">
        <v>113</v>
      </c>
      <c r="S226" s="52" t="s">
        <v>99</v>
      </c>
      <c r="T226" s="52" t="s">
        <v>100</v>
      </c>
      <c r="U226" s="57" t="s">
        <v>113</v>
      </c>
      <c r="V226" s="146" t="s">
        <v>2206</v>
      </c>
      <c r="W226" s="51" t="s">
        <v>2207</v>
      </c>
      <c r="X226" s="130" t="s">
        <v>1429</v>
      </c>
      <c r="Y226" s="130" t="s">
        <v>1429</v>
      </c>
      <c r="Z226" s="51" t="s">
        <v>2208</v>
      </c>
      <c r="AA226" s="51" t="s">
        <v>2209</v>
      </c>
      <c r="AB226" s="51" t="s">
        <v>3665</v>
      </c>
      <c r="AC226" s="51" t="s">
        <v>1674</v>
      </c>
      <c r="AD226" s="59" t="str">
        <f t="shared" ref="AD226:AD231" si="42">IF(OR($AQ226="",$AQ226=$F226),$U226,IF($AQ226=$G226,SUBSTITUTE(SUBSTITUTE($AQ226,"GPIO3_","GPIO_"),".0",""),IF($AQ226=$H226,$Q226,IF($AQ226=$I226,$R226,IF($AQ226=$J226,$S226,IF($AQ226=$K226,$T226,"INVALID"))))))</f>
        <v>GPIO_PR1</v>
      </c>
      <c r="AE226" s="66"/>
      <c r="AF226" s="61" t="str">
        <f t="shared" ref="AF226:AF232" si="43">IF(AND(OR($AS226="Int PU",$AS226="Int PD"),OR(AND($AY226&lt;&gt;"",$AY226&lt;&gt;"0"),AND($AZ226&lt;&gt;"",$AZ226&lt;&gt;"0"))),"INVALID",IF(OR($AQ226=$F226,$AS226="Int PD"),"PULL_DOWN",IF(OR($AS226="Int PU",AND($AE226="YES",OR($AY226="",$AY226="0"),OR($AZ226="",$AZ226="0"),OR($AR226="Input",$AR226="Bidirectional"))),"PULL_UP","NORMAL")))</f>
        <v>NORMAL</v>
      </c>
      <c r="AG226" s="61" t="str">
        <f t="shared" si="35"/>
        <v>NORMAL</v>
      </c>
      <c r="AH226" s="61" t="str">
        <f t="shared" ref="AH226:AH232" si="44">IF(OR($AQ226=$F226,$AR226="Output"),"DISABLE","ENABLE")</f>
        <v>DISABLE</v>
      </c>
      <c r="AI226" s="67" t="str">
        <f t="shared" si="37"/>
        <v>0</v>
      </c>
      <c r="AJ226" s="176" t="b">
        <v>1</v>
      </c>
      <c r="AK226" s="176" t="b">
        <v>1</v>
      </c>
      <c r="AL226" s="176" t="b">
        <v>1</v>
      </c>
      <c r="AM226" s="176" t="b">
        <v>1</v>
      </c>
      <c r="AN226" s="176" t="b">
        <v>1</v>
      </c>
      <c r="AO226" s="176" t="b">
        <v>1</v>
      </c>
      <c r="AP226" s="64" t="str">
        <f t="shared" ref="AP226:AP232" si="45">IF(AND($AJ226:$AO226), "VALID", "INVALID")</f>
        <v>VALID</v>
      </c>
      <c r="AQ226" s="211" t="s">
        <v>2205</v>
      </c>
      <c r="AR226" s="182" t="s">
        <v>3495</v>
      </c>
      <c r="AS226" s="181" t="s">
        <v>3500</v>
      </c>
      <c r="AT226" s="5"/>
      <c r="AU226" s="5"/>
      <c r="AV226" s="5"/>
      <c r="AW226" s="5"/>
      <c r="AX226" s="284"/>
      <c r="AY226" s="181"/>
      <c r="AZ226" s="181"/>
      <c r="BA226" s="7"/>
      <c r="BB226" s="212"/>
      <c r="BC226" s="10" t="s">
        <v>1420</v>
      </c>
      <c r="BD226" s="240"/>
      <c r="BE226" s="239"/>
      <c r="BF226" s="239"/>
      <c r="BG226" s="239"/>
      <c r="BH226" s="239"/>
      <c r="BI226" s="239"/>
      <c r="BJ226" s="239"/>
      <c r="BK226" s="239"/>
      <c r="BL226" s="239"/>
      <c r="BM226" s="239"/>
      <c r="BN226" s="239"/>
      <c r="BO226" s="239"/>
      <c r="BP226" s="239"/>
      <c r="BQ226" s="239"/>
      <c r="BR226" s="239"/>
      <c r="BS226" s="239"/>
      <c r="BT226" s="239"/>
      <c r="BU226" s="239"/>
      <c r="BV226" s="239"/>
      <c r="BW226" s="239"/>
      <c r="BX226" s="239"/>
      <c r="BY226" s="239"/>
      <c r="BZ226" s="239"/>
      <c r="CA226" s="239"/>
      <c r="CB226" s="239"/>
      <c r="CC226" s="239"/>
      <c r="CD226" s="239"/>
      <c r="CE226" s="239"/>
    </row>
    <row r="227" spans="1:83" s="84" customFormat="1" ht="12.95" customHeight="1">
      <c r="A227" s="84" t="s">
        <v>1423</v>
      </c>
      <c r="B227" s="84" t="s">
        <v>2295</v>
      </c>
      <c r="C227" s="79" t="s">
        <v>346</v>
      </c>
      <c r="D227" s="52" t="s">
        <v>2210</v>
      </c>
      <c r="E227" s="52" t="s">
        <v>2211</v>
      </c>
      <c r="F227" s="53" t="s">
        <v>514</v>
      </c>
      <c r="G227" s="179" t="s">
        <v>2212</v>
      </c>
      <c r="H227" s="180"/>
      <c r="I227" s="55" t="s">
        <v>1429</v>
      </c>
      <c r="J227" s="55" t="s">
        <v>1429</v>
      </c>
      <c r="K227" s="56" t="s">
        <v>1429</v>
      </c>
      <c r="L227" s="54" t="s">
        <v>1580</v>
      </c>
      <c r="M227" s="55" t="s">
        <v>1580</v>
      </c>
      <c r="N227" s="55" t="s">
        <v>1429</v>
      </c>
      <c r="O227" s="55" t="s">
        <v>1429</v>
      </c>
      <c r="P227" s="56" t="s">
        <v>1429</v>
      </c>
      <c r="Q227" s="52" t="s">
        <v>753</v>
      </c>
      <c r="R227" s="52" t="s">
        <v>113</v>
      </c>
      <c r="S227" s="52" t="s">
        <v>99</v>
      </c>
      <c r="T227" s="52" t="s">
        <v>100</v>
      </c>
      <c r="U227" s="57" t="s">
        <v>113</v>
      </c>
      <c r="V227" s="146" t="s">
        <v>2213</v>
      </c>
      <c r="W227" s="51" t="s">
        <v>2207</v>
      </c>
      <c r="X227" s="130" t="s">
        <v>1429</v>
      </c>
      <c r="Y227" s="130" t="s">
        <v>1429</v>
      </c>
      <c r="Z227" s="51" t="s">
        <v>2208</v>
      </c>
      <c r="AA227" s="51" t="s">
        <v>2209</v>
      </c>
      <c r="AB227" s="51" t="s">
        <v>3665</v>
      </c>
      <c r="AC227" s="51" t="s">
        <v>1674</v>
      </c>
      <c r="AD227" s="59" t="str">
        <f t="shared" si="42"/>
        <v>GPIO_PR2</v>
      </c>
      <c r="AE227" s="66"/>
      <c r="AF227" s="61" t="str">
        <f t="shared" si="43"/>
        <v>NORMAL</v>
      </c>
      <c r="AG227" s="61" t="str">
        <f t="shared" si="35"/>
        <v>NORMAL</v>
      </c>
      <c r="AH227" s="61" t="str">
        <f t="shared" si="44"/>
        <v>DISABLE</v>
      </c>
      <c r="AI227" s="67" t="str">
        <f t="shared" si="37"/>
        <v>0</v>
      </c>
      <c r="AJ227" s="176" t="b">
        <v>1</v>
      </c>
      <c r="AK227" s="176" t="b">
        <v>1</v>
      </c>
      <c r="AL227" s="176" t="b">
        <v>1</v>
      </c>
      <c r="AM227" s="176" t="b">
        <v>1</v>
      </c>
      <c r="AN227" s="176" t="b">
        <v>1</v>
      </c>
      <c r="AO227" s="176" t="b">
        <v>1</v>
      </c>
      <c r="AP227" s="64" t="str">
        <f t="shared" si="45"/>
        <v>VALID</v>
      </c>
      <c r="AQ227" s="228" t="s">
        <v>2212</v>
      </c>
      <c r="AR227" s="182" t="s">
        <v>3495</v>
      </c>
      <c r="AS227" s="181" t="s">
        <v>3500</v>
      </c>
      <c r="AT227" s="5"/>
      <c r="AU227" s="5"/>
      <c r="AV227" s="5"/>
      <c r="AW227" s="5"/>
      <c r="AX227" s="284"/>
      <c r="AY227" s="181"/>
      <c r="AZ227" s="181"/>
      <c r="BA227" s="7"/>
      <c r="BB227" s="212"/>
      <c r="BC227" s="10" t="s">
        <v>1421</v>
      </c>
      <c r="BD227" s="240"/>
      <c r="BE227" s="249"/>
      <c r="BF227" s="249"/>
      <c r="BG227" s="249"/>
      <c r="BH227" s="249"/>
      <c r="BI227" s="249"/>
      <c r="BJ227" s="249"/>
      <c r="BK227" s="249"/>
      <c r="BL227" s="249"/>
      <c r="BM227" s="249"/>
      <c r="BN227" s="249"/>
      <c r="BO227" s="249"/>
      <c r="BP227" s="249"/>
      <c r="BQ227" s="249"/>
      <c r="BR227" s="249"/>
      <c r="BS227" s="249"/>
      <c r="BT227" s="249"/>
      <c r="BU227" s="249"/>
      <c r="BV227" s="249"/>
      <c r="BW227" s="249"/>
      <c r="BX227" s="249"/>
      <c r="BY227" s="249"/>
      <c r="BZ227" s="249"/>
      <c r="CA227" s="249"/>
      <c r="CB227" s="249"/>
      <c r="CC227" s="249"/>
      <c r="CD227" s="249"/>
      <c r="CE227" s="249"/>
    </row>
    <row r="228" spans="1:83" s="84" customFormat="1" ht="12.95" customHeight="1">
      <c r="A228" s="84" t="s">
        <v>3810</v>
      </c>
      <c r="B228" s="84" t="s">
        <v>2314</v>
      </c>
      <c r="C228" s="79" t="s">
        <v>347</v>
      </c>
      <c r="D228" s="52" t="s">
        <v>2214</v>
      </c>
      <c r="E228" s="52" t="s">
        <v>2215</v>
      </c>
      <c r="F228" s="53" t="s">
        <v>515</v>
      </c>
      <c r="G228" s="179" t="s">
        <v>2216</v>
      </c>
      <c r="H228" s="180"/>
      <c r="I228" s="55" t="s">
        <v>1429</v>
      </c>
      <c r="J228" s="55" t="s">
        <v>1429</v>
      </c>
      <c r="K228" s="56" t="s">
        <v>1429</v>
      </c>
      <c r="L228" s="54" t="s">
        <v>1580</v>
      </c>
      <c r="M228" s="55" t="s">
        <v>1580</v>
      </c>
      <c r="N228" s="55" t="s">
        <v>1429</v>
      </c>
      <c r="O228" s="55" t="s">
        <v>1429</v>
      </c>
      <c r="P228" s="56" t="s">
        <v>1429</v>
      </c>
      <c r="Q228" s="52" t="s">
        <v>753</v>
      </c>
      <c r="R228" s="52" t="s">
        <v>113</v>
      </c>
      <c r="S228" s="52" t="s">
        <v>99</v>
      </c>
      <c r="T228" s="52" t="s">
        <v>100</v>
      </c>
      <c r="U228" s="57" t="s">
        <v>113</v>
      </c>
      <c r="V228" s="146" t="s">
        <v>2217</v>
      </c>
      <c r="W228" s="51" t="s">
        <v>2207</v>
      </c>
      <c r="X228" s="130" t="s">
        <v>1429</v>
      </c>
      <c r="Y228" s="130" t="s">
        <v>1429</v>
      </c>
      <c r="Z228" s="51" t="s">
        <v>2208</v>
      </c>
      <c r="AA228" s="51" t="s">
        <v>2209</v>
      </c>
      <c r="AB228" s="51" t="s">
        <v>3665</v>
      </c>
      <c r="AC228" s="51" t="s">
        <v>1587</v>
      </c>
      <c r="AD228" s="59" t="str">
        <f t="shared" si="42"/>
        <v>GPIO_PR0</v>
      </c>
      <c r="AE228" s="66"/>
      <c r="AF228" s="61" t="str">
        <f t="shared" si="43"/>
        <v>NORMAL</v>
      </c>
      <c r="AG228" s="61" t="str">
        <f t="shared" si="35"/>
        <v>NORMAL</v>
      </c>
      <c r="AH228" s="61" t="str">
        <f t="shared" si="44"/>
        <v>DISABLE</v>
      </c>
      <c r="AI228" s="67" t="str">
        <f t="shared" si="37"/>
        <v>0</v>
      </c>
      <c r="AJ228" s="176" t="b">
        <v>1</v>
      </c>
      <c r="AK228" s="176" t="b">
        <v>1</v>
      </c>
      <c r="AL228" s="176" t="b">
        <v>1</v>
      </c>
      <c r="AM228" s="176" t="b">
        <v>1</v>
      </c>
      <c r="AN228" s="176" t="b">
        <v>1</v>
      </c>
      <c r="AO228" s="176" t="b">
        <v>1</v>
      </c>
      <c r="AP228" s="64" t="str">
        <f t="shared" si="45"/>
        <v>VALID</v>
      </c>
      <c r="AQ228" s="224" t="s">
        <v>2216</v>
      </c>
      <c r="AR228" s="182" t="s">
        <v>3495</v>
      </c>
      <c r="AS228" s="181" t="s">
        <v>3500</v>
      </c>
      <c r="AT228" s="5"/>
      <c r="AU228" s="5"/>
      <c r="AV228" s="5"/>
      <c r="AW228" s="5"/>
      <c r="AX228" s="289" t="s">
        <v>125</v>
      </c>
      <c r="AY228" s="181"/>
      <c r="AZ228" s="181"/>
      <c r="BA228" s="7"/>
      <c r="BB228" s="212"/>
      <c r="BC228" s="10" t="s">
        <v>1422</v>
      </c>
      <c r="BD228" s="240"/>
      <c r="BE228" s="249"/>
      <c r="BF228" s="249"/>
      <c r="BG228" s="249"/>
      <c r="BH228" s="249"/>
      <c r="BI228" s="249"/>
      <c r="BJ228" s="249"/>
      <c r="BK228" s="249"/>
      <c r="BL228" s="249"/>
      <c r="BM228" s="249"/>
      <c r="BN228" s="249"/>
      <c r="BO228" s="249"/>
      <c r="BP228" s="249"/>
      <c r="BQ228" s="249"/>
      <c r="BR228" s="249"/>
      <c r="BS228" s="249"/>
      <c r="BT228" s="249"/>
      <c r="BU228" s="249"/>
      <c r="BV228" s="249"/>
      <c r="BW228" s="249"/>
      <c r="BX228" s="249"/>
      <c r="BY228" s="249"/>
      <c r="BZ228" s="249"/>
      <c r="CA228" s="249"/>
      <c r="CB228" s="249"/>
      <c r="CC228" s="249"/>
      <c r="CD228" s="249"/>
      <c r="CE228" s="249"/>
    </row>
    <row r="229" spans="1:83" s="84" customFormat="1" ht="12.95" customHeight="1">
      <c r="A229" s="84" t="s">
        <v>3811</v>
      </c>
      <c r="B229" s="84" t="s">
        <v>3618</v>
      </c>
      <c r="C229" s="79" t="s">
        <v>348</v>
      </c>
      <c r="D229" s="52" t="s">
        <v>2218</v>
      </c>
      <c r="E229" s="52" t="s">
        <v>2219</v>
      </c>
      <c r="F229" s="53" t="s">
        <v>516</v>
      </c>
      <c r="G229" s="179" t="s">
        <v>2220</v>
      </c>
      <c r="H229" s="180"/>
      <c r="I229" s="55" t="s">
        <v>1429</v>
      </c>
      <c r="J229" s="55" t="s">
        <v>1429</v>
      </c>
      <c r="K229" s="56" t="s">
        <v>1429</v>
      </c>
      <c r="L229" s="54" t="s">
        <v>1580</v>
      </c>
      <c r="M229" s="55" t="s">
        <v>1581</v>
      </c>
      <c r="N229" s="55" t="s">
        <v>1429</v>
      </c>
      <c r="O229" s="55" t="s">
        <v>1429</v>
      </c>
      <c r="P229" s="56" t="s">
        <v>1429</v>
      </c>
      <c r="Q229" s="52" t="s">
        <v>753</v>
      </c>
      <c r="R229" s="52" t="s">
        <v>113</v>
      </c>
      <c r="S229" s="52" t="s">
        <v>99</v>
      </c>
      <c r="T229" s="52" t="s">
        <v>100</v>
      </c>
      <c r="U229" s="57" t="s">
        <v>113</v>
      </c>
      <c r="V229" s="146" t="s">
        <v>2221</v>
      </c>
      <c r="W229" s="51" t="s">
        <v>2207</v>
      </c>
      <c r="X229" s="130" t="s">
        <v>2222</v>
      </c>
      <c r="Y229" s="130" t="s">
        <v>1429</v>
      </c>
      <c r="Z229" s="51" t="s">
        <v>2208</v>
      </c>
      <c r="AA229" s="51" t="s">
        <v>2209</v>
      </c>
      <c r="AB229" s="51" t="s">
        <v>3665</v>
      </c>
      <c r="AC229" s="51" t="s">
        <v>1674</v>
      </c>
      <c r="AD229" s="59" t="str">
        <f t="shared" si="42"/>
        <v>GPIO_PR5</v>
      </c>
      <c r="AE229" s="66"/>
      <c r="AF229" s="61" t="str">
        <f t="shared" si="43"/>
        <v>PULL_UP</v>
      </c>
      <c r="AG229" s="61" t="str">
        <f t="shared" si="35"/>
        <v>TRISTATE</v>
      </c>
      <c r="AH229" s="61" t="str">
        <f t="shared" si="44"/>
        <v>ENABLE</v>
      </c>
      <c r="AI229" s="67" t="str">
        <f t="shared" si="37"/>
        <v/>
      </c>
      <c r="AJ229" s="176" t="b">
        <v>1</v>
      </c>
      <c r="AK229" s="176" t="b">
        <v>1</v>
      </c>
      <c r="AL229" s="176" t="b">
        <v>1</v>
      </c>
      <c r="AM229" s="176" t="b">
        <v>1</v>
      </c>
      <c r="AN229" s="176" t="b">
        <v>1</v>
      </c>
      <c r="AO229" s="176" t="b">
        <v>1</v>
      </c>
      <c r="AP229" s="64" t="str">
        <f t="shared" si="45"/>
        <v>VALID</v>
      </c>
      <c r="AQ229" s="224" t="s">
        <v>2220</v>
      </c>
      <c r="AR229" s="182" t="s">
        <v>3496</v>
      </c>
      <c r="AS229" s="181" t="s">
        <v>3497</v>
      </c>
      <c r="AT229" s="181" t="s">
        <v>3499</v>
      </c>
      <c r="AU229" s="5"/>
      <c r="AV229" s="5"/>
      <c r="AW229" s="5"/>
      <c r="AX229" s="284"/>
      <c r="AY229" s="181"/>
      <c r="AZ229" s="181"/>
      <c r="BA229" s="7"/>
      <c r="BB229" s="212"/>
      <c r="BC229" s="10" t="s">
        <v>1423</v>
      </c>
      <c r="BD229" s="240"/>
      <c r="BE229" s="249"/>
      <c r="BF229" s="249"/>
      <c r="BG229" s="249"/>
      <c r="BH229" s="249"/>
      <c r="BI229" s="249"/>
      <c r="BJ229" s="249"/>
      <c r="BK229" s="249"/>
      <c r="BL229" s="249"/>
      <c r="BM229" s="249"/>
      <c r="BN229" s="249"/>
      <c r="BO229" s="249"/>
      <c r="BP229" s="249"/>
      <c r="BQ229" s="249"/>
      <c r="BR229" s="249"/>
      <c r="BS229" s="249"/>
      <c r="BT229" s="249"/>
      <c r="BU229" s="249"/>
      <c r="BV229" s="249"/>
      <c r="BW229" s="249"/>
      <c r="BX229" s="249"/>
      <c r="BY229" s="249"/>
      <c r="BZ229" s="249"/>
      <c r="CA229" s="249"/>
      <c r="CB229" s="249"/>
      <c r="CC229" s="249"/>
      <c r="CD229" s="249"/>
      <c r="CE229" s="249"/>
    </row>
    <row r="230" spans="1:83" s="84" customFormat="1" ht="12.95" customHeight="1">
      <c r="A230" s="1"/>
      <c r="B230" s="1"/>
      <c r="C230" s="79" t="s">
        <v>349</v>
      </c>
      <c r="D230" s="52" t="s">
        <v>2223</v>
      </c>
      <c r="E230" s="52" t="s">
        <v>2224</v>
      </c>
      <c r="F230" s="53" t="s">
        <v>517</v>
      </c>
      <c r="G230" s="179" t="s">
        <v>2225</v>
      </c>
      <c r="H230" s="180" t="s">
        <v>349</v>
      </c>
      <c r="I230" s="55" t="s">
        <v>1429</v>
      </c>
      <c r="J230" s="55" t="s">
        <v>1429</v>
      </c>
      <c r="K230" s="56" t="s">
        <v>1429</v>
      </c>
      <c r="L230" s="54" t="s">
        <v>1580</v>
      </c>
      <c r="M230" s="55" t="s">
        <v>1580</v>
      </c>
      <c r="N230" s="55" t="s">
        <v>1429</v>
      </c>
      <c r="O230" s="55" t="s">
        <v>1429</v>
      </c>
      <c r="P230" s="56" t="s">
        <v>1429</v>
      </c>
      <c r="Q230" s="52" t="s">
        <v>753</v>
      </c>
      <c r="R230" s="52" t="s">
        <v>113</v>
      </c>
      <c r="S230" s="52" t="s">
        <v>99</v>
      </c>
      <c r="T230" s="52" t="s">
        <v>100</v>
      </c>
      <c r="U230" s="57" t="s">
        <v>113</v>
      </c>
      <c r="V230" s="146" t="s">
        <v>2226</v>
      </c>
      <c r="W230" s="51" t="s">
        <v>2207</v>
      </c>
      <c r="X230" s="130" t="s">
        <v>1429</v>
      </c>
      <c r="Y230" s="130" t="s">
        <v>1429</v>
      </c>
      <c r="Z230" s="51" t="s">
        <v>2208</v>
      </c>
      <c r="AA230" s="51" t="s">
        <v>2209</v>
      </c>
      <c r="AB230" s="51" t="s">
        <v>3665</v>
      </c>
      <c r="AC230" s="51" t="s">
        <v>1674</v>
      </c>
      <c r="AD230" s="59" t="str">
        <f t="shared" si="42"/>
        <v>GPIO_PR3</v>
      </c>
      <c r="AE230" s="66"/>
      <c r="AF230" s="61" t="str">
        <f t="shared" si="43"/>
        <v>NORMAL</v>
      </c>
      <c r="AG230" s="61" t="str">
        <f t="shared" si="35"/>
        <v>NORMAL</v>
      </c>
      <c r="AH230" s="61" t="str">
        <f t="shared" si="44"/>
        <v>DISABLE</v>
      </c>
      <c r="AI230" s="67" t="str">
        <f t="shared" si="37"/>
        <v>1</v>
      </c>
      <c r="AJ230" s="176" t="b">
        <v>1</v>
      </c>
      <c r="AK230" s="176" t="b">
        <v>1</v>
      </c>
      <c r="AL230" s="176" t="b">
        <v>1</v>
      </c>
      <c r="AM230" s="176" t="b">
        <v>1</v>
      </c>
      <c r="AN230" s="176" t="b">
        <v>1</v>
      </c>
      <c r="AO230" s="176" t="b">
        <v>1</v>
      </c>
      <c r="AP230" s="64" t="str">
        <f t="shared" si="45"/>
        <v>VALID</v>
      </c>
      <c r="AQ230" s="349" t="s">
        <v>2225</v>
      </c>
      <c r="AR230" s="336" t="s">
        <v>3495</v>
      </c>
      <c r="AS230" s="337" t="s">
        <v>3498</v>
      </c>
      <c r="AT230" s="342"/>
      <c r="AU230" s="342"/>
      <c r="AV230" s="342"/>
      <c r="AW230" s="342"/>
      <c r="AX230" s="342"/>
      <c r="AY230" s="337"/>
      <c r="AZ230" s="337"/>
      <c r="BA230" s="343"/>
      <c r="BB230" s="338"/>
      <c r="BC230" s="344" t="s">
        <v>3761</v>
      </c>
      <c r="BD230" s="174"/>
      <c r="BE230" s="249"/>
      <c r="BF230" s="249"/>
      <c r="BG230" s="249"/>
      <c r="BH230" s="249"/>
      <c r="BI230" s="249"/>
      <c r="BJ230" s="249"/>
      <c r="BK230" s="249"/>
      <c r="BL230" s="249"/>
      <c r="BM230" s="249"/>
      <c r="BN230" s="249"/>
      <c r="BO230" s="249"/>
      <c r="BP230" s="249"/>
      <c r="BQ230" s="249"/>
      <c r="BR230" s="249"/>
      <c r="BS230" s="249"/>
      <c r="BT230" s="249"/>
      <c r="BU230" s="249"/>
      <c r="BV230" s="249"/>
      <c r="BW230" s="249"/>
      <c r="BX230" s="249"/>
      <c r="BY230" s="249"/>
      <c r="BZ230" s="249"/>
      <c r="CA230" s="249"/>
      <c r="CB230" s="249"/>
      <c r="CC230" s="249"/>
      <c r="CD230" s="249"/>
      <c r="CE230" s="249"/>
    </row>
    <row r="231" spans="1:83" ht="12.95" customHeight="1">
      <c r="A231" s="1"/>
      <c r="B231" s="1"/>
      <c r="C231" s="51" t="s">
        <v>350</v>
      </c>
      <c r="D231" s="52" t="s">
        <v>2227</v>
      </c>
      <c r="E231" s="52" t="s">
        <v>2228</v>
      </c>
      <c r="F231" s="53" t="s">
        <v>513</v>
      </c>
      <c r="G231" s="179" t="s">
        <v>2229</v>
      </c>
      <c r="H231" s="180" t="s">
        <v>350</v>
      </c>
      <c r="I231" s="55" t="s">
        <v>1429</v>
      </c>
      <c r="J231" s="55" t="s">
        <v>1429</v>
      </c>
      <c r="K231" s="56" t="s">
        <v>1429</v>
      </c>
      <c r="L231" s="54" t="s">
        <v>1580</v>
      </c>
      <c r="M231" s="55" t="s">
        <v>1580</v>
      </c>
      <c r="N231" s="55" t="s">
        <v>1429</v>
      </c>
      <c r="O231" s="55" t="s">
        <v>1429</v>
      </c>
      <c r="P231" s="56" t="s">
        <v>1429</v>
      </c>
      <c r="Q231" s="52" t="s">
        <v>753</v>
      </c>
      <c r="R231" s="52" t="s">
        <v>113</v>
      </c>
      <c r="S231" s="52" t="s">
        <v>99</v>
      </c>
      <c r="T231" s="52" t="s">
        <v>100</v>
      </c>
      <c r="U231" s="57" t="s">
        <v>113</v>
      </c>
      <c r="V231" s="146" t="s">
        <v>2230</v>
      </c>
      <c r="W231" s="51" t="s">
        <v>2207</v>
      </c>
      <c r="X231" s="130" t="s">
        <v>1429</v>
      </c>
      <c r="Y231" s="130" t="s">
        <v>1429</v>
      </c>
      <c r="Z231" s="51" t="s">
        <v>2208</v>
      </c>
      <c r="AA231" s="51" t="s">
        <v>2209</v>
      </c>
      <c r="AB231" s="51" t="s">
        <v>3665</v>
      </c>
      <c r="AC231" s="51" t="s">
        <v>1674</v>
      </c>
      <c r="AD231" s="59" t="str">
        <f t="shared" si="42"/>
        <v>GPIO_PR4</v>
      </c>
      <c r="AE231" s="66"/>
      <c r="AF231" s="61" t="str">
        <f t="shared" si="43"/>
        <v>NORMAL</v>
      </c>
      <c r="AG231" s="61" t="str">
        <f t="shared" si="35"/>
        <v>NORMAL</v>
      </c>
      <c r="AH231" s="61" t="str">
        <f t="shared" si="44"/>
        <v>DISABLE</v>
      </c>
      <c r="AI231" s="67" t="str">
        <f t="shared" si="37"/>
        <v>1</v>
      </c>
      <c r="AJ231" s="176" t="b">
        <v>1</v>
      </c>
      <c r="AK231" s="176" t="b">
        <v>1</v>
      </c>
      <c r="AL231" s="176" t="b">
        <v>1</v>
      </c>
      <c r="AM231" s="176" t="b">
        <v>1</v>
      </c>
      <c r="AN231" s="176" t="b">
        <v>1</v>
      </c>
      <c r="AO231" s="176" t="b">
        <v>1</v>
      </c>
      <c r="AP231" s="64" t="str">
        <f t="shared" si="45"/>
        <v>VALID</v>
      </c>
      <c r="AQ231" s="341" t="s">
        <v>2229</v>
      </c>
      <c r="AR231" s="336" t="s">
        <v>3495</v>
      </c>
      <c r="AS231" s="337" t="s">
        <v>3498</v>
      </c>
      <c r="AT231" s="342"/>
      <c r="AU231" s="342"/>
      <c r="AV231" s="342"/>
      <c r="AW231" s="342"/>
      <c r="AX231" s="342"/>
      <c r="AY231" s="337"/>
      <c r="AZ231" s="337"/>
      <c r="BA231" s="343"/>
      <c r="BB231" s="338"/>
      <c r="BC231" s="344" t="s">
        <v>3762</v>
      </c>
      <c r="BD231" s="250"/>
      <c r="BE231" s="239"/>
      <c r="BF231" s="239"/>
      <c r="BG231" s="239"/>
      <c r="BH231" s="239"/>
      <c r="BI231" s="239"/>
      <c r="BJ231" s="239"/>
      <c r="BK231" s="239"/>
      <c r="BL231" s="239"/>
      <c r="BM231" s="239"/>
      <c r="BN231" s="239"/>
      <c r="BO231" s="239"/>
      <c r="BP231" s="239"/>
      <c r="BQ231" s="239"/>
      <c r="BR231" s="239"/>
      <c r="BS231" s="239"/>
      <c r="BT231" s="239"/>
      <c r="BU231" s="239"/>
      <c r="BV231" s="239"/>
      <c r="BW231" s="239"/>
      <c r="BX231" s="239"/>
      <c r="BY231" s="239"/>
      <c r="BZ231" s="239"/>
      <c r="CA231" s="239"/>
      <c r="CB231" s="239"/>
      <c r="CC231" s="239"/>
      <c r="CD231" s="239"/>
      <c r="CE231" s="239"/>
    </row>
    <row r="232" spans="1:83" s="84" customFormat="1" ht="12.95" customHeight="1">
      <c r="A232" s="1"/>
      <c r="B232" s="1"/>
      <c r="C232" s="79" t="s">
        <v>911</v>
      </c>
      <c r="D232" s="52" t="s">
        <v>2231</v>
      </c>
      <c r="E232" s="52" t="s">
        <v>2232</v>
      </c>
      <c r="F232" s="53" t="s">
        <v>1301</v>
      </c>
      <c r="G232" s="179" t="s">
        <v>1429</v>
      </c>
      <c r="H232" s="180" t="s">
        <v>911</v>
      </c>
      <c r="I232" s="55" t="s">
        <v>1429</v>
      </c>
      <c r="J232" s="55" t="s">
        <v>1429</v>
      </c>
      <c r="K232" s="56" t="s">
        <v>1429</v>
      </c>
      <c r="L232" s="54" t="s">
        <v>1429</v>
      </c>
      <c r="M232" s="55" t="s">
        <v>1580</v>
      </c>
      <c r="N232" s="55" t="s">
        <v>1429</v>
      </c>
      <c r="O232" s="55" t="s">
        <v>1429</v>
      </c>
      <c r="P232" s="56" t="s">
        <v>1429</v>
      </c>
      <c r="Q232" s="52" t="s">
        <v>753</v>
      </c>
      <c r="R232" s="52" t="s">
        <v>113</v>
      </c>
      <c r="S232" s="52" t="s">
        <v>99</v>
      </c>
      <c r="T232" s="52" t="s">
        <v>100</v>
      </c>
      <c r="U232" s="57" t="s">
        <v>113</v>
      </c>
      <c r="V232" s="146" t="s">
        <v>2233</v>
      </c>
      <c r="W232" s="51" t="s">
        <v>2207</v>
      </c>
      <c r="X232" s="130" t="s">
        <v>1429</v>
      </c>
      <c r="Y232" s="130" t="s">
        <v>1429</v>
      </c>
      <c r="Z232" s="51" t="s">
        <v>2234</v>
      </c>
      <c r="AA232" s="51" t="s">
        <v>2235</v>
      </c>
      <c r="AB232" s="51"/>
      <c r="AC232" s="51" t="s">
        <v>1429</v>
      </c>
      <c r="AD232" s="175"/>
      <c r="AE232" s="66"/>
      <c r="AF232" s="61" t="str">
        <f t="shared" si="43"/>
        <v>NORMAL</v>
      </c>
      <c r="AG232" s="61" t="str">
        <f t="shared" si="35"/>
        <v>NORMAL</v>
      </c>
      <c r="AH232" s="61" t="str">
        <f t="shared" si="44"/>
        <v>ENABLE</v>
      </c>
      <c r="AI232" s="67" t="str">
        <f t="shared" si="37"/>
        <v>N/A</v>
      </c>
      <c r="AJ232" s="176" t="b">
        <v>1</v>
      </c>
      <c r="AK232" s="176" t="b">
        <v>1</v>
      </c>
      <c r="AL232" s="176" t="b">
        <v>1</v>
      </c>
      <c r="AM232" s="176" t="b">
        <v>1</v>
      </c>
      <c r="AN232" s="176" t="b">
        <v>1</v>
      </c>
      <c r="AO232" s="176" t="b">
        <v>1</v>
      </c>
      <c r="AP232" s="64" t="str">
        <f t="shared" si="45"/>
        <v>VALID</v>
      </c>
      <c r="AQ232" s="350" t="s">
        <v>911</v>
      </c>
      <c r="AR232" s="338"/>
      <c r="AS232" s="338"/>
      <c r="AT232" s="342"/>
      <c r="AU232" s="342"/>
      <c r="AV232" s="342"/>
      <c r="AW232" s="342"/>
      <c r="AX232" s="342"/>
      <c r="AY232" s="337"/>
      <c r="AZ232" s="337"/>
      <c r="BA232" s="351"/>
      <c r="BB232" s="338"/>
      <c r="BC232" s="344"/>
      <c r="BD232" s="250"/>
      <c r="BE232" s="249"/>
      <c r="BF232" s="249"/>
      <c r="BG232" s="249"/>
      <c r="BH232" s="249"/>
      <c r="BI232" s="249"/>
      <c r="BJ232" s="249"/>
      <c r="BK232" s="249"/>
      <c r="BL232" s="249"/>
      <c r="BM232" s="249"/>
      <c r="BN232" s="249"/>
      <c r="BO232" s="249"/>
      <c r="BP232" s="249"/>
      <c r="BQ232" s="249"/>
      <c r="BR232" s="249"/>
      <c r="BS232" s="249"/>
      <c r="BT232" s="249"/>
      <c r="BU232" s="249"/>
      <c r="BV232" s="249"/>
      <c r="BW232" s="249"/>
      <c r="BX232" s="249"/>
      <c r="BY232" s="249"/>
      <c r="BZ232" s="249"/>
      <c r="CA232" s="249"/>
      <c r="CB232" s="249"/>
      <c r="CC232" s="249"/>
      <c r="CD232" s="249"/>
      <c r="CE232" s="249"/>
    </row>
    <row r="233" spans="1:83" s="50" customFormat="1" ht="18" customHeight="1">
      <c r="A233" s="68" t="s">
        <v>764</v>
      </c>
      <c r="B233" s="68"/>
      <c r="C233" s="68"/>
      <c r="D233" s="69"/>
      <c r="E233" s="69"/>
      <c r="F233" s="69"/>
      <c r="G233" s="70"/>
      <c r="H233" s="70"/>
      <c r="I233" s="70"/>
      <c r="J233" s="70"/>
      <c r="K233" s="70"/>
      <c r="L233" s="69"/>
      <c r="M233" s="69"/>
      <c r="N233" s="69"/>
      <c r="O233" s="69"/>
      <c r="P233" s="69"/>
      <c r="Q233" s="69"/>
      <c r="R233" s="69"/>
      <c r="S233" s="69"/>
      <c r="T233" s="69"/>
      <c r="U233" s="69"/>
      <c r="V233" s="69"/>
      <c r="W233" s="69"/>
      <c r="X233" s="131"/>
      <c r="Y233" s="131"/>
      <c r="Z233" s="71"/>
      <c r="AA233" s="71"/>
      <c r="AB233" s="71"/>
      <c r="AC233" s="71"/>
      <c r="AD233" s="71"/>
      <c r="AE233" s="71"/>
      <c r="AF233" s="71"/>
      <c r="AG233" s="71"/>
      <c r="AH233" s="71"/>
      <c r="AI233" s="71"/>
      <c r="AJ233" s="47"/>
      <c r="AK233" s="47"/>
      <c r="AL233" s="47"/>
      <c r="AM233" s="47"/>
      <c r="AN233" s="47"/>
      <c r="AO233" s="47"/>
      <c r="AP233" s="47"/>
      <c r="AQ233" s="72"/>
      <c r="AR233" s="72"/>
      <c r="AS233" s="73"/>
      <c r="AT233" s="73"/>
      <c r="AU233" s="73"/>
      <c r="AV233" s="73"/>
      <c r="AW233" s="73"/>
      <c r="AX233" s="288"/>
      <c r="AY233" s="73"/>
      <c r="AZ233" s="73"/>
      <c r="BA233" s="73"/>
      <c r="BB233" s="168" t="s">
        <v>49</v>
      </c>
      <c r="BC233" s="172"/>
      <c r="BD233" s="169"/>
      <c r="BE233" s="308"/>
      <c r="BF233" s="243"/>
      <c r="BG233" s="243"/>
      <c r="BH233" s="243"/>
      <c r="BI233" s="243"/>
      <c r="BJ233" s="243"/>
      <c r="BK233" s="243"/>
      <c r="BL233" s="243"/>
      <c r="BM233" s="243"/>
      <c r="BN233" s="243"/>
      <c r="BO233" s="243"/>
      <c r="BP233" s="243"/>
      <c r="BQ233" s="243"/>
      <c r="BR233" s="243"/>
      <c r="BS233" s="243"/>
      <c r="BT233" s="243"/>
      <c r="BU233" s="243"/>
      <c r="BV233" s="243"/>
      <c r="BW233" s="243"/>
      <c r="BX233" s="243"/>
      <c r="BY233" s="243"/>
      <c r="BZ233" s="243"/>
      <c r="CA233" s="243"/>
      <c r="CB233" s="243"/>
      <c r="CC233" s="243"/>
      <c r="CD233" s="243"/>
      <c r="CE233" s="243"/>
    </row>
    <row r="234" spans="1:83" ht="12.95" customHeight="1">
      <c r="A234" s="21" t="s">
        <v>3451</v>
      </c>
      <c r="B234" s="21" t="s">
        <v>1626</v>
      </c>
      <c r="C234" s="51" t="s">
        <v>63</v>
      </c>
      <c r="D234" s="52" t="s">
        <v>82</v>
      </c>
      <c r="E234" s="52" t="s">
        <v>2236</v>
      </c>
      <c r="F234" s="53" t="s">
        <v>239</v>
      </c>
      <c r="G234" s="179" t="s">
        <v>1429</v>
      </c>
      <c r="H234" s="180" t="s">
        <v>63</v>
      </c>
      <c r="I234" s="55" t="s">
        <v>2237</v>
      </c>
      <c r="J234" s="55" t="s">
        <v>1429</v>
      </c>
      <c r="K234" s="56" t="s">
        <v>1429</v>
      </c>
      <c r="L234" s="54" t="s">
        <v>1429</v>
      </c>
      <c r="M234" s="55" t="s">
        <v>1580</v>
      </c>
      <c r="N234" s="55" t="s">
        <v>1580</v>
      </c>
      <c r="O234" s="55" t="s">
        <v>1429</v>
      </c>
      <c r="P234" s="56" t="s">
        <v>1429</v>
      </c>
      <c r="Q234" s="85"/>
      <c r="R234" s="85"/>
      <c r="S234" s="85"/>
      <c r="T234" s="85"/>
      <c r="U234" s="85"/>
      <c r="V234" s="146" t="s">
        <v>2238</v>
      </c>
      <c r="W234" s="51" t="s">
        <v>2239</v>
      </c>
      <c r="X234" s="130" t="s">
        <v>1429</v>
      </c>
      <c r="Y234" s="130" t="s">
        <v>1429</v>
      </c>
      <c r="Z234" s="51" t="s">
        <v>2240</v>
      </c>
      <c r="AA234" s="51" t="s">
        <v>2241</v>
      </c>
      <c r="AB234" s="51" t="s">
        <v>1476</v>
      </c>
      <c r="AC234" s="51" t="s">
        <v>1633</v>
      </c>
      <c r="AD234" s="175"/>
      <c r="AE234" s="66"/>
      <c r="AF234" s="61" t="str">
        <f t="shared" ref="AF234:AF240" si="46">IF(AND(OR($AS234="Int PU",$AS234="Int PD"),OR(AND($AY234&lt;&gt;"",$AY234&lt;&gt;"0"),AND($AZ234&lt;&gt;"",$AZ234&lt;&gt;"0"))),"INVALID",IF(OR($AQ234=$F234,$AS234="Int PD"),"PULL_DOWN",IF(OR($AS234="Int PU",AND($AE234="YES",OR($AY234="",$AY234="0"),OR($AZ234="",$AZ234="0"),OR($AR234="Input",$AR234="Bidirectional"))),"PULL_UP","NORMAL")))</f>
        <v>NORMAL</v>
      </c>
      <c r="AG234" s="61" t="str">
        <f t="shared" si="35"/>
        <v>NORMAL</v>
      </c>
      <c r="AH234" s="61" t="str">
        <f t="shared" ref="AH234:AH240" si="47">IF(OR($AQ234=$F234,$AR234="Output"),"DISABLE","ENABLE")</f>
        <v>ENABLE</v>
      </c>
      <c r="AI234" s="67" t="str">
        <f t="shared" si="37"/>
        <v>N/A</v>
      </c>
      <c r="AJ234" s="176" t="b">
        <v>1</v>
      </c>
      <c r="AK234" s="176" t="b">
        <v>1</v>
      </c>
      <c r="AL234" s="176" t="b">
        <v>1</v>
      </c>
      <c r="AM234" s="176" t="b">
        <v>1</v>
      </c>
      <c r="AN234" s="176" t="b">
        <v>1</v>
      </c>
      <c r="AO234" s="176" t="b">
        <v>1</v>
      </c>
      <c r="AP234" s="64" t="str">
        <f t="shared" ref="AP234:AP247" si="48">IF(AND($AJ234:$AO234), "VALID", "INVALID")</f>
        <v>VALID</v>
      </c>
      <c r="AQ234" s="227" t="s">
        <v>63</v>
      </c>
      <c r="AR234" s="3" t="s">
        <v>3501</v>
      </c>
      <c r="AS234" s="181"/>
      <c r="AT234" s="214"/>
      <c r="AU234" s="214"/>
      <c r="AV234" s="5"/>
      <c r="AW234" s="5"/>
      <c r="AX234" s="284"/>
      <c r="AY234" s="4"/>
      <c r="AZ234" s="4"/>
      <c r="BA234" s="12" t="s">
        <v>101</v>
      </c>
      <c r="BB234" s="216"/>
      <c r="BC234" s="15" t="s">
        <v>63</v>
      </c>
      <c r="BD234" s="238"/>
      <c r="BE234" s="239"/>
      <c r="BF234" s="239"/>
      <c r="BG234" s="239"/>
      <c r="BH234" s="239"/>
      <c r="BI234" s="239"/>
      <c r="BJ234" s="239"/>
      <c r="BK234" s="239"/>
      <c r="BL234" s="239"/>
      <c r="BM234" s="239"/>
      <c r="BN234" s="239"/>
      <c r="BO234" s="239"/>
      <c r="BP234" s="239"/>
      <c r="BQ234" s="239"/>
      <c r="BR234" s="239"/>
      <c r="BS234" s="239"/>
      <c r="BT234" s="239"/>
      <c r="BU234" s="239"/>
      <c r="BV234" s="239"/>
      <c r="BW234" s="239"/>
      <c r="BX234" s="239"/>
      <c r="BY234" s="239"/>
      <c r="BZ234" s="239"/>
      <c r="CA234" s="239"/>
      <c r="CB234" s="239"/>
      <c r="CC234" s="239"/>
      <c r="CD234" s="239"/>
      <c r="CE234" s="239"/>
    </row>
    <row r="235" spans="1:83" ht="12.95" customHeight="1">
      <c r="A235" s="21" t="s">
        <v>3452</v>
      </c>
      <c r="B235" s="21" t="s">
        <v>3569</v>
      </c>
      <c r="C235" s="51" t="s">
        <v>64</v>
      </c>
      <c r="D235" s="52" t="s">
        <v>83</v>
      </c>
      <c r="E235" s="52" t="s">
        <v>2242</v>
      </c>
      <c r="F235" s="53" t="s">
        <v>240</v>
      </c>
      <c r="G235" s="179" t="s">
        <v>1429</v>
      </c>
      <c r="H235" s="180" t="s">
        <v>64</v>
      </c>
      <c r="I235" s="55" t="s">
        <v>2243</v>
      </c>
      <c r="J235" s="55" t="s">
        <v>1429</v>
      </c>
      <c r="K235" s="56" t="s">
        <v>1429</v>
      </c>
      <c r="L235" s="54" t="s">
        <v>1429</v>
      </c>
      <c r="M235" s="55" t="s">
        <v>1580</v>
      </c>
      <c r="N235" s="55" t="s">
        <v>1580</v>
      </c>
      <c r="O235" s="55" t="s">
        <v>1429</v>
      </c>
      <c r="P235" s="56" t="s">
        <v>1429</v>
      </c>
      <c r="Q235" s="85"/>
      <c r="R235" s="85"/>
      <c r="S235" s="85"/>
      <c r="T235" s="85"/>
      <c r="U235" s="85"/>
      <c r="V235" s="146" t="s">
        <v>2244</v>
      </c>
      <c r="W235" s="51" t="s">
        <v>2239</v>
      </c>
      <c r="X235" s="130" t="s">
        <v>1429</v>
      </c>
      <c r="Y235" s="130" t="s">
        <v>1429</v>
      </c>
      <c r="Z235" s="51" t="s">
        <v>2240</v>
      </c>
      <c r="AA235" s="51" t="s">
        <v>2241</v>
      </c>
      <c r="AB235" s="51" t="s">
        <v>1476</v>
      </c>
      <c r="AC235" s="51" t="s">
        <v>1633</v>
      </c>
      <c r="AD235" s="175"/>
      <c r="AE235" s="66"/>
      <c r="AF235" s="61" t="str">
        <f t="shared" si="46"/>
        <v>NORMAL</v>
      </c>
      <c r="AG235" s="61" t="str">
        <f t="shared" si="35"/>
        <v>NORMAL</v>
      </c>
      <c r="AH235" s="61" t="str">
        <f t="shared" si="47"/>
        <v>ENABLE</v>
      </c>
      <c r="AI235" s="67" t="str">
        <f t="shared" si="37"/>
        <v>N/A</v>
      </c>
      <c r="AJ235" s="176" t="b">
        <v>1</v>
      </c>
      <c r="AK235" s="176" t="b">
        <v>1</v>
      </c>
      <c r="AL235" s="176" t="b">
        <v>1</v>
      </c>
      <c r="AM235" s="176" t="b">
        <v>1</v>
      </c>
      <c r="AN235" s="176" t="b">
        <v>1</v>
      </c>
      <c r="AO235" s="176" t="b">
        <v>1</v>
      </c>
      <c r="AP235" s="64" t="str">
        <f t="shared" si="48"/>
        <v>VALID</v>
      </c>
      <c r="AQ235" s="227" t="s">
        <v>64</v>
      </c>
      <c r="AR235" s="182" t="s">
        <v>3501</v>
      </c>
      <c r="AS235" s="181"/>
      <c r="AT235" s="5"/>
      <c r="AU235" s="5"/>
      <c r="AV235" s="219"/>
      <c r="AW235" s="219"/>
      <c r="AX235" s="287"/>
      <c r="AY235" s="181"/>
      <c r="AZ235" s="181"/>
      <c r="BA235" s="7"/>
      <c r="BB235" s="212"/>
      <c r="BC235" s="10" t="s">
        <v>64</v>
      </c>
      <c r="BD235" s="238"/>
      <c r="BE235" s="239"/>
      <c r="BF235" s="239"/>
      <c r="BG235" s="239"/>
      <c r="BH235" s="239"/>
      <c r="BI235" s="239"/>
      <c r="BJ235" s="239"/>
      <c r="BK235" s="239"/>
      <c r="BL235" s="239"/>
      <c r="BM235" s="239"/>
      <c r="BN235" s="239"/>
      <c r="BO235" s="239"/>
      <c r="BP235" s="239"/>
      <c r="BQ235" s="239"/>
      <c r="BR235" s="239"/>
      <c r="BS235" s="239"/>
      <c r="BT235" s="239"/>
      <c r="BU235" s="239"/>
      <c r="BV235" s="239"/>
      <c r="BW235" s="239"/>
      <c r="BX235" s="239"/>
      <c r="BY235" s="239"/>
      <c r="BZ235" s="239"/>
      <c r="CA235" s="239"/>
      <c r="CB235" s="239"/>
      <c r="CC235" s="239"/>
      <c r="CD235" s="239"/>
      <c r="CE235" s="239"/>
    </row>
    <row r="236" spans="1:83" ht="12.95" customHeight="1">
      <c r="A236" s="21" t="s">
        <v>3453</v>
      </c>
      <c r="B236" s="21" t="s">
        <v>1579</v>
      </c>
      <c r="C236" s="51" t="s">
        <v>1009</v>
      </c>
      <c r="D236" s="52" t="s">
        <v>2245</v>
      </c>
      <c r="E236" s="52" t="s">
        <v>2246</v>
      </c>
      <c r="F236" s="53" t="s">
        <v>1302</v>
      </c>
      <c r="G236" s="179" t="s">
        <v>2247</v>
      </c>
      <c r="H236" s="180" t="s">
        <v>1009</v>
      </c>
      <c r="I236" s="55" t="s">
        <v>1429</v>
      </c>
      <c r="J236" s="55" t="s">
        <v>1429</v>
      </c>
      <c r="K236" s="56" t="s">
        <v>1429</v>
      </c>
      <c r="L236" s="54" t="s">
        <v>1580</v>
      </c>
      <c r="M236" s="55" t="s">
        <v>1590</v>
      </c>
      <c r="N236" s="55" t="s">
        <v>1429</v>
      </c>
      <c r="O236" s="55" t="s">
        <v>1429</v>
      </c>
      <c r="P236" s="56" t="s">
        <v>1429</v>
      </c>
      <c r="Q236" s="52" t="s">
        <v>1383</v>
      </c>
      <c r="R236" s="52" t="s">
        <v>113</v>
      </c>
      <c r="S236" s="52" t="s">
        <v>99</v>
      </c>
      <c r="T236" s="52" t="s">
        <v>100</v>
      </c>
      <c r="U236" s="57" t="s">
        <v>113</v>
      </c>
      <c r="V236" s="146" t="s">
        <v>2248</v>
      </c>
      <c r="W236" s="51" t="s">
        <v>2239</v>
      </c>
      <c r="X236" s="130" t="s">
        <v>2249</v>
      </c>
      <c r="Y236" s="130" t="s">
        <v>1429</v>
      </c>
      <c r="Z236" s="51" t="s">
        <v>1631</v>
      </c>
      <c r="AA236" s="51" t="s">
        <v>2250</v>
      </c>
      <c r="AB236" s="51" t="s">
        <v>1435</v>
      </c>
      <c r="AC236" s="51" t="s">
        <v>1587</v>
      </c>
      <c r="AD236" s="59" t="str">
        <f>IF(OR($AQ236="",$AQ236=$F236),$U236,IF($AQ236=$G236,SUBSTITUTE(SUBSTITUTE($AQ236,"GPIO3_","GPIO_"),".0",""),IF($AQ236=$H236,$Q236,IF($AQ236=$I236,$R236,IF($AQ236=$J236,$S236,IF($AQ236=$K236,$T236,"INVALID"))))))</f>
        <v>DP</v>
      </c>
      <c r="AE236" s="66"/>
      <c r="AF236" s="61" t="str">
        <f t="shared" si="46"/>
        <v>NORMAL</v>
      </c>
      <c r="AG236" s="61" t="str">
        <f t="shared" si="35"/>
        <v>TRISTATE</v>
      </c>
      <c r="AH236" s="61" t="str">
        <f t="shared" si="47"/>
        <v>ENABLE</v>
      </c>
      <c r="AI236" s="67" t="str">
        <f t="shared" si="37"/>
        <v>N/A</v>
      </c>
      <c r="AJ236" s="176" t="b">
        <v>1</v>
      </c>
      <c r="AK236" s="176" t="b">
        <v>1</v>
      </c>
      <c r="AL236" s="176" t="b">
        <v>1</v>
      </c>
      <c r="AM236" s="176" t="b">
        <v>1</v>
      </c>
      <c r="AN236" s="176" t="b">
        <v>1</v>
      </c>
      <c r="AO236" s="176" t="b">
        <v>1</v>
      </c>
      <c r="AP236" s="64" t="str">
        <f t="shared" si="48"/>
        <v>VALID</v>
      </c>
      <c r="AQ236" s="227" t="s">
        <v>1009</v>
      </c>
      <c r="AR236" s="182" t="s">
        <v>3496</v>
      </c>
      <c r="AS236" s="181"/>
      <c r="AT236" s="181" t="s">
        <v>3499</v>
      </c>
      <c r="AU236" s="5"/>
      <c r="AV236" s="181" t="s">
        <v>125</v>
      </c>
      <c r="AW236" s="181" t="s">
        <v>125</v>
      </c>
      <c r="AX236" s="287"/>
      <c r="AY236" s="181" t="s">
        <v>3505</v>
      </c>
      <c r="AZ236" s="181"/>
      <c r="BA236" s="7"/>
      <c r="BB236" s="212"/>
      <c r="BC236" s="10" t="s">
        <v>1009</v>
      </c>
      <c r="BD236" s="238"/>
      <c r="BE236" s="239"/>
      <c r="BF236" s="239"/>
      <c r="BG236" s="239"/>
      <c r="BH236" s="239"/>
      <c r="BI236" s="239"/>
      <c r="BJ236" s="239"/>
      <c r="BK236" s="239"/>
      <c r="BL236" s="239"/>
      <c r="BM236" s="239"/>
      <c r="BN236" s="239"/>
      <c r="BO236" s="239"/>
      <c r="BP236" s="239"/>
      <c r="BQ236" s="239"/>
      <c r="BR236" s="239"/>
      <c r="BS236" s="239"/>
      <c r="BT236" s="239"/>
      <c r="BU236" s="239"/>
      <c r="BV236" s="239"/>
      <c r="BW236" s="239"/>
      <c r="BX236" s="239"/>
      <c r="BY236" s="239"/>
      <c r="BZ236" s="239"/>
      <c r="CA236" s="239"/>
      <c r="CB236" s="239"/>
      <c r="CC236" s="239"/>
      <c r="CD236" s="239"/>
      <c r="CE236" s="239"/>
    </row>
    <row r="237" spans="1:83" ht="12.95" customHeight="1">
      <c r="A237" s="21" t="s">
        <v>3454</v>
      </c>
      <c r="B237" s="21" t="s">
        <v>1620</v>
      </c>
      <c r="C237" s="51" t="s">
        <v>319</v>
      </c>
      <c r="D237" s="52" t="s">
        <v>2251</v>
      </c>
      <c r="E237" s="52" t="s">
        <v>2252</v>
      </c>
      <c r="F237" s="53" t="s">
        <v>558</v>
      </c>
      <c r="G237" s="179" t="s">
        <v>1429</v>
      </c>
      <c r="H237" s="180" t="s">
        <v>319</v>
      </c>
      <c r="I237" s="55" t="s">
        <v>1468</v>
      </c>
      <c r="J237" s="55" t="s">
        <v>1429</v>
      </c>
      <c r="K237" s="56" t="s">
        <v>1429</v>
      </c>
      <c r="L237" s="54" t="s">
        <v>1429</v>
      </c>
      <c r="M237" s="55" t="s">
        <v>1580</v>
      </c>
      <c r="N237" s="55" t="s">
        <v>1580</v>
      </c>
      <c r="O237" s="55" t="s">
        <v>1429</v>
      </c>
      <c r="P237" s="56" t="s">
        <v>1429</v>
      </c>
      <c r="Q237" s="85"/>
      <c r="R237" s="85"/>
      <c r="S237" s="85"/>
      <c r="T237" s="85"/>
      <c r="U237" s="85"/>
      <c r="V237" s="146" t="s">
        <v>2253</v>
      </c>
      <c r="W237" s="51" t="s">
        <v>2239</v>
      </c>
      <c r="X237" s="130" t="s">
        <v>1429</v>
      </c>
      <c r="Y237" s="130" t="s">
        <v>1429</v>
      </c>
      <c r="Z237" s="51" t="s">
        <v>2240</v>
      </c>
      <c r="AA237" s="51" t="s">
        <v>2241</v>
      </c>
      <c r="AB237" s="51" t="s">
        <v>1476</v>
      </c>
      <c r="AC237" s="51" t="s">
        <v>1633</v>
      </c>
      <c r="AD237" s="175"/>
      <c r="AE237" s="66"/>
      <c r="AF237" s="61" t="str">
        <f t="shared" si="46"/>
        <v>NORMAL</v>
      </c>
      <c r="AG237" s="61" t="str">
        <f t="shared" si="35"/>
        <v>NORMAL</v>
      </c>
      <c r="AH237" s="61" t="str">
        <f t="shared" si="47"/>
        <v>ENABLE</v>
      </c>
      <c r="AI237" s="67" t="str">
        <f t="shared" si="37"/>
        <v>N/A</v>
      </c>
      <c r="AJ237" s="176" t="b">
        <v>1</v>
      </c>
      <c r="AK237" s="176" t="b">
        <v>1</v>
      </c>
      <c r="AL237" s="176" t="b">
        <v>1</v>
      </c>
      <c r="AM237" s="176" t="b">
        <v>1</v>
      </c>
      <c r="AN237" s="176" t="b">
        <v>1</v>
      </c>
      <c r="AO237" s="176" t="b">
        <v>1</v>
      </c>
      <c r="AP237" s="64" t="str">
        <f t="shared" si="48"/>
        <v>VALID</v>
      </c>
      <c r="AQ237" s="227" t="s">
        <v>1468</v>
      </c>
      <c r="AR237" s="182" t="s">
        <v>3501</v>
      </c>
      <c r="AS237" s="181"/>
      <c r="AT237" s="5"/>
      <c r="AU237" s="5"/>
      <c r="AV237" s="5"/>
      <c r="AW237" s="219"/>
      <c r="AX237" s="287"/>
      <c r="AY237" s="181" t="s">
        <v>67</v>
      </c>
      <c r="AZ237" s="181"/>
      <c r="BA237" s="7"/>
      <c r="BB237" s="212"/>
      <c r="BC237" s="10" t="s">
        <v>1468</v>
      </c>
      <c r="BD237" s="238"/>
      <c r="BE237" s="239"/>
      <c r="BF237" s="239"/>
      <c r="BG237" s="239"/>
      <c r="BH237" s="239"/>
      <c r="BI237" s="239"/>
      <c r="BJ237" s="239"/>
      <c r="BK237" s="239"/>
      <c r="BL237" s="239"/>
      <c r="BM237" s="239"/>
      <c r="BN237" s="239"/>
      <c r="BO237" s="239"/>
      <c r="BP237" s="239"/>
      <c r="BQ237" s="239"/>
      <c r="BR237" s="239"/>
      <c r="BS237" s="239"/>
      <c r="BT237" s="239"/>
      <c r="BU237" s="239"/>
      <c r="BV237" s="239"/>
      <c r="BW237" s="239"/>
      <c r="BX237" s="239"/>
      <c r="BY237" s="239"/>
      <c r="BZ237" s="239"/>
      <c r="CA237" s="239"/>
      <c r="CB237" s="239"/>
      <c r="CC237" s="239"/>
      <c r="CD237" s="239"/>
      <c r="CE237" s="239"/>
    </row>
    <row r="238" spans="1:83" ht="12.95" customHeight="1">
      <c r="A238" s="21" t="s">
        <v>3455</v>
      </c>
      <c r="B238" s="21" t="s">
        <v>3985</v>
      </c>
      <c r="C238" s="51" t="s">
        <v>320</v>
      </c>
      <c r="D238" s="52" t="s">
        <v>2254</v>
      </c>
      <c r="E238" s="52" t="s">
        <v>2255</v>
      </c>
      <c r="F238" s="53" t="s">
        <v>559</v>
      </c>
      <c r="G238" s="179" t="s">
        <v>1429</v>
      </c>
      <c r="H238" s="180" t="s">
        <v>320</v>
      </c>
      <c r="I238" s="55" t="s">
        <v>1469</v>
      </c>
      <c r="J238" s="55" t="s">
        <v>1429</v>
      </c>
      <c r="K238" s="56" t="s">
        <v>1429</v>
      </c>
      <c r="L238" s="54" t="s">
        <v>1429</v>
      </c>
      <c r="M238" s="55" t="s">
        <v>1580</v>
      </c>
      <c r="N238" s="55" t="s">
        <v>1580</v>
      </c>
      <c r="O238" s="55" t="s">
        <v>1429</v>
      </c>
      <c r="P238" s="56" t="s">
        <v>1429</v>
      </c>
      <c r="Q238" s="85"/>
      <c r="R238" s="85"/>
      <c r="S238" s="85"/>
      <c r="T238" s="85"/>
      <c r="U238" s="85"/>
      <c r="V238" s="146" t="s">
        <v>2256</v>
      </c>
      <c r="W238" s="51" t="s">
        <v>2239</v>
      </c>
      <c r="X238" s="130" t="s">
        <v>1429</v>
      </c>
      <c r="Y238" s="130" t="s">
        <v>1429</v>
      </c>
      <c r="Z238" s="51" t="s">
        <v>2240</v>
      </c>
      <c r="AA238" s="51" t="s">
        <v>2241</v>
      </c>
      <c r="AB238" s="51" t="s">
        <v>1476</v>
      </c>
      <c r="AC238" s="51" t="s">
        <v>1633</v>
      </c>
      <c r="AD238" s="175"/>
      <c r="AE238" s="66"/>
      <c r="AF238" s="61" t="str">
        <f t="shared" si="46"/>
        <v>NORMAL</v>
      </c>
      <c r="AG238" s="61" t="str">
        <f t="shared" si="35"/>
        <v>NORMAL</v>
      </c>
      <c r="AH238" s="61" t="str">
        <f t="shared" si="47"/>
        <v>ENABLE</v>
      </c>
      <c r="AI238" s="67" t="str">
        <f t="shared" si="37"/>
        <v>N/A</v>
      </c>
      <c r="AJ238" s="176" t="b">
        <v>1</v>
      </c>
      <c r="AK238" s="176" t="b">
        <v>1</v>
      </c>
      <c r="AL238" s="176" t="b">
        <v>1</v>
      </c>
      <c r="AM238" s="176" t="b">
        <v>1</v>
      </c>
      <c r="AN238" s="176" t="b">
        <v>1</v>
      </c>
      <c r="AO238" s="176" t="b">
        <v>1</v>
      </c>
      <c r="AP238" s="64" t="str">
        <f t="shared" si="48"/>
        <v>VALID</v>
      </c>
      <c r="AQ238" s="226" t="s">
        <v>1469</v>
      </c>
      <c r="AR238" s="182" t="s">
        <v>3501</v>
      </c>
      <c r="AS238" s="181"/>
      <c r="AT238" s="5"/>
      <c r="AU238" s="5"/>
      <c r="AV238" s="5"/>
      <c r="AW238" s="219"/>
      <c r="AX238" s="287"/>
      <c r="AY238" s="181" t="s">
        <v>67</v>
      </c>
      <c r="AZ238" s="181"/>
      <c r="BA238" s="7"/>
      <c r="BB238" s="212"/>
      <c r="BC238" s="10" t="s">
        <v>1469</v>
      </c>
      <c r="BD238" s="238"/>
      <c r="BE238" s="239"/>
      <c r="BF238" s="239"/>
      <c r="BG238" s="239"/>
      <c r="BH238" s="239"/>
      <c r="BI238" s="239"/>
      <c r="BJ238" s="239"/>
      <c r="BK238" s="239"/>
      <c r="BL238" s="239"/>
      <c r="BM238" s="239"/>
      <c r="BN238" s="239"/>
      <c r="BO238" s="239"/>
      <c r="BP238" s="239"/>
      <c r="BQ238" s="239"/>
      <c r="BR238" s="239"/>
      <c r="BS238" s="239"/>
      <c r="BT238" s="239"/>
      <c r="BU238" s="239"/>
      <c r="BV238" s="239"/>
      <c r="BW238" s="239"/>
      <c r="BX238" s="239"/>
      <c r="BY238" s="239"/>
      <c r="BZ238" s="239"/>
      <c r="CA238" s="239"/>
      <c r="CB238" s="239"/>
      <c r="CC238" s="239"/>
      <c r="CD238" s="239"/>
      <c r="CE238" s="239"/>
    </row>
    <row r="239" spans="1:83" ht="12.95" customHeight="1">
      <c r="A239" s="21" t="s">
        <v>33</v>
      </c>
      <c r="B239" s="21" t="s">
        <v>1887</v>
      </c>
      <c r="C239" s="51" t="s">
        <v>33</v>
      </c>
      <c r="D239" s="52" t="s">
        <v>2257</v>
      </c>
      <c r="E239" s="52" t="s">
        <v>82</v>
      </c>
      <c r="F239" s="53" t="s">
        <v>167</v>
      </c>
      <c r="G239" s="179"/>
      <c r="H239" s="180" t="s">
        <v>33</v>
      </c>
      <c r="I239" s="55" t="s">
        <v>1429</v>
      </c>
      <c r="J239" s="55" t="s">
        <v>1429</v>
      </c>
      <c r="K239" s="56" t="s">
        <v>1429</v>
      </c>
      <c r="L239" s="54" t="s">
        <v>1580</v>
      </c>
      <c r="M239" s="55" t="s">
        <v>1580</v>
      </c>
      <c r="N239" s="55" t="s">
        <v>1429</v>
      </c>
      <c r="O239" s="55" t="s">
        <v>1429</v>
      </c>
      <c r="P239" s="56" t="s">
        <v>1429</v>
      </c>
      <c r="Q239" s="185" t="s">
        <v>223</v>
      </c>
      <c r="R239" s="185" t="s">
        <v>113</v>
      </c>
      <c r="S239" s="185" t="s">
        <v>99</v>
      </c>
      <c r="T239" s="185" t="s">
        <v>100</v>
      </c>
      <c r="U239" s="185" t="s">
        <v>113</v>
      </c>
      <c r="V239" s="146" t="s">
        <v>2258</v>
      </c>
      <c r="W239" s="51" t="s">
        <v>2239</v>
      </c>
      <c r="X239" s="130" t="s">
        <v>2259</v>
      </c>
      <c r="Y239" s="130" t="s">
        <v>1429</v>
      </c>
      <c r="Z239" s="51" t="s">
        <v>1631</v>
      </c>
      <c r="AA239" s="51" t="s">
        <v>2250</v>
      </c>
      <c r="AB239" s="51" t="s">
        <v>1435</v>
      </c>
      <c r="AC239" s="51" t="s">
        <v>1633</v>
      </c>
      <c r="AD239" s="59" t="str">
        <f t="shared" ref="AD239:AD244" si="49">IF(OR($AQ239="",$AQ239=$F239),$U239,IF($AQ239=$G239,SUBSTITUTE(SUBSTITUTE($AQ239,"GPIO3_","GPIO_"),".0",""),IF($AQ239=$H239,$Q239,IF($AQ239=$I239,$R239,IF($AQ239=$J239,$S239,IF($AQ239=$K239,$T239,"INVALID"))))))</f>
        <v>HDMI</v>
      </c>
      <c r="AE239" s="66"/>
      <c r="AF239" s="61" t="str">
        <f t="shared" si="46"/>
        <v>NORMAL</v>
      </c>
      <c r="AG239" s="61" t="str">
        <f t="shared" si="35"/>
        <v>NORMAL</v>
      </c>
      <c r="AH239" s="61" t="str">
        <f t="shared" si="47"/>
        <v>ENABLE</v>
      </c>
      <c r="AI239" s="67" t="str">
        <f t="shared" si="37"/>
        <v>N/A</v>
      </c>
      <c r="AJ239" s="176" t="b">
        <v>1</v>
      </c>
      <c r="AK239" s="176" t="b">
        <v>1</v>
      </c>
      <c r="AL239" s="176" t="b">
        <v>1</v>
      </c>
      <c r="AM239" s="176" t="b">
        <v>1</v>
      </c>
      <c r="AN239" s="176" t="b">
        <v>1</v>
      </c>
      <c r="AO239" s="176" t="b">
        <v>1</v>
      </c>
      <c r="AP239" s="64" t="str">
        <f t="shared" si="48"/>
        <v>VALID</v>
      </c>
      <c r="AQ239" s="226" t="s">
        <v>33</v>
      </c>
      <c r="AR239" s="182" t="s">
        <v>3501</v>
      </c>
      <c r="AS239" s="181"/>
      <c r="AT239" s="181" t="s">
        <v>3499</v>
      </c>
      <c r="AU239" s="5"/>
      <c r="AV239" s="181" t="s">
        <v>3502</v>
      </c>
      <c r="AW239" s="181" t="s">
        <v>125</v>
      </c>
      <c r="AX239" s="287"/>
      <c r="AY239" s="181"/>
      <c r="AZ239" s="181"/>
      <c r="BA239" s="7"/>
      <c r="BB239" s="212"/>
      <c r="BC239" s="10" t="s">
        <v>33</v>
      </c>
      <c r="BD239" s="238"/>
      <c r="BE239" s="239"/>
      <c r="BF239" s="239"/>
      <c r="BG239" s="239"/>
      <c r="BH239" s="239"/>
      <c r="BI239" s="239"/>
      <c r="BJ239" s="239"/>
      <c r="BK239" s="239"/>
      <c r="BL239" s="239"/>
      <c r="BM239" s="239"/>
      <c r="BN239" s="239"/>
      <c r="BO239" s="239"/>
      <c r="BP239" s="239"/>
      <c r="BQ239" s="239"/>
      <c r="BR239" s="239"/>
      <c r="BS239" s="239"/>
      <c r="BT239" s="239"/>
      <c r="BU239" s="239"/>
      <c r="BV239" s="239"/>
      <c r="BW239" s="239"/>
      <c r="BX239" s="239"/>
      <c r="BY239" s="239"/>
      <c r="BZ239" s="239"/>
      <c r="CA239" s="239"/>
      <c r="CB239" s="239"/>
      <c r="CC239" s="239"/>
      <c r="CD239" s="239"/>
      <c r="CE239" s="239"/>
    </row>
    <row r="240" spans="1:83" ht="12.95" customHeight="1">
      <c r="A240" s="21" t="s">
        <v>3456</v>
      </c>
      <c r="B240" s="21" t="s">
        <v>1914</v>
      </c>
      <c r="C240" s="51" t="s">
        <v>1010</v>
      </c>
      <c r="D240" s="52" t="s">
        <v>2260</v>
      </c>
      <c r="E240" s="52" t="s">
        <v>2261</v>
      </c>
      <c r="F240" s="53" t="s">
        <v>1303</v>
      </c>
      <c r="G240" s="179" t="s">
        <v>1573</v>
      </c>
      <c r="H240" s="180" t="s">
        <v>1010</v>
      </c>
      <c r="I240" s="55" t="s">
        <v>1429</v>
      </c>
      <c r="J240" s="55" t="s">
        <v>1429</v>
      </c>
      <c r="K240" s="56" t="s">
        <v>1429</v>
      </c>
      <c r="L240" s="54" t="s">
        <v>1580</v>
      </c>
      <c r="M240" s="55" t="s">
        <v>1590</v>
      </c>
      <c r="N240" s="55" t="s">
        <v>1429</v>
      </c>
      <c r="O240" s="55" t="s">
        <v>1429</v>
      </c>
      <c r="P240" s="56" t="s">
        <v>1429</v>
      </c>
      <c r="Q240" s="185" t="s">
        <v>1383</v>
      </c>
      <c r="R240" s="185" t="s">
        <v>113</v>
      </c>
      <c r="S240" s="185" t="s">
        <v>99</v>
      </c>
      <c r="T240" s="185" t="s">
        <v>100</v>
      </c>
      <c r="U240" s="185" t="s">
        <v>113</v>
      </c>
      <c r="V240" s="146" t="s">
        <v>2262</v>
      </c>
      <c r="W240" s="51" t="s">
        <v>2239</v>
      </c>
      <c r="X240" s="130" t="s">
        <v>2263</v>
      </c>
      <c r="Y240" s="130" t="s">
        <v>1429</v>
      </c>
      <c r="Z240" s="51" t="s">
        <v>1631</v>
      </c>
      <c r="AA240" s="51" t="s">
        <v>2250</v>
      </c>
      <c r="AB240" s="51" t="s">
        <v>1435</v>
      </c>
      <c r="AC240" s="51" t="s">
        <v>1587</v>
      </c>
      <c r="AD240" s="59" t="str">
        <f t="shared" si="49"/>
        <v>DP</v>
      </c>
      <c r="AE240" s="66"/>
      <c r="AF240" s="61" t="str">
        <f t="shared" si="46"/>
        <v>NORMAL</v>
      </c>
      <c r="AG240" s="61" t="str">
        <f t="shared" si="35"/>
        <v>TRISTATE</v>
      </c>
      <c r="AH240" s="61" t="str">
        <f t="shared" si="47"/>
        <v>ENABLE</v>
      </c>
      <c r="AI240" s="67" t="str">
        <f t="shared" si="37"/>
        <v>N/A</v>
      </c>
      <c r="AJ240" s="176" t="b">
        <v>1</v>
      </c>
      <c r="AK240" s="176" t="b">
        <v>1</v>
      </c>
      <c r="AL240" s="176" t="b">
        <v>1</v>
      </c>
      <c r="AM240" s="176" t="b">
        <v>1</v>
      </c>
      <c r="AN240" s="176" t="b">
        <v>1</v>
      </c>
      <c r="AO240" s="176" t="b">
        <v>1</v>
      </c>
      <c r="AP240" s="64" t="str">
        <f t="shared" si="48"/>
        <v>VALID</v>
      </c>
      <c r="AQ240" s="226" t="s">
        <v>1010</v>
      </c>
      <c r="AR240" s="182" t="s">
        <v>3496</v>
      </c>
      <c r="AS240" s="181"/>
      <c r="AT240" s="181" t="s">
        <v>3499</v>
      </c>
      <c r="AU240" s="219"/>
      <c r="AV240" s="181" t="s">
        <v>125</v>
      </c>
      <c r="AW240" s="181" t="s">
        <v>125</v>
      </c>
      <c r="AX240" s="287"/>
      <c r="AY240" s="181" t="s">
        <v>3505</v>
      </c>
      <c r="AZ240" s="181"/>
      <c r="BA240" s="13"/>
      <c r="BB240" s="220"/>
      <c r="BC240" s="11" t="s">
        <v>1010</v>
      </c>
      <c r="BD240" s="238"/>
      <c r="BE240" s="239"/>
      <c r="BF240" s="239"/>
      <c r="BG240" s="239"/>
      <c r="BH240" s="239"/>
      <c r="BI240" s="239"/>
      <c r="BJ240" s="239"/>
      <c r="BK240" s="239"/>
      <c r="BL240" s="239"/>
      <c r="BM240" s="239"/>
      <c r="BN240" s="239"/>
      <c r="BO240" s="239"/>
      <c r="BP240" s="239"/>
      <c r="BQ240" s="239"/>
      <c r="BR240" s="239"/>
      <c r="BS240" s="239"/>
      <c r="BT240" s="239"/>
      <c r="BU240" s="239"/>
      <c r="BV240" s="239"/>
      <c r="BW240" s="239"/>
      <c r="BX240" s="239"/>
      <c r="BY240" s="239"/>
      <c r="BZ240" s="239"/>
      <c r="CA240" s="239"/>
      <c r="CB240" s="239"/>
      <c r="CC240" s="239"/>
      <c r="CD240" s="239"/>
      <c r="CE240" s="239"/>
    </row>
    <row r="241" spans="1:83" ht="12.95" customHeight="1">
      <c r="A241" s="21" t="s">
        <v>1424</v>
      </c>
      <c r="B241" s="21" t="s">
        <v>2113</v>
      </c>
      <c r="C241" s="51" t="s">
        <v>1011</v>
      </c>
      <c r="D241" s="52" t="s">
        <v>2264</v>
      </c>
      <c r="E241" s="52" t="s">
        <v>2265</v>
      </c>
      <c r="F241" s="53" t="s">
        <v>1304</v>
      </c>
      <c r="G241" s="179" t="s">
        <v>1574</v>
      </c>
      <c r="H241" s="180" t="s">
        <v>1429</v>
      </c>
      <c r="I241" s="55"/>
      <c r="J241" s="55"/>
      <c r="K241" s="56" t="s">
        <v>1429</v>
      </c>
      <c r="L241" s="54" t="s">
        <v>1580</v>
      </c>
      <c r="M241" s="55" t="s">
        <v>1429</v>
      </c>
      <c r="N241" s="55" t="s">
        <v>1581</v>
      </c>
      <c r="O241" s="55" t="s">
        <v>1590</v>
      </c>
      <c r="P241" s="56" t="s">
        <v>1429</v>
      </c>
      <c r="Q241" s="6" t="s">
        <v>755</v>
      </c>
      <c r="R241" s="6" t="s">
        <v>1377</v>
      </c>
      <c r="S241" s="6" t="s">
        <v>55</v>
      </c>
      <c r="T241" s="6" t="s">
        <v>100</v>
      </c>
      <c r="U241" s="186" t="s">
        <v>755</v>
      </c>
      <c r="V241" s="146" t="s">
        <v>2266</v>
      </c>
      <c r="W241" s="51" t="s">
        <v>2239</v>
      </c>
      <c r="X241" s="130" t="s">
        <v>1429</v>
      </c>
      <c r="Y241" s="130" t="s">
        <v>1429</v>
      </c>
      <c r="Z241" s="51" t="s">
        <v>1585</v>
      </c>
      <c r="AA241" s="51" t="s">
        <v>2267</v>
      </c>
      <c r="AB241" s="51" t="s">
        <v>1435</v>
      </c>
      <c r="AC241" s="51" t="s">
        <v>1587</v>
      </c>
      <c r="AD241" s="59" t="str">
        <f t="shared" si="49"/>
        <v>GPIO_PP3</v>
      </c>
      <c r="AE241" s="66"/>
      <c r="AF241" s="61" t="str">
        <f>IF(AND(OR($AS241="Int PU",$AS241="Int PD"),OR(AND($AY241&lt;&gt;"",$AY241&lt;&gt;"0"),AND($AZ241&lt;&gt;"",$AZ241&lt;&gt;"0"))),"INVALID",IF(OR($AQ241=$F241,$AS241="Int PD"),"PULL_DOWN",IF(OR($AS241="Int PU",AND($AE241="YES",OR($AY241="",$AY241="0"),OR($AZ241="",$AZ241="0"),OR($AR241="Input",$AR241="Bidirectional"))),"PULL_UP","NORMAL")))</f>
        <v>NORMAL</v>
      </c>
      <c r="AG241" s="61" t="str">
        <f t="shared" si="35"/>
        <v>NORMAL</v>
      </c>
      <c r="AH241" s="61" t="str">
        <f>IF(OR($AQ241=$F241,$AR241="Output"),"DISABLE","ENABLE")</f>
        <v>DISABLE</v>
      </c>
      <c r="AI241" s="67" t="str">
        <f t="shared" si="37"/>
        <v>0</v>
      </c>
      <c r="AJ241" s="176" t="b">
        <v>1</v>
      </c>
      <c r="AK241" s="176" t="b">
        <v>1</v>
      </c>
      <c r="AL241" s="176" t="b">
        <v>1</v>
      </c>
      <c r="AM241" s="176" t="b">
        <v>1</v>
      </c>
      <c r="AN241" s="176" t="b">
        <v>1</v>
      </c>
      <c r="AO241" s="176" t="b">
        <v>1</v>
      </c>
      <c r="AP241" s="64" t="str">
        <f t="shared" si="48"/>
        <v>VALID</v>
      </c>
      <c r="AQ241" s="226" t="s">
        <v>1574</v>
      </c>
      <c r="AR241" s="164" t="s">
        <v>3495</v>
      </c>
      <c r="AS241" s="9" t="s">
        <v>3500</v>
      </c>
      <c r="AT241" s="5"/>
      <c r="AU241" s="219"/>
      <c r="AV241" s="219"/>
      <c r="AW241" s="181" t="s">
        <v>125</v>
      </c>
      <c r="AX241" s="287"/>
      <c r="AY241" s="9"/>
      <c r="AZ241" s="9"/>
      <c r="BA241" s="13"/>
      <c r="BB241" s="220"/>
      <c r="BC241" s="11" t="s">
        <v>69</v>
      </c>
      <c r="BD241" s="240"/>
      <c r="BE241" s="239"/>
      <c r="BF241" s="239"/>
      <c r="BG241" s="239"/>
      <c r="BH241" s="239"/>
      <c r="BI241" s="239"/>
      <c r="BJ241" s="239"/>
      <c r="BK241" s="239"/>
      <c r="BL241" s="239"/>
      <c r="BM241" s="239"/>
      <c r="BN241" s="239"/>
      <c r="BO241" s="239"/>
      <c r="BP241" s="239"/>
      <c r="BQ241" s="239"/>
      <c r="BR241" s="239"/>
      <c r="BS241" s="239"/>
      <c r="BT241" s="239"/>
      <c r="BU241" s="239"/>
      <c r="BV241" s="239"/>
      <c r="BW241" s="239"/>
      <c r="BX241" s="239"/>
      <c r="BY241" s="239"/>
      <c r="BZ241" s="239"/>
      <c r="CA241" s="239"/>
      <c r="CB241" s="239"/>
      <c r="CC241" s="239"/>
      <c r="CD241" s="239"/>
      <c r="CE241" s="239"/>
    </row>
    <row r="242" spans="1:83" ht="12.95" customHeight="1">
      <c r="A242" s="21" t="s">
        <v>1425</v>
      </c>
      <c r="B242" s="21" t="s">
        <v>2414</v>
      </c>
      <c r="C242" s="51" t="s">
        <v>1012</v>
      </c>
      <c r="D242" s="52" t="s">
        <v>2268</v>
      </c>
      <c r="E242" s="52" t="s">
        <v>2260</v>
      </c>
      <c r="F242" s="53" t="s">
        <v>1305</v>
      </c>
      <c r="G242" s="179" t="s">
        <v>1575</v>
      </c>
      <c r="H242" s="180" t="s">
        <v>1429</v>
      </c>
      <c r="I242" s="55"/>
      <c r="J242" s="55" t="s">
        <v>2269</v>
      </c>
      <c r="K242" s="56" t="s">
        <v>1429</v>
      </c>
      <c r="L242" s="54" t="s">
        <v>1580</v>
      </c>
      <c r="M242" s="55" t="s">
        <v>1429</v>
      </c>
      <c r="N242" s="55" t="s">
        <v>1590</v>
      </c>
      <c r="O242" s="55" t="s">
        <v>1590</v>
      </c>
      <c r="P242" s="56" t="s">
        <v>1429</v>
      </c>
      <c r="Q242" s="185" t="s">
        <v>755</v>
      </c>
      <c r="R242" s="185" t="s">
        <v>1377</v>
      </c>
      <c r="S242" s="185" t="s">
        <v>56</v>
      </c>
      <c r="T242" s="185" t="s">
        <v>100</v>
      </c>
      <c r="U242" s="185" t="s">
        <v>755</v>
      </c>
      <c r="V242" s="146" t="s">
        <v>2270</v>
      </c>
      <c r="W242" s="51" t="s">
        <v>2239</v>
      </c>
      <c r="X242" s="130" t="s">
        <v>1429</v>
      </c>
      <c r="Y242" s="130" t="s">
        <v>1429</v>
      </c>
      <c r="Z242" s="51" t="s">
        <v>1585</v>
      </c>
      <c r="AA242" s="51" t="s">
        <v>2267</v>
      </c>
      <c r="AB242" s="51" t="s">
        <v>1435</v>
      </c>
      <c r="AC242" s="51" t="s">
        <v>1587</v>
      </c>
      <c r="AD242" s="59" t="str">
        <f t="shared" si="49"/>
        <v>GPIO_PP4</v>
      </c>
      <c r="AE242" s="66"/>
      <c r="AF242" s="61" t="str">
        <f>IF(AND(OR($AS242="Int PU",$AS242="Int PD"),OR(AND($AY242&lt;&gt;"",$AY242&lt;&gt;"0"),AND($AZ242&lt;&gt;"",$AZ242&lt;&gt;"0"))),"INVALID",IF(OR($AQ242=$F242,$AS242="Int PD"),"PULL_DOWN",IF(OR($AS242="Int PU",AND($AE242="YES",OR($AY242="",$AY242="0"),OR($AZ242="",$AZ242="0"),OR($AR242="Input",$AR242="Bidirectional"))),"PULL_UP","NORMAL")))</f>
        <v>PULL_UP</v>
      </c>
      <c r="AG242" s="61" t="str">
        <f t="shared" si="35"/>
        <v>TRISTATE</v>
      </c>
      <c r="AH242" s="61" t="str">
        <f>IF(OR($AQ242=$F242,$AR242="Output"),"DISABLE","ENABLE")</f>
        <v>ENABLE</v>
      </c>
      <c r="AI242" s="67" t="str">
        <f t="shared" si="37"/>
        <v/>
      </c>
      <c r="AJ242" s="176" t="b">
        <v>1</v>
      </c>
      <c r="AK242" s="176" t="b">
        <v>1</v>
      </c>
      <c r="AL242" s="176" t="b">
        <v>1</v>
      </c>
      <c r="AM242" s="176" t="b">
        <v>1</v>
      </c>
      <c r="AN242" s="176" t="b">
        <v>1</v>
      </c>
      <c r="AO242" s="176" t="b">
        <v>1</v>
      </c>
      <c r="AP242" s="64" t="str">
        <f t="shared" si="48"/>
        <v>VALID</v>
      </c>
      <c r="AQ242" s="226" t="s">
        <v>1575</v>
      </c>
      <c r="AR242" s="182" t="s">
        <v>3496</v>
      </c>
      <c r="AS242" s="181" t="s">
        <v>3497</v>
      </c>
      <c r="AT242" s="5"/>
      <c r="AU242" s="5"/>
      <c r="AV242" s="5"/>
      <c r="AW242" s="181" t="s">
        <v>125</v>
      </c>
      <c r="AX242" s="284"/>
      <c r="AY242" s="181"/>
      <c r="AZ242" s="181"/>
      <c r="BA242" s="7"/>
      <c r="BB242" s="212"/>
      <c r="BC242" s="10" t="s">
        <v>69</v>
      </c>
      <c r="BD242" s="240"/>
      <c r="BE242" s="239"/>
      <c r="BF242" s="239"/>
      <c r="BG242" s="239"/>
      <c r="BH242" s="239"/>
      <c r="BI242" s="239"/>
      <c r="BJ242" s="239"/>
      <c r="BK242" s="239"/>
      <c r="BL242" s="239"/>
      <c r="BM242" s="239"/>
      <c r="BN242" s="239"/>
      <c r="BO242" s="239"/>
      <c r="BP242" s="239"/>
      <c r="BQ242" s="239"/>
      <c r="BR242" s="239"/>
      <c r="BS242" s="239"/>
      <c r="BT242" s="239"/>
      <c r="BU242" s="239"/>
      <c r="BV242" s="239"/>
      <c r="BW242" s="239"/>
      <c r="BX242" s="239"/>
      <c r="BY242" s="239"/>
      <c r="BZ242" s="239"/>
      <c r="CA242" s="239"/>
      <c r="CB242" s="239"/>
      <c r="CC242" s="239"/>
      <c r="CD242" s="239"/>
      <c r="CE242" s="239"/>
    </row>
    <row r="243" spans="1:83" ht="12.95" customHeight="1">
      <c r="A243" s="21" t="s">
        <v>3457</v>
      </c>
      <c r="B243" s="21" t="s">
        <v>2394</v>
      </c>
      <c r="C243" s="51" t="s">
        <v>1013</v>
      </c>
      <c r="D243" s="52" t="s">
        <v>84</v>
      </c>
      <c r="E243" s="52" t="s">
        <v>2271</v>
      </c>
      <c r="F243" s="53" t="s">
        <v>1306</v>
      </c>
      <c r="G243" s="179" t="s">
        <v>1576</v>
      </c>
      <c r="H243" s="180" t="s">
        <v>1429</v>
      </c>
      <c r="I243" s="55"/>
      <c r="J243" s="55"/>
      <c r="K243" s="56" t="s">
        <v>1429</v>
      </c>
      <c r="L243" s="54" t="s">
        <v>1580</v>
      </c>
      <c r="M243" s="55" t="s">
        <v>1429</v>
      </c>
      <c r="N243" s="55" t="s">
        <v>1581</v>
      </c>
      <c r="O243" s="55" t="s">
        <v>1590</v>
      </c>
      <c r="P243" s="56" t="s">
        <v>1429</v>
      </c>
      <c r="Q243" s="185" t="s">
        <v>755</v>
      </c>
      <c r="R243" s="185" t="s">
        <v>1377</v>
      </c>
      <c r="S243" s="185" t="s">
        <v>55</v>
      </c>
      <c r="T243" s="185" t="s">
        <v>100</v>
      </c>
      <c r="U243" s="185" t="s">
        <v>755</v>
      </c>
      <c r="V243" s="146" t="s">
        <v>2272</v>
      </c>
      <c r="W243" s="51" t="s">
        <v>2239</v>
      </c>
      <c r="X243" s="130" t="s">
        <v>2273</v>
      </c>
      <c r="Y243" s="130" t="s">
        <v>1429</v>
      </c>
      <c r="Z243" s="51" t="s">
        <v>1631</v>
      </c>
      <c r="AA243" s="51" t="s">
        <v>2250</v>
      </c>
      <c r="AB243" s="51" t="s">
        <v>1435</v>
      </c>
      <c r="AC243" s="51" t="s">
        <v>1587</v>
      </c>
      <c r="AD243" s="59" t="str">
        <f t="shared" si="49"/>
        <v>GPIO_PP5</v>
      </c>
      <c r="AE243" s="66"/>
      <c r="AF243" s="61" t="str">
        <f>IF(AND(OR($AS243="Int PU",$AS243="Int PD"),OR(AND($AY243&lt;&gt;"",$AY243&lt;&gt;"0"),AND($AZ243&lt;&gt;"",$AZ243&lt;&gt;"0"))),"INVALID",IF(OR($AQ243=$F243,$AS243="Int PD"),"PULL_DOWN",IF(OR($AS243="Int PU",AND($AE243="YES",OR($AY243="",$AY243="0"),OR($AZ243="",$AZ243="0"),OR($AR243="Input",$AR243="Bidirectional"))),"PULL_UP","NORMAL")))</f>
        <v>PULL_UP</v>
      </c>
      <c r="AG243" s="61" t="str">
        <f t="shared" si="35"/>
        <v>TRISTATE</v>
      </c>
      <c r="AH243" s="61" t="str">
        <f>IF(OR($AQ243=$F243,$AR243="Output"),"DISABLE","ENABLE")</f>
        <v>ENABLE</v>
      </c>
      <c r="AI243" s="67" t="str">
        <f t="shared" si="37"/>
        <v/>
      </c>
      <c r="AJ243" s="176" t="b">
        <v>1</v>
      </c>
      <c r="AK243" s="176" t="b">
        <v>1</v>
      </c>
      <c r="AL243" s="176" t="b">
        <v>1</v>
      </c>
      <c r="AM243" s="176" t="b">
        <v>1</v>
      </c>
      <c r="AN243" s="176" t="b">
        <v>1</v>
      </c>
      <c r="AO243" s="176" t="b">
        <v>1</v>
      </c>
      <c r="AP243" s="64" t="str">
        <f t="shared" si="48"/>
        <v>VALID</v>
      </c>
      <c r="AQ243" s="226" t="s">
        <v>1576</v>
      </c>
      <c r="AR243" s="182" t="s">
        <v>3496</v>
      </c>
      <c r="AS243" s="181" t="s">
        <v>3497</v>
      </c>
      <c r="AT243" s="181" t="s">
        <v>3499</v>
      </c>
      <c r="AU243" s="5"/>
      <c r="AV243" s="181" t="s">
        <v>125</v>
      </c>
      <c r="AW243" s="181" t="s">
        <v>125</v>
      </c>
      <c r="AX243" s="284"/>
      <c r="AY243" s="181"/>
      <c r="AZ243" s="181"/>
      <c r="BA243" s="7"/>
      <c r="BB243" s="212"/>
      <c r="BC243" s="10" t="s">
        <v>3550</v>
      </c>
      <c r="BD243" s="240"/>
      <c r="BE243" s="239"/>
      <c r="BF243" s="239"/>
      <c r="BG243" s="239"/>
      <c r="BH243" s="239"/>
      <c r="BI243" s="239"/>
      <c r="BJ243" s="239"/>
      <c r="BK243" s="239"/>
      <c r="BL243" s="239"/>
      <c r="BM243" s="239"/>
      <c r="BN243" s="239"/>
      <c r="BO243" s="239"/>
      <c r="BP243" s="239"/>
      <c r="BQ243" s="239"/>
      <c r="BR243" s="239"/>
      <c r="BS243" s="239"/>
      <c r="BT243" s="239"/>
      <c r="BU243" s="239"/>
      <c r="BV243" s="239"/>
      <c r="BW243" s="239"/>
      <c r="BX243" s="239"/>
      <c r="BY243" s="239"/>
      <c r="BZ243" s="239"/>
      <c r="CA243" s="239"/>
      <c r="CB243" s="239"/>
      <c r="CC243" s="239"/>
      <c r="CD243" s="239"/>
      <c r="CE243" s="239"/>
    </row>
    <row r="244" spans="1:83" ht="12.95" customHeight="1">
      <c r="A244" s="21" t="s">
        <v>1426</v>
      </c>
      <c r="B244" s="21" t="s">
        <v>3620</v>
      </c>
      <c r="C244" s="51" t="s">
        <v>1014</v>
      </c>
      <c r="D244" s="52" t="s">
        <v>2274</v>
      </c>
      <c r="E244" s="52" t="s">
        <v>2275</v>
      </c>
      <c r="F244" s="53" t="s">
        <v>1307</v>
      </c>
      <c r="G244" s="179" t="s">
        <v>1577</v>
      </c>
      <c r="H244" s="180" t="s">
        <v>1429</v>
      </c>
      <c r="I244" s="55"/>
      <c r="J244" s="55" t="s">
        <v>2276</v>
      </c>
      <c r="K244" s="56" t="s">
        <v>1429</v>
      </c>
      <c r="L244" s="54" t="s">
        <v>1580</v>
      </c>
      <c r="M244" s="55" t="s">
        <v>1429</v>
      </c>
      <c r="N244" s="55" t="s">
        <v>1590</v>
      </c>
      <c r="O244" s="55" t="s">
        <v>1590</v>
      </c>
      <c r="P244" s="56" t="s">
        <v>1429</v>
      </c>
      <c r="Q244" s="6" t="s">
        <v>755</v>
      </c>
      <c r="R244" s="6" t="s">
        <v>1377</v>
      </c>
      <c r="S244" s="6" t="s">
        <v>56</v>
      </c>
      <c r="T244" s="6" t="s">
        <v>100</v>
      </c>
      <c r="U244" s="186" t="s">
        <v>755</v>
      </c>
      <c r="V244" s="146" t="s">
        <v>2277</v>
      </c>
      <c r="W244" s="51" t="s">
        <v>2239</v>
      </c>
      <c r="X244" s="130" t="s">
        <v>1429</v>
      </c>
      <c r="Y244" s="130" t="s">
        <v>1429</v>
      </c>
      <c r="Z244" s="51" t="s">
        <v>1585</v>
      </c>
      <c r="AA244" s="51" t="s">
        <v>2267</v>
      </c>
      <c r="AB244" s="51" t="s">
        <v>1435</v>
      </c>
      <c r="AC244" s="51" t="s">
        <v>1587</v>
      </c>
      <c r="AD244" s="59" t="str">
        <f t="shared" si="49"/>
        <v>GPIO_PP6</v>
      </c>
      <c r="AE244" s="66"/>
      <c r="AF244" s="61" t="str">
        <f>IF(AND(OR($AS244="Int PU",$AS244="Int PD"),OR(AND($AY244&lt;&gt;"",$AY244&lt;&gt;"0"),AND($AZ244&lt;&gt;"",$AZ244&lt;&gt;"0"))),"INVALID",IF(OR($AQ244=$F244,$AS244="Int PD"),"PULL_DOWN",IF(OR($AS244="Int PU",AND($AE244="YES",OR($AY244="",$AY244="0"),OR($AZ244="",$AZ244="0"),OR($AR244="Input",$AR244="Bidirectional"))),"PULL_UP","NORMAL")))</f>
        <v>NORMAL</v>
      </c>
      <c r="AG244" s="61" t="str">
        <f t="shared" si="35"/>
        <v>NORMAL</v>
      </c>
      <c r="AH244" s="61" t="str">
        <f>IF(OR($AQ244=$F244,$AR244="Output"),"DISABLE","ENABLE")</f>
        <v>DISABLE</v>
      </c>
      <c r="AI244" s="67" t="str">
        <f t="shared" si="37"/>
        <v>0</v>
      </c>
      <c r="AJ244" s="176" t="b">
        <v>1</v>
      </c>
      <c r="AK244" s="176" t="b">
        <v>1</v>
      </c>
      <c r="AL244" s="176" t="b">
        <v>1</v>
      </c>
      <c r="AM244" s="176" t="b">
        <v>1</v>
      </c>
      <c r="AN244" s="176" t="b">
        <v>1</v>
      </c>
      <c r="AO244" s="176" t="b">
        <v>1</v>
      </c>
      <c r="AP244" s="64" t="str">
        <f t="shared" si="48"/>
        <v>VALID</v>
      </c>
      <c r="AQ244" s="227" t="s">
        <v>1577</v>
      </c>
      <c r="AR244" s="164" t="s">
        <v>3495</v>
      </c>
      <c r="AS244" s="9" t="s">
        <v>3500</v>
      </c>
      <c r="AT244" s="5"/>
      <c r="AU244" s="219"/>
      <c r="AV244" s="5"/>
      <c r="AW244" s="181" t="s">
        <v>125</v>
      </c>
      <c r="AX244" s="284"/>
      <c r="AY244" s="9"/>
      <c r="AZ244" s="9"/>
      <c r="BA244" s="13"/>
      <c r="BB244" s="220"/>
      <c r="BC244" s="11" t="s">
        <v>3549</v>
      </c>
      <c r="BD244" s="240"/>
      <c r="BE244" s="239"/>
      <c r="BF244" s="239"/>
      <c r="BG244" s="239"/>
      <c r="BH244" s="239"/>
      <c r="BI244" s="239"/>
      <c r="BJ244" s="239"/>
      <c r="BK244" s="239"/>
      <c r="BL244" s="239"/>
      <c r="BM244" s="239"/>
      <c r="BN244" s="239"/>
      <c r="BO244" s="239"/>
      <c r="BP244" s="239"/>
      <c r="BQ244" s="239"/>
      <c r="BR244" s="239"/>
      <c r="BS244" s="239"/>
      <c r="BT244" s="239"/>
      <c r="BU244" s="239"/>
      <c r="BV244" s="239"/>
      <c r="BW244" s="239"/>
      <c r="BX244" s="239"/>
      <c r="BY244" s="239"/>
      <c r="BZ244" s="239"/>
      <c r="CA244" s="239"/>
      <c r="CB244" s="239"/>
      <c r="CC244" s="239"/>
      <c r="CD244" s="239"/>
      <c r="CE244" s="239"/>
    </row>
    <row r="245" spans="1:83" s="94" customFormat="1" ht="18" customHeight="1">
      <c r="A245" s="88" t="s">
        <v>1050</v>
      </c>
      <c r="B245" s="88"/>
      <c r="C245" s="88"/>
      <c r="D245" s="89"/>
      <c r="E245" s="89"/>
      <c r="F245" s="89"/>
      <c r="G245" s="90"/>
      <c r="H245" s="90"/>
      <c r="I245" s="90"/>
      <c r="J245" s="90"/>
      <c r="K245" s="90"/>
      <c r="L245" s="89"/>
      <c r="M245" s="89"/>
      <c r="N245" s="89"/>
      <c r="O245" s="89"/>
      <c r="P245" s="89"/>
      <c r="Q245" s="89"/>
      <c r="R245" s="89"/>
      <c r="S245" s="89"/>
      <c r="T245" s="89"/>
      <c r="U245" s="89"/>
      <c r="V245" s="89"/>
      <c r="W245" s="89"/>
      <c r="X245" s="134"/>
      <c r="Y245" s="134"/>
      <c r="Z245" s="91"/>
      <c r="AA245" s="91"/>
      <c r="AB245" s="91"/>
      <c r="AC245" s="91"/>
      <c r="AD245" s="91"/>
      <c r="AE245" s="91"/>
      <c r="AF245" s="91"/>
      <c r="AG245" s="91"/>
      <c r="AH245" s="91"/>
      <c r="AI245" s="91"/>
      <c r="AJ245" s="47"/>
      <c r="AK245" s="91"/>
      <c r="AL245" s="91"/>
      <c r="AM245" s="91"/>
      <c r="AN245" s="91"/>
      <c r="AO245" s="91"/>
      <c r="AP245" s="91"/>
      <c r="AQ245" s="251"/>
      <c r="AR245" s="251"/>
      <c r="AS245" s="252"/>
      <c r="AT245" s="252"/>
      <c r="AU245" s="252"/>
      <c r="AV245" s="252"/>
      <c r="AW245" s="252"/>
      <c r="AX245" s="291"/>
      <c r="AY245" s="252"/>
      <c r="AZ245" s="252"/>
      <c r="BA245" s="252"/>
      <c r="BB245" s="168" t="s">
        <v>49</v>
      </c>
      <c r="BC245" s="253"/>
      <c r="BD245" s="253"/>
      <c r="BE245" s="254"/>
      <c r="BF245" s="254"/>
      <c r="BG245" s="254"/>
      <c r="BH245" s="254"/>
      <c r="BI245" s="254"/>
      <c r="BJ245" s="254"/>
      <c r="BK245" s="254"/>
      <c r="BL245" s="254"/>
      <c r="BM245" s="254"/>
      <c r="BN245" s="254"/>
      <c r="BO245" s="254"/>
      <c r="BP245" s="254"/>
      <c r="BQ245" s="254"/>
      <c r="BR245" s="254"/>
      <c r="BS245" s="254"/>
      <c r="BT245" s="254"/>
      <c r="BU245" s="254"/>
      <c r="BV245" s="254"/>
      <c r="BW245" s="254"/>
      <c r="BX245" s="254"/>
      <c r="BY245" s="254"/>
      <c r="BZ245" s="254"/>
      <c r="CA245" s="254"/>
      <c r="CB245" s="254"/>
      <c r="CC245" s="254"/>
      <c r="CD245" s="254"/>
      <c r="CE245" s="254"/>
    </row>
    <row r="246" spans="1:83" s="84" customFormat="1" ht="12.95" customHeight="1">
      <c r="A246" s="84" t="s">
        <v>3812</v>
      </c>
      <c r="B246" s="84" t="s">
        <v>2307</v>
      </c>
      <c r="C246" s="79" t="s">
        <v>1051</v>
      </c>
      <c r="D246" s="52" t="s">
        <v>2278</v>
      </c>
      <c r="E246" s="52" t="s">
        <v>2279</v>
      </c>
      <c r="F246" s="53" t="s">
        <v>1349</v>
      </c>
      <c r="G246" s="179" t="s">
        <v>2280</v>
      </c>
      <c r="H246" s="180"/>
      <c r="I246" s="55" t="s">
        <v>1429</v>
      </c>
      <c r="J246" s="55" t="s">
        <v>1429</v>
      </c>
      <c r="K246" s="56" t="s">
        <v>1429</v>
      </c>
      <c r="L246" s="54" t="s">
        <v>1580</v>
      </c>
      <c r="M246" s="55" t="s">
        <v>1581</v>
      </c>
      <c r="N246" s="55" t="s">
        <v>1429</v>
      </c>
      <c r="O246" s="55" t="s">
        <v>1429</v>
      </c>
      <c r="P246" s="56" t="s">
        <v>1429</v>
      </c>
      <c r="Q246" s="52" t="s">
        <v>1378</v>
      </c>
      <c r="R246" s="52" t="s">
        <v>113</v>
      </c>
      <c r="S246" s="52" t="s">
        <v>99</v>
      </c>
      <c r="T246" s="52" t="s">
        <v>100</v>
      </c>
      <c r="U246" s="57" t="s">
        <v>113</v>
      </c>
      <c r="V246" s="146" t="s">
        <v>2281</v>
      </c>
      <c r="W246" s="51" t="s">
        <v>2282</v>
      </c>
      <c r="X246" s="130" t="s">
        <v>1429</v>
      </c>
      <c r="Y246" s="130" t="s">
        <v>1429</v>
      </c>
      <c r="Z246" s="51" t="s">
        <v>3984</v>
      </c>
      <c r="AA246" s="51" t="s">
        <v>2283</v>
      </c>
      <c r="AB246" s="51" t="s">
        <v>3982</v>
      </c>
      <c r="AC246" s="51" t="s">
        <v>3983</v>
      </c>
      <c r="AD246" s="59" t="str">
        <f>IF(OR($AQ246="",$AQ246=$F246),$U246,IF($AQ246=$G246,SUBSTITUTE(SUBSTITUTE($AQ246,"GPIO3_","GPIO_"),".0",""),IF($AQ246=$H246,$Q246,IF($AQ246=$I246,$R246,IF($AQ246=$J246,$S246,IF($AQ246=$K246,$T246,"INVALID"))))))</f>
        <v>GPIO_PBB0</v>
      </c>
      <c r="AE246" s="66"/>
      <c r="AF246" s="61" t="str">
        <f>IF(AND(OR($AS246="Int PU",$AS246="Int PD"),OR(AND($AY246&lt;&gt;"",$AY246&lt;&gt;"0"),AND($AZ246&lt;&gt;"",$AZ246&lt;&gt;"0"))),"INVALID",IF(OR($AQ246=$F246,$AS246="Int PD"),"PULL_DOWN",IF(OR($AS246="Int PU",AND($AE246="YES",OR($AY246="",$AY246="0"),OR($AZ246="",$AZ246="0"),OR($AR246="Input",$AR246="Bidirectional"))),"PULL_UP","NORMAL")))</f>
        <v>PULL_UP</v>
      </c>
      <c r="AG246" s="61" t="str">
        <f t="shared" si="35"/>
        <v>TRISTATE</v>
      </c>
      <c r="AH246" s="61" t="str">
        <f>IF(OR($AQ246=$F246,$AR246="Output"),"DISABLE","ENABLE")</f>
        <v>ENABLE</v>
      </c>
      <c r="AI246" s="67" t="str">
        <f t="shared" si="37"/>
        <v/>
      </c>
      <c r="AJ246" s="176" t="b">
        <v>1</v>
      </c>
      <c r="AK246" s="176" t="b">
        <v>1</v>
      </c>
      <c r="AL246" s="176" t="b">
        <v>1</v>
      </c>
      <c r="AM246" s="176" t="b">
        <v>1</v>
      </c>
      <c r="AN246" s="176" t="b">
        <v>1</v>
      </c>
      <c r="AO246" s="176" t="b">
        <v>1</v>
      </c>
      <c r="AP246" s="64" t="str">
        <f t="shared" si="48"/>
        <v>VALID</v>
      </c>
      <c r="AQ246" s="227" t="s">
        <v>2280</v>
      </c>
      <c r="AR246" s="182" t="s">
        <v>3496</v>
      </c>
      <c r="AS246" s="181" t="s">
        <v>3497</v>
      </c>
      <c r="AT246" s="181" t="s">
        <v>3499</v>
      </c>
      <c r="AU246" s="5"/>
      <c r="AV246" s="181" t="s">
        <v>125</v>
      </c>
      <c r="AW246" s="219"/>
      <c r="AX246" s="287"/>
      <c r="AY246" s="181"/>
      <c r="AZ246" s="181"/>
      <c r="BA246" s="7"/>
      <c r="BB246" s="212"/>
      <c r="BC246" s="10" t="s">
        <v>3763</v>
      </c>
      <c r="BD246" s="240"/>
      <c r="BE246" s="249"/>
      <c r="BF246" s="249"/>
      <c r="BG246" s="249"/>
      <c r="BH246" s="249"/>
      <c r="BI246" s="249"/>
      <c r="BJ246" s="249"/>
      <c r="BK246" s="249"/>
      <c r="BL246" s="249"/>
      <c r="BM246" s="249"/>
      <c r="BN246" s="249"/>
      <c r="BO246" s="249"/>
      <c r="BP246" s="249"/>
      <c r="BQ246" s="249"/>
      <c r="BR246" s="249"/>
      <c r="BS246" s="249"/>
      <c r="BT246" s="249"/>
      <c r="BU246" s="249"/>
      <c r="BV246" s="249"/>
      <c r="BW246" s="249"/>
      <c r="BX246" s="249"/>
      <c r="BY246" s="249"/>
      <c r="BZ246" s="249"/>
      <c r="CA246" s="249"/>
      <c r="CB246" s="249"/>
      <c r="CC246" s="249"/>
      <c r="CD246" s="249"/>
      <c r="CE246" s="249"/>
    </row>
    <row r="247" spans="1:83" s="84" customFormat="1" ht="12.95" customHeight="1">
      <c r="A247" s="84" t="s">
        <v>3813</v>
      </c>
      <c r="B247" s="84" t="s">
        <v>2309</v>
      </c>
      <c r="C247" s="79" t="s">
        <v>1052</v>
      </c>
      <c r="D247" s="52" t="s">
        <v>1778</v>
      </c>
      <c r="E247" s="52" t="s">
        <v>2284</v>
      </c>
      <c r="F247" s="53" t="s">
        <v>1350</v>
      </c>
      <c r="G247" s="179" t="s">
        <v>2285</v>
      </c>
      <c r="H247" s="180"/>
      <c r="I247" s="55" t="s">
        <v>1429</v>
      </c>
      <c r="J247" s="55" t="s">
        <v>1429</v>
      </c>
      <c r="K247" s="56" t="s">
        <v>1429</v>
      </c>
      <c r="L247" s="54" t="s">
        <v>1580</v>
      </c>
      <c r="M247" s="55" t="s">
        <v>1581</v>
      </c>
      <c r="N247" s="55" t="s">
        <v>1429</v>
      </c>
      <c r="O247" s="55" t="s">
        <v>1429</v>
      </c>
      <c r="P247" s="56" t="s">
        <v>1429</v>
      </c>
      <c r="Q247" s="52" t="s">
        <v>1378</v>
      </c>
      <c r="R247" s="52" t="s">
        <v>113</v>
      </c>
      <c r="S247" s="52" t="s">
        <v>99</v>
      </c>
      <c r="T247" s="52" t="s">
        <v>100</v>
      </c>
      <c r="U247" s="57" t="s">
        <v>113</v>
      </c>
      <c r="V247" s="146" t="s">
        <v>2286</v>
      </c>
      <c r="W247" s="51" t="s">
        <v>2282</v>
      </c>
      <c r="X247" s="130" t="s">
        <v>1429</v>
      </c>
      <c r="Y247" s="130" t="s">
        <v>1429</v>
      </c>
      <c r="Z247" s="51" t="s">
        <v>2208</v>
      </c>
      <c r="AA247" s="51" t="s">
        <v>2283</v>
      </c>
      <c r="AB247" s="51" t="s">
        <v>3665</v>
      </c>
      <c r="AC247" s="51">
        <v>0</v>
      </c>
      <c r="AD247" s="59" t="str">
        <f>IF(OR($AQ247="",$AQ247=$F247),$U247,IF($AQ247=$G247,SUBSTITUTE(SUBSTITUTE($AQ247,"GPIO3_","GPIO_"),".0",""),IF($AQ247=$H247,$Q247,IF($AQ247=$I247,$R247,IF($AQ247=$J247,$S247,IF($AQ247=$K247,$T247,"INVALID"))))))</f>
        <v>GPIO_PBB1</v>
      </c>
      <c r="AE247" s="66"/>
      <c r="AF247" s="61" t="str">
        <f>IF(AND(OR($AS247="Int PU",$AS247="Int PD"),OR(AND($AY247&lt;&gt;"",$AY247&lt;&gt;"0"),AND($AZ247&lt;&gt;"",$AZ247&lt;&gt;"0"))),"INVALID",IF(OR($AQ247=$F247,$AS247="Int PD"),"PULL_DOWN",IF(OR($AS247="Int PU",AND($AE247="YES",OR($AY247="",$AY247="0"),OR($AZ247="",$AZ247="0"),OR($AR247="Input",$AR247="Bidirectional"))),"PULL_UP","NORMAL")))</f>
        <v>NORMAL</v>
      </c>
      <c r="AG247" s="61" t="str">
        <f t="shared" si="35"/>
        <v>NORMAL</v>
      </c>
      <c r="AH247" s="61" t="str">
        <f>IF(OR($AQ247=$F247,$AR247="Output"),"DISABLE","ENABLE")</f>
        <v>DISABLE</v>
      </c>
      <c r="AI247" s="67" t="str">
        <f t="shared" si="37"/>
        <v>0</v>
      </c>
      <c r="AJ247" s="176" t="b">
        <v>1</v>
      </c>
      <c r="AK247" s="176" t="b">
        <v>1</v>
      </c>
      <c r="AL247" s="176" t="b">
        <v>1</v>
      </c>
      <c r="AM247" s="176" t="b">
        <v>1</v>
      </c>
      <c r="AN247" s="176" t="b">
        <v>1</v>
      </c>
      <c r="AO247" s="176" t="b">
        <v>1</v>
      </c>
      <c r="AP247" s="64" t="str">
        <f t="shared" si="48"/>
        <v>VALID</v>
      </c>
      <c r="AQ247" s="227" t="s">
        <v>2285</v>
      </c>
      <c r="AR247" s="182" t="s">
        <v>3495</v>
      </c>
      <c r="AS247" s="181" t="s">
        <v>3500</v>
      </c>
      <c r="AT247" s="5"/>
      <c r="AU247" s="5"/>
      <c r="AV247" s="219"/>
      <c r="AW247" s="219"/>
      <c r="AX247" s="287"/>
      <c r="AY247" s="181"/>
      <c r="AZ247" s="181"/>
      <c r="BA247" s="7"/>
      <c r="BB247" s="212"/>
      <c r="BC247" s="10" t="s">
        <v>3764</v>
      </c>
      <c r="BD247" s="240"/>
      <c r="BE247" s="249"/>
      <c r="BF247" s="249"/>
      <c r="BG247" s="249"/>
      <c r="BH247" s="249"/>
      <c r="BI247" s="249"/>
      <c r="BJ247" s="249"/>
      <c r="BK247" s="249"/>
      <c r="BL247" s="249"/>
      <c r="BM247" s="249"/>
      <c r="BN247" s="249"/>
      <c r="BO247" s="249"/>
      <c r="BP247" s="249"/>
      <c r="BQ247" s="249"/>
      <c r="BR247" s="249"/>
      <c r="BS247" s="249"/>
      <c r="BT247" s="249"/>
      <c r="BU247" s="249"/>
      <c r="BV247" s="249"/>
      <c r="BW247" s="249"/>
      <c r="BX247" s="249"/>
      <c r="BY247" s="249"/>
      <c r="BZ247" s="249"/>
      <c r="CA247" s="249"/>
      <c r="CB247" s="249"/>
      <c r="CC247" s="249"/>
      <c r="CD247" s="249"/>
      <c r="CE247" s="249"/>
    </row>
    <row r="248" spans="1:83" s="94" customFormat="1" ht="14.25">
      <c r="A248" s="88" t="s">
        <v>170</v>
      </c>
      <c r="B248" s="88"/>
      <c r="C248" s="88"/>
      <c r="D248" s="89"/>
      <c r="E248" s="89"/>
      <c r="F248" s="89"/>
      <c r="G248" s="90"/>
      <c r="H248" s="90"/>
      <c r="I248" s="90"/>
      <c r="J248" s="90"/>
      <c r="K248" s="90"/>
      <c r="L248" s="89"/>
      <c r="M248" s="89"/>
      <c r="N248" s="89"/>
      <c r="O248" s="89"/>
      <c r="P248" s="89"/>
      <c r="Q248" s="89"/>
      <c r="R248" s="89"/>
      <c r="S248" s="89"/>
      <c r="T248" s="89"/>
      <c r="U248" s="89"/>
      <c r="V248" s="89"/>
      <c r="W248" s="89"/>
      <c r="X248" s="134"/>
      <c r="Y248" s="134"/>
      <c r="Z248" s="91"/>
      <c r="AA248" s="91"/>
      <c r="AB248" s="91"/>
      <c r="AC248" s="91"/>
      <c r="AD248" s="91"/>
      <c r="AE248" s="91"/>
      <c r="AF248" s="91"/>
      <c r="AG248" s="91"/>
      <c r="AH248" s="91"/>
      <c r="AI248" s="91"/>
      <c r="AJ248" s="91"/>
      <c r="AK248" s="91"/>
      <c r="AL248" s="91"/>
      <c r="AM248" s="91"/>
      <c r="AN248" s="91"/>
      <c r="AO248" s="91"/>
      <c r="AP248" s="91"/>
      <c r="AQ248" s="251"/>
      <c r="AR248" s="251"/>
      <c r="AS248" s="252"/>
      <c r="AT248" s="252"/>
      <c r="AU248" s="252"/>
      <c r="AV248" s="252"/>
      <c r="AW248" s="252"/>
      <c r="AX248" s="291"/>
      <c r="AY248" s="252"/>
      <c r="AZ248" s="252"/>
      <c r="BA248" s="252"/>
      <c r="BB248" s="252"/>
      <c r="BC248" s="252"/>
      <c r="BD248" s="253"/>
      <c r="BE248" s="309"/>
      <c r="BF248" s="254"/>
      <c r="BG248" s="254"/>
      <c r="BH248" s="254"/>
      <c r="BI248" s="254"/>
      <c r="BJ248" s="254"/>
      <c r="BK248" s="254"/>
      <c r="BL248" s="254"/>
      <c r="BM248" s="254"/>
      <c r="BN248" s="254"/>
      <c r="BO248" s="254"/>
      <c r="BP248" s="254"/>
      <c r="BQ248" s="254"/>
      <c r="BR248" s="254"/>
      <c r="BS248" s="254"/>
      <c r="BT248" s="254"/>
      <c r="BU248" s="254"/>
      <c r="BV248" s="254"/>
      <c r="BW248" s="254"/>
      <c r="BX248" s="254"/>
      <c r="BY248" s="254"/>
      <c r="BZ248" s="254"/>
      <c r="CA248" s="254"/>
      <c r="CB248" s="254"/>
      <c r="CC248" s="254"/>
      <c r="CD248" s="254"/>
      <c r="CE248" s="254"/>
    </row>
    <row r="249" spans="1:83" s="94" customFormat="1" ht="18" customHeight="1">
      <c r="A249" s="88" t="s">
        <v>171</v>
      </c>
      <c r="B249" s="88"/>
      <c r="C249" s="88"/>
      <c r="D249" s="89"/>
      <c r="E249" s="89"/>
      <c r="F249" s="89"/>
      <c r="G249" s="90"/>
      <c r="H249" s="90"/>
      <c r="I249" s="90"/>
      <c r="J249" s="90"/>
      <c r="K249" s="90"/>
      <c r="L249" s="89"/>
      <c r="M249" s="89"/>
      <c r="N249" s="89"/>
      <c r="O249" s="89"/>
      <c r="P249" s="89"/>
      <c r="Q249" s="89"/>
      <c r="R249" s="89"/>
      <c r="S249" s="89"/>
      <c r="T249" s="89"/>
      <c r="U249" s="89"/>
      <c r="V249" s="89"/>
      <c r="W249" s="89"/>
      <c r="X249" s="134"/>
      <c r="Y249" s="134"/>
      <c r="Z249" s="91"/>
      <c r="AA249" s="91"/>
      <c r="AB249" s="91"/>
      <c r="AC249" s="91"/>
      <c r="AD249" s="91"/>
      <c r="AE249" s="91"/>
      <c r="AF249" s="91"/>
      <c r="AG249" s="91"/>
      <c r="AH249" s="91"/>
      <c r="AI249" s="91"/>
      <c r="AJ249" s="91"/>
      <c r="AK249" s="91"/>
      <c r="AL249" s="91"/>
      <c r="AM249" s="91"/>
      <c r="AN249" s="91"/>
      <c r="AO249" s="91"/>
      <c r="AP249" s="91"/>
      <c r="AQ249" s="251"/>
      <c r="AR249" s="251"/>
      <c r="AS249" s="252"/>
      <c r="AT249" s="252"/>
      <c r="AU249" s="252"/>
      <c r="AV249" s="252"/>
      <c r="AW249" s="252"/>
      <c r="AX249" s="291"/>
      <c r="AY249" s="252"/>
      <c r="AZ249" s="252"/>
      <c r="BA249" s="252"/>
      <c r="BB249" s="168" t="s">
        <v>286</v>
      </c>
      <c r="BC249" s="252"/>
      <c r="BD249" s="253"/>
      <c r="BE249" s="309"/>
      <c r="BF249" s="254"/>
      <c r="BG249" s="254"/>
      <c r="BH249" s="254"/>
      <c r="BI249" s="254"/>
      <c r="BJ249" s="254"/>
      <c r="BK249" s="254"/>
      <c r="BL249" s="254"/>
      <c r="BM249" s="254"/>
      <c r="BN249" s="254"/>
      <c r="BO249" s="254"/>
      <c r="BP249" s="254"/>
      <c r="BQ249" s="254"/>
      <c r="BR249" s="254"/>
      <c r="BS249" s="254"/>
      <c r="BT249" s="254"/>
      <c r="BU249" s="254"/>
      <c r="BV249" s="254"/>
      <c r="BW249" s="254"/>
      <c r="BX249" s="254"/>
      <c r="BY249" s="254"/>
      <c r="BZ249" s="254"/>
      <c r="CA249" s="254"/>
      <c r="CB249" s="254"/>
      <c r="CC249" s="254"/>
      <c r="CD249" s="254"/>
      <c r="CE249" s="254"/>
    </row>
    <row r="250" spans="1:83" s="84" customFormat="1" ht="12.95" customHeight="1">
      <c r="A250" s="84" t="s">
        <v>3360</v>
      </c>
      <c r="B250" s="84" t="s">
        <v>3612</v>
      </c>
      <c r="C250" s="79" t="s">
        <v>200</v>
      </c>
      <c r="D250" s="52" t="s">
        <v>2287</v>
      </c>
      <c r="E250" s="52" t="s">
        <v>2288</v>
      </c>
      <c r="F250" s="53" t="s">
        <v>201</v>
      </c>
      <c r="G250" s="179" t="s">
        <v>1429</v>
      </c>
      <c r="H250" s="180" t="s">
        <v>200</v>
      </c>
      <c r="I250" s="55" t="s">
        <v>1429</v>
      </c>
      <c r="J250" s="55" t="s">
        <v>1429</v>
      </c>
      <c r="K250" s="56" t="s">
        <v>1429</v>
      </c>
      <c r="L250" s="54" t="s">
        <v>1429</v>
      </c>
      <c r="M250" s="55" t="s">
        <v>1581</v>
      </c>
      <c r="N250" s="55" t="s">
        <v>1429</v>
      </c>
      <c r="O250" s="55" t="s">
        <v>1429</v>
      </c>
      <c r="P250" s="56" t="s">
        <v>1429</v>
      </c>
      <c r="Q250" s="85"/>
      <c r="R250" s="85"/>
      <c r="S250" s="85"/>
      <c r="T250" s="85"/>
      <c r="U250" s="85"/>
      <c r="V250" s="146" t="s">
        <v>2289</v>
      </c>
      <c r="W250" s="51" t="s">
        <v>2290</v>
      </c>
      <c r="X250" s="130" t="s">
        <v>1429</v>
      </c>
      <c r="Y250" s="130" t="s">
        <v>1429</v>
      </c>
      <c r="Z250" s="51"/>
      <c r="AA250" s="51" t="s">
        <v>2291</v>
      </c>
      <c r="AB250" s="51"/>
      <c r="AC250" s="145" t="s">
        <v>1429</v>
      </c>
      <c r="AD250" s="98"/>
      <c r="AE250" s="83"/>
      <c r="AF250" s="83"/>
      <c r="AG250" s="83"/>
      <c r="AH250" s="86"/>
      <c r="AI250" s="86"/>
      <c r="AJ250" s="87"/>
      <c r="AK250" s="87"/>
      <c r="AL250" s="87"/>
      <c r="AM250" s="87"/>
      <c r="AN250" s="87"/>
      <c r="AO250" s="87"/>
      <c r="AP250" s="87"/>
      <c r="AQ250" s="255" t="s">
        <v>200</v>
      </c>
      <c r="AR250" s="5"/>
      <c r="AS250" s="5"/>
      <c r="AT250" s="5"/>
      <c r="AU250" s="5"/>
      <c r="AV250" s="5"/>
      <c r="AW250" s="5"/>
      <c r="AX250" s="284"/>
      <c r="AY250" s="5"/>
      <c r="AZ250" s="5"/>
      <c r="BA250" s="230"/>
      <c r="BB250" s="5"/>
      <c r="BC250" s="232" t="s">
        <v>200</v>
      </c>
      <c r="BD250" s="256"/>
      <c r="BE250" s="249"/>
      <c r="BF250" s="249"/>
      <c r="BG250" s="249"/>
      <c r="BH250" s="249"/>
      <c r="BI250" s="249"/>
      <c r="BJ250" s="249"/>
      <c r="BK250" s="249"/>
      <c r="BL250" s="249"/>
      <c r="BM250" s="249"/>
      <c r="BN250" s="249"/>
      <c r="BO250" s="249"/>
      <c r="BP250" s="249"/>
      <c r="BQ250" s="249"/>
      <c r="BR250" s="249"/>
      <c r="BS250" s="249"/>
      <c r="BT250" s="249"/>
      <c r="BU250" s="249"/>
      <c r="BV250" s="249"/>
      <c r="BW250" s="249"/>
      <c r="BX250" s="249"/>
      <c r="BY250" s="249"/>
      <c r="BZ250" s="249"/>
      <c r="CA250" s="249"/>
      <c r="CB250" s="249"/>
      <c r="CC250" s="249"/>
      <c r="CD250" s="249"/>
      <c r="CE250" s="249"/>
    </row>
    <row r="251" spans="1:83" s="84" customFormat="1" ht="12.95" customHeight="1">
      <c r="A251" s="84" t="s">
        <v>3361</v>
      </c>
      <c r="B251" s="84" t="s">
        <v>3613</v>
      </c>
      <c r="C251" s="79" t="s">
        <v>202</v>
      </c>
      <c r="D251" s="52" t="s">
        <v>2292</v>
      </c>
      <c r="E251" s="52" t="s">
        <v>2293</v>
      </c>
      <c r="F251" s="53" t="s">
        <v>203</v>
      </c>
      <c r="G251" s="179" t="s">
        <v>1429</v>
      </c>
      <c r="H251" s="180" t="s">
        <v>202</v>
      </c>
      <c r="I251" s="55" t="s">
        <v>1429</v>
      </c>
      <c r="J251" s="55" t="s">
        <v>1429</v>
      </c>
      <c r="K251" s="56" t="s">
        <v>1429</v>
      </c>
      <c r="L251" s="54" t="s">
        <v>1429</v>
      </c>
      <c r="M251" s="55" t="s">
        <v>1581</v>
      </c>
      <c r="N251" s="55" t="s">
        <v>1429</v>
      </c>
      <c r="O251" s="55" t="s">
        <v>1429</v>
      </c>
      <c r="P251" s="56" t="s">
        <v>1429</v>
      </c>
      <c r="Q251" s="85"/>
      <c r="R251" s="85"/>
      <c r="S251" s="85"/>
      <c r="T251" s="85"/>
      <c r="U251" s="85"/>
      <c r="V251" s="146" t="s">
        <v>2294</v>
      </c>
      <c r="W251" s="51" t="s">
        <v>2290</v>
      </c>
      <c r="X251" s="130" t="s">
        <v>1429</v>
      </c>
      <c r="Y251" s="130" t="s">
        <v>1429</v>
      </c>
      <c r="Z251" s="51"/>
      <c r="AA251" s="51" t="s">
        <v>2291</v>
      </c>
      <c r="AB251" s="51"/>
      <c r="AC251" s="146" t="s">
        <v>1429</v>
      </c>
      <c r="AD251" s="98"/>
      <c r="AE251" s="83"/>
      <c r="AF251" s="83"/>
      <c r="AG251" s="83"/>
      <c r="AH251" s="86"/>
      <c r="AI251" s="86"/>
      <c r="AJ251" s="87"/>
      <c r="AK251" s="87"/>
      <c r="AL251" s="87"/>
      <c r="AM251" s="87"/>
      <c r="AN251" s="87"/>
      <c r="AO251" s="87"/>
      <c r="AP251" s="87"/>
      <c r="AQ251" s="229" t="s">
        <v>202</v>
      </c>
      <c r="AR251" s="5"/>
      <c r="AS251" s="5"/>
      <c r="AT251" s="5"/>
      <c r="AU251" s="5"/>
      <c r="AV251" s="5"/>
      <c r="AW251" s="5"/>
      <c r="AX251" s="284"/>
      <c r="AY251" s="5"/>
      <c r="AZ251" s="5"/>
      <c r="BA251" s="230"/>
      <c r="BB251" s="5"/>
      <c r="BC251" s="232" t="s">
        <v>202</v>
      </c>
      <c r="BD251" s="257"/>
      <c r="BE251" s="249"/>
      <c r="BF251" s="249"/>
      <c r="BG251" s="249"/>
      <c r="BH251" s="249"/>
      <c r="BI251" s="249"/>
      <c r="BJ251" s="249"/>
      <c r="BK251" s="249"/>
      <c r="BL251" s="249"/>
      <c r="BM251" s="249"/>
      <c r="BN251" s="249"/>
      <c r="BO251" s="249"/>
      <c r="BP251" s="249"/>
      <c r="BQ251" s="249"/>
      <c r="BR251" s="249"/>
      <c r="BS251" s="249"/>
      <c r="BT251" s="249"/>
      <c r="BU251" s="249"/>
      <c r="BV251" s="249"/>
      <c r="BW251" s="249"/>
      <c r="BX251" s="249"/>
      <c r="BY251" s="249"/>
      <c r="BZ251" s="249"/>
      <c r="CA251" s="249"/>
      <c r="CB251" s="249"/>
      <c r="CC251" s="249"/>
      <c r="CD251" s="249"/>
      <c r="CE251" s="249"/>
    </row>
    <row r="252" spans="1:83" s="84" customFormat="1" ht="12.95" customHeight="1">
      <c r="A252" s="84" t="s">
        <v>3362</v>
      </c>
      <c r="B252" s="84" t="s">
        <v>1609</v>
      </c>
      <c r="C252" s="79" t="s">
        <v>204</v>
      </c>
      <c r="D252" s="52" t="s">
        <v>2295</v>
      </c>
      <c r="E252" s="52" t="s">
        <v>2296</v>
      </c>
      <c r="F252" s="53" t="s">
        <v>205</v>
      </c>
      <c r="G252" s="179" t="s">
        <v>1429</v>
      </c>
      <c r="H252" s="180" t="s">
        <v>204</v>
      </c>
      <c r="I252" s="55" t="s">
        <v>1429</v>
      </c>
      <c r="J252" s="55" t="s">
        <v>1429</v>
      </c>
      <c r="K252" s="56" t="s">
        <v>1429</v>
      </c>
      <c r="L252" s="54" t="s">
        <v>1429</v>
      </c>
      <c r="M252" s="55" t="s">
        <v>1581</v>
      </c>
      <c r="N252" s="55" t="s">
        <v>1429</v>
      </c>
      <c r="O252" s="55" t="s">
        <v>1429</v>
      </c>
      <c r="P252" s="56" t="s">
        <v>1429</v>
      </c>
      <c r="Q252" s="85"/>
      <c r="R252" s="85"/>
      <c r="S252" s="85"/>
      <c r="T252" s="85"/>
      <c r="U252" s="85"/>
      <c r="V252" s="146" t="s">
        <v>2297</v>
      </c>
      <c r="W252" s="51" t="s">
        <v>2290</v>
      </c>
      <c r="X252" s="130" t="s">
        <v>1429</v>
      </c>
      <c r="Y252" s="130" t="s">
        <v>1429</v>
      </c>
      <c r="Z252" s="51"/>
      <c r="AA252" s="51" t="s">
        <v>2291</v>
      </c>
      <c r="AB252" s="51"/>
      <c r="AC252" s="146" t="s">
        <v>1429</v>
      </c>
      <c r="AD252" s="98"/>
      <c r="AE252" s="83"/>
      <c r="AF252" s="83"/>
      <c r="AG252" s="83"/>
      <c r="AH252" s="86"/>
      <c r="AI252" s="86"/>
      <c r="AJ252" s="87"/>
      <c r="AK252" s="87"/>
      <c r="AL252" s="87"/>
      <c r="AM252" s="87"/>
      <c r="AN252" s="87"/>
      <c r="AO252" s="87"/>
      <c r="AP252" s="87"/>
      <c r="AQ252" s="229" t="s">
        <v>204</v>
      </c>
      <c r="AR252" s="5"/>
      <c r="AS252" s="5"/>
      <c r="AT252" s="5"/>
      <c r="AU252" s="5"/>
      <c r="AV252" s="5"/>
      <c r="AW252" s="5"/>
      <c r="AX252" s="284"/>
      <c r="AY252" s="5"/>
      <c r="AZ252" s="5"/>
      <c r="BA252" s="230"/>
      <c r="BB252" s="5"/>
      <c r="BC252" s="232" t="s">
        <v>204</v>
      </c>
      <c r="BD252" s="257"/>
      <c r="BE252" s="249"/>
      <c r="BF252" s="249"/>
      <c r="BG252" s="249"/>
      <c r="BH252" s="249"/>
      <c r="BI252" s="249"/>
      <c r="BJ252" s="249"/>
      <c r="BK252" s="249"/>
      <c r="BL252" s="249"/>
      <c r="BM252" s="249"/>
      <c r="BN252" s="249"/>
      <c r="BO252" s="249"/>
      <c r="BP252" s="249"/>
      <c r="BQ252" s="249"/>
      <c r="BR252" s="249"/>
      <c r="BS252" s="249"/>
      <c r="BT252" s="249"/>
      <c r="BU252" s="249"/>
      <c r="BV252" s="249"/>
      <c r="BW252" s="249"/>
      <c r="BX252" s="249"/>
      <c r="BY252" s="249"/>
      <c r="BZ252" s="249"/>
      <c r="CA252" s="249"/>
      <c r="CB252" s="249"/>
      <c r="CC252" s="249"/>
      <c r="CD252" s="249"/>
      <c r="CE252" s="249"/>
    </row>
    <row r="253" spans="1:83" s="84" customFormat="1" ht="12.95" customHeight="1">
      <c r="A253" s="84" t="s">
        <v>3363</v>
      </c>
      <c r="B253" s="84" t="s">
        <v>1605</v>
      </c>
      <c r="C253" s="79" t="s">
        <v>206</v>
      </c>
      <c r="D253" s="52" t="s">
        <v>2298</v>
      </c>
      <c r="E253" s="52" t="s">
        <v>2299</v>
      </c>
      <c r="F253" s="53" t="s">
        <v>207</v>
      </c>
      <c r="G253" s="179" t="s">
        <v>1429</v>
      </c>
      <c r="H253" s="180" t="s">
        <v>206</v>
      </c>
      <c r="I253" s="55" t="s">
        <v>1429</v>
      </c>
      <c r="J253" s="55" t="s">
        <v>1429</v>
      </c>
      <c r="K253" s="56" t="s">
        <v>1429</v>
      </c>
      <c r="L253" s="54" t="s">
        <v>1429</v>
      </c>
      <c r="M253" s="55" t="s">
        <v>1581</v>
      </c>
      <c r="N253" s="55" t="s">
        <v>1429</v>
      </c>
      <c r="O253" s="55" t="s">
        <v>1429</v>
      </c>
      <c r="P253" s="56" t="s">
        <v>1429</v>
      </c>
      <c r="Q253" s="85"/>
      <c r="R253" s="85"/>
      <c r="S253" s="85"/>
      <c r="T253" s="85"/>
      <c r="U253" s="85"/>
      <c r="V253" s="146" t="s">
        <v>2300</v>
      </c>
      <c r="W253" s="51" t="s">
        <v>2290</v>
      </c>
      <c r="X253" s="130" t="s">
        <v>1429</v>
      </c>
      <c r="Y253" s="130" t="s">
        <v>1429</v>
      </c>
      <c r="Z253" s="51"/>
      <c r="AA253" s="51" t="s">
        <v>2291</v>
      </c>
      <c r="AB253" s="51"/>
      <c r="AC253" s="146" t="s">
        <v>1429</v>
      </c>
      <c r="AD253" s="98"/>
      <c r="AE253" s="83"/>
      <c r="AF253" s="83"/>
      <c r="AG253" s="83"/>
      <c r="AH253" s="86"/>
      <c r="AI253" s="86"/>
      <c r="AJ253" s="87"/>
      <c r="AK253" s="87"/>
      <c r="AL253" s="87"/>
      <c r="AM253" s="87"/>
      <c r="AN253" s="87"/>
      <c r="AO253" s="87"/>
      <c r="AP253" s="87"/>
      <c r="AQ253" s="229" t="s">
        <v>206</v>
      </c>
      <c r="AR253" s="5"/>
      <c r="AS253" s="5"/>
      <c r="AT253" s="5"/>
      <c r="AU253" s="5"/>
      <c r="AV253" s="5"/>
      <c r="AW253" s="5"/>
      <c r="AX253" s="284"/>
      <c r="AY253" s="5"/>
      <c r="AZ253" s="5"/>
      <c r="BA253" s="230"/>
      <c r="BB253" s="5"/>
      <c r="BC253" s="232" t="s">
        <v>206</v>
      </c>
      <c r="BD253" s="257"/>
      <c r="BE253" s="249"/>
      <c r="BF253" s="249"/>
      <c r="BG253" s="249"/>
      <c r="BH253" s="249"/>
      <c r="BI253" s="249"/>
      <c r="BJ253" s="249"/>
      <c r="BK253" s="249"/>
      <c r="BL253" s="249"/>
      <c r="BM253" s="249"/>
      <c r="BN253" s="249"/>
      <c r="BO253" s="249"/>
      <c r="BP253" s="249"/>
      <c r="BQ253" s="249"/>
      <c r="BR253" s="249"/>
      <c r="BS253" s="249"/>
      <c r="BT253" s="249"/>
      <c r="BU253" s="249"/>
      <c r="BV253" s="249"/>
      <c r="BW253" s="249"/>
      <c r="BX253" s="249"/>
      <c r="BY253" s="249"/>
      <c r="BZ253" s="249"/>
      <c r="CA253" s="249"/>
      <c r="CB253" s="249"/>
      <c r="CC253" s="249"/>
      <c r="CD253" s="249"/>
      <c r="CE253" s="249"/>
    </row>
    <row r="254" spans="1:83" s="84" customFormat="1" ht="12.95" customHeight="1">
      <c r="A254" s="84" t="s">
        <v>3364</v>
      </c>
      <c r="B254" s="84" t="s">
        <v>3791</v>
      </c>
      <c r="C254" s="79" t="s">
        <v>208</v>
      </c>
      <c r="D254" s="52" t="s">
        <v>2301</v>
      </c>
      <c r="E254" s="52" t="s">
        <v>2302</v>
      </c>
      <c r="F254" s="53" t="s">
        <v>209</v>
      </c>
      <c r="G254" s="179" t="s">
        <v>1429</v>
      </c>
      <c r="H254" s="180" t="s">
        <v>208</v>
      </c>
      <c r="I254" s="55" t="s">
        <v>1429</v>
      </c>
      <c r="J254" s="55" t="s">
        <v>1429</v>
      </c>
      <c r="K254" s="56" t="s">
        <v>1429</v>
      </c>
      <c r="L254" s="54" t="s">
        <v>1429</v>
      </c>
      <c r="M254" s="55" t="s">
        <v>1581</v>
      </c>
      <c r="N254" s="55" t="s">
        <v>1429</v>
      </c>
      <c r="O254" s="55" t="s">
        <v>1429</v>
      </c>
      <c r="P254" s="56" t="s">
        <v>1429</v>
      </c>
      <c r="Q254" s="85"/>
      <c r="R254" s="85"/>
      <c r="S254" s="85"/>
      <c r="T254" s="85"/>
      <c r="U254" s="85"/>
      <c r="V254" s="146" t="s">
        <v>2303</v>
      </c>
      <c r="W254" s="51" t="s">
        <v>2290</v>
      </c>
      <c r="X254" s="130" t="s">
        <v>1429</v>
      </c>
      <c r="Y254" s="130" t="s">
        <v>1429</v>
      </c>
      <c r="Z254" s="51"/>
      <c r="AA254" s="51" t="s">
        <v>2291</v>
      </c>
      <c r="AB254" s="51"/>
      <c r="AC254" s="146" t="s">
        <v>1429</v>
      </c>
      <c r="AD254" s="98"/>
      <c r="AE254" s="83"/>
      <c r="AF254" s="83"/>
      <c r="AG254" s="83"/>
      <c r="AH254" s="86"/>
      <c r="AI254" s="86"/>
      <c r="AJ254" s="87"/>
      <c r="AK254" s="87"/>
      <c r="AL254" s="87"/>
      <c r="AM254" s="87"/>
      <c r="AN254" s="87"/>
      <c r="AO254" s="87"/>
      <c r="AP254" s="87"/>
      <c r="AQ254" s="229" t="s">
        <v>208</v>
      </c>
      <c r="AR254" s="5"/>
      <c r="AS254" s="5"/>
      <c r="AT254" s="5"/>
      <c r="AU254" s="5"/>
      <c r="AV254" s="5"/>
      <c r="AW254" s="5"/>
      <c r="AX254" s="284"/>
      <c r="AY254" s="5"/>
      <c r="AZ254" s="5"/>
      <c r="BA254" s="230"/>
      <c r="BB254" s="5"/>
      <c r="BC254" s="232" t="s">
        <v>208</v>
      </c>
      <c r="BD254" s="257"/>
      <c r="BE254" s="249"/>
      <c r="BF254" s="249"/>
      <c r="BG254" s="249"/>
      <c r="BH254" s="249"/>
      <c r="BI254" s="249"/>
      <c r="BJ254" s="249"/>
      <c r="BK254" s="249"/>
      <c r="BL254" s="249"/>
      <c r="BM254" s="249"/>
      <c r="BN254" s="249"/>
      <c r="BO254" s="249"/>
      <c r="BP254" s="249"/>
      <c r="BQ254" s="249"/>
      <c r="BR254" s="249"/>
      <c r="BS254" s="249"/>
      <c r="BT254" s="249"/>
      <c r="BU254" s="249"/>
      <c r="BV254" s="249"/>
      <c r="BW254" s="249"/>
      <c r="BX254" s="249"/>
      <c r="BY254" s="249"/>
      <c r="BZ254" s="249"/>
      <c r="CA254" s="249"/>
      <c r="CB254" s="249"/>
      <c r="CC254" s="249"/>
      <c r="CD254" s="249"/>
      <c r="CE254" s="249"/>
    </row>
    <row r="255" spans="1:83" s="84" customFormat="1" ht="12.95" customHeight="1">
      <c r="A255" s="84" t="s">
        <v>3365</v>
      </c>
      <c r="B255" s="84" t="s">
        <v>3629</v>
      </c>
      <c r="C255" s="79" t="s">
        <v>210</v>
      </c>
      <c r="D255" s="52" t="s">
        <v>2304</v>
      </c>
      <c r="E255" s="52" t="s">
        <v>2305</v>
      </c>
      <c r="F255" s="53" t="s">
        <v>211</v>
      </c>
      <c r="G255" s="179" t="s">
        <v>1429</v>
      </c>
      <c r="H255" s="180" t="s">
        <v>210</v>
      </c>
      <c r="I255" s="55" t="s">
        <v>1429</v>
      </c>
      <c r="J255" s="55" t="s">
        <v>1429</v>
      </c>
      <c r="K255" s="56" t="s">
        <v>1429</v>
      </c>
      <c r="L255" s="54" t="s">
        <v>1429</v>
      </c>
      <c r="M255" s="55" t="s">
        <v>1581</v>
      </c>
      <c r="N255" s="55" t="s">
        <v>1429</v>
      </c>
      <c r="O255" s="55" t="s">
        <v>1429</v>
      </c>
      <c r="P255" s="56" t="s">
        <v>1429</v>
      </c>
      <c r="Q255" s="85"/>
      <c r="R255" s="85"/>
      <c r="S255" s="85"/>
      <c r="T255" s="85"/>
      <c r="U255" s="85"/>
      <c r="V255" s="146" t="s">
        <v>2306</v>
      </c>
      <c r="W255" s="51" t="s">
        <v>2290</v>
      </c>
      <c r="X255" s="130" t="s">
        <v>1429</v>
      </c>
      <c r="Y255" s="130" t="s">
        <v>1429</v>
      </c>
      <c r="Z255" s="51"/>
      <c r="AA255" s="51" t="s">
        <v>2291</v>
      </c>
      <c r="AB255" s="51"/>
      <c r="AC255" s="146" t="s">
        <v>1429</v>
      </c>
      <c r="AD255" s="98"/>
      <c r="AE255" s="83"/>
      <c r="AF255" s="83"/>
      <c r="AG255" s="83"/>
      <c r="AH255" s="86"/>
      <c r="AI255" s="86"/>
      <c r="AJ255" s="87"/>
      <c r="AK255" s="87"/>
      <c r="AL255" s="87"/>
      <c r="AM255" s="87"/>
      <c r="AN255" s="87"/>
      <c r="AO255" s="87"/>
      <c r="AP255" s="87"/>
      <c r="AQ255" s="229" t="s">
        <v>210</v>
      </c>
      <c r="AR255" s="5"/>
      <c r="AS255" s="5"/>
      <c r="AT255" s="5"/>
      <c r="AU255" s="5"/>
      <c r="AV255" s="5"/>
      <c r="AW255" s="5"/>
      <c r="AX255" s="284"/>
      <c r="AY255" s="5"/>
      <c r="AZ255" s="5"/>
      <c r="BA255" s="230"/>
      <c r="BB255" s="5"/>
      <c r="BC255" s="232" t="s">
        <v>210</v>
      </c>
      <c r="BD255" s="257"/>
      <c r="BE255" s="249"/>
      <c r="BF255" s="249"/>
      <c r="BG255" s="249"/>
      <c r="BH255" s="249"/>
      <c r="BI255" s="249"/>
      <c r="BJ255" s="249"/>
      <c r="BK255" s="249"/>
      <c r="BL255" s="249"/>
      <c r="BM255" s="249"/>
      <c r="BN255" s="249"/>
      <c r="BO255" s="249"/>
      <c r="BP255" s="249"/>
      <c r="BQ255" s="249"/>
      <c r="BR255" s="249"/>
      <c r="BS255" s="249"/>
      <c r="BT255" s="249"/>
      <c r="BU255" s="249"/>
      <c r="BV255" s="249"/>
      <c r="BW255" s="249"/>
      <c r="BX255" s="249"/>
      <c r="BY255" s="249"/>
      <c r="BZ255" s="249"/>
      <c r="CA255" s="249"/>
      <c r="CB255" s="249"/>
      <c r="CC255" s="249"/>
      <c r="CD255" s="249"/>
      <c r="CE255" s="249"/>
    </row>
    <row r="256" spans="1:83" s="84" customFormat="1" ht="12.95" customHeight="1">
      <c r="A256" s="84" t="s">
        <v>3366</v>
      </c>
      <c r="B256" s="84" t="s">
        <v>1922</v>
      </c>
      <c r="C256" s="79" t="s">
        <v>287</v>
      </c>
      <c r="D256" s="52" t="s">
        <v>2307</v>
      </c>
      <c r="E256" s="52" t="s">
        <v>2295</v>
      </c>
      <c r="F256" s="53" t="s">
        <v>561</v>
      </c>
      <c r="G256" s="179" t="s">
        <v>1429</v>
      </c>
      <c r="H256" s="180" t="s">
        <v>287</v>
      </c>
      <c r="I256" s="55" t="s">
        <v>1429</v>
      </c>
      <c r="J256" s="55" t="s">
        <v>1429</v>
      </c>
      <c r="K256" s="56" t="s">
        <v>1429</v>
      </c>
      <c r="L256" s="54" t="s">
        <v>1429</v>
      </c>
      <c r="M256" s="55" t="s">
        <v>1581</v>
      </c>
      <c r="N256" s="55" t="s">
        <v>1429</v>
      </c>
      <c r="O256" s="55" t="s">
        <v>1429</v>
      </c>
      <c r="P256" s="56" t="s">
        <v>1429</v>
      </c>
      <c r="Q256" s="85"/>
      <c r="R256" s="85"/>
      <c r="S256" s="85"/>
      <c r="T256" s="85"/>
      <c r="U256" s="85"/>
      <c r="V256" s="146" t="s">
        <v>2308</v>
      </c>
      <c r="W256" s="51" t="s">
        <v>2290</v>
      </c>
      <c r="X256" s="130" t="s">
        <v>1429</v>
      </c>
      <c r="Y256" s="130" t="s">
        <v>1429</v>
      </c>
      <c r="Z256" s="51"/>
      <c r="AA256" s="51" t="s">
        <v>2291</v>
      </c>
      <c r="AB256" s="51"/>
      <c r="AC256" s="146" t="s">
        <v>1429</v>
      </c>
      <c r="AD256" s="98"/>
      <c r="AE256" s="83"/>
      <c r="AF256" s="83"/>
      <c r="AG256" s="83"/>
      <c r="AH256" s="86"/>
      <c r="AI256" s="86"/>
      <c r="AJ256" s="87"/>
      <c r="AK256" s="87"/>
      <c r="AL256" s="87"/>
      <c r="AM256" s="87"/>
      <c r="AN256" s="87"/>
      <c r="AO256" s="87"/>
      <c r="AP256" s="87"/>
      <c r="AQ256" s="255" t="s">
        <v>287</v>
      </c>
      <c r="AR256" s="5"/>
      <c r="AS256" s="5"/>
      <c r="AT256" s="5"/>
      <c r="AU256" s="5"/>
      <c r="AV256" s="5"/>
      <c r="AW256" s="5"/>
      <c r="AX256" s="284"/>
      <c r="AY256" s="5"/>
      <c r="AZ256" s="5"/>
      <c r="BA256" s="230"/>
      <c r="BB256" s="5"/>
      <c r="BC256" s="232" t="s">
        <v>287</v>
      </c>
      <c r="BD256" s="257"/>
      <c r="BE256" s="249"/>
      <c r="BF256" s="249"/>
      <c r="BG256" s="249"/>
      <c r="BH256" s="249"/>
      <c r="BI256" s="249"/>
      <c r="BJ256" s="249"/>
      <c r="BK256" s="249"/>
      <c r="BL256" s="249"/>
      <c r="BM256" s="249"/>
      <c r="BN256" s="249"/>
      <c r="BO256" s="249"/>
      <c r="BP256" s="249"/>
      <c r="BQ256" s="249"/>
      <c r="BR256" s="249"/>
      <c r="BS256" s="249"/>
      <c r="BT256" s="249"/>
      <c r="BU256" s="249"/>
      <c r="BV256" s="249"/>
      <c r="BW256" s="249"/>
      <c r="BX256" s="249"/>
      <c r="BY256" s="249"/>
      <c r="BZ256" s="249"/>
      <c r="CA256" s="249"/>
      <c r="CB256" s="249"/>
      <c r="CC256" s="249"/>
      <c r="CD256" s="249"/>
      <c r="CE256" s="249"/>
    </row>
    <row r="257" spans="1:83" s="84" customFormat="1" ht="12.95" customHeight="1">
      <c r="A257" s="84" t="s">
        <v>3367</v>
      </c>
      <c r="B257" s="84" t="s">
        <v>1634</v>
      </c>
      <c r="C257" s="79" t="s">
        <v>288</v>
      </c>
      <c r="D257" s="52" t="s">
        <v>2309</v>
      </c>
      <c r="E257" s="52" t="s">
        <v>2292</v>
      </c>
      <c r="F257" s="53" t="s">
        <v>562</v>
      </c>
      <c r="G257" s="179" t="s">
        <v>1429</v>
      </c>
      <c r="H257" s="180" t="s">
        <v>288</v>
      </c>
      <c r="I257" s="55" t="s">
        <v>1429</v>
      </c>
      <c r="J257" s="55" t="s">
        <v>1429</v>
      </c>
      <c r="K257" s="56" t="s">
        <v>1429</v>
      </c>
      <c r="L257" s="54" t="s">
        <v>1429</v>
      </c>
      <c r="M257" s="55" t="s">
        <v>1581</v>
      </c>
      <c r="N257" s="55" t="s">
        <v>1429</v>
      </c>
      <c r="O257" s="55" t="s">
        <v>1429</v>
      </c>
      <c r="P257" s="56" t="s">
        <v>1429</v>
      </c>
      <c r="Q257" s="85"/>
      <c r="R257" s="85"/>
      <c r="S257" s="85"/>
      <c r="T257" s="85"/>
      <c r="U257" s="85"/>
      <c r="V257" s="146" t="s">
        <v>2310</v>
      </c>
      <c r="W257" s="51" t="s">
        <v>2290</v>
      </c>
      <c r="X257" s="130" t="s">
        <v>1429</v>
      </c>
      <c r="Y257" s="130" t="s">
        <v>1429</v>
      </c>
      <c r="Z257" s="51"/>
      <c r="AA257" s="51" t="s">
        <v>2291</v>
      </c>
      <c r="AB257" s="51"/>
      <c r="AC257" s="146" t="s">
        <v>1429</v>
      </c>
      <c r="AD257" s="98"/>
      <c r="AE257" s="83"/>
      <c r="AF257" s="83"/>
      <c r="AG257" s="83"/>
      <c r="AH257" s="86"/>
      <c r="AI257" s="86"/>
      <c r="AJ257" s="87"/>
      <c r="AK257" s="87"/>
      <c r="AL257" s="87"/>
      <c r="AM257" s="87"/>
      <c r="AN257" s="87"/>
      <c r="AO257" s="87"/>
      <c r="AP257" s="87"/>
      <c r="AQ257" s="229" t="s">
        <v>288</v>
      </c>
      <c r="AR257" s="5"/>
      <c r="AS257" s="5"/>
      <c r="AT257" s="5"/>
      <c r="AU257" s="5"/>
      <c r="AV257" s="5"/>
      <c r="AW257" s="5"/>
      <c r="AX257" s="284"/>
      <c r="AY257" s="5"/>
      <c r="AZ257" s="5"/>
      <c r="BA257" s="230"/>
      <c r="BB257" s="5"/>
      <c r="BC257" s="232" t="s">
        <v>288</v>
      </c>
      <c r="BD257" s="257"/>
      <c r="BE257" s="249"/>
      <c r="BF257" s="249"/>
      <c r="BG257" s="249"/>
      <c r="BH257" s="249"/>
      <c r="BI257" s="249"/>
      <c r="BJ257" s="249"/>
      <c r="BK257" s="249"/>
      <c r="BL257" s="249"/>
      <c r="BM257" s="249"/>
      <c r="BN257" s="249"/>
      <c r="BO257" s="249"/>
      <c r="BP257" s="249"/>
      <c r="BQ257" s="249"/>
      <c r="BR257" s="249"/>
      <c r="BS257" s="249"/>
      <c r="BT257" s="249"/>
      <c r="BU257" s="249"/>
      <c r="BV257" s="249"/>
      <c r="BW257" s="249"/>
      <c r="BX257" s="249"/>
      <c r="BY257" s="249"/>
      <c r="BZ257" s="249"/>
      <c r="CA257" s="249"/>
      <c r="CB257" s="249"/>
      <c r="CC257" s="249"/>
      <c r="CD257" s="249"/>
      <c r="CE257" s="249"/>
    </row>
    <row r="258" spans="1:83" s="84" customFormat="1" ht="12.95" customHeight="1">
      <c r="A258" s="84" t="s">
        <v>3368</v>
      </c>
      <c r="B258" s="84" t="s">
        <v>1612</v>
      </c>
      <c r="C258" s="79" t="s">
        <v>212</v>
      </c>
      <c r="D258" s="52" t="s">
        <v>2311</v>
      </c>
      <c r="E258" s="52" t="s">
        <v>2298</v>
      </c>
      <c r="F258" s="53" t="s">
        <v>213</v>
      </c>
      <c r="G258" s="179" t="s">
        <v>1429</v>
      </c>
      <c r="H258" s="180" t="s">
        <v>212</v>
      </c>
      <c r="I258" s="55" t="s">
        <v>1429</v>
      </c>
      <c r="J258" s="55" t="s">
        <v>1429</v>
      </c>
      <c r="K258" s="56" t="s">
        <v>1429</v>
      </c>
      <c r="L258" s="54" t="s">
        <v>1429</v>
      </c>
      <c r="M258" s="55" t="s">
        <v>1581</v>
      </c>
      <c r="N258" s="55" t="s">
        <v>1429</v>
      </c>
      <c r="O258" s="55" t="s">
        <v>1429</v>
      </c>
      <c r="P258" s="56" t="s">
        <v>1429</v>
      </c>
      <c r="Q258" s="85"/>
      <c r="R258" s="85"/>
      <c r="S258" s="85"/>
      <c r="T258" s="85"/>
      <c r="U258" s="85"/>
      <c r="V258" s="146" t="s">
        <v>2312</v>
      </c>
      <c r="W258" s="51" t="s">
        <v>2290</v>
      </c>
      <c r="X258" s="130" t="s">
        <v>1429</v>
      </c>
      <c r="Y258" s="130" t="s">
        <v>1429</v>
      </c>
      <c r="Z258" s="51"/>
      <c r="AA258" s="51" t="s">
        <v>2291</v>
      </c>
      <c r="AB258" s="51"/>
      <c r="AC258" s="146" t="s">
        <v>1429</v>
      </c>
      <c r="AD258" s="98"/>
      <c r="AE258" s="83"/>
      <c r="AF258" s="83"/>
      <c r="AG258" s="83"/>
      <c r="AH258" s="86"/>
      <c r="AI258" s="86"/>
      <c r="AJ258" s="87"/>
      <c r="AK258" s="87"/>
      <c r="AL258" s="87"/>
      <c r="AM258" s="87"/>
      <c r="AN258" s="87"/>
      <c r="AO258" s="87"/>
      <c r="AP258" s="87"/>
      <c r="AQ258" s="229" t="s">
        <v>212</v>
      </c>
      <c r="AR258" s="5"/>
      <c r="AS258" s="5"/>
      <c r="AT258" s="5"/>
      <c r="AU258" s="5"/>
      <c r="AV258" s="5"/>
      <c r="AW258" s="5"/>
      <c r="AX258" s="284"/>
      <c r="AY258" s="5"/>
      <c r="AZ258" s="5"/>
      <c r="BA258" s="230"/>
      <c r="BB258" s="5"/>
      <c r="BC258" s="232" t="s">
        <v>212</v>
      </c>
      <c r="BD258" s="257"/>
      <c r="BE258" s="249"/>
      <c r="BF258" s="249"/>
      <c r="BG258" s="249"/>
      <c r="BH258" s="249"/>
      <c r="BI258" s="249"/>
      <c r="BJ258" s="249"/>
      <c r="BK258" s="249"/>
      <c r="BL258" s="249"/>
      <c r="BM258" s="249"/>
      <c r="BN258" s="249"/>
      <c r="BO258" s="249"/>
      <c r="BP258" s="249"/>
      <c r="BQ258" s="249"/>
      <c r="BR258" s="249"/>
      <c r="BS258" s="249"/>
      <c r="BT258" s="249"/>
      <c r="BU258" s="249"/>
      <c r="BV258" s="249"/>
      <c r="BW258" s="249"/>
      <c r="BX258" s="249"/>
      <c r="BY258" s="249"/>
      <c r="BZ258" s="249"/>
      <c r="CA258" s="249"/>
      <c r="CB258" s="249"/>
      <c r="CC258" s="249"/>
      <c r="CD258" s="249"/>
      <c r="CE258" s="249"/>
    </row>
    <row r="259" spans="1:83" s="84" customFormat="1" ht="12.95" customHeight="1">
      <c r="A259" s="84" t="s">
        <v>3369</v>
      </c>
      <c r="B259" s="84" t="s">
        <v>1903</v>
      </c>
      <c r="C259" s="79" t="s">
        <v>214</v>
      </c>
      <c r="D259" s="52" t="s">
        <v>2313</v>
      </c>
      <c r="E259" s="52" t="s">
        <v>2314</v>
      </c>
      <c r="F259" s="53" t="s">
        <v>215</v>
      </c>
      <c r="G259" s="179" t="s">
        <v>1429</v>
      </c>
      <c r="H259" s="180" t="s">
        <v>214</v>
      </c>
      <c r="I259" s="55" t="s">
        <v>1429</v>
      </c>
      <c r="J259" s="55" t="s">
        <v>1429</v>
      </c>
      <c r="K259" s="56" t="s">
        <v>1429</v>
      </c>
      <c r="L259" s="54" t="s">
        <v>1429</v>
      </c>
      <c r="M259" s="55" t="s">
        <v>1581</v>
      </c>
      <c r="N259" s="55" t="s">
        <v>1429</v>
      </c>
      <c r="O259" s="55" t="s">
        <v>1429</v>
      </c>
      <c r="P259" s="56" t="s">
        <v>1429</v>
      </c>
      <c r="Q259" s="85"/>
      <c r="R259" s="85"/>
      <c r="S259" s="85"/>
      <c r="T259" s="85"/>
      <c r="U259" s="85"/>
      <c r="V259" s="146" t="s">
        <v>2315</v>
      </c>
      <c r="W259" s="51" t="s">
        <v>2290</v>
      </c>
      <c r="X259" s="130" t="s">
        <v>1429</v>
      </c>
      <c r="Y259" s="130" t="s">
        <v>1429</v>
      </c>
      <c r="Z259" s="51"/>
      <c r="AA259" s="51" t="s">
        <v>2291</v>
      </c>
      <c r="AB259" s="51"/>
      <c r="AC259" s="146" t="s">
        <v>1429</v>
      </c>
      <c r="AD259" s="98"/>
      <c r="AE259" s="83"/>
      <c r="AF259" s="83"/>
      <c r="AG259" s="83"/>
      <c r="AH259" s="86"/>
      <c r="AI259" s="86"/>
      <c r="AJ259" s="87"/>
      <c r="AK259" s="87"/>
      <c r="AL259" s="87"/>
      <c r="AM259" s="87"/>
      <c r="AN259" s="87"/>
      <c r="AO259" s="87"/>
      <c r="AP259" s="87"/>
      <c r="AQ259" s="229" t="s">
        <v>214</v>
      </c>
      <c r="AR259" s="5"/>
      <c r="AS259" s="5"/>
      <c r="AT259" s="5"/>
      <c r="AU259" s="5"/>
      <c r="AV259" s="5"/>
      <c r="AW259" s="5"/>
      <c r="AX259" s="284"/>
      <c r="AY259" s="5"/>
      <c r="AZ259" s="5"/>
      <c r="BA259" s="230"/>
      <c r="BB259" s="5"/>
      <c r="BC259" s="232" t="s">
        <v>214</v>
      </c>
      <c r="BD259" s="257"/>
      <c r="BE259" s="249"/>
      <c r="BF259" s="249"/>
      <c r="BG259" s="249"/>
      <c r="BH259" s="249"/>
      <c r="BI259" s="249"/>
      <c r="BJ259" s="249"/>
      <c r="BK259" s="249"/>
      <c r="BL259" s="249"/>
      <c r="BM259" s="249"/>
      <c r="BN259" s="249"/>
      <c r="BO259" s="249"/>
      <c r="BP259" s="249"/>
      <c r="BQ259" s="249"/>
      <c r="BR259" s="249"/>
      <c r="BS259" s="249"/>
      <c r="BT259" s="249"/>
      <c r="BU259" s="249"/>
      <c r="BV259" s="249"/>
      <c r="BW259" s="249"/>
      <c r="BX259" s="249"/>
      <c r="BY259" s="249"/>
      <c r="BZ259" s="249"/>
      <c r="CA259" s="249"/>
      <c r="CB259" s="249"/>
      <c r="CC259" s="249"/>
      <c r="CD259" s="249"/>
      <c r="CE259" s="249"/>
    </row>
    <row r="260" spans="1:83" s="84" customFormat="1" ht="12.95" customHeight="1">
      <c r="A260" s="84" t="s">
        <v>3370</v>
      </c>
      <c r="B260" s="84" t="s">
        <v>1623</v>
      </c>
      <c r="C260" s="79" t="s">
        <v>216</v>
      </c>
      <c r="D260" s="52" t="s">
        <v>2316</v>
      </c>
      <c r="E260" s="52" t="s">
        <v>2311</v>
      </c>
      <c r="F260" s="53" t="s">
        <v>217</v>
      </c>
      <c r="G260" s="179" t="s">
        <v>1429</v>
      </c>
      <c r="H260" s="180" t="s">
        <v>216</v>
      </c>
      <c r="I260" s="55" t="s">
        <v>1429</v>
      </c>
      <c r="J260" s="55" t="s">
        <v>1429</v>
      </c>
      <c r="K260" s="56" t="s">
        <v>1429</v>
      </c>
      <c r="L260" s="54" t="s">
        <v>1429</v>
      </c>
      <c r="M260" s="55" t="s">
        <v>1581</v>
      </c>
      <c r="N260" s="55" t="s">
        <v>1429</v>
      </c>
      <c r="O260" s="55" t="s">
        <v>1429</v>
      </c>
      <c r="P260" s="56" t="s">
        <v>1429</v>
      </c>
      <c r="Q260" s="85"/>
      <c r="R260" s="85"/>
      <c r="S260" s="85"/>
      <c r="T260" s="85"/>
      <c r="U260" s="85"/>
      <c r="V260" s="146" t="s">
        <v>2317</v>
      </c>
      <c r="W260" s="51" t="s">
        <v>2290</v>
      </c>
      <c r="X260" s="130" t="s">
        <v>1429</v>
      </c>
      <c r="Y260" s="130" t="s">
        <v>1429</v>
      </c>
      <c r="Z260" s="51"/>
      <c r="AA260" s="51" t="s">
        <v>2291</v>
      </c>
      <c r="AB260" s="51"/>
      <c r="AC260" s="146" t="s">
        <v>1429</v>
      </c>
      <c r="AD260" s="98"/>
      <c r="AE260" s="83"/>
      <c r="AF260" s="83"/>
      <c r="AG260" s="83"/>
      <c r="AH260" s="86"/>
      <c r="AI260" s="86"/>
      <c r="AJ260" s="87"/>
      <c r="AK260" s="87"/>
      <c r="AL260" s="87"/>
      <c r="AM260" s="87"/>
      <c r="AN260" s="87"/>
      <c r="AO260" s="87"/>
      <c r="AP260" s="87"/>
      <c r="AQ260" s="229" t="s">
        <v>216</v>
      </c>
      <c r="AR260" s="5"/>
      <c r="AS260" s="5"/>
      <c r="AT260" s="5"/>
      <c r="AU260" s="5"/>
      <c r="AV260" s="5"/>
      <c r="AW260" s="5"/>
      <c r="AX260" s="284"/>
      <c r="AY260" s="5"/>
      <c r="AZ260" s="5"/>
      <c r="BA260" s="230"/>
      <c r="BB260" s="5"/>
      <c r="BC260" s="232" t="s">
        <v>216</v>
      </c>
      <c r="BD260" s="257"/>
      <c r="BE260" s="249"/>
      <c r="BF260" s="249"/>
      <c r="BG260" s="249"/>
      <c r="BH260" s="249"/>
      <c r="BI260" s="249"/>
      <c r="BJ260" s="249"/>
      <c r="BK260" s="249"/>
      <c r="BL260" s="249"/>
      <c r="BM260" s="249"/>
      <c r="BN260" s="249"/>
      <c r="BO260" s="249"/>
      <c r="BP260" s="249"/>
      <c r="BQ260" s="249"/>
      <c r="BR260" s="249"/>
      <c r="BS260" s="249"/>
      <c r="BT260" s="249"/>
      <c r="BU260" s="249"/>
      <c r="BV260" s="249"/>
      <c r="BW260" s="249"/>
      <c r="BX260" s="249"/>
      <c r="BY260" s="249"/>
      <c r="BZ260" s="249"/>
      <c r="CA260" s="249"/>
      <c r="CB260" s="249"/>
      <c r="CC260" s="249"/>
      <c r="CD260" s="249"/>
      <c r="CE260" s="249"/>
    </row>
    <row r="261" spans="1:83" s="84" customFormat="1" ht="12.95" customHeight="1">
      <c r="A261" s="84" t="s">
        <v>3371</v>
      </c>
      <c r="B261" s="84" t="s">
        <v>1908</v>
      </c>
      <c r="C261" s="79" t="s">
        <v>218</v>
      </c>
      <c r="D261" s="52" t="s">
        <v>2318</v>
      </c>
      <c r="E261" s="52" t="s">
        <v>2313</v>
      </c>
      <c r="F261" s="53" t="s">
        <v>219</v>
      </c>
      <c r="G261" s="179" t="s">
        <v>1429</v>
      </c>
      <c r="H261" s="180" t="s">
        <v>218</v>
      </c>
      <c r="I261" s="55" t="s">
        <v>1429</v>
      </c>
      <c r="J261" s="55" t="s">
        <v>1429</v>
      </c>
      <c r="K261" s="56" t="s">
        <v>1429</v>
      </c>
      <c r="L261" s="54" t="s">
        <v>1429</v>
      </c>
      <c r="M261" s="55" t="s">
        <v>1581</v>
      </c>
      <c r="N261" s="55" t="s">
        <v>1429</v>
      </c>
      <c r="O261" s="55" t="s">
        <v>1429</v>
      </c>
      <c r="P261" s="56" t="s">
        <v>1429</v>
      </c>
      <c r="Q261" s="85"/>
      <c r="R261" s="85"/>
      <c r="S261" s="85"/>
      <c r="T261" s="85"/>
      <c r="U261" s="85"/>
      <c r="V261" s="146" t="s">
        <v>2319</v>
      </c>
      <c r="W261" s="51" t="s">
        <v>2290</v>
      </c>
      <c r="X261" s="130" t="s">
        <v>1429</v>
      </c>
      <c r="Y261" s="130" t="s">
        <v>1429</v>
      </c>
      <c r="Z261" s="51"/>
      <c r="AA261" s="51" t="s">
        <v>2291</v>
      </c>
      <c r="AB261" s="51"/>
      <c r="AC261" s="146" t="s">
        <v>1429</v>
      </c>
      <c r="AD261" s="98"/>
      <c r="AE261" s="83"/>
      <c r="AF261" s="83"/>
      <c r="AG261" s="83"/>
      <c r="AH261" s="86"/>
      <c r="AI261" s="86"/>
      <c r="AJ261" s="87"/>
      <c r="AK261" s="87"/>
      <c r="AL261" s="87"/>
      <c r="AM261" s="87"/>
      <c r="AN261" s="87"/>
      <c r="AO261" s="87"/>
      <c r="AP261" s="87"/>
      <c r="AQ261" s="229" t="s">
        <v>218</v>
      </c>
      <c r="AR261" s="5"/>
      <c r="AS261" s="5"/>
      <c r="AT261" s="5"/>
      <c r="AU261" s="5"/>
      <c r="AV261" s="5"/>
      <c r="AW261" s="5"/>
      <c r="AX261" s="284"/>
      <c r="AY261" s="5"/>
      <c r="AZ261" s="5"/>
      <c r="BA261" s="230"/>
      <c r="BB261" s="5"/>
      <c r="BC261" s="232" t="s">
        <v>218</v>
      </c>
      <c r="BD261" s="257"/>
      <c r="BE261" s="249"/>
      <c r="BF261" s="249"/>
      <c r="BG261" s="249"/>
      <c r="BH261" s="249"/>
      <c r="BI261" s="249"/>
      <c r="BJ261" s="249"/>
      <c r="BK261" s="249"/>
      <c r="BL261" s="249"/>
      <c r="BM261" s="249"/>
      <c r="BN261" s="249"/>
      <c r="BO261" s="249"/>
      <c r="BP261" s="249"/>
      <c r="BQ261" s="249"/>
      <c r="BR261" s="249"/>
      <c r="BS261" s="249"/>
      <c r="BT261" s="249"/>
      <c r="BU261" s="249"/>
      <c r="BV261" s="249"/>
      <c r="BW261" s="249"/>
      <c r="BX261" s="249"/>
      <c r="BY261" s="249"/>
      <c r="BZ261" s="249"/>
      <c r="CA261" s="249"/>
      <c r="CB261" s="249"/>
      <c r="CC261" s="249"/>
      <c r="CD261" s="249"/>
      <c r="CE261" s="249"/>
    </row>
    <row r="262" spans="1:83" s="84" customFormat="1" ht="12.95" customHeight="1">
      <c r="A262" s="84" t="s">
        <v>3372</v>
      </c>
      <c r="B262" s="84" t="s">
        <v>3611</v>
      </c>
      <c r="C262" s="79" t="s">
        <v>1015</v>
      </c>
      <c r="D262" s="52" t="s">
        <v>2320</v>
      </c>
      <c r="E262" s="52" t="s">
        <v>2287</v>
      </c>
      <c r="F262" s="53" t="s">
        <v>1308</v>
      </c>
      <c r="G262" s="179" t="s">
        <v>1429</v>
      </c>
      <c r="H262" s="180" t="s">
        <v>1015</v>
      </c>
      <c r="I262" s="55" t="s">
        <v>1429</v>
      </c>
      <c r="J262" s="55" t="s">
        <v>1429</v>
      </c>
      <c r="K262" s="56" t="s">
        <v>1429</v>
      </c>
      <c r="L262" s="54" t="s">
        <v>1429</v>
      </c>
      <c r="M262" s="55" t="s">
        <v>1581</v>
      </c>
      <c r="N262" s="55" t="s">
        <v>1429</v>
      </c>
      <c r="O262" s="55" t="s">
        <v>1429</v>
      </c>
      <c r="P262" s="56" t="s">
        <v>1429</v>
      </c>
      <c r="Q262" s="85"/>
      <c r="R262" s="85"/>
      <c r="S262" s="85"/>
      <c r="T262" s="85"/>
      <c r="U262" s="85"/>
      <c r="V262" s="146" t="s">
        <v>2321</v>
      </c>
      <c r="W262" s="51" t="s">
        <v>2290</v>
      </c>
      <c r="X262" s="130" t="s">
        <v>1429</v>
      </c>
      <c r="Y262" s="130" t="s">
        <v>1429</v>
      </c>
      <c r="Z262" s="51"/>
      <c r="AA262" s="51" t="s">
        <v>2291</v>
      </c>
      <c r="AB262" s="51"/>
      <c r="AC262" s="146" t="s">
        <v>1429</v>
      </c>
      <c r="AD262" s="98"/>
      <c r="AE262" s="83"/>
      <c r="AF262" s="83"/>
      <c r="AG262" s="83"/>
      <c r="AH262" s="86"/>
      <c r="AI262" s="86"/>
      <c r="AJ262" s="87"/>
      <c r="AK262" s="87"/>
      <c r="AL262" s="87"/>
      <c r="AM262" s="87"/>
      <c r="AN262" s="87"/>
      <c r="AO262" s="87"/>
      <c r="AP262" s="87"/>
      <c r="AQ262" s="255" t="s">
        <v>1015</v>
      </c>
      <c r="AR262" s="5"/>
      <c r="AS262" s="5"/>
      <c r="AT262" s="5"/>
      <c r="AU262" s="5"/>
      <c r="AV262" s="5"/>
      <c r="AW262" s="5"/>
      <c r="AX262" s="284"/>
      <c r="AY262" s="5"/>
      <c r="AZ262" s="5"/>
      <c r="BA262" s="230"/>
      <c r="BB262" s="5"/>
      <c r="BC262" s="232" t="s">
        <v>1015</v>
      </c>
      <c r="BD262" s="257"/>
      <c r="BE262" s="249"/>
      <c r="BF262" s="249"/>
      <c r="BG262" s="249"/>
      <c r="BH262" s="249"/>
      <c r="BI262" s="249"/>
      <c r="BJ262" s="249"/>
      <c r="BK262" s="249"/>
      <c r="BL262" s="249"/>
      <c r="BM262" s="249"/>
      <c r="BN262" s="249"/>
      <c r="BO262" s="249"/>
      <c r="BP262" s="249"/>
      <c r="BQ262" s="249"/>
      <c r="BR262" s="249"/>
      <c r="BS262" s="249"/>
      <c r="BT262" s="249"/>
      <c r="BU262" s="249"/>
      <c r="BV262" s="249"/>
      <c r="BW262" s="249"/>
      <c r="BX262" s="249"/>
      <c r="BY262" s="249"/>
      <c r="BZ262" s="249"/>
      <c r="CA262" s="249"/>
      <c r="CB262" s="249"/>
      <c r="CC262" s="249"/>
      <c r="CD262" s="249"/>
      <c r="CE262" s="249"/>
    </row>
    <row r="263" spans="1:83" s="84" customFormat="1" ht="12.95" customHeight="1">
      <c r="A263" s="84" t="s">
        <v>3373</v>
      </c>
      <c r="B263" s="84" t="s">
        <v>1923</v>
      </c>
      <c r="C263" s="79" t="s">
        <v>1016</v>
      </c>
      <c r="D263" s="52" t="s">
        <v>2322</v>
      </c>
      <c r="E263" s="52" t="s">
        <v>2301</v>
      </c>
      <c r="F263" s="53" t="s">
        <v>1309</v>
      </c>
      <c r="G263" s="179" t="s">
        <v>1429</v>
      </c>
      <c r="H263" s="180" t="s">
        <v>1016</v>
      </c>
      <c r="I263" s="55" t="s">
        <v>1429</v>
      </c>
      <c r="J263" s="55" t="s">
        <v>1429</v>
      </c>
      <c r="K263" s="56" t="s">
        <v>1429</v>
      </c>
      <c r="L263" s="54" t="s">
        <v>1429</v>
      </c>
      <c r="M263" s="55" t="s">
        <v>1581</v>
      </c>
      <c r="N263" s="55" t="s">
        <v>1429</v>
      </c>
      <c r="O263" s="55" t="s">
        <v>1429</v>
      </c>
      <c r="P263" s="56" t="s">
        <v>1429</v>
      </c>
      <c r="Q263" s="85"/>
      <c r="R263" s="85"/>
      <c r="S263" s="85"/>
      <c r="T263" s="85"/>
      <c r="U263" s="85"/>
      <c r="V263" s="146" t="s">
        <v>2323</v>
      </c>
      <c r="W263" s="51" t="s">
        <v>2290</v>
      </c>
      <c r="X263" s="130" t="s">
        <v>1429</v>
      </c>
      <c r="Y263" s="130" t="s">
        <v>1429</v>
      </c>
      <c r="Z263" s="51"/>
      <c r="AA263" s="51" t="s">
        <v>2291</v>
      </c>
      <c r="AB263" s="51"/>
      <c r="AC263" s="146" t="s">
        <v>1429</v>
      </c>
      <c r="AD263" s="98"/>
      <c r="AE263" s="83"/>
      <c r="AF263" s="83"/>
      <c r="AG263" s="83"/>
      <c r="AH263" s="86"/>
      <c r="AI263" s="86"/>
      <c r="AJ263" s="87"/>
      <c r="AK263" s="87"/>
      <c r="AL263" s="87"/>
      <c r="AM263" s="87"/>
      <c r="AN263" s="87"/>
      <c r="AO263" s="87"/>
      <c r="AP263" s="87"/>
      <c r="AQ263" s="229" t="s">
        <v>1016</v>
      </c>
      <c r="AR263" s="5"/>
      <c r="AS263" s="5"/>
      <c r="AT263" s="5"/>
      <c r="AU263" s="5"/>
      <c r="AV263" s="5"/>
      <c r="AW263" s="5"/>
      <c r="AX263" s="284"/>
      <c r="AY263" s="5"/>
      <c r="AZ263" s="5"/>
      <c r="BA263" s="230"/>
      <c r="BB263" s="5"/>
      <c r="BC263" s="232" t="s">
        <v>1016</v>
      </c>
      <c r="BD263" s="257"/>
      <c r="BE263" s="249"/>
      <c r="BF263" s="249"/>
      <c r="BG263" s="249"/>
      <c r="BH263" s="249"/>
      <c r="BI263" s="249"/>
      <c r="BJ263" s="249"/>
      <c r="BK263" s="249"/>
      <c r="BL263" s="249"/>
      <c r="BM263" s="249"/>
      <c r="BN263" s="249"/>
      <c r="BO263" s="249"/>
      <c r="BP263" s="249"/>
      <c r="BQ263" s="249"/>
      <c r="BR263" s="249"/>
      <c r="BS263" s="249"/>
      <c r="BT263" s="249"/>
      <c r="BU263" s="249"/>
      <c r="BV263" s="249"/>
      <c r="BW263" s="249"/>
      <c r="BX263" s="249"/>
      <c r="BY263" s="249"/>
      <c r="BZ263" s="249"/>
      <c r="CA263" s="249"/>
      <c r="CB263" s="249"/>
      <c r="CC263" s="249"/>
      <c r="CD263" s="249"/>
      <c r="CE263" s="249"/>
    </row>
    <row r="264" spans="1:83" s="84" customFormat="1" ht="12.95" customHeight="1">
      <c r="A264" s="84" t="s">
        <v>3374</v>
      </c>
      <c r="B264" s="84" t="s">
        <v>1628</v>
      </c>
      <c r="C264" s="79" t="s">
        <v>1017</v>
      </c>
      <c r="D264" s="52" t="s">
        <v>2324</v>
      </c>
      <c r="E264" s="52" t="s">
        <v>2307</v>
      </c>
      <c r="F264" s="53" t="s">
        <v>1310</v>
      </c>
      <c r="G264" s="179" t="s">
        <v>1429</v>
      </c>
      <c r="H264" s="180" t="s">
        <v>1017</v>
      </c>
      <c r="I264" s="55" t="s">
        <v>1429</v>
      </c>
      <c r="J264" s="55" t="s">
        <v>1429</v>
      </c>
      <c r="K264" s="56" t="s">
        <v>1429</v>
      </c>
      <c r="L264" s="54" t="s">
        <v>1429</v>
      </c>
      <c r="M264" s="55" t="s">
        <v>1581</v>
      </c>
      <c r="N264" s="55" t="s">
        <v>1429</v>
      </c>
      <c r="O264" s="55" t="s">
        <v>1429</v>
      </c>
      <c r="P264" s="56" t="s">
        <v>1429</v>
      </c>
      <c r="Q264" s="85"/>
      <c r="R264" s="85"/>
      <c r="S264" s="85"/>
      <c r="T264" s="85"/>
      <c r="U264" s="85"/>
      <c r="V264" s="146" t="s">
        <v>2325</v>
      </c>
      <c r="W264" s="51" t="s">
        <v>2290</v>
      </c>
      <c r="X264" s="130" t="s">
        <v>1429</v>
      </c>
      <c r="Y264" s="130" t="s">
        <v>1429</v>
      </c>
      <c r="Z264" s="51"/>
      <c r="AA264" s="51" t="s">
        <v>2291</v>
      </c>
      <c r="AB264" s="51"/>
      <c r="AC264" s="146" t="s">
        <v>1429</v>
      </c>
      <c r="AD264" s="98"/>
      <c r="AE264" s="83"/>
      <c r="AF264" s="83"/>
      <c r="AG264" s="83"/>
      <c r="AH264" s="86"/>
      <c r="AI264" s="86"/>
      <c r="AJ264" s="87"/>
      <c r="AK264" s="87"/>
      <c r="AL264" s="87"/>
      <c r="AM264" s="87"/>
      <c r="AN264" s="87"/>
      <c r="AO264" s="87"/>
      <c r="AP264" s="87"/>
      <c r="AQ264" s="229" t="s">
        <v>1017</v>
      </c>
      <c r="AR264" s="5"/>
      <c r="AS264" s="5"/>
      <c r="AT264" s="5"/>
      <c r="AU264" s="5"/>
      <c r="AV264" s="5"/>
      <c r="AW264" s="5"/>
      <c r="AX264" s="284"/>
      <c r="AY264" s="5"/>
      <c r="AZ264" s="5"/>
      <c r="BA264" s="230"/>
      <c r="BB264" s="5"/>
      <c r="BC264" s="232" t="s">
        <v>1017</v>
      </c>
      <c r="BD264" s="257"/>
      <c r="BE264" s="249"/>
      <c r="BF264" s="249"/>
      <c r="BG264" s="249"/>
      <c r="BH264" s="249"/>
      <c r="BI264" s="249"/>
      <c r="BJ264" s="249"/>
      <c r="BK264" s="249"/>
      <c r="BL264" s="249"/>
      <c r="BM264" s="249"/>
      <c r="BN264" s="249"/>
      <c r="BO264" s="249"/>
      <c r="BP264" s="249"/>
      <c r="BQ264" s="249"/>
      <c r="BR264" s="249"/>
      <c r="BS264" s="249"/>
      <c r="BT264" s="249"/>
      <c r="BU264" s="249"/>
      <c r="BV264" s="249"/>
      <c r="BW264" s="249"/>
      <c r="BX264" s="249"/>
      <c r="BY264" s="249"/>
      <c r="BZ264" s="249"/>
      <c r="CA264" s="249"/>
      <c r="CB264" s="249"/>
      <c r="CC264" s="249"/>
      <c r="CD264" s="249"/>
      <c r="CE264" s="249"/>
    </row>
    <row r="265" spans="1:83" s="84" customFormat="1" ht="12.95" customHeight="1">
      <c r="A265" s="84" t="s">
        <v>3375</v>
      </c>
      <c r="B265" s="84" t="s">
        <v>1939</v>
      </c>
      <c r="C265" s="79" t="s">
        <v>1018</v>
      </c>
      <c r="D265" s="52" t="s">
        <v>2326</v>
      </c>
      <c r="E265" s="52" t="s">
        <v>2309</v>
      </c>
      <c r="F265" s="53" t="s">
        <v>1311</v>
      </c>
      <c r="G265" s="179" t="s">
        <v>1429</v>
      </c>
      <c r="H265" s="180" t="s">
        <v>1018</v>
      </c>
      <c r="I265" s="55" t="s">
        <v>1429</v>
      </c>
      <c r="J265" s="55" t="s">
        <v>1429</v>
      </c>
      <c r="K265" s="56" t="s">
        <v>1429</v>
      </c>
      <c r="L265" s="54" t="s">
        <v>1429</v>
      </c>
      <c r="M265" s="55" t="s">
        <v>1581</v>
      </c>
      <c r="N265" s="55" t="s">
        <v>1429</v>
      </c>
      <c r="O265" s="55" t="s">
        <v>1429</v>
      </c>
      <c r="P265" s="56" t="s">
        <v>1429</v>
      </c>
      <c r="Q265" s="85"/>
      <c r="R265" s="85"/>
      <c r="S265" s="85"/>
      <c r="T265" s="85"/>
      <c r="U265" s="85"/>
      <c r="V265" s="146" t="s">
        <v>2327</v>
      </c>
      <c r="W265" s="51" t="s">
        <v>2290</v>
      </c>
      <c r="X265" s="130" t="s">
        <v>1429</v>
      </c>
      <c r="Y265" s="130" t="s">
        <v>1429</v>
      </c>
      <c r="Z265" s="51"/>
      <c r="AA265" s="51" t="s">
        <v>2291</v>
      </c>
      <c r="AB265" s="51"/>
      <c r="AC265" s="146" t="s">
        <v>1429</v>
      </c>
      <c r="AD265" s="98"/>
      <c r="AE265" s="83"/>
      <c r="AF265" s="83"/>
      <c r="AG265" s="83"/>
      <c r="AH265" s="86"/>
      <c r="AI265" s="86"/>
      <c r="AJ265" s="87"/>
      <c r="AK265" s="87"/>
      <c r="AL265" s="87"/>
      <c r="AM265" s="87"/>
      <c r="AN265" s="87"/>
      <c r="AO265" s="87"/>
      <c r="AP265" s="87"/>
      <c r="AQ265" s="229" t="s">
        <v>1018</v>
      </c>
      <c r="AR265" s="5"/>
      <c r="AS265" s="5"/>
      <c r="AT265" s="5"/>
      <c r="AU265" s="5"/>
      <c r="AV265" s="5"/>
      <c r="AW265" s="5"/>
      <c r="AX265" s="284"/>
      <c r="AY265" s="5"/>
      <c r="AZ265" s="5"/>
      <c r="BA265" s="230"/>
      <c r="BB265" s="5"/>
      <c r="BC265" s="232" t="s">
        <v>1018</v>
      </c>
      <c r="BD265" s="257"/>
      <c r="BE265" s="249"/>
      <c r="BF265" s="249"/>
      <c r="BG265" s="249"/>
      <c r="BH265" s="249"/>
      <c r="BI265" s="249"/>
      <c r="BJ265" s="249"/>
      <c r="BK265" s="249"/>
      <c r="BL265" s="249"/>
      <c r="BM265" s="249"/>
      <c r="BN265" s="249"/>
      <c r="BO265" s="249"/>
      <c r="BP265" s="249"/>
      <c r="BQ265" s="249"/>
      <c r="BR265" s="249"/>
      <c r="BS265" s="249"/>
      <c r="BT265" s="249"/>
      <c r="BU265" s="249"/>
      <c r="BV265" s="249"/>
      <c r="BW265" s="249"/>
      <c r="BX265" s="249"/>
      <c r="BY265" s="249"/>
      <c r="BZ265" s="249"/>
      <c r="CA265" s="249"/>
      <c r="CB265" s="249"/>
      <c r="CC265" s="249"/>
      <c r="CD265" s="249"/>
      <c r="CE265" s="249"/>
    </row>
    <row r="266" spans="1:83" s="84" customFormat="1" ht="12.95" customHeight="1">
      <c r="A266" s="84" t="s">
        <v>3376</v>
      </c>
      <c r="B266" s="84" t="s">
        <v>3628</v>
      </c>
      <c r="C266" s="79" t="s">
        <v>1019</v>
      </c>
      <c r="D266" s="52" t="s">
        <v>2328</v>
      </c>
      <c r="E266" s="52" t="s">
        <v>2329</v>
      </c>
      <c r="F266" s="53" t="s">
        <v>1312</v>
      </c>
      <c r="G266" s="179" t="s">
        <v>1429</v>
      </c>
      <c r="H266" s="180" t="s">
        <v>1019</v>
      </c>
      <c r="I266" s="55" t="s">
        <v>1429</v>
      </c>
      <c r="J266" s="55" t="s">
        <v>1429</v>
      </c>
      <c r="K266" s="56" t="s">
        <v>1429</v>
      </c>
      <c r="L266" s="54" t="s">
        <v>1429</v>
      </c>
      <c r="M266" s="55" t="s">
        <v>1581</v>
      </c>
      <c r="N266" s="55" t="s">
        <v>1429</v>
      </c>
      <c r="O266" s="55" t="s">
        <v>1429</v>
      </c>
      <c r="P266" s="56" t="s">
        <v>1429</v>
      </c>
      <c r="Q266" s="85"/>
      <c r="R266" s="85"/>
      <c r="S266" s="85"/>
      <c r="T266" s="85"/>
      <c r="U266" s="85"/>
      <c r="V266" s="146" t="s">
        <v>2330</v>
      </c>
      <c r="W266" s="51" t="s">
        <v>2290</v>
      </c>
      <c r="X266" s="130" t="s">
        <v>1429</v>
      </c>
      <c r="Y266" s="130" t="s">
        <v>1429</v>
      </c>
      <c r="Z266" s="51"/>
      <c r="AA266" s="51" t="s">
        <v>2291</v>
      </c>
      <c r="AB266" s="51"/>
      <c r="AC266" s="146" t="s">
        <v>1429</v>
      </c>
      <c r="AD266" s="98"/>
      <c r="AE266" s="83"/>
      <c r="AF266" s="83"/>
      <c r="AG266" s="83"/>
      <c r="AH266" s="86"/>
      <c r="AI266" s="86"/>
      <c r="AJ266" s="87"/>
      <c r="AK266" s="87"/>
      <c r="AL266" s="87"/>
      <c r="AM266" s="87"/>
      <c r="AN266" s="87"/>
      <c r="AO266" s="87"/>
      <c r="AP266" s="87"/>
      <c r="AQ266" s="229" t="s">
        <v>1019</v>
      </c>
      <c r="AR266" s="5"/>
      <c r="AS266" s="5"/>
      <c r="AT266" s="5"/>
      <c r="AU266" s="5"/>
      <c r="AV266" s="5"/>
      <c r="AW266" s="5"/>
      <c r="AX266" s="284"/>
      <c r="AY266" s="5"/>
      <c r="AZ266" s="5"/>
      <c r="BA266" s="230"/>
      <c r="BB266" s="5"/>
      <c r="BC266" s="232" t="s">
        <v>1019</v>
      </c>
      <c r="BD266" s="257"/>
      <c r="BE266" s="249"/>
      <c r="BF266" s="249"/>
      <c r="BG266" s="249"/>
      <c r="BH266" s="249"/>
      <c r="BI266" s="249"/>
      <c r="BJ266" s="249"/>
      <c r="BK266" s="249"/>
      <c r="BL266" s="249"/>
      <c r="BM266" s="249"/>
      <c r="BN266" s="249"/>
      <c r="BO266" s="249"/>
      <c r="BP266" s="249"/>
      <c r="BQ266" s="249"/>
      <c r="BR266" s="249"/>
      <c r="BS266" s="249"/>
      <c r="BT266" s="249"/>
      <c r="BU266" s="249"/>
      <c r="BV266" s="249"/>
      <c r="BW266" s="249"/>
      <c r="BX266" s="249"/>
      <c r="BY266" s="249"/>
      <c r="BZ266" s="249"/>
      <c r="CA266" s="249"/>
      <c r="CB266" s="249"/>
      <c r="CC266" s="249"/>
      <c r="CD266" s="249"/>
      <c r="CE266" s="249"/>
    </row>
    <row r="267" spans="1:83" s="84" customFormat="1" ht="12.75" customHeight="1">
      <c r="A267" s="84" t="s">
        <v>3377</v>
      </c>
      <c r="B267" s="84" t="s">
        <v>1932</v>
      </c>
      <c r="C267" s="79" t="s">
        <v>1020</v>
      </c>
      <c r="D267" s="52" t="s">
        <v>2331</v>
      </c>
      <c r="E267" s="52" t="s">
        <v>2304</v>
      </c>
      <c r="F267" s="53" t="s">
        <v>1313</v>
      </c>
      <c r="G267" s="179" t="s">
        <v>1429</v>
      </c>
      <c r="H267" s="180" t="s">
        <v>1020</v>
      </c>
      <c r="I267" s="55" t="s">
        <v>1429</v>
      </c>
      <c r="J267" s="55" t="s">
        <v>1429</v>
      </c>
      <c r="K267" s="56" t="s">
        <v>1429</v>
      </c>
      <c r="L267" s="54" t="s">
        <v>1429</v>
      </c>
      <c r="M267" s="55" t="s">
        <v>1581</v>
      </c>
      <c r="N267" s="55" t="s">
        <v>1429</v>
      </c>
      <c r="O267" s="55" t="s">
        <v>1429</v>
      </c>
      <c r="P267" s="56" t="s">
        <v>1429</v>
      </c>
      <c r="Q267" s="85"/>
      <c r="R267" s="85"/>
      <c r="S267" s="85"/>
      <c r="T267" s="85"/>
      <c r="U267" s="85"/>
      <c r="V267" s="146" t="s">
        <v>2332</v>
      </c>
      <c r="W267" s="51" t="s">
        <v>2290</v>
      </c>
      <c r="X267" s="130" t="s">
        <v>1429</v>
      </c>
      <c r="Y267" s="130" t="s">
        <v>1429</v>
      </c>
      <c r="Z267" s="51"/>
      <c r="AA267" s="51" t="s">
        <v>2291</v>
      </c>
      <c r="AB267" s="51"/>
      <c r="AC267" s="146" t="s">
        <v>1429</v>
      </c>
      <c r="AD267" s="98"/>
      <c r="AE267" s="83"/>
      <c r="AF267" s="83"/>
      <c r="AG267" s="83"/>
      <c r="AH267" s="86"/>
      <c r="AI267" s="86"/>
      <c r="AJ267" s="87"/>
      <c r="AK267" s="87"/>
      <c r="AL267" s="87"/>
      <c r="AM267" s="87"/>
      <c r="AN267" s="87"/>
      <c r="AO267" s="87"/>
      <c r="AP267" s="87"/>
      <c r="AQ267" s="229" t="s">
        <v>1020</v>
      </c>
      <c r="AR267" s="5"/>
      <c r="AS267" s="5"/>
      <c r="AT267" s="5"/>
      <c r="AU267" s="5"/>
      <c r="AV267" s="5"/>
      <c r="AW267" s="5"/>
      <c r="AX267" s="284"/>
      <c r="AY267" s="5"/>
      <c r="AZ267" s="5"/>
      <c r="BA267" s="230"/>
      <c r="BB267" s="5"/>
      <c r="BC267" s="232" t="s">
        <v>1020</v>
      </c>
      <c r="BD267" s="257"/>
      <c r="BE267" s="249"/>
      <c r="BF267" s="249"/>
      <c r="BG267" s="249"/>
      <c r="BH267" s="249"/>
      <c r="BI267" s="249"/>
      <c r="BJ267" s="249"/>
      <c r="BK267" s="249"/>
      <c r="BL267" s="249"/>
      <c r="BM267" s="249"/>
      <c r="BN267" s="249"/>
      <c r="BO267" s="249"/>
      <c r="BP267" s="249"/>
      <c r="BQ267" s="249"/>
      <c r="BR267" s="249"/>
      <c r="BS267" s="249"/>
      <c r="BT267" s="249"/>
      <c r="BU267" s="249"/>
      <c r="BV267" s="249"/>
      <c r="BW267" s="249"/>
      <c r="BX267" s="249"/>
      <c r="BY267" s="249"/>
      <c r="BZ267" s="249"/>
      <c r="CA267" s="249"/>
      <c r="CB267" s="249"/>
      <c r="CC267" s="249"/>
      <c r="CD267" s="249"/>
      <c r="CE267" s="249"/>
    </row>
    <row r="268" spans="1:83" s="84" customFormat="1" ht="12.95" customHeight="1">
      <c r="A268" s="84" t="s">
        <v>3378</v>
      </c>
      <c r="B268" s="84" t="s">
        <v>2178</v>
      </c>
      <c r="C268" s="79" t="s">
        <v>1021</v>
      </c>
      <c r="D268" s="52" t="s">
        <v>2333</v>
      </c>
      <c r="E268" s="52" t="s">
        <v>2318</v>
      </c>
      <c r="F268" s="53" t="s">
        <v>1314</v>
      </c>
      <c r="G268" s="179" t="s">
        <v>1429</v>
      </c>
      <c r="H268" s="180" t="s">
        <v>1021</v>
      </c>
      <c r="I268" s="55" t="s">
        <v>1429</v>
      </c>
      <c r="J268" s="55" t="s">
        <v>1429</v>
      </c>
      <c r="K268" s="56" t="s">
        <v>1429</v>
      </c>
      <c r="L268" s="54" t="s">
        <v>1429</v>
      </c>
      <c r="M268" s="55" t="s">
        <v>1581</v>
      </c>
      <c r="N268" s="55" t="s">
        <v>1429</v>
      </c>
      <c r="O268" s="55" t="s">
        <v>1429</v>
      </c>
      <c r="P268" s="56" t="s">
        <v>1429</v>
      </c>
      <c r="Q268" s="85"/>
      <c r="R268" s="85"/>
      <c r="S268" s="85"/>
      <c r="T268" s="85"/>
      <c r="U268" s="85"/>
      <c r="V268" s="146" t="s">
        <v>2334</v>
      </c>
      <c r="W268" s="51" t="s">
        <v>2290</v>
      </c>
      <c r="X268" s="130" t="s">
        <v>1429</v>
      </c>
      <c r="Y268" s="130" t="s">
        <v>1429</v>
      </c>
      <c r="Z268" s="51"/>
      <c r="AA268" s="51" t="s">
        <v>2291</v>
      </c>
      <c r="AB268" s="51"/>
      <c r="AC268" s="146" t="s">
        <v>1429</v>
      </c>
      <c r="AD268" s="98"/>
      <c r="AE268" s="83"/>
      <c r="AF268" s="83"/>
      <c r="AG268" s="83"/>
      <c r="AH268" s="86"/>
      <c r="AI268" s="86"/>
      <c r="AJ268" s="87"/>
      <c r="AK268" s="87"/>
      <c r="AL268" s="87"/>
      <c r="AM268" s="87"/>
      <c r="AN268" s="87"/>
      <c r="AO268" s="87"/>
      <c r="AP268" s="87"/>
      <c r="AQ268" s="255" t="s">
        <v>1021</v>
      </c>
      <c r="AR268" s="5"/>
      <c r="AS268" s="5"/>
      <c r="AT268" s="5"/>
      <c r="AU268" s="5"/>
      <c r="AV268" s="5"/>
      <c r="AW268" s="5"/>
      <c r="AX268" s="284"/>
      <c r="AY268" s="5"/>
      <c r="AZ268" s="5"/>
      <c r="BA268" s="230"/>
      <c r="BB268" s="5"/>
      <c r="BC268" s="232" t="s">
        <v>1021</v>
      </c>
      <c r="BD268" s="257"/>
      <c r="BE268" s="249"/>
      <c r="BF268" s="249"/>
      <c r="BG268" s="249"/>
      <c r="BH268" s="249"/>
      <c r="BI268" s="249"/>
      <c r="BJ268" s="249"/>
      <c r="BK268" s="249"/>
      <c r="BL268" s="249"/>
      <c r="BM268" s="249"/>
      <c r="BN268" s="249"/>
      <c r="BO268" s="249"/>
      <c r="BP268" s="249"/>
      <c r="BQ268" s="249"/>
      <c r="BR268" s="249"/>
      <c r="BS268" s="249"/>
      <c r="BT268" s="249"/>
      <c r="BU268" s="249"/>
      <c r="BV268" s="249"/>
      <c r="BW268" s="249"/>
      <c r="BX268" s="249"/>
      <c r="BY268" s="249"/>
      <c r="BZ268" s="249"/>
      <c r="CA268" s="249"/>
      <c r="CB268" s="249"/>
      <c r="CC268" s="249"/>
      <c r="CD268" s="249"/>
      <c r="CE268" s="249"/>
    </row>
    <row r="269" spans="1:83" s="84" customFormat="1" ht="12.95" customHeight="1">
      <c r="A269" s="84" t="s">
        <v>3379</v>
      </c>
      <c r="B269" s="84" t="s">
        <v>1900</v>
      </c>
      <c r="C269" s="79" t="s">
        <v>1022</v>
      </c>
      <c r="D269" s="52" t="s">
        <v>2335</v>
      </c>
      <c r="E269" s="52" t="s">
        <v>2316</v>
      </c>
      <c r="F269" s="53" t="s">
        <v>1315</v>
      </c>
      <c r="G269" s="179" t="s">
        <v>1429</v>
      </c>
      <c r="H269" s="180" t="s">
        <v>1022</v>
      </c>
      <c r="I269" s="55" t="s">
        <v>1429</v>
      </c>
      <c r="J269" s="55" t="s">
        <v>1429</v>
      </c>
      <c r="K269" s="56" t="s">
        <v>1429</v>
      </c>
      <c r="L269" s="54" t="s">
        <v>1429</v>
      </c>
      <c r="M269" s="55" t="s">
        <v>1581</v>
      </c>
      <c r="N269" s="55" t="s">
        <v>1429</v>
      </c>
      <c r="O269" s="55" t="s">
        <v>1429</v>
      </c>
      <c r="P269" s="56" t="s">
        <v>1429</v>
      </c>
      <c r="Q269" s="85"/>
      <c r="R269" s="85"/>
      <c r="S269" s="85"/>
      <c r="T269" s="85"/>
      <c r="U269" s="85"/>
      <c r="V269" s="146" t="s">
        <v>2336</v>
      </c>
      <c r="W269" s="51" t="s">
        <v>2290</v>
      </c>
      <c r="X269" s="130" t="s">
        <v>1429</v>
      </c>
      <c r="Y269" s="130" t="s">
        <v>1429</v>
      </c>
      <c r="Z269" s="51"/>
      <c r="AA269" s="51" t="s">
        <v>2291</v>
      </c>
      <c r="AB269" s="51"/>
      <c r="AC269" s="146" t="s">
        <v>1429</v>
      </c>
      <c r="AD269" s="98"/>
      <c r="AE269" s="83"/>
      <c r="AF269" s="83"/>
      <c r="AG269" s="83"/>
      <c r="AH269" s="86"/>
      <c r="AI269" s="86"/>
      <c r="AJ269" s="87"/>
      <c r="AK269" s="87"/>
      <c r="AL269" s="87"/>
      <c r="AM269" s="87"/>
      <c r="AN269" s="87"/>
      <c r="AO269" s="87"/>
      <c r="AP269" s="87"/>
      <c r="AQ269" s="229" t="s">
        <v>1022</v>
      </c>
      <c r="AR269" s="5"/>
      <c r="AS269" s="5"/>
      <c r="AT269" s="5"/>
      <c r="AU269" s="5"/>
      <c r="AV269" s="5"/>
      <c r="AW269" s="5"/>
      <c r="AX269" s="284"/>
      <c r="AY269" s="5"/>
      <c r="AZ269" s="5"/>
      <c r="BA269" s="230"/>
      <c r="BB269" s="5"/>
      <c r="BC269" s="232" t="s">
        <v>1022</v>
      </c>
      <c r="BD269" s="257"/>
      <c r="BE269" s="249"/>
      <c r="BF269" s="249"/>
      <c r="BG269" s="249"/>
      <c r="BH269" s="249"/>
      <c r="BI269" s="249"/>
      <c r="BJ269" s="249"/>
      <c r="BK269" s="249"/>
      <c r="BL269" s="249"/>
      <c r="BM269" s="249"/>
      <c r="BN269" s="249"/>
      <c r="BO269" s="249"/>
      <c r="BP269" s="249"/>
      <c r="BQ269" s="249"/>
      <c r="BR269" s="249"/>
      <c r="BS269" s="249"/>
      <c r="BT269" s="249"/>
      <c r="BU269" s="249"/>
      <c r="BV269" s="249"/>
      <c r="BW269" s="249"/>
      <c r="BX269" s="249"/>
      <c r="BY269" s="249"/>
      <c r="BZ269" s="249"/>
      <c r="CA269" s="249"/>
      <c r="CB269" s="249"/>
      <c r="CC269" s="249"/>
      <c r="CD269" s="249"/>
      <c r="CE269" s="249"/>
    </row>
    <row r="270" spans="1:83" s="84" customFormat="1" ht="12.95" customHeight="1">
      <c r="A270" s="84" t="s">
        <v>3380</v>
      </c>
      <c r="B270" s="84" t="s">
        <v>1942</v>
      </c>
      <c r="C270" s="79" t="s">
        <v>1023</v>
      </c>
      <c r="D270" s="52" t="s">
        <v>2337</v>
      </c>
      <c r="E270" s="52" t="s">
        <v>2326</v>
      </c>
      <c r="F270" s="53" t="s">
        <v>1316</v>
      </c>
      <c r="G270" s="179" t="s">
        <v>1429</v>
      </c>
      <c r="H270" s="180" t="s">
        <v>1023</v>
      </c>
      <c r="I270" s="55" t="s">
        <v>1429</v>
      </c>
      <c r="J270" s="55" t="s">
        <v>1429</v>
      </c>
      <c r="K270" s="56" t="s">
        <v>1429</v>
      </c>
      <c r="L270" s="54" t="s">
        <v>1429</v>
      </c>
      <c r="M270" s="55" t="s">
        <v>1581</v>
      </c>
      <c r="N270" s="55" t="s">
        <v>1429</v>
      </c>
      <c r="O270" s="55" t="s">
        <v>1429</v>
      </c>
      <c r="P270" s="56" t="s">
        <v>1429</v>
      </c>
      <c r="Q270" s="85"/>
      <c r="R270" s="85"/>
      <c r="S270" s="85"/>
      <c r="T270" s="85"/>
      <c r="U270" s="85"/>
      <c r="V270" s="146" t="s">
        <v>2338</v>
      </c>
      <c r="W270" s="51" t="s">
        <v>2290</v>
      </c>
      <c r="X270" s="130" t="s">
        <v>1429</v>
      </c>
      <c r="Y270" s="130" t="s">
        <v>1429</v>
      </c>
      <c r="Z270" s="51"/>
      <c r="AA270" s="51" t="s">
        <v>2291</v>
      </c>
      <c r="AB270" s="51"/>
      <c r="AC270" s="146" t="s">
        <v>1429</v>
      </c>
      <c r="AD270" s="98"/>
      <c r="AE270" s="83"/>
      <c r="AF270" s="83"/>
      <c r="AG270" s="83"/>
      <c r="AH270" s="86"/>
      <c r="AI270" s="86"/>
      <c r="AJ270" s="87"/>
      <c r="AK270" s="87"/>
      <c r="AL270" s="87"/>
      <c r="AM270" s="87"/>
      <c r="AN270" s="87"/>
      <c r="AO270" s="87"/>
      <c r="AP270" s="87"/>
      <c r="AQ270" s="229" t="s">
        <v>1023</v>
      </c>
      <c r="AR270" s="5"/>
      <c r="AS270" s="5"/>
      <c r="AT270" s="5"/>
      <c r="AU270" s="5"/>
      <c r="AV270" s="5"/>
      <c r="AW270" s="5"/>
      <c r="AX270" s="284"/>
      <c r="AY270" s="5"/>
      <c r="AZ270" s="5"/>
      <c r="BA270" s="230"/>
      <c r="BB270" s="5"/>
      <c r="BC270" s="232" t="s">
        <v>1023</v>
      </c>
      <c r="BD270" s="257"/>
      <c r="BE270" s="249"/>
      <c r="BF270" s="249"/>
      <c r="BG270" s="249"/>
      <c r="BH270" s="249"/>
      <c r="BI270" s="249"/>
      <c r="BJ270" s="249"/>
      <c r="BK270" s="249"/>
      <c r="BL270" s="249"/>
      <c r="BM270" s="249"/>
      <c r="BN270" s="249"/>
      <c r="BO270" s="249"/>
      <c r="BP270" s="249"/>
      <c r="BQ270" s="249"/>
      <c r="BR270" s="249"/>
      <c r="BS270" s="249"/>
      <c r="BT270" s="249"/>
      <c r="BU270" s="249"/>
      <c r="BV270" s="249"/>
      <c r="BW270" s="249"/>
      <c r="BX270" s="249"/>
      <c r="BY270" s="249"/>
      <c r="BZ270" s="249"/>
      <c r="CA270" s="249"/>
      <c r="CB270" s="249"/>
      <c r="CC270" s="249"/>
      <c r="CD270" s="249"/>
      <c r="CE270" s="249"/>
    </row>
    <row r="271" spans="1:83" s="84" customFormat="1" ht="12.95" customHeight="1">
      <c r="A271" s="84" t="s">
        <v>3381</v>
      </c>
      <c r="B271" s="84" t="s">
        <v>2193</v>
      </c>
      <c r="C271" s="79" t="s">
        <v>1024</v>
      </c>
      <c r="D271" s="52" t="s">
        <v>2339</v>
      </c>
      <c r="E271" s="52" t="s">
        <v>2340</v>
      </c>
      <c r="F271" s="53" t="s">
        <v>1317</v>
      </c>
      <c r="G271" s="179" t="s">
        <v>1429</v>
      </c>
      <c r="H271" s="180" t="s">
        <v>1024</v>
      </c>
      <c r="I271" s="55" t="s">
        <v>1429</v>
      </c>
      <c r="J271" s="55" t="s">
        <v>1429</v>
      </c>
      <c r="K271" s="56" t="s">
        <v>1429</v>
      </c>
      <c r="L271" s="54" t="s">
        <v>1429</v>
      </c>
      <c r="M271" s="55" t="s">
        <v>1581</v>
      </c>
      <c r="N271" s="55" t="s">
        <v>1429</v>
      </c>
      <c r="O271" s="55" t="s">
        <v>1429</v>
      </c>
      <c r="P271" s="56" t="s">
        <v>1429</v>
      </c>
      <c r="Q271" s="85"/>
      <c r="R271" s="85"/>
      <c r="S271" s="85"/>
      <c r="T271" s="85"/>
      <c r="U271" s="85"/>
      <c r="V271" s="146" t="s">
        <v>2341</v>
      </c>
      <c r="W271" s="51" t="s">
        <v>2290</v>
      </c>
      <c r="X271" s="130" t="s">
        <v>1429</v>
      </c>
      <c r="Y271" s="130" t="s">
        <v>1429</v>
      </c>
      <c r="Z271" s="51"/>
      <c r="AA271" s="51" t="s">
        <v>2291</v>
      </c>
      <c r="AB271" s="51"/>
      <c r="AC271" s="146" t="s">
        <v>1429</v>
      </c>
      <c r="AD271" s="98"/>
      <c r="AE271" s="83"/>
      <c r="AF271" s="83"/>
      <c r="AG271" s="83"/>
      <c r="AH271" s="86"/>
      <c r="AI271" s="86"/>
      <c r="AJ271" s="87"/>
      <c r="AK271" s="87"/>
      <c r="AL271" s="87"/>
      <c r="AM271" s="87"/>
      <c r="AN271" s="87"/>
      <c r="AO271" s="87"/>
      <c r="AP271" s="87"/>
      <c r="AQ271" s="229" t="s">
        <v>1024</v>
      </c>
      <c r="AR271" s="5"/>
      <c r="AS271" s="5"/>
      <c r="AT271" s="5"/>
      <c r="AU271" s="5"/>
      <c r="AV271" s="5"/>
      <c r="AW271" s="5"/>
      <c r="AX271" s="284"/>
      <c r="AY271" s="5"/>
      <c r="AZ271" s="5"/>
      <c r="BA271" s="230"/>
      <c r="BB271" s="5"/>
      <c r="BC271" s="232" t="s">
        <v>1024</v>
      </c>
      <c r="BD271" s="257"/>
      <c r="BE271" s="249"/>
      <c r="BF271" s="249"/>
      <c r="BG271" s="249"/>
      <c r="BH271" s="249"/>
      <c r="BI271" s="249"/>
      <c r="BJ271" s="249"/>
      <c r="BK271" s="249"/>
      <c r="BL271" s="249"/>
      <c r="BM271" s="249"/>
      <c r="BN271" s="249"/>
      <c r="BO271" s="249"/>
      <c r="BP271" s="249"/>
      <c r="BQ271" s="249"/>
      <c r="BR271" s="249"/>
      <c r="BS271" s="249"/>
      <c r="BT271" s="249"/>
      <c r="BU271" s="249"/>
      <c r="BV271" s="249"/>
      <c r="BW271" s="249"/>
      <c r="BX271" s="249"/>
      <c r="BY271" s="249"/>
      <c r="BZ271" s="249"/>
      <c r="CA271" s="249"/>
      <c r="CB271" s="249"/>
      <c r="CC271" s="249"/>
      <c r="CD271" s="249"/>
      <c r="CE271" s="249"/>
    </row>
    <row r="272" spans="1:83" s="84" customFormat="1" ht="12.95" customHeight="1">
      <c r="A272" s="84" t="s">
        <v>3382</v>
      </c>
      <c r="B272" s="84" t="s">
        <v>2197</v>
      </c>
      <c r="C272" s="79" t="s">
        <v>1025</v>
      </c>
      <c r="D272" s="52" t="s">
        <v>2342</v>
      </c>
      <c r="E272" s="52" t="s">
        <v>2324</v>
      </c>
      <c r="F272" s="53" t="s">
        <v>1318</v>
      </c>
      <c r="G272" s="179" t="s">
        <v>1429</v>
      </c>
      <c r="H272" s="180" t="s">
        <v>1025</v>
      </c>
      <c r="I272" s="55" t="s">
        <v>1429</v>
      </c>
      <c r="J272" s="55" t="s">
        <v>1429</v>
      </c>
      <c r="K272" s="56" t="s">
        <v>1429</v>
      </c>
      <c r="L272" s="54" t="s">
        <v>1429</v>
      </c>
      <c r="M272" s="55" t="s">
        <v>1581</v>
      </c>
      <c r="N272" s="55" t="s">
        <v>1429</v>
      </c>
      <c r="O272" s="55" t="s">
        <v>1429</v>
      </c>
      <c r="P272" s="56" t="s">
        <v>1429</v>
      </c>
      <c r="Q272" s="85"/>
      <c r="R272" s="85"/>
      <c r="S272" s="85"/>
      <c r="T272" s="85"/>
      <c r="U272" s="85"/>
      <c r="V272" s="146" t="s">
        <v>2343</v>
      </c>
      <c r="W272" s="51" t="s">
        <v>2290</v>
      </c>
      <c r="X272" s="130" t="s">
        <v>1429</v>
      </c>
      <c r="Y272" s="130" t="s">
        <v>1429</v>
      </c>
      <c r="Z272" s="51"/>
      <c r="AA272" s="51" t="s">
        <v>2291</v>
      </c>
      <c r="AB272" s="51"/>
      <c r="AC272" s="146" t="s">
        <v>1429</v>
      </c>
      <c r="AD272" s="98"/>
      <c r="AE272" s="83"/>
      <c r="AF272" s="83"/>
      <c r="AG272" s="83"/>
      <c r="AH272" s="86"/>
      <c r="AI272" s="86"/>
      <c r="AJ272" s="87"/>
      <c r="AK272" s="87"/>
      <c r="AL272" s="87"/>
      <c r="AM272" s="87"/>
      <c r="AN272" s="87"/>
      <c r="AO272" s="87"/>
      <c r="AP272" s="87"/>
      <c r="AQ272" s="229" t="s">
        <v>1025</v>
      </c>
      <c r="AR272" s="5"/>
      <c r="AS272" s="5"/>
      <c r="AT272" s="5"/>
      <c r="AU272" s="5"/>
      <c r="AV272" s="5"/>
      <c r="AW272" s="5"/>
      <c r="AX272" s="284"/>
      <c r="AY272" s="5"/>
      <c r="AZ272" s="5"/>
      <c r="BA272" s="230"/>
      <c r="BB272" s="5"/>
      <c r="BC272" s="232" t="s">
        <v>1025</v>
      </c>
      <c r="BD272" s="257"/>
      <c r="BE272" s="249"/>
      <c r="BF272" s="249"/>
      <c r="BG272" s="249"/>
      <c r="BH272" s="249"/>
      <c r="BI272" s="249"/>
      <c r="BJ272" s="249"/>
      <c r="BK272" s="249"/>
      <c r="BL272" s="249"/>
      <c r="BM272" s="249"/>
      <c r="BN272" s="249"/>
      <c r="BO272" s="249"/>
      <c r="BP272" s="249"/>
      <c r="BQ272" s="249"/>
      <c r="BR272" s="249"/>
      <c r="BS272" s="249"/>
      <c r="BT272" s="249"/>
      <c r="BU272" s="249"/>
      <c r="BV272" s="249"/>
      <c r="BW272" s="249"/>
      <c r="BX272" s="249"/>
      <c r="BY272" s="249"/>
      <c r="BZ272" s="249"/>
      <c r="CA272" s="249"/>
      <c r="CB272" s="249"/>
      <c r="CC272" s="249"/>
      <c r="CD272" s="249"/>
      <c r="CE272" s="249"/>
    </row>
    <row r="273" spans="1:83" s="84" customFormat="1" ht="12.95" customHeight="1">
      <c r="A273" s="84" t="s">
        <v>3383</v>
      </c>
      <c r="B273" s="84" t="s">
        <v>1930</v>
      </c>
      <c r="C273" s="79" t="s">
        <v>1026</v>
      </c>
      <c r="D273" s="52" t="s">
        <v>2344</v>
      </c>
      <c r="E273" s="52" t="s">
        <v>2322</v>
      </c>
      <c r="F273" s="53" t="s">
        <v>1319</v>
      </c>
      <c r="G273" s="179" t="s">
        <v>1429</v>
      </c>
      <c r="H273" s="180" t="s">
        <v>1026</v>
      </c>
      <c r="I273" s="55" t="s">
        <v>1429</v>
      </c>
      <c r="J273" s="55" t="s">
        <v>1429</v>
      </c>
      <c r="K273" s="56" t="s">
        <v>1429</v>
      </c>
      <c r="L273" s="54" t="s">
        <v>1429</v>
      </c>
      <c r="M273" s="55" t="s">
        <v>1581</v>
      </c>
      <c r="N273" s="55" t="s">
        <v>1429</v>
      </c>
      <c r="O273" s="55" t="s">
        <v>1429</v>
      </c>
      <c r="P273" s="56" t="s">
        <v>1429</v>
      </c>
      <c r="Q273" s="85"/>
      <c r="R273" s="85"/>
      <c r="S273" s="85"/>
      <c r="T273" s="85"/>
      <c r="U273" s="85"/>
      <c r="V273" s="146" t="s">
        <v>2345</v>
      </c>
      <c r="W273" s="51" t="s">
        <v>2290</v>
      </c>
      <c r="X273" s="130" t="s">
        <v>1429</v>
      </c>
      <c r="Y273" s="130" t="s">
        <v>1429</v>
      </c>
      <c r="Z273" s="51"/>
      <c r="AA273" s="51" t="s">
        <v>2291</v>
      </c>
      <c r="AB273" s="51"/>
      <c r="AC273" s="146" t="s">
        <v>1429</v>
      </c>
      <c r="AD273" s="98"/>
      <c r="AE273" s="83"/>
      <c r="AF273" s="83"/>
      <c r="AG273" s="83"/>
      <c r="AH273" s="86"/>
      <c r="AI273" s="86"/>
      <c r="AJ273" s="87"/>
      <c r="AK273" s="87"/>
      <c r="AL273" s="87"/>
      <c r="AM273" s="87"/>
      <c r="AN273" s="87"/>
      <c r="AO273" s="87"/>
      <c r="AP273" s="87"/>
      <c r="AQ273" s="229" t="s">
        <v>1026</v>
      </c>
      <c r="AR273" s="5"/>
      <c r="AS273" s="5"/>
      <c r="AT273" s="5"/>
      <c r="AU273" s="5"/>
      <c r="AV273" s="5"/>
      <c r="AW273" s="5"/>
      <c r="AX273" s="284"/>
      <c r="AY273" s="5"/>
      <c r="AZ273" s="5"/>
      <c r="BA273" s="230"/>
      <c r="BB273" s="5"/>
      <c r="BC273" s="258" t="s">
        <v>1026</v>
      </c>
      <c r="BD273" s="259"/>
      <c r="BE273" s="249"/>
      <c r="BF273" s="249"/>
      <c r="BG273" s="249"/>
      <c r="BH273" s="249"/>
      <c r="BI273" s="249"/>
      <c r="BJ273" s="249"/>
      <c r="BK273" s="249"/>
      <c r="BL273" s="249"/>
      <c r="BM273" s="249"/>
      <c r="BN273" s="249"/>
      <c r="BO273" s="249"/>
      <c r="BP273" s="249"/>
      <c r="BQ273" s="249"/>
      <c r="BR273" s="249"/>
      <c r="BS273" s="249"/>
      <c r="BT273" s="249"/>
      <c r="BU273" s="249"/>
      <c r="BV273" s="249"/>
      <c r="BW273" s="249"/>
      <c r="BX273" s="249"/>
      <c r="BY273" s="249"/>
      <c r="BZ273" s="249"/>
      <c r="CA273" s="249"/>
      <c r="CB273" s="249"/>
      <c r="CC273" s="249"/>
      <c r="CD273" s="249"/>
      <c r="CE273" s="249"/>
    </row>
    <row r="274" spans="1:83" s="84" customFormat="1" ht="12.95" customHeight="1">
      <c r="A274" s="84" t="s">
        <v>3384</v>
      </c>
      <c r="B274" s="84" t="s">
        <v>2194</v>
      </c>
      <c r="C274" s="79" t="s">
        <v>172</v>
      </c>
      <c r="D274" s="52" t="s">
        <v>2346</v>
      </c>
      <c r="E274" s="52" t="s">
        <v>2333</v>
      </c>
      <c r="F274" s="53" t="s">
        <v>173</v>
      </c>
      <c r="G274" s="179" t="s">
        <v>1429</v>
      </c>
      <c r="H274" s="180" t="s">
        <v>172</v>
      </c>
      <c r="I274" s="55" t="s">
        <v>1429</v>
      </c>
      <c r="J274" s="55" t="s">
        <v>1429</v>
      </c>
      <c r="K274" s="56" t="s">
        <v>1429</v>
      </c>
      <c r="L274" s="54" t="s">
        <v>1429</v>
      </c>
      <c r="M274" s="55" t="s">
        <v>1590</v>
      </c>
      <c r="N274" s="55" t="s">
        <v>1429</v>
      </c>
      <c r="O274" s="55" t="s">
        <v>1429</v>
      </c>
      <c r="P274" s="56" t="s">
        <v>1429</v>
      </c>
      <c r="Q274" s="85"/>
      <c r="R274" s="85"/>
      <c r="S274" s="85"/>
      <c r="T274" s="85"/>
      <c r="U274" s="85"/>
      <c r="V274" s="146" t="s">
        <v>2347</v>
      </c>
      <c r="W274" s="51" t="s">
        <v>2290</v>
      </c>
      <c r="X274" s="130" t="s">
        <v>1429</v>
      </c>
      <c r="Y274" s="130" t="s">
        <v>1429</v>
      </c>
      <c r="Z274" s="51"/>
      <c r="AA274" s="51" t="s">
        <v>2348</v>
      </c>
      <c r="AB274" s="51"/>
      <c r="AC274" s="146" t="s">
        <v>1633</v>
      </c>
      <c r="AD274" s="98"/>
      <c r="AE274" s="83"/>
      <c r="AF274" s="83"/>
      <c r="AG274" s="83"/>
      <c r="AH274" s="86"/>
      <c r="AI274" s="86"/>
      <c r="AJ274" s="87"/>
      <c r="AK274" s="87"/>
      <c r="AL274" s="87"/>
      <c r="AM274" s="87"/>
      <c r="AN274" s="87"/>
      <c r="AO274" s="87"/>
      <c r="AP274" s="87"/>
      <c r="AQ274" s="229" t="s">
        <v>172</v>
      </c>
      <c r="AR274" s="5"/>
      <c r="AS274" s="5"/>
      <c r="AT274" s="5"/>
      <c r="AU274" s="5"/>
      <c r="AV274" s="5"/>
      <c r="AW274" s="5"/>
      <c r="AX274" s="284"/>
      <c r="AY274" s="5"/>
      <c r="AZ274" s="5"/>
      <c r="BA274" s="230"/>
      <c r="BB274" s="215"/>
      <c r="BC274" s="260" t="s">
        <v>172</v>
      </c>
      <c r="BD274" s="261"/>
      <c r="BE274" s="249"/>
      <c r="BF274" s="249"/>
      <c r="BG274" s="249"/>
      <c r="BH274" s="249"/>
      <c r="BI274" s="249"/>
      <c r="BJ274" s="249"/>
      <c r="BK274" s="249"/>
      <c r="BL274" s="249"/>
      <c r="BM274" s="249"/>
      <c r="BN274" s="249"/>
      <c r="BO274" s="249"/>
      <c r="BP274" s="249"/>
      <c r="BQ274" s="249"/>
      <c r="BR274" s="249"/>
      <c r="BS274" s="249"/>
      <c r="BT274" s="249"/>
      <c r="BU274" s="249"/>
      <c r="BV274" s="249"/>
      <c r="BW274" s="249"/>
      <c r="BX274" s="249"/>
      <c r="BY274" s="249"/>
      <c r="BZ274" s="249"/>
      <c r="CA274" s="249"/>
      <c r="CB274" s="249"/>
      <c r="CC274" s="249"/>
      <c r="CD274" s="249"/>
      <c r="CE274" s="249"/>
    </row>
    <row r="275" spans="1:83" s="84" customFormat="1" ht="12.95" customHeight="1">
      <c r="A275" s="84" t="s">
        <v>3385</v>
      </c>
      <c r="B275" s="84" t="s">
        <v>3610</v>
      </c>
      <c r="C275" s="79" t="s">
        <v>174</v>
      </c>
      <c r="D275" s="52" t="s">
        <v>2349</v>
      </c>
      <c r="E275" s="52" t="s">
        <v>2335</v>
      </c>
      <c r="F275" s="53" t="s">
        <v>175</v>
      </c>
      <c r="G275" s="179" t="s">
        <v>1429</v>
      </c>
      <c r="H275" s="180" t="s">
        <v>174</v>
      </c>
      <c r="I275" s="55" t="s">
        <v>1429</v>
      </c>
      <c r="J275" s="55" t="s">
        <v>1429</v>
      </c>
      <c r="K275" s="56" t="s">
        <v>1429</v>
      </c>
      <c r="L275" s="54" t="s">
        <v>1429</v>
      </c>
      <c r="M275" s="55" t="s">
        <v>1590</v>
      </c>
      <c r="N275" s="55" t="s">
        <v>1429</v>
      </c>
      <c r="O275" s="55" t="s">
        <v>1429</v>
      </c>
      <c r="P275" s="56" t="s">
        <v>1429</v>
      </c>
      <c r="Q275" s="85"/>
      <c r="R275" s="85"/>
      <c r="S275" s="85"/>
      <c r="T275" s="85"/>
      <c r="U275" s="85"/>
      <c r="V275" s="146" t="s">
        <v>2350</v>
      </c>
      <c r="W275" s="51" t="s">
        <v>2290</v>
      </c>
      <c r="X275" s="130" t="s">
        <v>1429</v>
      </c>
      <c r="Y275" s="130" t="s">
        <v>1429</v>
      </c>
      <c r="Z275" s="51"/>
      <c r="AA275" s="51" t="s">
        <v>2348</v>
      </c>
      <c r="AB275" s="51"/>
      <c r="AC275" s="146" t="s">
        <v>1633</v>
      </c>
      <c r="AD275" s="98"/>
      <c r="AE275" s="83"/>
      <c r="AF275" s="83"/>
      <c r="AG275" s="83"/>
      <c r="AH275" s="86"/>
      <c r="AI275" s="86"/>
      <c r="AJ275" s="87"/>
      <c r="AK275" s="87"/>
      <c r="AL275" s="87"/>
      <c r="AM275" s="87"/>
      <c r="AN275" s="87"/>
      <c r="AO275" s="87"/>
      <c r="AP275" s="87"/>
      <c r="AQ275" s="229" t="s">
        <v>174</v>
      </c>
      <c r="AR275" s="5"/>
      <c r="AS275" s="5"/>
      <c r="AT275" s="5"/>
      <c r="AU275" s="5"/>
      <c r="AV275" s="5"/>
      <c r="AW275" s="5"/>
      <c r="AX275" s="284"/>
      <c r="AY275" s="5"/>
      <c r="AZ275" s="5"/>
      <c r="BA275" s="230"/>
      <c r="BB275" s="5"/>
      <c r="BC275" s="232" t="s">
        <v>174</v>
      </c>
      <c r="BD275" s="262"/>
      <c r="BE275" s="249"/>
      <c r="BF275" s="249"/>
      <c r="BG275" s="249"/>
      <c r="BH275" s="249"/>
      <c r="BI275" s="249"/>
      <c r="BJ275" s="249"/>
      <c r="BK275" s="249"/>
      <c r="BL275" s="249"/>
      <c r="BM275" s="249"/>
      <c r="BN275" s="249"/>
      <c r="BO275" s="249"/>
      <c r="BP275" s="249"/>
      <c r="BQ275" s="249"/>
      <c r="BR275" s="249"/>
      <c r="BS275" s="249"/>
      <c r="BT275" s="249"/>
      <c r="BU275" s="249"/>
      <c r="BV275" s="249"/>
      <c r="BW275" s="249"/>
      <c r="BX275" s="249"/>
      <c r="BY275" s="249"/>
      <c r="BZ275" s="249"/>
      <c r="CA275" s="249"/>
      <c r="CB275" s="249"/>
      <c r="CC275" s="249"/>
      <c r="CD275" s="249"/>
      <c r="CE275" s="249"/>
    </row>
    <row r="276" spans="1:83" s="84" customFormat="1" ht="12.95" customHeight="1">
      <c r="A276" s="84" t="s">
        <v>3386</v>
      </c>
      <c r="B276" s="84" t="s">
        <v>2183</v>
      </c>
      <c r="C276" s="79" t="s">
        <v>176</v>
      </c>
      <c r="D276" s="52" t="s">
        <v>2351</v>
      </c>
      <c r="E276" s="52" t="s">
        <v>2337</v>
      </c>
      <c r="F276" s="53" t="s">
        <v>177</v>
      </c>
      <c r="G276" s="179" t="s">
        <v>1429</v>
      </c>
      <c r="H276" s="180" t="s">
        <v>176</v>
      </c>
      <c r="I276" s="55" t="s">
        <v>1429</v>
      </c>
      <c r="J276" s="55" t="s">
        <v>1429</v>
      </c>
      <c r="K276" s="56" t="s">
        <v>1429</v>
      </c>
      <c r="L276" s="54" t="s">
        <v>1429</v>
      </c>
      <c r="M276" s="55" t="s">
        <v>1590</v>
      </c>
      <c r="N276" s="55" t="s">
        <v>1429</v>
      </c>
      <c r="O276" s="55" t="s">
        <v>1429</v>
      </c>
      <c r="P276" s="56" t="s">
        <v>1429</v>
      </c>
      <c r="Q276" s="85"/>
      <c r="R276" s="85"/>
      <c r="S276" s="85"/>
      <c r="T276" s="85"/>
      <c r="U276" s="85"/>
      <c r="V276" s="146" t="s">
        <v>2352</v>
      </c>
      <c r="W276" s="51" t="s">
        <v>2290</v>
      </c>
      <c r="X276" s="130" t="s">
        <v>1429</v>
      </c>
      <c r="Y276" s="130" t="s">
        <v>1429</v>
      </c>
      <c r="Z276" s="51"/>
      <c r="AA276" s="51" t="s">
        <v>2348</v>
      </c>
      <c r="AB276" s="51"/>
      <c r="AC276" s="146" t="s">
        <v>1633</v>
      </c>
      <c r="AD276" s="98"/>
      <c r="AE276" s="83"/>
      <c r="AF276" s="83"/>
      <c r="AG276" s="83"/>
      <c r="AH276" s="86"/>
      <c r="AI276" s="86"/>
      <c r="AJ276" s="87"/>
      <c r="AK276" s="87"/>
      <c r="AL276" s="87"/>
      <c r="AM276" s="87"/>
      <c r="AN276" s="87"/>
      <c r="AO276" s="87"/>
      <c r="AP276" s="87"/>
      <c r="AQ276" s="229" t="s">
        <v>176</v>
      </c>
      <c r="AR276" s="5"/>
      <c r="AS276" s="5"/>
      <c r="AT276" s="5"/>
      <c r="AU276" s="5"/>
      <c r="AV276" s="5"/>
      <c r="AW276" s="5"/>
      <c r="AX276" s="284"/>
      <c r="AY276" s="5"/>
      <c r="AZ276" s="5"/>
      <c r="BA276" s="230"/>
      <c r="BB276" s="5"/>
      <c r="BC276" s="232" t="s">
        <v>176</v>
      </c>
      <c r="BD276" s="262"/>
      <c r="BE276" s="249"/>
      <c r="BF276" s="249"/>
      <c r="BG276" s="249"/>
      <c r="BH276" s="249"/>
      <c r="BI276" s="249"/>
      <c r="BJ276" s="249"/>
      <c r="BK276" s="249"/>
      <c r="BL276" s="249"/>
      <c r="BM276" s="249"/>
      <c r="BN276" s="249"/>
      <c r="BO276" s="249"/>
      <c r="BP276" s="249"/>
      <c r="BQ276" s="249"/>
      <c r="BR276" s="249"/>
      <c r="BS276" s="249"/>
      <c r="BT276" s="249"/>
      <c r="BU276" s="249"/>
      <c r="BV276" s="249"/>
      <c r="BW276" s="249"/>
      <c r="BX276" s="249"/>
      <c r="BY276" s="249"/>
      <c r="BZ276" s="249"/>
      <c r="CA276" s="249"/>
      <c r="CB276" s="249"/>
      <c r="CC276" s="249"/>
      <c r="CD276" s="249"/>
      <c r="CE276" s="249"/>
    </row>
    <row r="277" spans="1:83" s="84" customFormat="1" ht="12.95" customHeight="1">
      <c r="A277" s="84" t="s">
        <v>3387</v>
      </c>
      <c r="B277" s="84" t="s">
        <v>2190</v>
      </c>
      <c r="C277" s="79" t="s">
        <v>178</v>
      </c>
      <c r="D277" s="52" t="s">
        <v>2353</v>
      </c>
      <c r="E277" s="52" t="s">
        <v>2339</v>
      </c>
      <c r="F277" s="53" t="s">
        <v>179</v>
      </c>
      <c r="G277" s="179" t="s">
        <v>1429</v>
      </c>
      <c r="H277" s="180" t="s">
        <v>178</v>
      </c>
      <c r="I277" s="55" t="s">
        <v>1429</v>
      </c>
      <c r="J277" s="55" t="s">
        <v>1429</v>
      </c>
      <c r="K277" s="56" t="s">
        <v>1429</v>
      </c>
      <c r="L277" s="54" t="s">
        <v>1429</v>
      </c>
      <c r="M277" s="55" t="s">
        <v>1590</v>
      </c>
      <c r="N277" s="55" t="s">
        <v>1429</v>
      </c>
      <c r="O277" s="55" t="s">
        <v>1429</v>
      </c>
      <c r="P277" s="56" t="s">
        <v>1429</v>
      </c>
      <c r="Q277" s="85"/>
      <c r="R277" s="85"/>
      <c r="S277" s="85"/>
      <c r="T277" s="85"/>
      <c r="U277" s="85"/>
      <c r="V277" s="146" t="s">
        <v>2354</v>
      </c>
      <c r="W277" s="51" t="s">
        <v>2290</v>
      </c>
      <c r="X277" s="130" t="s">
        <v>1429</v>
      </c>
      <c r="Y277" s="130" t="s">
        <v>1429</v>
      </c>
      <c r="Z277" s="51"/>
      <c r="AA277" s="51" t="s">
        <v>2348</v>
      </c>
      <c r="AB277" s="51"/>
      <c r="AC277" s="146" t="s">
        <v>1633</v>
      </c>
      <c r="AD277" s="98"/>
      <c r="AE277" s="83"/>
      <c r="AF277" s="83"/>
      <c r="AG277" s="83"/>
      <c r="AH277" s="86"/>
      <c r="AI277" s="86"/>
      <c r="AJ277" s="87"/>
      <c r="AK277" s="87"/>
      <c r="AL277" s="87"/>
      <c r="AM277" s="87"/>
      <c r="AN277" s="87"/>
      <c r="AO277" s="87"/>
      <c r="AP277" s="87"/>
      <c r="AQ277" s="229" t="s">
        <v>178</v>
      </c>
      <c r="AR277" s="5"/>
      <c r="AS277" s="5"/>
      <c r="AT277" s="5"/>
      <c r="AU277" s="5"/>
      <c r="AV277" s="5"/>
      <c r="AW277" s="5"/>
      <c r="AX277" s="284"/>
      <c r="AY277" s="5"/>
      <c r="AZ277" s="5"/>
      <c r="BA277" s="230"/>
      <c r="BB277" s="5"/>
      <c r="BC277" s="232" t="s">
        <v>178</v>
      </c>
      <c r="BD277" s="262"/>
      <c r="BE277" s="249"/>
      <c r="BF277" s="249"/>
      <c r="BG277" s="249"/>
      <c r="BH277" s="249"/>
      <c r="BI277" s="249"/>
      <c r="BJ277" s="249"/>
      <c r="BK277" s="249"/>
      <c r="BL277" s="249"/>
      <c r="BM277" s="249"/>
      <c r="BN277" s="249"/>
      <c r="BO277" s="249"/>
      <c r="BP277" s="249"/>
      <c r="BQ277" s="249"/>
      <c r="BR277" s="249"/>
      <c r="BS277" s="249"/>
      <c r="BT277" s="249"/>
      <c r="BU277" s="249"/>
      <c r="BV277" s="249"/>
      <c r="BW277" s="249"/>
      <c r="BX277" s="249"/>
      <c r="BY277" s="249"/>
      <c r="BZ277" s="249"/>
      <c r="CA277" s="249"/>
      <c r="CB277" s="249"/>
      <c r="CC277" s="249"/>
      <c r="CD277" s="249"/>
      <c r="CE277" s="249"/>
    </row>
    <row r="278" spans="1:83" s="84" customFormat="1" ht="12.95" customHeight="1">
      <c r="A278" s="84" t="s">
        <v>3388</v>
      </c>
      <c r="B278" s="84" t="s">
        <v>3627</v>
      </c>
      <c r="C278" s="79" t="s">
        <v>180</v>
      </c>
      <c r="D278" s="52" t="s">
        <v>2355</v>
      </c>
      <c r="E278" s="52" t="s">
        <v>2342</v>
      </c>
      <c r="F278" s="53" t="s">
        <v>181</v>
      </c>
      <c r="G278" s="179" t="s">
        <v>1429</v>
      </c>
      <c r="H278" s="180" t="s">
        <v>180</v>
      </c>
      <c r="I278" s="55" t="s">
        <v>1429</v>
      </c>
      <c r="J278" s="55" t="s">
        <v>1429</v>
      </c>
      <c r="K278" s="56" t="s">
        <v>1429</v>
      </c>
      <c r="L278" s="54" t="s">
        <v>1429</v>
      </c>
      <c r="M278" s="55" t="s">
        <v>1590</v>
      </c>
      <c r="N278" s="55" t="s">
        <v>1429</v>
      </c>
      <c r="O278" s="55" t="s">
        <v>1429</v>
      </c>
      <c r="P278" s="56" t="s">
        <v>1429</v>
      </c>
      <c r="Q278" s="85"/>
      <c r="R278" s="85"/>
      <c r="S278" s="85"/>
      <c r="T278" s="85"/>
      <c r="U278" s="85"/>
      <c r="V278" s="146" t="s">
        <v>2356</v>
      </c>
      <c r="W278" s="51" t="s">
        <v>2290</v>
      </c>
      <c r="X278" s="130" t="s">
        <v>1429</v>
      </c>
      <c r="Y278" s="130" t="s">
        <v>1429</v>
      </c>
      <c r="Z278" s="51"/>
      <c r="AA278" s="51" t="s">
        <v>2348</v>
      </c>
      <c r="AB278" s="51"/>
      <c r="AC278" s="146" t="s">
        <v>1633</v>
      </c>
      <c r="AD278" s="98"/>
      <c r="AE278" s="83"/>
      <c r="AF278" s="83"/>
      <c r="AG278" s="83"/>
      <c r="AH278" s="86"/>
      <c r="AI278" s="86"/>
      <c r="AJ278" s="87"/>
      <c r="AK278" s="87"/>
      <c r="AL278" s="87"/>
      <c r="AM278" s="87"/>
      <c r="AN278" s="87"/>
      <c r="AO278" s="87"/>
      <c r="AP278" s="87"/>
      <c r="AQ278" s="229" t="s">
        <v>180</v>
      </c>
      <c r="AR278" s="5"/>
      <c r="AS278" s="5"/>
      <c r="AT278" s="5"/>
      <c r="AU278" s="5"/>
      <c r="AV278" s="5"/>
      <c r="AW278" s="5"/>
      <c r="AX278" s="284"/>
      <c r="AY278" s="5"/>
      <c r="AZ278" s="5"/>
      <c r="BA278" s="230"/>
      <c r="BB278" s="5"/>
      <c r="BC278" s="232" t="s">
        <v>180</v>
      </c>
      <c r="BD278" s="262"/>
      <c r="BE278" s="249"/>
      <c r="BF278" s="249"/>
      <c r="BG278" s="249"/>
      <c r="BH278" s="249"/>
      <c r="BI278" s="249"/>
      <c r="BJ278" s="249"/>
      <c r="BK278" s="249"/>
      <c r="BL278" s="249"/>
      <c r="BM278" s="249"/>
      <c r="BN278" s="249"/>
      <c r="BO278" s="249"/>
      <c r="BP278" s="249"/>
      <c r="BQ278" s="249"/>
      <c r="BR278" s="249"/>
      <c r="BS278" s="249"/>
      <c r="BT278" s="249"/>
      <c r="BU278" s="249"/>
      <c r="BV278" s="249"/>
      <c r="BW278" s="249"/>
      <c r="BX278" s="249"/>
      <c r="BY278" s="249"/>
      <c r="BZ278" s="249"/>
      <c r="CA278" s="249"/>
      <c r="CB278" s="249"/>
      <c r="CC278" s="249"/>
      <c r="CD278" s="249"/>
      <c r="CE278" s="249"/>
    </row>
    <row r="279" spans="1:83" s="84" customFormat="1" ht="12.95" customHeight="1">
      <c r="A279" s="84" t="s">
        <v>3389</v>
      </c>
      <c r="B279" s="84" t="s">
        <v>2200</v>
      </c>
      <c r="C279" s="79" t="s">
        <v>182</v>
      </c>
      <c r="D279" s="52" t="s">
        <v>2357</v>
      </c>
      <c r="E279" s="52" t="s">
        <v>2344</v>
      </c>
      <c r="F279" s="53" t="s">
        <v>183</v>
      </c>
      <c r="G279" s="179" t="s">
        <v>1429</v>
      </c>
      <c r="H279" s="180" t="s">
        <v>182</v>
      </c>
      <c r="I279" s="55" t="s">
        <v>1429</v>
      </c>
      <c r="J279" s="55" t="s">
        <v>1429</v>
      </c>
      <c r="K279" s="56" t="s">
        <v>1429</v>
      </c>
      <c r="L279" s="54" t="s">
        <v>1429</v>
      </c>
      <c r="M279" s="55" t="s">
        <v>1590</v>
      </c>
      <c r="N279" s="55" t="s">
        <v>1429</v>
      </c>
      <c r="O279" s="55" t="s">
        <v>1429</v>
      </c>
      <c r="P279" s="56" t="s">
        <v>1429</v>
      </c>
      <c r="Q279" s="85"/>
      <c r="R279" s="85"/>
      <c r="S279" s="85"/>
      <c r="T279" s="85"/>
      <c r="U279" s="85"/>
      <c r="V279" s="146" t="s">
        <v>2358</v>
      </c>
      <c r="W279" s="51" t="s">
        <v>2290</v>
      </c>
      <c r="X279" s="130" t="s">
        <v>1429</v>
      </c>
      <c r="Y279" s="130" t="s">
        <v>1429</v>
      </c>
      <c r="Z279" s="51"/>
      <c r="AA279" s="51" t="s">
        <v>2348</v>
      </c>
      <c r="AB279" s="51"/>
      <c r="AC279" s="146" t="s">
        <v>1633</v>
      </c>
      <c r="AD279" s="98"/>
      <c r="AE279" s="83"/>
      <c r="AF279" s="83"/>
      <c r="AG279" s="83"/>
      <c r="AH279" s="86"/>
      <c r="AI279" s="86"/>
      <c r="AJ279" s="87"/>
      <c r="AK279" s="87"/>
      <c r="AL279" s="87"/>
      <c r="AM279" s="87"/>
      <c r="AN279" s="87"/>
      <c r="AO279" s="87"/>
      <c r="AP279" s="87"/>
      <c r="AQ279" s="229" t="s">
        <v>182</v>
      </c>
      <c r="AR279" s="5"/>
      <c r="AS279" s="5"/>
      <c r="AT279" s="5"/>
      <c r="AU279" s="5"/>
      <c r="AV279" s="5"/>
      <c r="AW279" s="5"/>
      <c r="AX279" s="284"/>
      <c r="AY279" s="5"/>
      <c r="AZ279" s="5"/>
      <c r="BA279" s="230"/>
      <c r="BB279" s="5"/>
      <c r="BC279" s="258" t="s">
        <v>182</v>
      </c>
      <c r="BD279" s="262"/>
      <c r="BE279" s="249"/>
      <c r="BF279" s="249"/>
      <c r="BG279" s="249"/>
      <c r="BH279" s="249"/>
      <c r="BI279" s="249"/>
      <c r="BJ279" s="249"/>
      <c r="BK279" s="249"/>
      <c r="BL279" s="249"/>
      <c r="BM279" s="249"/>
      <c r="BN279" s="249"/>
      <c r="BO279" s="249"/>
      <c r="BP279" s="249"/>
      <c r="BQ279" s="249"/>
      <c r="BR279" s="249"/>
      <c r="BS279" s="249"/>
      <c r="BT279" s="249"/>
      <c r="BU279" s="249"/>
      <c r="BV279" s="249"/>
      <c r="BW279" s="249"/>
      <c r="BX279" s="249"/>
      <c r="BY279" s="249"/>
      <c r="BZ279" s="249"/>
      <c r="CA279" s="249"/>
      <c r="CB279" s="249"/>
      <c r="CC279" s="249"/>
      <c r="CD279" s="249"/>
      <c r="CE279" s="249"/>
    </row>
    <row r="280" spans="1:83" s="84" customFormat="1" ht="12.95" customHeight="1">
      <c r="A280" s="84" t="s">
        <v>3390</v>
      </c>
      <c r="B280" s="84" t="s">
        <v>2114</v>
      </c>
      <c r="C280" s="79" t="s">
        <v>323</v>
      </c>
      <c r="D280" s="52" t="s">
        <v>2359</v>
      </c>
      <c r="E280" s="52" t="s">
        <v>2328</v>
      </c>
      <c r="F280" s="53" t="s">
        <v>563</v>
      </c>
      <c r="G280" s="179" t="s">
        <v>1429</v>
      </c>
      <c r="H280" s="180" t="s">
        <v>323</v>
      </c>
      <c r="I280" s="55" t="s">
        <v>1429</v>
      </c>
      <c r="J280" s="55" t="s">
        <v>1429</v>
      </c>
      <c r="K280" s="56" t="s">
        <v>1429</v>
      </c>
      <c r="L280" s="54" t="s">
        <v>1429</v>
      </c>
      <c r="M280" s="55" t="s">
        <v>1590</v>
      </c>
      <c r="N280" s="55" t="s">
        <v>1429</v>
      </c>
      <c r="O280" s="55" t="s">
        <v>1429</v>
      </c>
      <c r="P280" s="56" t="s">
        <v>1429</v>
      </c>
      <c r="Q280" s="85"/>
      <c r="R280" s="85"/>
      <c r="S280" s="85"/>
      <c r="T280" s="85"/>
      <c r="U280" s="85"/>
      <c r="V280" s="146" t="s">
        <v>2360</v>
      </c>
      <c r="W280" s="51" t="s">
        <v>2290</v>
      </c>
      <c r="X280" s="130" t="s">
        <v>1429</v>
      </c>
      <c r="Y280" s="130" t="s">
        <v>1429</v>
      </c>
      <c r="Z280" s="51"/>
      <c r="AA280" s="51" t="s">
        <v>2348</v>
      </c>
      <c r="AB280" s="51"/>
      <c r="AC280" s="146" t="s">
        <v>1633</v>
      </c>
      <c r="AD280" s="98"/>
      <c r="AE280" s="83"/>
      <c r="AF280" s="83"/>
      <c r="AG280" s="83"/>
      <c r="AH280" s="86"/>
      <c r="AI280" s="86"/>
      <c r="AJ280" s="87"/>
      <c r="AK280" s="87"/>
      <c r="AL280" s="87"/>
      <c r="AM280" s="87"/>
      <c r="AN280" s="87"/>
      <c r="AO280" s="87"/>
      <c r="AP280" s="87"/>
      <c r="AQ280" s="229" t="s">
        <v>323</v>
      </c>
      <c r="AR280" s="5"/>
      <c r="AS280" s="5"/>
      <c r="AT280" s="5"/>
      <c r="AU280" s="5"/>
      <c r="AV280" s="5"/>
      <c r="AW280" s="5"/>
      <c r="AX280" s="284"/>
      <c r="AY280" s="5"/>
      <c r="AZ280" s="5"/>
      <c r="BA280" s="230"/>
      <c r="BB280" s="215"/>
      <c r="BC280" s="260" t="s">
        <v>323</v>
      </c>
      <c r="BD280" s="262"/>
      <c r="BE280" s="249"/>
      <c r="BF280" s="249"/>
      <c r="BG280" s="249"/>
      <c r="BH280" s="249"/>
      <c r="BI280" s="249"/>
      <c r="BJ280" s="249"/>
      <c r="BK280" s="249"/>
      <c r="BL280" s="249"/>
      <c r="BM280" s="249"/>
      <c r="BN280" s="249"/>
      <c r="BO280" s="249"/>
      <c r="BP280" s="249"/>
      <c r="BQ280" s="249"/>
      <c r="BR280" s="249"/>
      <c r="BS280" s="249"/>
      <c r="BT280" s="249"/>
      <c r="BU280" s="249"/>
      <c r="BV280" s="249"/>
      <c r="BW280" s="249"/>
      <c r="BX280" s="249"/>
      <c r="BY280" s="249"/>
      <c r="BZ280" s="249"/>
      <c r="CA280" s="249"/>
      <c r="CB280" s="249"/>
      <c r="CC280" s="249"/>
      <c r="CD280" s="249"/>
      <c r="CE280" s="249"/>
    </row>
    <row r="281" spans="1:83" s="84" customFormat="1" ht="12.95" customHeight="1">
      <c r="A281" s="84" t="s">
        <v>3391</v>
      </c>
      <c r="B281" s="84" t="s">
        <v>3583</v>
      </c>
      <c r="C281" s="79" t="s">
        <v>324</v>
      </c>
      <c r="D281" s="52" t="s">
        <v>2361</v>
      </c>
      <c r="E281" s="52" t="s">
        <v>2362</v>
      </c>
      <c r="F281" s="53" t="s">
        <v>564</v>
      </c>
      <c r="G281" s="179" t="s">
        <v>1429</v>
      </c>
      <c r="H281" s="180" t="s">
        <v>324</v>
      </c>
      <c r="I281" s="55" t="s">
        <v>1429</v>
      </c>
      <c r="J281" s="55" t="s">
        <v>1429</v>
      </c>
      <c r="K281" s="56" t="s">
        <v>1429</v>
      </c>
      <c r="L281" s="54" t="s">
        <v>1429</v>
      </c>
      <c r="M281" s="55" t="s">
        <v>1590</v>
      </c>
      <c r="N281" s="55" t="s">
        <v>1429</v>
      </c>
      <c r="O281" s="55" t="s">
        <v>1429</v>
      </c>
      <c r="P281" s="56" t="s">
        <v>1429</v>
      </c>
      <c r="Q281" s="85"/>
      <c r="R281" s="85"/>
      <c r="S281" s="85"/>
      <c r="T281" s="85"/>
      <c r="U281" s="85"/>
      <c r="V281" s="146" t="s">
        <v>2363</v>
      </c>
      <c r="W281" s="51" t="s">
        <v>2290</v>
      </c>
      <c r="X281" s="130" t="s">
        <v>1429</v>
      </c>
      <c r="Y281" s="130" t="s">
        <v>1429</v>
      </c>
      <c r="Z281" s="51"/>
      <c r="AA281" s="51" t="s">
        <v>2348</v>
      </c>
      <c r="AB281" s="51"/>
      <c r="AC281" s="146" t="s">
        <v>1633</v>
      </c>
      <c r="AD281" s="98"/>
      <c r="AE281" s="83"/>
      <c r="AF281" s="83"/>
      <c r="AG281" s="83"/>
      <c r="AH281" s="86"/>
      <c r="AI281" s="86"/>
      <c r="AJ281" s="87"/>
      <c r="AK281" s="87"/>
      <c r="AL281" s="87"/>
      <c r="AM281" s="87"/>
      <c r="AN281" s="87"/>
      <c r="AO281" s="87"/>
      <c r="AP281" s="87"/>
      <c r="AQ281" s="229" t="s">
        <v>324</v>
      </c>
      <c r="AR281" s="5"/>
      <c r="AS281" s="5"/>
      <c r="AT281" s="5"/>
      <c r="AU281" s="5"/>
      <c r="AV281" s="5"/>
      <c r="AW281" s="5"/>
      <c r="AX281" s="284"/>
      <c r="AY281" s="5"/>
      <c r="AZ281" s="5"/>
      <c r="BA281" s="230"/>
      <c r="BB281" s="5"/>
      <c r="BC281" s="232" t="s">
        <v>324</v>
      </c>
      <c r="BD281" s="262"/>
      <c r="BE281" s="249"/>
      <c r="BF281" s="249"/>
      <c r="BG281" s="249"/>
      <c r="BH281" s="249"/>
      <c r="BI281" s="249"/>
      <c r="BJ281" s="249"/>
      <c r="BK281" s="249"/>
      <c r="BL281" s="249"/>
      <c r="BM281" s="249"/>
      <c r="BN281" s="249"/>
      <c r="BO281" s="249"/>
      <c r="BP281" s="249"/>
      <c r="BQ281" s="249"/>
      <c r="BR281" s="249"/>
      <c r="BS281" s="249"/>
      <c r="BT281" s="249"/>
      <c r="BU281" s="249"/>
      <c r="BV281" s="249"/>
      <c r="BW281" s="249"/>
      <c r="BX281" s="249"/>
      <c r="BY281" s="249"/>
      <c r="BZ281" s="249"/>
      <c r="CA281" s="249"/>
      <c r="CB281" s="249"/>
      <c r="CC281" s="249"/>
      <c r="CD281" s="249"/>
      <c r="CE281" s="249"/>
    </row>
    <row r="282" spans="1:83" s="84" customFormat="1" ht="12.95" customHeight="1">
      <c r="A282" s="84" t="s">
        <v>3392</v>
      </c>
      <c r="B282" s="84" t="s">
        <v>2150</v>
      </c>
      <c r="C282" s="79" t="s">
        <v>184</v>
      </c>
      <c r="D282" s="52" t="s">
        <v>2364</v>
      </c>
      <c r="E282" s="52" t="s">
        <v>2365</v>
      </c>
      <c r="F282" s="53" t="s">
        <v>185</v>
      </c>
      <c r="G282" s="179" t="s">
        <v>1429</v>
      </c>
      <c r="H282" s="180" t="s">
        <v>184</v>
      </c>
      <c r="I282" s="55" t="s">
        <v>1429</v>
      </c>
      <c r="J282" s="55" t="s">
        <v>1429</v>
      </c>
      <c r="K282" s="56" t="s">
        <v>1429</v>
      </c>
      <c r="L282" s="54" t="s">
        <v>1429</v>
      </c>
      <c r="M282" s="55" t="s">
        <v>1590</v>
      </c>
      <c r="N282" s="55" t="s">
        <v>1429</v>
      </c>
      <c r="O282" s="55" t="s">
        <v>1429</v>
      </c>
      <c r="P282" s="56" t="s">
        <v>1429</v>
      </c>
      <c r="Q282" s="85"/>
      <c r="R282" s="85"/>
      <c r="S282" s="85"/>
      <c r="T282" s="85"/>
      <c r="U282" s="85"/>
      <c r="V282" s="146" t="s">
        <v>2366</v>
      </c>
      <c r="W282" s="51" t="s">
        <v>2290</v>
      </c>
      <c r="X282" s="130" t="s">
        <v>1429</v>
      </c>
      <c r="Y282" s="130" t="s">
        <v>1429</v>
      </c>
      <c r="Z282" s="51"/>
      <c r="AA282" s="51" t="s">
        <v>2348</v>
      </c>
      <c r="AB282" s="51"/>
      <c r="AC282" s="146" t="s">
        <v>1633</v>
      </c>
      <c r="AD282" s="98"/>
      <c r="AE282" s="83"/>
      <c r="AF282" s="83"/>
      <c r="AG282" s="83"/>
      <c r="AH282" s="86"/>
      <c r="AI282" s="86"/>
      <c r="AJ282" s="87"/>
      <c r="AK282" s="87"/>
      <c r="AL282" s="87"/>
      <c r="AM282" s="87"/>
      <c r="AN282" s="87"/>
      <c r="AO282" s="87"/>
      <c r="AP282" s="87"/>
      <c r="AQ282" s="229" t="s">
        <v>184</v>
      </c>
      <c r="AR282" s="5"/>
      <c r="AS282" s="5"/>
      <c r="AT282" s="5"/>
      <c r="AU282" s="5"/>
      <c r="AV282" s="5"/>
      <c r="AW282" s="5"/>
      <c r="AX282" s="284"/>
      <c r="AY282" s="5"/>
      <c r="AZ282" s="5"/>
      <c r="BA282" s="230"/>
      <c r="BB282" s="5"/>
      <c r="BC282" s="232" t="s">
        <v>184</v>
      </c>
      <c r="BD282" s="262"/>
      <c r="BE282" s="249"/>
      <c r="BF282" s="249"/>
      <c r="BG282" s="249"/>
      <c r="BH282" s="249"/>
      <c r="BI282" s="249"/>
      <c r="BJ282" s="249"/>
      <c r="BK282" s="249"/>
      <c r="BL282" s="249"/>
      <c r="BM282" s="249"/>
      <c r="BN282" s="249"/>
      <c r="BO282" s="249"/>
      <c r="BP282" s="249"/>
      <c r="BQ282" s="249"/>
      <c r="BR282" s="249"/>
      <c r="BS282" s="249"/>
      <c r="BT282" s="249"/>
      <c r="BU282" s="249"/>
      <c r="BV282" s="249"/>
      <c r="BW282" s="249"/>
      <c r="BX282" s="249"/>
      <c r="BY282" s="249"/>
      <c r="BZ282" s="249"/>
      <c r="CA282" s="249"/>
      <c r="CB282" s="249"/>
      <c r="CC282" s="249"/>
      <c r="CD282" s="249"/>
      <c r="CE282" s="249"/>
    </row>
    <row r="283" spans="1:83" s="84" customFormat="1" ht="12.95" customHeight="1">
      <c r="A283" s="84" t="s">
        <v>3393</v>
      </c>
      <c r="B283" s="84" t="s">
        <v>2153</v>
      </c>
      <c r="C283" s="79" t="s">
        <v>186</v>
      </c>
      <c r="D283" s="52" t="s">
        <v>2367</v>
      </c>
      <c r="E283" s="52" t="s">
        <v>2368</v>
      </c>
      <c r="F283" s="53" t="s">
        <v>187</v>
      </c>
      <c r="G283" s="179" t="s">
        <v>1429</v>
      </c>
      <c r="H283" s="180" t="s">
        <v>186</v>
      </c>
      <c r="I283" s="55" t="s">
        <v>1429</v>
      </c>
      <c r="J283" s="55" t="s">
        <v>1429</v>
      </c>
      <c r="K283" s="56" t="s">
        <v>1429</v>
      </c>
      <c r="L283" s="54" t="s">
        <v>1429</v>
      </c>
      <c r="M283" s="55" t="s">
        <v>1590</v>
      </c>
      <c r="N283" s="55" t="s">
        <v>1429</v>
      </c>
      <c r="O283" s="55" t="s">
        <v>1429</v>
      </c>
      <c r="P283" s="56" t="s">
        <v>1429</v>
      </c>
      <c r="Q283" s="85"/>
      <c r="R283" s="85"/>
      <c r="S283" s="85"/>
      <c r="T283" s="85"/>
      <c r="U283" s="85"/>
      <c r="V283" s="146" t="s">
        <v>2369</v>
      </c>
      <c r="W283" s="51" t="s">
        <v>2290</v>
      </c>
      <c r="X283" s="130" t="s">
        <v>1429</v>
      </c>
      <c r="Y283" s="130" t="s">
        <v>1429</v>
      </c>
      <c r="Z283" s="51"/>
      <c r="AA283" s="51" t="s">
        <v>2348</v>
      </c>
      <c r="AB283" s="51"/>
      <c r="AC283" s="146" t="s">
        <v>1633</v>
      </c>
      <c r="AD283" s="98"/>
      <c r="AE283" s="83"/>
      <c r="AF283" s="83"/>
      <c r="AG283" s="83"/>
      <c r="AH283" s="86"/>
      <c r="AI283" s="86"/>
      <c r="AJ283" s="87"/>
      <c r="AK283" s="87"/>
      <c r="AL283" s="87"/>
      <c r="AM283" s="87"/>
      <c r="AN283" s="87"/>
      <c r="AO283" s="87"/>
      <c r="AP283" s="87"/>
      <c r="AQ283" s="229" t="s">
        <v>186</v>
      </c>
      <c r="AR283" s="5"/>
      <c r="AS283" s="5"/>
      <c r="AT283" s="5"/>
      <c r="AU283" s="5"/>
      <c r="AV283" s="5"/>
      <c r="AW283" s="5"/>
      <c r="AX283" s="284"/>
      <c r="AY283" s="5"/>
      <c r="AZ283" s="5"/>
      <c r="BA283" s="230"/>
      <c r="BB283" s="5"/>
      <c r="BC283" s="232" t="s">
        <v>186</v>
      </c>
      <c r="BD283" s="262"/>
      <c r="BE283" s="249"/>
      <c r="BF283" s="249"/>
      <c r="BG283" s="249"/>
      <c r="BH283" s="249"/>
      <c r="BI283" s="249"/>
      <c r="BJ283" s="249"/>
      <c r="BK283" s="249"/>
      <c r="BL283" s="249"/>
      <c r="BM283" s="249"/>
      <c r="BN283" s="249"/>
      <c r="BO283" s="249"/>
      <c r="BP283" s="249"/>
      <c r="BQ283" s="249"/>
      <c r="BR283" s="249"/>
      <c r="BS283" s="249"/>
      <c r="BT283" s="249"/>
      <c r="BU283" s="249"/>
      <c r="BV283" s="249"/>
      <c r="BW283" s="249"/>
      <c r="BX283" s="249"/>
      <c r="BY283" s="249"/>
      <c r="BZ283" s="249"/>
      <c r="CA283" s="249"/>
      <c r="CB283" s="249"/>
      <c r="CC283" s="249"/>
      <c r="CD283" s="249"/>
      <c r="CE283" s="249"/>
    </row>
    <row r="284" spans="1:83" s="84" customFormat="1" ht="12.95" customHeight="1">
      <c r="A284" s="84" t="s">
        <v>3394</v>
      </c>
      <c r="B284" s="84" t="s">
        <v>2135</v>
      </c>
      <c r="C284" s="79" t="s">
        <v>188</v>
      </c>
      <c r="D284" s="52" t="s">
        <v>2370</v>
      </c>
      <c r="E284" s="52" t="s">
        <v>2331</v>
      </c>
      <c r="F284" s="53" t="s">
        <v>189</v>
      </c>
      <c r="G284" s="179" t="s">
        <v>1429</v>
      </c>
      <c r="H284" s="180" t="s">
        <v>188</v>
      </c>
      <c r="I284" s="55" t="s">
        <v>1429</v>
      </c>
      <c r="J284" s="55" t="s">
        <v>1429</v>
      </c>
      <c r="K284" s="56" t="s">
        <v>1429</v>
      </c>
      <c r="L284" s="54" t="s">
        <v>1429</v>
      </c>
      <c r="M284" s="55" t="s">
        <v>1590</v>
      </c>
      <c r="N284" s="55" t="s">
        <v>1429</v>
      </c>
      <c r="O284" s="55" t="s">
        <v>1429</v>
      </c>
      <c r="P284" s="56" t="s">
        <v>1429</v>
      </c>
      <c r="Q284" s="85"/>
      <c r="R284" s="85"/>
      <c r="S284" s="85"/>
      <c r="T284" s="85"/>
      <c r="U284" s="85"/>
      <c r="V284" s="146" t="s">
        <v>2371</v>
      </c>
      <c r="W284" s="51" t="s">
        <v>2290</v>
      </c>
      <c r="X284" s="130" t="s">
        <v>1429</v>
      </c>
      <c r="Y284" s="130" t="s">
        <v>1429</v>
      </c>
      <c r="Z284" s="51"/>
      <c r="AA284" s="51" t="s">
        <v>2348</v>
      </c>
      <c r="AB284" s="51"/>
      <c r="AC284" s="146" t="s">
        <v>1633</v>
      </c>
      <c r="AD284" s="98"/>
      <c r="AE284" s="83"/>
      <c r="AF284" s="83"/>
      <c r="AG284" s="83"/>
      <c r="AH284" s="86"/>
      <c r="AI284" s="86"/>
      <c r="AJ284" s="87"/>
      <c r="AK284" s="87"/>
      <c r="AL284" s="87"/>
      <c r="AM284" s="87"/>
      <c r="AN284" s="87"/>
      <c r="AO284" s="87"/>
      <c r="AP284" s="87"/>
      <c r="AQ284" s="229" t="s">
        <v>188</v>
      </c>
      <c r="AR284" s="5"/>
      <c r="AS284" s="5"/>
      <c r="AT284" s="5"/>
      <c r="AU284" s="5"/>
      <c r="AV284" s="5"/>
      <c r="AW284" s="5"/>
      <c r="AX284" s="284"/>
      <c r="AY284" s="5"/>
      <c r="AZ284" s="5"/>
      <c r="BA284" s="230"/>
      <c r="BB284" s="5"/>
      <c r="BC284" s="232" t="s">
        <v>188</v>
      </c>
      <c r="BD284" s="262"/>
      <c r="BE284" s="249"/>
      <c r="BF284" s="249"/>
      <c r="BG284" s="249"/>
      <c r="BH284" s="249"/>
      <c r="BI284" s="249"/>
      <c r="BJ284" s="249"/>
      <c r="BK284" s="249"/>
      <c r="BL284" s="249"/>
      <c r="BM284" s="249"/>
      <c r="BN284" s="249"/>
      <c r="BO284" s="249"/>
      <c r="BP284" s="249"/>
      <c r="BQ284" s="249"/>
      <c r="BR284" s="249"/>
      <c r="BS284" s="249"/>
      <c r="BT284" s="249"/>
      <c r="BU284" s="249"/>
      <c r="BV284" s="249"/>
      <c r="BW284" s="249"/>
      <c r="BX284" s="249"/>
      <c r="BY284" s="249"/>
      <c r="BZ284" s="249"/>
      <c r="CA284" s="249"/>
      <c r="CB284" s="249"/>
      <c r="CC284" s="249"/>
      <c r="CD284" s="249"/>
      <c r="CE284" s="249"/>
    </row>
    <row r="285" spans="1:83" s="84" customFormat="1" ht="12.95" customHeight="1">
      <c r="A285" s="84" t="s">
        <v>3395</v>
      </c>
      <c r="B285" s="84" t="s">
        <v>2160</v>
      </c>
      <c r="C285" s="79" t="s">
        <v>190</v>
      </c>
      <c r="D285" s="52" t="s">
        <v>2372</v>
      </c>
      <c r="E285" s="52" t="s">
        <v>2320</v>
      </c>
      <c r="F285" s="53" t="s">
        <v>191</v>
      </c>
      <c r="G285" s="179" t="s">
        <v>1429</v>
      </c>
      <c r="H285" s="180" t="s">
        <v>190</v>
      </c>
      <c r="I285" s="55" t="s">
        <v>1429</v>
      </c>
      <c r="J285" s="55" t="s">
        <v>1429</v>
      </c>
      <c r="K285" s="56" t="s">
        <v>1429</v>
      </c>
      <c r="L285" s="54" t="s">
        <v>1429</v>
      </c>
      <c r="M285" s="55" t="s">
        <v>1590</v>
      </c>
      <c r="N285" s="55" t="s">
        <v>1429</v>
      </c>
      <c r="O285" s="55" t="s">
        <v>1429</v>
      </c>
      <c r="P285" s="56" t="s">
        <v>1429</v>
      </c>
      <c r="Q285" s="85"/>
      <c r="R285" s="85"/>
      <c r="S285" s="85"/>
      <c r="T285" s="85"/>
      <c r="U285" s="85"/>
      <c r="V285" s="146" t="s">
        <v>2373</v>
      </c>
      <c r="W285" s="51" t="s">
        <v>2290</v>
      </c>
      <c r="X285" s="130" t="s">
        <v>1429</v>
      </c>
      <c r="Y285" s="130" t="s">
        <v>1429</v>
      </c>
      <c r="Z285" s="51"/>
      <c r="AA285" s="51" t="s">
        <v>2348</v>
      </c>
      <c r="AB285" s="51"/>
      <c r="AC285" s="146" t="s">
        <v>1633</v>
      </c>
      <c r="AD285" s="98"/>
      <c r="AE285" s="83"/>
      <c r="AF285" s="83"/>
      <c r="AG285" s="83"/>
      <c r="AH285" s="86"/>
      <c r="AI285" s="86"/>
      <c r="AJ285" s="87"/>
      <c r="AK285" s="87"/>
      <c r="AL285" s="87"/>
      <c r="AM285" s="87"/>
      <c r="AN285" s="87"/>
      <c r="AO285" s="87"/>
      <c r="AP285" s="87"/>
      <c r="AQ285" s="229" t="s">
        <v>190</v>
      </c>
      <c r="AR285" s="5"/>
      <c r="AS285" s="5"/>
      <c r="AT285" s="5"/>
      <c r="AU285" s="5"/>
      <c r="AV285" s="5"/>
      <c r="AW285" s="5"/>
      <c r="AX285" s="284"/>
      <c r="AY285" s="5"/>
      <c r="AZ285" s="5"/>
      <c r="BA285" s="230"/>
      <c r="BB285" s="5"/>
      <c r="BC285" s="258" t="s">
        <v>190</v>
      </c>
      <c r="BD285" s="262"/>
      <c r="BE285" s="249"/>
      <c r="BF285" s="249"/>
      <c r="BG285" s="249"/>
      <c r="BH285" s="249"/>
      <c r="BI285" s="249"/>
      <c r="BJ285" s="249"/>
      <c r="BK285" s="249"/>
      <c r="BL285" s="249"/>
      <c r="BM285" s="249"/>
      <c r="BN285" s="249"/>
      <c r="BO285" s="249"/>
      <c r="BP285" s="249"/>
      <c r="BQ285" s="249"/>
      <c r="BR285" s="249"/>
      <c r="BS285" s="249"/>
      <c r="BT285" s="249"/>
      <c r="BU285" s="249"/>
      <c r="BV285" s="249"/>
      <c r="BW285" s="249"/>
      <c r="BX285" s="249"/>
      <c r="BY285" s="249"/>
      <c r="BZ285" s="249"/>
      <c r="CA285" s="249"/>
      <c r="CB285" s="249"/>
      <c r="CC285" s="249"/>
      <c r="CD285" s="249"/>
      <c r="CE285" s="249"/>
    </row>
    <row r="286" spans="1:83" s="84" customFormat="1" ht="12.95" customHeight="1">
      <c r="A286" s="84" t="s">
        <v>3396</v>
      </c>
      <c r="B286" s="84" t="s">
        <v>2142</v>
      </c>
      <c r="C286" s="79" t="s">
        <v>351</v>
      </c>
      <c r="D286" s="52" t="s">
        <v>2374</v>
      </c>
      <c r="E286" s="52" t="s">
        <v>2359</v>
      </c>
      <c r="F286" s="53" t="s">
        <v>565</v>
      </c>
      <c r="G286" s="179" t="s">
        <v>1429</v>
      </c>
      <c r="H286" s="180" t="s">
        <v>351</v>
      </c>
      <c r="I286" s="55" t="s">
        <v>1429</v>
      </c>
      <c r="J286" s="55" t="s">
        <v>1429</v>
      </c>
      <c r="K286" s="56" t="s">
        <v>1429</v>
      </c>
      <c r="L286" s="54" t="s">
        <v>1429</v>
      </c>
      <c r="M286" s="55" t="s">
        <v>1590</v>
      </c>
      <c r="N286" s="55" t="s">
        <v>1429</v>
      </c>
      <c r="O286" s="55" t="s">
        <v>1429</v>
      </c>
      <c r="P286" s="56" t="s">
        <v>1429</v>
      </c>
      <c r="Q286" s="85"/>
      <c r="R286" s="85"/>
      <c r="S286" s="85"/>
      <c r="T286" s="85"/>
      <c r="U286" s="85"/>
      <c r="V286" s="146" t="s">
        <v>2375</v>
      </c>
      <c r="W286" s="51" t="s">
        <v>2290</v>
      </c>
      <c r="X286" s="130" t="s">
        <v>1429</v>
      </c>
      <c r="Y286" s="130" t="s">
        <v>1429</v>
      </c>
      <c r="Z286" s="51"/>
      <c r="AA286" s="51" t="s">
        <v>2348</v>
      </c>
      <c r="AB286" s="51"/>
      <c r="AC286" s="146" t="s">
        <v>1633</v>
      </c>
      <c r="AD286" s="98"/>
      <c r="AE286" s="83"/>
      <c r="AF286" s="83"/>
      <c r="AG286" s="83"/>
      <c r="AH286" s="86"/>
      <c r="AI286" s="86"/>
      <c r="AJ286" s="87"/>
      <c r="AK286" s="87"/>
      <c r="AL286" s="87"/>
      <c r="AM286" s="87"/>
      <c r="AN286" s="87"/>
      <c r="AO286" s="87"/>
      <c r="AP286" s="87"/>
      <c r="AQ286" s="229" t="s">
        <v>351</v>
      </c>
      <c r="AR286" s="5"/>
      <c r="AS286" s="5"/>
      <c r="AT286" s="5"/>
      <c r="AU286" s="5"/>
      <c r="AV286" s="5"/>
      <c r="AW286" s="5"/>
      <c r="AX286" s="284"/>
      <c r="AY286" s="5"/>
      <c r="AZ286" s="5"/>
      <c r="BA286" s="230"/>
      <c r="BB286" s="215"/>
      <c r="BC286" s="260" t="s">
        <v>351</v>
      </c>
      <c r="BD286" s="261"/>
      <c r="BE286" s="249"/>
      <c r="BF286" s="249"/>
      <c r="BG286" s="249"/>
      <c r="BH286" s="249"/>
      <c r="BI286" s="249"/>
      <c r="BJ286" s="249"/>
      <c r="BK286" s="249"/>
      <c r="BL286" s="249"/>
      <c r="BM286" s="249"/>
      <c r="BN286" s="249"/>
      <c r="BO286" s="249"/>
      <c r="BP286" s="249"/>
      <c r="BQ286" s="249"/>
      <c r="BR286" s="249"/>
      <c r="BS286" s="249"/>
      <c r="BT286" s="249"/>
      <c r="BU286" s="249"/>
      <c r="BV286" s="249"/>
      <c r="BW286" s="249"/>
      <c r="BX286" s="249"/>
      <c r="BY286" s="249"/>
      <c r="BZ286" s="249"/>
      <c r="CA286" s="249"/>
      <c r="CB286" s="249"/>
      <c r="CC286" s="249"/>
      <c r="CD286" s="249"/>
      <c r="CE286" s="249"/>
    </row>
    <row r="287" spans="1:83" s="84" customFormat="1" ht="12.95" customHeight="1">
      <c r="A287" s="84" t="s">
        <v>3397</v>
      </c>
      <c r="B287" s="84" t="s">
        <v>3609</v>
      </c>
      <c r="C287" s="79" t="s">
        <v>352</v>
      </c>
      <c r="D287" s="52" t="s">
        <v>2376</v>
      </c>
      <c r="E287" s="52" t="s">
        <v>2361</v>
      </c>
      <c r="F287" s="53" t="s">
        <v>566</v>
      </c>
      <c r="G287" s="179" t="s">
        <v>1429</v>
      </c>
      <c r="H287" s="180" t="s">
        <v>352</v>
      </c>
      <c r="I287" s="55" t="s">
        <v>1429</v>
      </c>
      <c r="J287" s="55" t="s">
        <v>1429</v>
      </c>
      <c r="K287" s="56" t="s">
        <v>1429</v>
      </c>
      <c r="L287" s="54" t="s">
        <v>1429</v>
      </c>
      <c r="M287" s="55" t="s">
        <v>1590</v>
      </c>
      <c r="N287" s="55" t="s">
        <v>1429</v>
      </c>
      <c r="O287" s="55" t="s">
        <v>1429</v>
      </c>
      <c r="P287" s="56" t="s">
        <v>1429</v>
      </c>
      <c r="Q287" s="85"/>
      <c r="R287" s="85"/>
      <c r="S287" s="85"/>
      <c r="T287" s="85"/>
      <c r="U287" s="85"/>
      <c r="V287" s="146" t="s">
        <v>2377</v>
      </c>
      <c r="W287" s="51" t="s">
        <v>2290</v>
      </c>
      <c r="X287" s="130" t="s">
        <v>1429</v>
      </c>
      <c r="Y287" s="130" t="s">
        <v>1429</v>
      </c>
      <c r="Z287" s="51"/>
      <c r="AA287" s="51" t="s">
        <v>2348</v>
      </c>
      <c r="AB287" s="51"/>
      <c r="AC287" s="146" t="s">
        <v>1633</v>
      </c>
      <c r="AD287" s="98"/>
      <c r="AE287" s="83"/>
      <c r="AF287" s="83"/>
      <c r="AG287" s="83"/>
      <c r="AH287" s="86"/>
      <c r="AI287" s="86"/>
      <c r="AJ287" s="87"/>
      <c r="AK287" s="87"/>
      <c r="AL287" s="87"/>
      <c r="AM287" s="87"/>
      <c r="AN287" s="87"/>
      <c r="AO287" s="87"/>
      <c r="AP287" s="87"/>
      <c r="AQ287" s="229" t="s">
        <v>352</v>
      </c>
      <c r="AR287" s="5"/>
      <c r="AS287" s="5"/>
      <c r="AT287" s="5"/>
      <c r="AU287" s="5"/>
      <c r="AV287" s="5"/>
      <c r="AW287" s="5"/>
      <c r="AX287" s="284"/>
      <c r="AY287" s="5"/>
      <c r="AZ287" s="5"/>
      <c r="BA287" s="230"/>
      <c r="BB287" s="5"/>
      <c r="BC287" s="232" t="s">
        <v>352</v>
      </c>
      <c r="BD287" s="262"/>
      <c r="BE287" s="249"/>
      <c r="BF287" s="249"/>
      <c r="BG287" s="249"/>
      <c r="BH287" s="249"/>
      <c r="BI287" s="249"/>
      <c r="BJ287" s="249"/>
      <c r="BK287" s="249"/>
      <c r="BL287" s="249"/>
      <c r="BM287" s="249"/>
      <c r="BN287" s="249"/>
      <c r="BO287" s="249"/>
      <c r="BP287" s="249"/>
      <c r="BQ287" s="249"/>
      <c r="BR287" s="249"/>
      <c r="BS287" s="249"/>
      <c r="BT287" s="249"/>
      <c r="BU287" s="249"/>
      <c r="BV287" s="249"/>
      <c r="BW287" s="249"/>
      <c r="BX287" s="249"/>
      <c r="BY287" s="249"/>
      <c r="BZ287" s="249"/>
      <c r="CA287" s="249"/>
      <c r="CB287" s="249"/>
      <c r="CC287" s="249"/>
      <c r="CD287" s="249"/>
      <c r="CE287" s="249"/>
    </row>
    <row r="288" spans="1:83" s="84" customFormat="1" ht="12.95" customHeight="1">
      <c r="A288" s="84" t="s">
        <v>3398</v>
      </c>
      <c r="B288" s="84" t="s">
        <v>2138</v>
      </c>
      <c r="C288" s="79" t="s">
        <v>353</v>
      </c>
      <c r="D288" s="52" t="s">
        <v>2378</v>
      </c>
      <c r="E288" s="52" t="s">
        <v>2364</v>
      </c>
      <c r="F288" s="53" t="s">
        <v>567</v>
      </c>
      <c r="G288" s="179" t="s">
        <v>1429</v>
      </c>
      <c r="H288" s="180" t="s">
        <v>353</v>
      </c>
      <c r="I288" s="55" t="s">
        <v>1429</v>
      </c>
      <c r="J288" s="55" t="s">
        <v>1429</v>
      </c>
      <c r="K288" s="56" t="s">
        <v>1429</v>
      </c>
      <c r="L288" s="54" t="s">
        <v>1429</v>
      </c>
      <c r="M288" s="55" t="s">
        <v>1590</v>
      </c>
      <c r="N288" s="55" t="s">
        <v>1429</v>
      </c>
      <c r="O288" s="55" t="s">
        <v>1429</v>
      </c>
      <c r="P288" s="56" t="s">
        <v>1429</v>
      </c>
      <c r="Q288" s="85"/>
      <c r="R288" s="85"/>
      <c r="S288" s="85"/>
      <c r="T288" s="85"/>
      <c r="U288" s="85"/>
      <c r="V288" s="146" t="s">
        <v>2379</v>
      </c>
      <c r="W288" s="51" t="s">
        <v>2290</v>
      </c>
      <c r="X288" s="130" t="s">
        <v>1429</v>
      </c>
      <c r="Y288" s="130" t="s">
        <v>1429</v>
      </c>
      <c r="Z288" s="51"/>
      <c r="AA288" s="51" t="s">
        <v>2348</v>
      </c>
      <c r="AB288" s="51"/>
      <c r="AC288" s="146" t="s">
        <v>1633</v>
      </c>
      <c r="AD288" s="98"/>
      <c r="AE288" s="83"/>
      <c r="AF288" s="83"/>
      <c r="AG288" s="83"/>
      <c r="AH288" s="86"/>
      <c r="AI288" s="86"/>
      <c r="AJ288" s="87"/>
      <c r="AK288" s="87"/>
      <c r="AL288" s="87"/>
      <c r="AM288" s="87"/>
      <c r="AN288" s="87"/>
      <c r="AO288" s="87"/>
      <c r="AP288" s="87"/>
      <c r="AQ288" s="229" t="s">
        <v>353</v>
      </c>
      <c r="AR288" s="5"/>
      <c r="AS288" s="5"/>
      <c r="AT288" s="5"/>
      <c r="AU288" s="5"/>
      <c r="AV288" s="5"/>
      <c r="AW288" s="5"/>
      <c r="AX288" s="284"/>
      <c r="AY288" s="5"/>
      <c r="AZ288" s="5"/>
      <c r="BA288" s="230"/>
      <c r="BB288" s="5"/>
      <c r="BC288" s="232" t="s">
        <v>353</v>
      </c>
      <c r="BD288" s="262"/>
      <c r="BE288" s="249"/>
      <c r="BF288" s="249"/>
      <c r="BG288" s="249"/>
      <c r="BH288" s="249"/>
      <c r="BI288" s="249"/>
      <c r="BJ288" s="249"/>
      <c r="BK288" s="249"/>
      <c r="BL288" s="249"/>
      <c r="BM288" s="249"/>
      <c r="BN288" s="249"/>
      <c r="BO288" s="249"/>
      <c r="BP288" s="249"/>
      <c r="BQ288" s="249"/>
      <c r="BR288" s="249"/>
      <c r="BS288" s="249"/>
      <c r="BT288" s="249"/>
      <c r="BU288" s="249"/>
      <c r="BV288" s="249"/>
      <c r="BW288" s="249"/>
      <c r="BX288" s="249"/>
      <c r="BY288" s="249"/>
      <c r="BZ288" s="249"/>
      <c r="CA288" s="249"/>
      <c r="CB288" s="249"/>
      <c r="CC288" s="249"/>
      <c r="CD288" s="249"/>
      <c r="CE288" s="249"/>
    </row>
    <row r="289" spans="1:83" s="84" customFormat="1" ht="12.95" customHeight="1">
      <c r="A289" s="84" t="s">
        <v>3399</v>
      </c>
      <c r="B289" s="84" t="s">
        <v>2157</v>
      </c>
      <c r="C289" s="79" t="s">
        <v>354</v>
      </c>
      <c r="D289" s="52" t="s">
        <v>2380</v>
      </c>
      <c r="E289" s="52" t="s">
        <v>2367</v>
      </c>
      <c r="F289" s="53" t="s">
        <v>568</v>
      </c>
      <c r="G289" s="179" t="s">
        <v>1429</v>
      </c>
      <c r="H289" s="180" t="s">
        <v>354</v>
      </c>
      <c r="I289" s="55" t="s">
        <v>1429</v>
      </c>
      <c r="J289" s="55" t="s">
        <v>1429</v>
      </c>
      <c r="K289" s="56" t="s">
        <v>1429</v>
      </c>
      <c r="L289" s="54" t="s">
        <v>1429</v>
      </c>
      <c r="M289" s="55" t="s">
        <v>1590</v>
      </c>
      <c r="N289" s="55" t="s">
        <v>1429</v>
      </c>
      <c r="O289" s="55" t="s">
        <v>1429</v>
      </c>
      <c r="P289" s="56" t="s">
        <v>1429</v>
      </c>
      <c r="Q289" s="85"/>
      <c r="R289" s="85"/>
      <c r="S289" s="85"/>
      <c r="T289" s="85"/>
      <c r="U289" s="85"/>
      <c r="V289" s="146" t="s">
        <v>2381</v>
      </c>
      <c r="W289" s="51" t="s">
        <v>2290</v>
      </c>
      <c r="X289" s="130" t="s">
        <v>1429</v>
      </c>
      <c r="Y289" s="130" t="s">
        <v>1429</v>
      </c>
      <c r="Z289" s="51"/>
      <c r="AA289" s="51" t="s">
        <v>2348</v>
      </c>
      <c r="AB289" s="51"/>
      <c r="AC289" s="146" t="s">
        <v>1633</v>
      </c>
      <c r="AD289" s="98"/>
      <c r="AE289" s="83"/>
      <c r="AF289" s="83"/>
      <c r="AG289" s="83"/>
      <c r="AH289" s="86"/>
      <c r="AI289" s="86"/>
      <c r="AJ289" s="87"/>
      <c r="AK289" s="87"/>
      <c r="AL289" s="87"/>
      <c r="AM289" s="87"/>
      <c r="AN289" s="87"/>
      <c r="AO289" s="87"/>
      <c r="AP289" s="87"/>
      <c r="AQ289" s="229" t="s">
        <v>354</v>
      </c>
      <c r="AR289" s="5"/>
      <c r="AS289" s="5"/>
      <c r="AT289" s="5"/>
      <c r="AU289" s="5"/>
      <c r="AV289" s="5"/>
      <c r="AW289" s="5"/>
      <c r="AX289" s="284"/>
      <c r="AY289" s="5"/>
      <c r="AZ289" s="5"/>
      <c r="BA289" s="230"/>
      <c r="BB289" s="5"/>
      <c r="BC289" s="232" t="s">
        <v>354</v>
      </c>
      <c r="BD289" s="262"/>
      <c r="BE289" s="249"/>
      <c r="BF289" s="249"/>
      <c r="BG289" s="249"/>
      <c r="BH289" s="249"/>
      <c r="BI289" s="249"/>
      <c r="BJ289" s="249"/>
      <c r="BK289" s="249"/>
      <c r="BL289" s="249"/>
      <c r="BM289" s="249"/>
      <c r="BN289" s="249"/>
      <c r="BO289" s="249"/>
      <c r="BP289" s="249"/>
      <c r="BQ289" s="249"/>
      <c r="BR289" s="249"/>
      <c r="BS289" s="249"/>
      <c r="BT289" s="249"/>
      <c r="BU289" s="249"/>
      <c r="BV289" s="249"/>
      <c r="BW289" s="249"/>
      <c r="BX289" s="249"/>
      <c r="BY289" s="249"/>
      <c r="BZ289" s="249"/>
      <c r="CA289" s="249"/>
      <c r="CB289" s="249"/>
      <c r="CC289" s="249"/>
      <c r="CD289" s="249"/>
      <c r="CE289" s="249"/>
    </row>
    <row r="290" spans="1:83" s="84" customFormat="1" ht="12.95" customHeight="1">
      <c r="A290" s="84" t="s">
        <v>3400</v>
      </c>
      <c r="B290" s="84" t="s">
        <v>3625</v>
      </c>
      <c r="C290" s="79" t="s">
        <v>355</v>
      </c>
      <c r="D290" s="52" t="s">
        <v>2382</v>
      </c>
      <c r="E290" s="52" t="s">
        <v>2372</v>
      </c>
      <c r="F290" s="53" t="s">
        <v>569</v>
      </c>
      <c r="G290" s="179" t="s">
        <v>1429</v>
      </c>
      <c r="H290" s="180" t="s">
        <v>355</v>
      </c>
      <c r="I290" s="55" t="s">
        <v>1429</v>
      </c>
      <c r="J290" s="55" t="s">
        <v>1429</v>
      </c>
      <c r="K290" s="56" t="s">
        <v>1429</v>
      </c>
      <c r="L290" s="54" t="s">
        <v>1429</v>
      </c>
      <c r="M290" s="55" t="s">
        <v>1590</v>
      </c>
      <c r="N290" s="55" t="s">
        <v>1429</v>
      </c>
      <c r="O290" s="55" t="s">
        <v>1429</v>
      </c>
      <c r="P290" s="56" t="s">
        <v>1429</v>
      </c>
      <c r="Q290" s="85"/>
      <c r="R290" s="85"/>
      <c r="S290" s="85"/>
      <c r="T290" s="85"/>
      <c r="U290" s="85"/>
      <c r="V290" s="146" t="s">
        <v>2383</v>
      </c>
      <c r="W290" s="51" t="s">
        <v>2290</v>
      </c>
      <c r="X290" s="130" t="s">
        <v>1429</v>
      </c>
      <c r="Y290" s="130" t="s">
        <v>1429</v>
      </c>
      <c r="Z290" s="51"/>
      <c r="AA290" s="51" t="s">
        <v>2348</v>
      </c>
      <c r="AB290" s="51"/>
      <c r="AC290" s="146" t="s">
        <v>1633</v>
      </c>
      <c r="AD290" s="98"/>
      <c r="AE290" s="83"/>
      <c r="AF290" s="83"/>
      <c r="AG290" s="83"/>
      <c r="AH290" s="86"/>
      <c r="AI290" s="86"/>
      <c r="AJ290" s="87"/>
      <c r="AK290" s="87"/>
      <c r="AL290" s="87"/>
      <c r="AM290" s="87"/>
      <c r="AN290" s="87"/>
      <c r="AO290" s="87"/>
      <c r="AP290" s="87"/>
      <c r="AQ290" s="229" t="s">
        <v>355</v>
      </c>
      <c r="AR290" s="5"/>
      <c r="AS290" s="5"/>
      <c r="AT290" s="5"/>
      <c r="AU290" s="5"/>
      <c r="AV290" s="5"/>
      <c r="AW290" s="5"/>
      <c r="AX290" s="284"/>
      <c r="AY290" s="5"/>
      <c r="AZ290" s="5"/>
      <c r="BA290" s="230"/>
      <c r="BB290" s="5"/>
      <c r="BC290" s="232" t="s">
        <v>355</v>
      </c>
      <c r="BD290" s="262"/>
      <c r="BE290" s="249"/>
      <c r="BF290" s="249"/>
      <c r="BG290" s="249"/>
      <c r="BH290" s="249"/>
      <c r="BI290" s="249"/>
      <c r="BJ290" s="249"/>
      <c r="BK290" s="249"/>
      <c r="BL290" s="249"/>
      <c r="BM290" s="249"/>
      <c r="BN290" s="249"/>
      <c r="BO290" s="249"/>
      <c r="BP290" s="249"/>
      <c r="BQ290" s="249"/>
      <c r="BR290" s="249"/>
      <c r="BS290" s="249"/>
      <c r="BT290" s="249"/>
      <c r="BU290" s="249"/>
      <c r="BV290" s="249"/>
      <c r="BW290" s="249"/>
      <c r="BX290" s="249"/>
      <c r="BY290" s="249"/>
      <c r="BZ290" s="249"/>
      <c r="CA290" s="249"/>
      <c r="CB290" s="249"/>
      <c r="CC290" s="249"/>
      <c r="CD290" s="249"/>
      <c r="CE290" s="249"/>
    </row>
    <row r="291" spans="1:83" s="84" customFormat="1" ht="12.95" customHeight="1">
      <c r="A291" s="84" t="s">
        <v>3401</v>
      </c>
      <c r="B291" s="84" t="s">
        <v>3626</v>
      </c>
      <c r="C291" s="79" t="s">
        <v>356</v>
      </c>
      <c r="D291" s="52" t="s">
        <v>2384</v>
      </c>
      <c r="E291" s="52" t="s">
        <v>2370</v>
      </c>
      <c r="F291" s="53" t="s">
        <v>570</v>
      </c>
      <c r="G291" s="179" t="s">
        <v>1429</v>
      </c>
      <c r="H291" s="180" t="s">
        <v>356</v>
      </c>
      <c r="I291" s="55" t="s">
        <v>1429</v>
      </c>
      <c r="J291" s="55" t="s">
        <v>1429</v>
      </c>
      <c r="K291" s="56" t="s">
        <v>1429</v>
      </c>
      <c r="L291" s="54" t="s">
        <v>1429</v>
      </c>
      <c r="M291" s="55" t="s">
        <v>1590</v>
      </c>
      <c r="N291" s="55" t="s">
        <v>1429</v>
      </c>
      <c r="O291" s="55" t="s">
        <v>1429</v>
      </c>
      <c r="P291" s="56" t="s">
        <v>1429</v>
      </c>
      <c r="Q291" s="85"/>
      <c r="R291" s="85"/>
      <c r="S291" s="85"/>
      <c r="T291" s="85"/>
      <c r="U291" s="85"/>
      <c r="V291" s="146" t="s">
        <v>2385</v>
      </c>
      <c r="W291" s="51" t="s">
        <v>2290</v>
      </c>
      <c r="X291" s="130" t="s">
        <v>1429</v>
      </c>
      <c r="Y291" s="130" t="s">
        <v>1429</v>
      </c>
      <c r="Z291" s="51"/>
      <c r="AA291" s="51" t="s">
        <v>2348</v>
      </c>
      <c r="AB291" s="51"/>
      <c r="AC291" s="146" t="s">
        <v>1633</v>
      </c>
      <c r="AD291" s="98"/>
      <c r="AE291" s="83"/>
      <c r="AF291" s="83"/>
      <c r="AG291" s="83"/>
      <c r="AH291" s="86"/>
      <c r="AI291" s="86"/>
      <c r="AJ291" s="87"/>
      <c r="AK291" s="87"/>
      <c r="AL291" s="87"/>
      <c r="AM291" s="87"/>
      <c r="AN291" s="87"/>
      <c r="AO291" s="87"/>
      <c r="AP291" s="87"/>
      <c r="AQ291" s="229" t="s">
        <v>356</v>
      </c>
      <c r="AR291" s="5"/>
      <c r="AS291" s="5"/>
      <c r="AT291" s="5"/>
      <c r="AU291" s="5"/>
      <c r="AV291" s="5"/>
      <c r="AW291" s="5"/>
      <c r="AX291" s="284"/>
      <c r="AY291" s="5"/>
      <c r="AZ291" s="5"/>
      <c r="BA291" s="230"/>
      <c r="BB291" s="5"/>
      <c r="BC291" s="258" t="s">
        <v>356</v>
      </c>
      <c r="BD291" s="262"/>
      <c r="BE291" s="249"/>
      <c r="BF291" s="249"/>
      <c r="BG291" s="249"/>
      <c r="BH291" s="249"/>
      <c r="BI291" s="249"/>
      <c r="BJ291" s="249"/>
      <c r="BK291" s="249"/>
      <c r="BL291" s="249"/>
      <c r="BM291" s="249"/>
      <c r="BN291" s="249"/>
      <c r="BO291" s="249"/>
      <c r="BP291" s="249"/>
      <c r="BQ291" s="249"/>
      <c r="BR291" s="249"/>
      <c r="BS291" s="249"/>
      <c r="BT291" s="249"/>
      <c r="BU291" s="249"/>
      <c r="BV291" s="249"/>
      <c r="BW291" s="249"/>
      <c r="BX291" s="249"/>
      <c r="BY291" s="249"/>
      <c r="BZ291" s="249"/>
      <c r="CA291" s="249"/>
      <c r="CB291" s="249"/>
      <c r="CC291" s="249"/>
      <c r="CD291" s="249"/>
      <c r="CE291" s="249"/>
    </row>
    <row r="292" spans="1:83" s="84" customFormat="1" ht="12.95" customHeight="1">
      <c r="A292" s="84" t="s">
        <v>3402</v>
      </c>
      <c r="B292" s="84" t="s">
        <v>2116</v>
      </c>
      <c r="C292" s="79" t="s">
        <v>322</v>
      </c>
      <c r="D292" s="52" t="s">
        <v>2386</v>
      </c>
      <c r="E292" s="52" t="s">
        <v>2353</v>
      </c>
      <c r="F292" s="53" t="s">
        <v>571</v>
      </c>
      <c r="G292" s="179" t="s">
        <v>1429</v>
      </c>
      <c r="H292" s="180" t="s">
        <v>322</v>
      </c>
      <c r="I292" s="55" t="s">
        <v>1429</v>
      </c>
      <c r="J292" s="55" t="s">
        <v>1429</v>
      </c>
      <c r="K292" s="56" t="s">
        <v>1429</v>
      </c>
      <c r="L292" s="54" t="s">
        <v>1429</v>
      </c>
      <c r="M292" s="55" t="s">
        <v>1590</v>
      </c>
      <c r="N292" s="55" t="s">
        <v>1429</v>
      </c>
      <c r="O292" s="55" t="s">
        <v>1429</v>
      </c>
      <c r="P292" s="56" t="s">
        <v>1429</v>
      </c>
      <c r="Q292" s="85"/>
      <c r="R292" s="85"/>
      <c r="S292" s="85"/>
      <c r="T292" s="85"/>
      <c r="U292" s="85"/>
      <c r="V292" s="146" t="s">
        <v>2387</v>
      </c>
      <c r="W292" s="51" t="s">
        <v>2290</v>
      </c>
      <c r="X292" s="130" t="s">
        <v>1429</v>
      </c>
      <c r="Y292" s="130" t="s">
        <v>1429</v>
      </c>
      <c r="Z292" s="51"/>
      <c r="AA292" s="51" t="s">
        <v>2348</v>
      </c>
      <c r="AB292" s="51"/>
      <c r="AC292" s="146" t="s">
        <v>1633</v>
      </c>
      <c r="AD292" s="98"/>
      <c r="AE292" s="83"/>
      <c r="AF292" s="83"/>
      <c r="AG292" s="83"/>
      <c r="AH292" s="86"/>
      <c r="AI292" s="86"/>
      <c r="AJ292" s="87"/>
      <c r="AK292" s="87"/>
      <c r="AL292" s="87"/>
      <c r="AM292" s="87"/>
      <c r="AN292" s="87"/>
      <c r="AO292" s="87"/>
      <c r="AP292" s="87"/>
      <c r="AQ292" s="229" t="s">
        <v>322</v>
      </c>
      <c r="AR292" s="5"/>
      <c r="AS292" s="5"/>
      <c r="AT292" s="5"/>
      <c r="AU292" s="5"/>
      <c r="AV292" s="5"/>
      <c r="AW292" s="5"/>
      <c r="AX292" s="284"/>
      <c r="AY292" s="5"/>
      <c r="AZ292" s="5"/>
      <c r="BA292" s="230"/>
      <c r="BB292" s="215"/>
      <c r="BC292" s="260" t="s">
        <v>322</v>
      </c>
      <c r="BD292" s="262"/>
      <c r="BE292" s="249"/>
      <c r="BF292" s="249"/>
      <c r="BG292" s="249"/>
      <c r="BH292" s="249"/>
      <c r="BI292" s="249"/>
      <c r="BJ292" s="249"/>
      <c r="BK292" s="249"/>
      <c r="BL292" s="249"/>
      <c r="BM292" s="249"/>
      <c r="BN292" s="249"/>
      <c r="BO292" s="249"/>
      <c r="BP292" s="249"/>
      <c r="BQ292" s="249"/>
      <c r="BR292" s="249"/>
      <c r="BS292" s="249"/>
      <c r="BT292" s="249"/>
      <c r="BU292" s="249"/>
      <c r="BV292" s="249"/>
      <c r="BW292" s="249"/>
      <c r="BX292" s="249"/>
      <c r="BY292" s="249"/>
      <c r="BZ292" s="249"/>
      <c r="CA292" s="249"/>
      <c r="CB292" s="249"/>
      <c r="CC292" s="249"/>
      <c r="CD292" s="249"/>
      <c r="CE292" s="249"/>
    </row>
    <row r="293" spans="1:83" s="84" customFormat="1" ht="12.95" customHeight="1">
      <c r="A293" s="84" t="s">
        <v>3403</v>
      </c>
      <c r="B293" s="84" t="s">
        <v>2134</v>
      </c>
      <c r="C293" s="79" t="s">
        <v>321</v>
      </c>
      <c r="D293" s="52" t="s">
        <v>2388</v>
      </c>
      <c r="E293" s="52" t="s">
        <v>2389</v>
      </c>
      <c r="F293" s="53" t="s">
        <v>572</v>
      </c>
      <c r="G293" s="179" t="s">
        <v>1429</v>
      </c>
      <c r="H293" s="180" t="s">
        <v>321</v>
      </c>
      <c r="I293" s="55" t="s">
        <v>1429</v>
      </c>
      <c r="J293" s="55" t="s">
        <v>1429</v>
      </c>
      <c r="K293" s="56" t="s">
        <v>1429</v>
      </c>
      <c r="L293" s="54" t="s">
        <v>1429</v>
      </c>
      <c r="M293" s="55" t="s">
        <v>1590</v>
      </c>
      <c r="N293" s="55" t="s">
        <v>1429</v>
      </c>
      <c r="O293" s="55" t="s">
        <v>1429</v>
      </c>
      <c r="P293" s="56" t="s">
        <v>1429</v>
      </c>
      <c r="Q293" s="85"/>
      <c r="R293" s="85"/>
      <c r="S293" s="85"/>
      <c r="T293" s="85"/>
      <c r="U293" s="85"/>
      <c r="V293" s="146" t="s">
        <v>2390</v>
      </c>
      <c r="W293" s="51" t="s">
        <v>2290</v>
      </c>
      <c r="X293" s="130" t="s">
        <v>1429</v>
      </c>
      <c r="Y293" s="130" t="s">
        <v>1429</v>
      </c>
      <c r="Z293" s="51"/>
      <c r="AA293" s="51" t="s">
        <v>2348</v>
      </c>
      <c r="AB293" s="51"/>
      <c r="AC293" s="146" t="s">
        <v>1633</v>
      </c>
      <c r="AD293" s="98"/>
      <c r="AE293" s="83"/>
      <c r="AF293" s="83"/>
      <c r="AG293" s="83"/>
      <c r="AH293" s="86"/>
      <c r="AI293" s="86"/>
      <c r="AJ293" s="87"/>
      <c r="AK293" s="87"/>
      <c r="AL293" s="87"/>
      <c r="AM293" s="87"/>
      <c r="AN293" s="87"/>
      <c r="AO293" s="87"/>
      <c r="AP293" s="87"/>
      <c r="AQ293" s="229" t="s">
        <v>321</v>
      </c>
      <c r="AR293" s="5"/>
      <c r="AS293" s="5"/>
      <c r="AT293" s="5"/>
      <c r="AU293" s="5"/>
      <c r="AV293" s="5"/>
      <c r="AW293" s="5"/>
      <c r="AX293" s="284"/>
      <c r="AY293" s="5"/>
      <c r="AZ293" s="5"/>
      <c r="BA293" s="230"/>
      <c r="BB293" s="5"/>
      <c r="BC293" s="232" t="s">
        <v>321</v>
      </c>
      <c r="BD293" s="262"/>
      <c r="BE293" s="249"/>
      <c r="BF293" s="249"/>
      <c r="BG293" s="249"/>
      <c r="BH293" s="249"/>
      <c r="BI293" s="249"/>
      <c r="BJ293" s="249"/>
      <c r="BK293" s="249"/>
      <c r="BL293" s="249"/>
      <c r="BM293" s="249"/>
      <c r="BN293" s="249"/>
      <c r="BO293" s="249"/>
      <c r="BP293" s="249"/>
      <c r="BQ293" s="249"/>
      <c r="BR293" s="249"/>
      <c r="BS293" s="249"/>
      <c r="BT293" s="249"/>
      <c r="BU293" s="249"/>
      <c r="BV293" s="249"/>
      <c r="BW293" s="249"/>
      <c r="BX293" s="249"/>
      <c r="BY293" s="249"/>
      <c r="BZ293" s="249"/>
      <c r="CA293" s="249"/>
      <c r="CB293" s="249"/>
      <c r="CC293" s="249"/>
      <c r="CD293" s="249"/>
      <c r="CE293" s="249"/>
    </row>
    <row r="294" spans="1:83" s="84" customFormat="1" ht="12.95" customHeight="1">
      <c r="A294" s="84" t="s">
        <v>3404</v>
      </c>
      <c r="B294" s="84" t="s">
        <v>2124</v>
      </c>
      <c r="C294" s="79" t="s">
        <v>357</v>
      </c>
      <c r="D294" s="52" t="s">
        <v>2391</v>
      </c>
      <c r="E294" s="52" t="s">
        <v>2392</v>
      </c>
      <c r="F294" s="53" t="s">
        <v>573</v>
      </c>
      <c r="G294" s="179" t="s">
        <v>1429</v>
      </c>
      <c r="H294" s="180" t="s">
        <v>357</v>
      </c>
      <c r="I294" s="55" t="s">
        <v>1429</v>
      </c>
      <c r="J294" s="55" t="s">
        <v>1429</v>
      </c>
      <c r="K294" s="56" t="s">
        <v>1429</v>
      </c>
      <c r="L294" s="54" t="s">
        <v>1429</v>
      </c>
      <c r="M294" s="55" t="s">
        <v>1590</v>
      </c>
      <c r="N294" s="55" t="s">
        <v>1429</v>
      </c>
      <c r="O294" s="55" t="s">
        <v>1429</v>
      </c>
      <c r="P294" s="56" t="s">
        <v>1429</v>
      </c>
      <c r="Q294" s="85"/>
      <c r="R294" s="85"/>
      <c r="S294" s="85"/>
      <c r="T294" s="85"/>
      <c r="U294" s="85"/>
      <c r="V294" s="146" t="s">
        <v>2393</v>
      </c>
      <c r="W294" s="51" t="s">
        <v>2290</v>
      </c>
      <c r="X294" s="130" t="s">
        <v>1429</v>
      </c>
      <c r="Y294" s="130" t="s">
        <v>1429</v>
      </c>
      <c r="Z294" s="51"/>
      <c r="AA294" s="51" t="s">
        <v>2348</v>
      </c>
      <c r="AB294" s="51"/>
      <c r="AC294" s="146" t="s">
        <v>1633</v>
      </c>
      <c r="AD294" s="98"/>
      <c r="AE294" s="83"/>
      <c r="AF294" s="83"/>
      <c r="AG294" s="83"/>
      <c r="AH294" s="86"/>
      <c r="AI294" s="86"/>
      <c r="AJ294" s="87"/>
      <c r="AK294" s="87"/>
      <c r="AL294" s="87"/>
      <c r="AM294" s="87"/>
      <c r="AN294" s="87"/>
      <c r="AO294" s="87"/>
      <c r="AP294" s="87"/>
      <c r="AQ294" s="229" t="s">
        <v>357</v>
      </c>
      <c r="AR294" s="5"/>
      <c r="AS294" s="5"/>
      <c r="AT294" s="5"/>
      <c r="AU294" s="5"/>
      <c r="AV294" s="5"/>
      <c r="AW294" s="5"/>
      <c r="AX294" s="284"/>
      <c r="AY294" s="5"/>
      <c r="AZ294" s="5"/>
      <c r="BA294" s="230"/>
      <c r="BB294" s="5"/>
      <c r="BC294" s="232" t="s">
        <v>357</v>
      </c>
      <c r="BD294" s="262"/>
      <c r="BE294" s="249"/>
      <c r="BF294" s="249"/>
      <c r="BG294" s="249"/>
      <c r="BH294" s="249"/>
      <c r="BI294" s="249"/>
      <c r="BJ294" s="249"/>
      <c r="BK294" s="249"/>
      <c r="BL294" s="249"/>
      <c r="BM294" s="249"/>
      <c r="BN294" s="249"/>
      <c r="BO294" s="249"/>
      <c r="BP294" s="249"/>
      <c r="BQ294" s="249"/>
      <c r="BR294" s="249"/>
      <c r="BS294" s="249"/>
      <c r="BT294" s="249"/>
      <c r="BU294" s="249"/>
      <c r="BV294" s="249"/>
      <c r="BW294" s="249"/>
      <c r="BX294" s="249"/>
      <c r="BY294" s="249"/>
      <c r="BZ294" s="249"/>
      <c r="CA294" s="249"/>
      <c r="CB294" s="249"/>
      <c r="CC294" s="249"/>
      <c r="CD294" s="249"/>
      <c r="CE294" s="249"/>
    </row>
    <row r="295" spans="1:83" s="84" customFormat="1" ht="12.95" customHeight="1">
      <c r="A295" s="84" t="s">
        <v>3405</v>
      </c>
      <c r="B295" s="84" t="s">
        <v>2127</v>
      </c>
      <c r="C295" s="79" t="s">
        <v>358</v>
      </c>
      <c r="D295" s="52" t="s">
        <v>2394</v>
      </c>
      <c r="E295" s="52" t="s">
        <v>2395</v>
      </c>
      <c r="F295" s="53" t="s">
        <v>574</v>
      </c>
      <c r="G295" s="179" t="s">
        <v>1429</v>
      </c>
      <c r="H295" s="180" t="s">
        <v>358</v>
      </c>
      <c r="I295" s="55" t="s">
        <v>1429</v>
      </c>
      <c r="J295" s="55" t="s">
        <v>1429</v>
      </c>
      <c r="K295" s="56" t="s">
        <v>1429</v>
      </c>
      <c r="L295" s="54" t="s">
        <v>1429</v>
      </c>
      <c r="M295" s="55" t="s">
        <v>1590</v>
      </c>
      <c r="N295" s="55" t="s">
        <v>1429</v>
      </c>
      <c r="O295" s="55" t="s">
        <v>1429</v>
      </c>
      <c r="P295" s="56" t="s">
        <v>1429</v>
      </c>
      <c r="Q295" s="85"/>
      <c r="R295" s="85"/>
      <c r="S295" s="85"/>
      <c r="T295" s="85"/>
      <c r="U295" s="85"/>
      <c r="V295" s="146" t="s">
        <v>2396</v>
      </c>
      <c r="W295" s="51" t="s">
        <v>2290</v>
      </c>
      <c r="X295" s="130" t="s">
        <v>1429</v>
      </c>
      <c r="Y295" s="130" t="s">
        <v>1429</v>
      </c>
      <c r="Z295" s="51"/>
      <c r="AA295" s="51" t="s">
        <v>2348</v>
      </c>
      <c r="AB295" s="51"/>
      <c r="AC295" s="146" t="s">
        <v>1633</v>
      </c>
      <c r="AD295" s="98"/>
      <c r="AE295" s="83"/>
      <c r="AF295" s="83"/>
      <c r="AG295" s="83"/>
      <c r="AH295" s="86"/>
      <c r="AI295" s="86"/>
      <c r="AJ295" s="87"/>
      <c r="AK295" s="87"/>
      <c r="AL295" s="87"/>
      <c r="AM295" s="87"/>
      <c r="AN295" s="87"/>
      <c r="AO295" s="87"/>
      <c r="AP295" s="87"/>
      <c r="AQ295" s="229" t="s">
        <v>358</v>
      </c>
      <c r="AR295" s="5"/>
      <c r="AS295" s="5"/>
      <c r="AT295" s="5"/>
      <c r="AU295" s="5"/>
      <c r="AV295" s="5"/>
      <c r="AW295" s="5"/>
      <c r="AX295" s="284"/>
      <c r="AY295" s="5"/>
      <c r="AZ295" s="5"/>
      <c r="BA295" s="230"/>
      <c r="BB295" s="5"/>
      <c r="BC295" s="232" t="s">
        <v>358</v>
      </c>
      <c r="BD295" s="262"/>
      <c r="BE295" s="249"/>
      <c r="BF295" s="249"/>
      <c r="BG295" s="249"/>
      <c r="BH295" s="249"/>
      <c r="BI295" s="249"/>
      <c r="BJ295" s="249"/>
      <c r="BK295" s="249"/>
      <c r="BL295" s="249"/>
      <c r="BM295" s="249"/>
      <c r="BN295" s="249"/>
      <c r="BO295" s="249"/>
      <c r="BP295" s="249"/>
      <c r="BQ295" s="249"/>
      <c r="BR295" s="249"/>
      <c r="BS295" s="249"/>
      <c r="BT295" s="249"/>
      <c r="BU295" s="249"/>
      <c r="BV295" s="249"/>
      <c r="BW295" s="249"/>
      <c r="BX295" s="249"/>
      <c r="BY295" s="249"/>
      <c r="BZ295" s="249"/>
      <c r="CA295" s="249"/>
      <c r="CB295" s="249"/>
      <c r="CC295" s="249"/>
      <c r="CD295" s="249"/>
      <c r="CE295" s="249"/>
    </row>
    <row r="296" spans="1:83" s="84" customFormat="1" ht="12.95" customHeight="1">
      <c r="A296" s="84" t="s">
        <v>3406</v>
      </c>
      <c r="B296" s="84" t="s">
        <v>2109</v>
      </c>
      <c r="C296" s="79" t="s">
        <v>359</v>
      </c>
      <c r="D296" s="52" t="s">
        <v>2397</v>
      </c>
      <c r="E296" s="52" t="s">
        <v>2351</v>
      </c>
      <c r="F296" s="53" t="s">
        <v>575</v>
      </c>
      <c r="G296" s="179" t="s">
        <v>1429</v>
      </c>
      <c r="H296" s="180" t="s">
        <v>359</v>
      </c>
      <c r="I296" s="55" t="s">
        <v>1429</v>
      </c>
      <c r="J296" s="55" t="s">
        <v>1429</v>
      </c>
      <c r="K296" s="56" t="s">
        <v>1429</v>
      </c>
      <c r="L296" s="54" t="s">
        <v>1429</v>
      </c>
      <c r="M296" s="55" t="s">
        <v>1590</v>
      </c>
      <c r="N296" s="55" t="s">
        <v>1429</v>
      </c>
      <c r="O296" s="55" t="s">
        <v>1429</v>
      </c>
      <c r="P296" s="56" t="s">
        <v>1429</v>
      </c>
      <c r="Q296" s="85"/>
      <c r="R296" s="85"/>
      <c r="S296" s="85"/>
      <c r="T296" s="85"/>
      <c r="U296" s="85"/>
      <c r="V296" s="146" t="s">
        <v>2398</v>
      </c>
      <c r="W296" s="51" t="s">
        <v>2290</v>
      </c>
      <c r="X296" s="130" t="s">
        <v>1429</v>
      </c>
      <c r="Y296" s="130" t="s">
        <v>1429</v>
      </c>
      <c r="Z296" s="51"/>
      <c r="AA296" s="51" t="s">
        <v>2348</v>
      </c>
      <c r="AB296" s="51"/>
      <c r="AC296" s="146" t="s">
        <v>1633</v>
      </c>
      <c r="AD296" s="98"/>
      <c r="AE296" s="83"/>
      <c r="AF296" s="83"/>
      <c r="AG296" s="83"/>
      <c r="AH296" s="86"/>
      <c r="AI296" s="86"/>
      <c r="AJ296" s="87"/>
      <c r="AK296" s="87"/>
      <c r="AL296" s="87"/>
      <c r="AM296" s="87"/>
      <c r="AN296" s="87"/>
      <c r="AO296" s="87"/>
      <c r="AP296" s="87"/>
      <c r="AQ296" s="229" t="s">
        <v>359</v>
      </c>
      <c r="AR296" s="5"/>
      <c r="AS296" s="5"/>
      <c r="AT296" s="5"/>
      <c r="AU296" s="5"/>
      <c r="AV296" s="5"/>
      <c r="AW296" s="5"/>
      <c r="AX296" s="284"/>
      <c r="AY296" s="5"/>
      <c r="AZ296" s="5"/>
      <c r="BA296" s="230"/>
      <c r="BB296" s="5"/>
      <c r="BC296" s="232" t="s">
        <v>359</v>
      </c>
      <c r="BD296" s="262"/>
      <c r="BE296" s="249"/>
      <c r="BF296" s="249"/>
      <c r="BG296" s="249"/>
      <c r="BH296" s="249"/>
      <c r="BI296" s="249"/>
      <c r="BJ296" s="249"/>
      <c r="BK296" s="249"/>
      <c r="BL296" s="249"/>
      <c r="BM296" s="249"/>
      <c r="BN296" s="249"/>
      <c r="BO296" s="249"/>
      <c r="BP296" s="249"/>
      <c r="BQ296" s="249"/>
      <c r="BR296" s="249"/>
      <c r="BS296" s="249"/>
      <c r="BT296" s="249"/>
      <c r="BU296" s="249"/>
      <c r="BV296" s="249"/>
      <c r="BW296" s="249"/>
      <c r="BX296" s="249"/>
      <c r="BY296" s="249"/>
      <c r="BZ296" s="249"/>
      <c r="CA296" s="249"/>
      <c r="CB296" s="249"/>
      <c r="CC296" s="249"/>
      <c r="CD296" s="249"/>
      <c r="CE296" s="249"/>
    </row>
    <row r="297" spans="1:83" s="84" customFormat="1" ht="12.95" customHeight="1">
      <c r="A297" s="84" t="s">
        <v>3407</v>
      </c>
      <c r="B297" s="84" t="s">
        <v>2131</v>
      </c>
      <c r="C297" s="79" t="s">
        <v>360</v>
      </c>
      <c r="D297" s="52" t="s">
        <v>2399</v>
      </c>
      <c r="E297" s="52" t="s">
        <v>2349</v>
      </c>
      <c r="F297" s="53" t="s">
        <v>576</v>
      </c>
      <c r="G297" s="179" t="s">
        <v>1429</v>
      </c>
      <c r="H297" s="180" t="s">
        <v>360</v>
      </c>
      <c r="I297" s="55" t="s">
        <v>1429</v>
      </c>
      <c r="J297" s="55" t="s">
        <v>1429</v>
      </c>
      <c r="K297" s="56" t="s">
        <v>1429</v>
      </c>
      <c r="L297" s="54" t="s">
        <v>1429</v>
      </c>
      <c r="M297" s="55" t="s">
        <v>1590</v>
      </c>
      <c r="N297" s="55" t="s">
        <v>1429</v>
      </c>
      <c r="O297" s="55" t="s">
        <v>1429</v>
      </c>
      <c r="P297" s="56" t="s">
        <v>1429</v>
      </c>
      <c r="Q297" s="85"/>
      <c r="R297" s="85"/>
      <c r="S297" s="85"/>
      <c r="T297" s="85"/>
      <c r="U297" s="85"/>
      <c r="V297" s="146" t="s">
        <v>2400</v>
      </c>
      <c r="W297" s="51" t="s">
        <v>2290</v>
      </c>
      <c r="X297" s="130" t="s">
        <v>1429</v>
      </c>
      <c r="Y297" s="130" t="s">
        <v>1429</v>
      </c>
      <c r="Z297" s="51"/>
      <c r="AA297" s="51" t="s">
        <v>2348</v>
      </c>
      <c r="AB297" s="51"/>
      <c r="AC297" s="146" t="s">
        <v>1633</v>
      </c>
      <c r="AD297" s="98"/>
      <c r="AE297" s="83"/>
      <c r="AF297" s="83"/>
      <c r="AG297" s="83"/>
      <c r="AH297" s="86"/>
      <c r="AI297" s="86"/>
      <c r="AJ297" s="87"/>
      <c r="AK297" s="87"/>
      <c r="AL297" s="87"/>
      <c r="AM297" s="87"/>
      <c r="AN297" s="87"/>
      <c r="AO297" s="87"/>
      <c r="AP297" s="87"/>
      <c r="AQ297" s="229" t="s">
        <v>360</v>
      </c>
      <c r="AR297" s="5"/>
      <c r="AS297" s="5"/>
      <c r="AT297" s="5"/>
      <c r="AU297" s="5"/>
      <c r="AV297" s="5"/>
      <c r="AW297" s="5"/>
      <c r="AX297" s="284"/>
      <c r="AY297" s="5"/>
      <c r="AZ297" s="5"/>
      <c r="BA297" s="230"/>
      <c r="BB297" s="5"/>
      <c r="BC297" s="232" t="s">
        <v>360</v>
      </c>
      <c r="BD297" s="262"/>
      <c r="BE297" s="249"/>
      <c r="BF297" s="249"/>
      <c r="BG297" s="249"/>
      <c r="BH297" s="249"/>
      <c r="BI297" s="249"/>
      <c r="BJ297" s="249"/>
      <c r="BK297" s="249"/>
      <c r="BL297" s="249"/>
      <c r="BM297" s="249"/>
      <c r="BN297" s="249"/>
      <c r="BO297" s="249"/>
      <c r="BP297" s="249"/>
      <c r="BQ297" s="249"/>
      <c r="BR297" s="249"/>
      <c r="BS297" s="249"/>
      <c r="BT297" s="249"/>
      <c r="BU297" s="249"/>
      <c r="BV297" s="249"/>
      <c r="BW297" s="249"/>
      <c r="BX297" s="249"/>
      <c r="BY297" s="249"/>
      <c r="BZ297" s="249"/>
      <c r="CA297" s="249"/>
      <c r="CB297" s="249"/>
      <c r="CC297" s="249"/>
      <c r="CD297" s="249"/>
      <c r="CE297" s="249"/>
    </row>
    <row r="298" spans="1:83" s="84" customFormat="1" ht="12.95" customHeight="1">
      <c r="A298" s="84" t="s">
        <v>3408</v>
      </c>
      <c r="B298" s="84" t="s">
        <v>3607</v>
      </c>
      <c r="C298" s="79" t="s">
        <v>192</v>
      </c>
      <c r="D298" s="52" t="s">
        <v>1883</v>
      </c>
      <c r="E298" s="52" t="s">
        <v>2355</v>
      </c>
      <c r="F298" s="53" t="s">
        <v>193</v>
      </c>
      <c r="G298" s="179" t="s">
        <v>1429</v>
      </c>
      <c r="H298" s="180" t="s">
        <v>192</v>
      </c>
      <c r="I298" s="55" t="s">
        <v>1429</v>
      </c>
      <c r="J298" s="55" t="s">
        <v>1429</v>
      </c>
      <c r="K298" s="56" t="s">
        <v>1429</v>
      </c>
      <c r="L298" s="54" t="s">
        <v>1429</v>
      </c>
      <c r="M298" s="55" t="s">
        <v>1590</v>
      </c>
      <c r="N298" s="55" t="s">
        <v>1429</v>
      </c>
      <c r="O298" s="55" t="s">
        <v>1429</v>
      </c>
      <c r="P298" s="56" t="s">
        <v>1429</v>
      </c>
      <c r="Q298" s="85"/>
      <c r="R298" s="85"/>
      <c r="S298" s="85"/>
      <c r="T298" s="85"/>
      <c r="U298" s="85"/>
      <c r="V298" s="146" t="s">
        <v>2401</v>
      </c>
      <c r="W298" s="51" t="s">
        <v>2290</v>
      </c>
      <c r="X298" s="130" t="s">
        <v>1429</v>
      </c>
      <c r="Y298" s="130" t="s">
        <v>1429</v>
      </c>
      <c r="Z298" s="51"/>
      <c r="AA298" s="51" t="s">
        <v>2348</v>
      </c>
      <c r="AB298" s="51"/>
      <c r="AC298" s="146" t="s">
        <v>1633</v>
      </c>
      <c r="AD298" s="98"/>
      <c r="AE298" s="83"/>
      <c r="AF298" s="83"/>
      <c r="AG298" s="83"/>
      <c r="AH298" s="86"/>
      <c r="AI298" s="86"/>
      <c r="AJ298" s="87"/>
      <c r="AK298" s="87"/>
      <c r="AL298" s="87"/>
      <c r="AM298" s="87"/>
      <c r="AN298" s="87"/>
      <c r="AO298" s="87"/>
      <c r="AP298" s="87"/>
      <c r="AQ298" s="233" t="s">
        <v>192</v>
      </c>
      <c r="AR298" s="5"/>
      <c r="AS298" s="5"/>
      <c r="AT298" s="5"/>
      <c r="AU298" s="5"/>
      <c r="AV298" s="5"/>
      <c r="AW298" s="5"/>
      <c r="AX298" s="284"/>
      <c r="AY298" s="5"/>
      <c r="AZ298" s="5"/>
      <c r="BA298" s="230"/>
      <c r="BB298" s="5"/>
      <c r="BC298" s="232" t="s">
        <v>192</v>
      </c>
      <c r="BD298" s="256"/>
      <c r="BE298" s="249"/>
      <c r="BF298" s="249"/>
      <c r="BG298" s="249"/>
      <c r="BH298" s="249"/>
      <c r="BI298" s="249"/>
      <c r="BJ298" s="249"/>
      <c r="BK298" s="249"/>
      <c r="BL298" s="249"/>
      <c r="BM298" s="249"/>
      <c r="BN298" s="249"/>
      <c r="BO298" s="249"/>
      <c r="BP298" s="249"/>
      <c r="BQ298" s="249"/>
      <c r="BR298" s="249"/>
      <c r="BS298" s="249"/>
      <c r="BT298" s="249"/>
      <c r="BU298" s="249"/>
      <c r="BV298" s="249"/>
      <c r="BW298" s="249"/>
      <c r="BX298" s="249"/>
      <c r="BY298" s="249"/>
      <c r="BZ298" s="249"/>
      <c r="CA298" s="249"/>
      <c r="CB298" s="249"/>
      <c r="CC298" s="249"/>
      <c r="CD298" s="249"/>
      <c r="CE298" s="249"/>
    </row>
    <row r="299" spans="1:83" s="84" customFormat="1" ht="12.95" customHeight="1">
      <c r="A299" s="84" t="s">
        <v>3409</v>
      </c>
      <c r="B299" s="84" t="s">
        <v>3608</v>
      </c>
      <c r="C299" s="79" t="s">
        <v>194</v>
      </c>
      <c r="D299" s="52" t="s">
        <v>1877</v>
      </c>
      <c r="E299" s="52" t="s">
        <v>2402</v>
      </c>
      <c r="F299" s="53" t="s">
        <v>195</v>
      </c>
      <c r="G299" s="179" t="s">
        <v>1429</v>
      </c>
      <c r="H299" s="180" t="s">
        <v>194</v>
      </c>
      <c r="I299" s="55" t="s">
        <v>1429</v>
      </c>
      <c r="J299" s="55" t="s">
        <v>1429</v>
      </c>
      <c r="K299" s="56" t="s">
        <v>1429</v>
      </c>
      <c r="L299" s="54" t="s">
        <v>1429</v>
      </c>
      <c r="M299" s="55" t="s">
        <v>1590</v>
      </c>
      <c r="N299" s="55" t="s">
        <v>1429</v>
      </c>
      <c r="O299" s="55" t="s">
        <v>1429</v>
      </c>
      <c r="P299" s="56" t="s">
        <v>1429</v>
      </c>
      <c r="Q299" s="85"/>
      <c r="R299" s="85"/>
      <c r="S299" s="85"/>
      <c r="T299" s="85"/>
      <c r="U299" s="85"/>
      <c r="V299" s="146" t="s">
        <v>2403</v>
      </c>
      <c r="W299" s="51" t="s">
        <v>2290</v>
      </c>
      <c r="X299" s="130" t="s">
        <v>1429</v>
      </c>
      <c r="Y299" s="130" t="s">
        <v>1429</v>
      </c>
      <c r="Z299" s="51"/>
      <c r="AA299" s="51" t="s">
        <v>2348</v>
      </c>
      <c r="AB299" s="51"/>
      <c r="AC299" s="146" t="s">
        <v>1633</v>
      </c>
      <c r="AD299" s="98"/>
      <c r="AE299" s="83"/>
      <c r="AF299" s="83"/>
      <c r="AG299" s="83"/>
      <c r="AH299" s="86"/>
      <c r="AI299" s="86"/>
      <c r="AJ299" s="87"/>
      <c r="AK299" s="87"/>
      <c r="AL299" s="87"/>
      <c r="AM299" s="87"/>
      <c r="AN299" s="87"/>
      <c r="AO299" s="87"/>
      <c r="AP299" s="87"/>
      <c r="AQ299" s="233" t="s">
        <v>194</v>
      </c>
      <c r="AR299" s="5"/>
      <c r="AS299" s="5"/>
      <c r="AT299" s="5"/>
      <c r="AU299" s="5"/>
      <c r="AV299" s="5"/>
      <c r="AW299" s="5"/>
      <c r="AX299" s="284"/>
      <c r="AY299" s="5"/>
      <c r="AZ299" s="5"/>
      <c r="BA299" s="230"/>
      <c r="BB299" s="5"/>
      <c r="BC299" s="232" t="s">
        <v>194</v>
      </c>
      <c r="BD299" s="257"/>
      <c r="BE299" s="249"/>
      <c r="BF299" s="249"/>
      <c r="BG299" s="249"/>
      <c r="BH299" s="249"/>
      <c r="BI299" s="249"/>
      <c r="BJ299" s="249"/>
      <c r="BK299" s="249"/>
      <c r="BL299" s="249"/>
      <c r="BM299" s="249"/>
      <c r="BN299" s="249"/>
      <c r="BO299" s="249"/>
      <c r="BP299" s="249"/>
      <c r="BQ299" s="249"/>
      <c r="BR299" s="249"/>
      <c r="BS299" s="249"/>
      <c r="BT299" s="249"/>
      <c r="BU299" s="249"/>
      <c r="BV299" s="249"/>
      <c r="BW299" s="249"/>
      <c r="BX299" s="249"/>
      <c r="BY299" s="249"/>
      <c r="BZ299" s="249"/>
      <c r="CA299" s="249"/>
      <c r="CB299" s="249"/>
      <c r="CC299" s="249"/>
      <c r="CD299" s="249"/>
      <c r="CE299" s="249"/>
    </row>
    <row r="300" spans="1:83" s="84" customFormat="1" ht="12.95" customHeight="1">
      <c r="A300" s="84" t="s">
        <v>3410</v>
      </c>
      <c r="B300" s="84" t="s">
        <v>3599</v>
      </c>
      <c r="C300" s="79" t="s">
        <v>196</v>
      </c>
      <c r="D300" s="52" t="s">
        <v>1864</v>
      </c>
      <c r="E300" s="52" t="s">
        <v>2404</v>
      </c>
      <c r="F300" s="53" t="s">
        <v>197</v>
      </c>
      <c r="G300" s="179" t="s">
        <v>1429</v>
      </c>
      <c r="H300" s="180" t="s">
        <v>196</v>
      </c>
      <c r="I300" s="55" t="s">
        <v>1429</v>
      </c>
      <c r="J300" s="55" t="s">
        <v>1429</v>
      </c>
      <c r="K300" s="56" t="s">
        <v>1429</v>
      </c>
      <c r="L300" s="54" t="s">
        <v>1429</v>
      </c>
      <c r="M300" s="55" t="s">
        <v>1590</v>
      </c>
      <c r="N300" s="55" t="s">
        <v>1429</v>
      </c>
      <c r="O300" s="55" t="s">
        <v>1429</v>
      </c>
      <c r="P300" s="56" t="s">
        <v>1429</v>
      </c>
      <c r="Q300" s="85"/>
      <c r="R300" s="85"/>
      <c r="S300" s="85"/>
      <c r="T300" s="85"/>
      <c r="U300" s="85"/>
      <c r="V300" s="146" t="s">
        <v>2405</v>
      </c>
      <c r="W300" s="51" t="s">
        <v>2290</v>
      </c>
      <c r="X300" s="130" t="s">
        <v>1429</v>
      </c>
      <c r="Y300" s="130" t="s">
        <v>1429</v>
      </c>
      <c r="Z300" s="51"/>
      <c r="AA300" s="51" t="s">
        <v>2348</v>
      </c>
      <c r="AB300" s="51"/>
      <c r="AC300" s="146" t="s">
        <v>1633</v>
      </c>
      <c r="AD300" s="98"/>
      <c r="AE300" s="83"/>
      <c r="AF300" s="83"/>
      <c r="AG300" s="83"/>
      <c r="AH300" s="86"/>
      <c r="AI300" s="86"/>
      <c r="AJ300" s="87"/>
      <c r="AK300" s="87"/>
      <c r="AL300" s="87"/>
      <c r="AM300" s="87"/>
      <c r="AN300" s="87"/>
      <c r="AO300" s="87"/>
      <c r="AP300" s="87"/>
      <c r="AQ300" s="233" t="s">
        <v>196</v>
      </c>
      <c r="AR300" s="5"/>
      <c r="AS300" s="5"/>
      <c r="AT300" s="5"/>
      <c r="AU300" s="5"/>
      <c r="AV300" s="5"/>
      <c r="AW300" s="5"/>
      <c r="AX300" s="284"/>
      <c r="AY300" s="5"/>
      <c r="AZ300" s="5"/>
      <c r="BA300" s="230"/>
      <c r="BB300" s="5"/>
      <c r="BC300" s="232" t="s">
        <v>196</v>
      </c>
      <c r="BD300" s="257"/>
      <c r="BE300" s="249"/>
      <c r="BF300" s="249"/>
      <c r="BG300" s="249"/>
      <c r="BH300" s="249"/>
      <c r="BI300" s="249"/>
      <c r="BJ300" s="249"/>
      <c r="BK300" s="249"/>
      <c r="BL300" s="249"/>
      <c r="BM300" s="249"/>
      <c r="BN300" s="249"/>
      <c r="BO300" s="249"/>
      <c r="BP300" s="249"/>
      <c r="BQ300" s="249"/>
      <c r="BR300" s="249"/>
      <c r="BS300" s="249"/>
      <c r="BT300" s="249"/>
      <c r="BU300" s="249"/>
      <c r="BV300" s="249"/>
      <c r="BW300" s="249"/>
      <c r="BX300" s="249"/>
      <c r="BY300" s="249"/>
      <c r="BZ300" s="249"/>
      <c r="CA300" s="249"/>
      <c r="CB300" s="249"/>
      <c r="CC300" s="249"/>
      <c r="CD300" s="249"/>
      <c r="CE300" s="249"/>
    </row>
    <row r="301" spans="1:83" s="84" customFormat="1" ht="12.95" customHeight="1">
      <c r="A301" s="84" t="s">
        <v>3411</v>
      </c>
      <c r="B301" s="84" t="s">
        <v>2099</v>
      </c>
      <c r="C301" s="79" t="s">
        <v>198</v>
      </c>
      <c r="D301" s="52" t="s">
        <v>1880</v>
      </c>
      <c r="E301" s="52" t="s">
        <v>2406</v>
      </c>
      <c r="F301" s="53" t="s">
        <v>199</v>
      </c>
      <c r="G301" s="179" t="s">
        <v>1429</v>
      </c>
      <c r="H301" s="180" t="s">
        <v>198</v>
      </c>
      <c r="I301" s="55" t="s">
        <v>1429</v>
      </c>
      <c r="J301" s="55" t="s">
        <v>1429</v>
      </c>
      <c r="K301" s="56" t="s">
        <v>1429</v>
      </c>
      <c r="L301" s="54" t="s">
        <v>1429</v>
      </c>
      <c r="M301" s="55" t="s">
        <v>1590</v>
      </c>
      <c r="N301" s="55" t="s">
        <v>1429</v>
      </c>
      <c r="O301" s="55" t="s">
        <v>1429</v>
      </c>
      <c r="P301" s="56" t="s">
        <v>1429</v>
      </c>
      <c r="Q301" s="85"/>
      <c r="R301" s="85"/>
      <c r="S301" s="85"/>
      <c r="T301" s="85"/>
      <c r="U301" s="85"/>
      <c r="V301" s="146" t="s">
        <v>2407</v>
      </c>
      <c r="W301" s="51" t="s">
        <v>2290</v>
      </c>
      <c r="X301" s="130" t="s">
        <v>1429</v>
      </c>
      <c r="Y301" s="130" t="s">
        <v>1429</v>
      </c>
      <c r="Z301" s="51"/>
      <c r="AA301" s="51" t="s">
        <v>2348</v>
      </c>
      <c r="AB301" s="51"/>
      <c r="AC301" s="146" t="s">
        <v>1633</v>
      </c>
      <c r="AD301" s="98"/>
      <c r="AE301" s="83"/>
      <c r="AF301" s="83"/>
      <c r="AG301" s="83"/>
      <c r="AH301" s="86"/>
      <c r="AI301" s="86"/>
      <c r="AJ301" s="87"/>
      <c r="AK301" s="87"/>
      <c r="AL301" s="87"/>
      <c r="AM301" s="87"/>
      <c r="AN301" s="87"/>
      <c r="AO301" s="87"/>
      <c r="AP301" s="87"/>
      <c r="AQ301" s="233" t="s">
        <v>198</v>
      </c>
      <c r="AR301" s="5"/>
      <c r="AS301" s="5"/>
      <c r="AT301" s="5"/>
      <c r="AU301" s="5"/>
      <c r="AV301" s="5"/>
      <c r="AW301" s="5"/>
      <c r="AX301" s="284"/>
      <c r="AY301" s="5"/>
      <c r="AZ301" s="5"/>
      <c r="BA301" s="230"/>
      <c r="BB301" s="5"/>
      <c r="BC301" s="232" t="s">
        <v>198</v>
      </c>
      <c r="BD301" s="257"/>
      <c r="BE301" s="249"/>
      <c r="BF301" s="249"/>
      <c r="BG301" s="249"/>
      <c r="BH301" s="249"/>
      <c r="BI301" s="249"/>
      <c r="BJ301" s="249"/>
      <c r="BK301" s="249"/>
      <c r="BL301" s="249"/>
      <c r="BM301" s="249"/>
      <c r="BN301" s="249"/>
      <c r="BO301" s="249"/>
      <c r="BP301" s="249"/>
      <c r="BQ301" s="249"/>
      <c r="BR301" s="249"/>
      <c r="BS301" s="249"/>
      <c r="BT301" s="249"/>
      <c r="BU301" s="249"/>
      <c r="BV301" s="249"/>
      <c r="BW301" s="249"/>
      <c r="BX301" s="249"/>
      <c r="BY301" s="249"/>
      <c r="BZ301" s="249"/>
      <c r="CA301" s="249"/>
      <c r="CB301" s="249"/>
      <c r="CC301" s="249"/>
      <c r="CD301" s="249"/>
      <c r="CE301" s="249"/>
    </row>
    <row r="302" spans="1:83" s="84" customFormat="1" ht="12.95" customHeight="1">
      <c r="A302" s="84" t="s">
        <v>3412</v>
      </c>
      <c r="B302" s="84" t="s">
        <v>3623</v>
      </c>
      <c r="C302" s="79" t="s">
        <v>325</v>
      </c>
      <c r="D302" s="52" t="s">
        <v>1868</v>
      </c>
      <c r="E302" s="52" t="s">
        <v>2357</v>
      </c>
      <c r="F302" s="53" t="s">
        <v>577</v>
      </c>
      <c r="G302" s="179" t="s">
        <v>1429</v>
      </c>
      <c r="H302" s="180" t="s">
        <v>325</v>
      </c>
      <c r="I302" s="55" t="s">
        <v>1429</v>
      </c>
      <c r="J302" s="55" t="s">
        <v>1429</v>
      </c>
      <c r="K302" s="56" t="s">
        <v>1429</v>
      </c>
      <c r="L302" s="54" t="s">
        <v>1429</v>
      </c>
      <c r="M302" s="55" t="s">
        <v>1590</v>
      </c>
      <c r="N302" s="55" t="s">
        <v>1429</v>
      </c>
      <c r="O302" s="55" t="s">
        <v>1429</v>
      </c>
      <c r="P302" s="56" t="s">
        <v>1429</v>
      </c>
      <c r="Q302" s="85"/>
      <c r="R302" s="85"/>
      <c r="S302" s="85"/>
      <c r="T302" s="85"/>
      <c r="U302" s="85"/>
      <c r="V302" s="146" t="s">
        <v>2408</v>
      </c>
      <c r="W302" s="51" t="s">
        <v>2290</v>
      </c>
      <c r="X302" s="130" t="s">
        <v>1429</v>
      </c>
      <c r="Y302" s="130" t="s">
        <v>1429</v>
      </c>
      <c r="Z302" s="51"/>
      <c r="AA302" s="51" t="s">
        <v>2348</v>
      </c>
      <c r="AB302" s="51"/>
      <c r="AC302" s="146" t="s">
        <v>1633</v>
      </c>
      <c r="AD302" s="98"/>
      <c r="AE302" s="83"/>
      <c r="AF302" s="83"/>
      <c r="AG302" s="83"/>
      <c r="AH302" s="86"/>
      <c r="AI302" s="86"/>
      <c r="AJ302" s="87"/>
      <c r="AK302" s="87"/>
      <c r="AL302" s="87"/>
      <c r="AM302" s="87"/>
      <c r="AN302" s="87"/>
      <c r="AO302" s="87"/>
      <c r="AP302" s="87"/>
      <c r="AQ302" s="233" t="s">
        <v>325</v>
      </c>
      <c r="AR302" s="5"/>
      <c r="AS302" s="5"/>
      <c r="AT302" s="5"/>
      <c r="AU302" s="5"/>
      <c r="AV302" s="5"/>
      <c r="AW302" s="5"/>
      <c r="AX302" s="284"/>
      <c r="AY302" s="5"/>
      <c r="AZ302" s="5"/>
      <c r="BA302" s="230"/>
      <c r="BB302" s="5"/>
      <c r="BC302" s="232" t="s">
        <v>325</v>
      </c>
      <c r="BD302" s="257"/>
      <c r="BE302" s="249"/>
      <c r="BF302" s="249"/>
      <c r="BG302" s="249"/>
      <c r="BH302" s="249"/>
      <c r="BI302" s="249"/>
      <c r="BJ302" s="249"/>
      <c r="BK302" s="249"/>
      <c r="BL302" s="249"/>
      <c r="BM302" s="249"/>
      <c r="BN302" s="249"/>
      <c r="BO302" s="249"/>
      <c r="BP302" s="249"/>
      <c r="BQ302" s="249"/>
      <c r="BR302" s="249"/>
      <c r="BS302" s="249"/>
      <c r="BT302" s="249"/>
      <c r="BU302" s="249"/>
      <c r="BV302" s="249"/>
      <c r="BW302" s="249"/>
      <c r="BX302" s="249"/>
      <c r="BY302" s="249"/>
      <c r="BZ302" s="249"/>
      <c r="CA302" s="249"/>
      <c r="CB302" s="249"/>
      <c r="CC302" s="249"/>
      <c r="CD302" s="249"/>
      <c r="CE302" s="249"/>
    </row>
    <row r="303" spans="1:83" s="84" customFormat="1" ht="12.95" customHeight="1">
      <c r="A303" s="84" t="s">
        <v>3413</v>
      </c>
      <c r="B303" s="84" t="s">
        <v>3624</v>
      </c>
      <c r="C303" s="79" t="s">
        <v>326</v>
      </c>
      <c r="D303" s="52" t="s">
        <v>1874</v>
      </c>
      <c r="E303" s="52" t="s">
        <v>2346</v>
      </c>
      <c r="F303" s="53" t="s">
        <v>578</v>
      </c>
      <c r="G303" s="179" t="s">
        <v>1429</v>
      </c>
      <c r="H303" s="180" t="s">
        <v>326</v>
      </c>
      <c r="I303" s="55" t="s">
        <v>1429</v>
      </c>
      <c r="J303" s="55" t="s">
        <v>1429</v>
      </c>
      <c r="K303" s="56" t="s">
        <v>1429</v>
      </c>
      <c r="L303" s="54" t="s">
        <v>1429</v>
      </c>
      <c r="M303" s="55" t="s">
        <v>1590</v>
      </c>
      <c r="N303" s="55" t="s">
        <v>1429</v>
      </c>
      <c r="O303" s="55" t="s">
        <v>1429</v>
      </c>
      <c r="P303" s="56" t="s">
        <v>1429</v>
      </c>
      <c r="Q303" s="85"/>
      <c r="R303" s="85"/>
      <c r="S303" s="85"/>
      <c r="T303" s="85"/>
      <c r="U303" s="85"/>
      <c r="V303" s="146" t="s">
        <v>2409</v>
      </c>
      <c r="W303" s="51" t="s">
        <v>2290</v>
      </c>
      <c r="X303" s="130" t="s">
        <v>1429</v>
      </c>
      <c r="Y303" s="130" t="s">
        <v>1429</v>
      </c>
      <c r="Z303" s="51"/>
      <c r="AA303" s="51" t="s">
        <v>2348</v>
      </c>
      <c r="AB303" s="51"/>
      <c r="AC303" s="146" t="s">
        <v>1633</v>
      </c>
      <c r="AD303" s="98"/>
      <c r="AE303" s="83"/>
      <c r="AF303" s="83"/>
      <c r="AG303" s="83"/>
      <c r="AH303" s="86"/>
      <c r="AI303" s="86"/>
      <c r="AJ303" s="87"/>
      <c r="AK303" s="87"/>
      <c r="AL303" s="87"/>
      <c r="AM303" s="87"/>
      <c r="AN303" s="87"/>
      <c r="AO303" s="87"/>
      <c r="AP303" s="87"/>
      <c r="AQ303" s="233" t="s">
        <v>326</v>
      </c>
      <c r="AR303" s="5"/>
      <c r="AS303" s="5"/>
      <c r="AT303" s="5"/>
      <c r="AU303" s="5"/>
      <c r="AV303" s="5"/>
      <c r="AW303" s="5"/>
      <c r="AX303" s="284"/>
      <c r="AY303" s="5"/>
      <c r="AZ303" s="5"/>
      <c r="BA303" s="230"/>
      <c r="BB303" s="5"/>
      <c r="BC303" s="232" t="s">
        <v>326</v>
      </c>
      <c r="BD303" s="259"/>
      <c r="BE303" s="249"/>
      <c r="BF303" s="249"/>
      <c r="BG303" s="249"/>
      <c r="BH303" s="249"/>
      <c r="BI303" s="249"/>
      <c r="BJ303" s="249"/>
      <c r="BK303" s="249"/>
      <c r="BL303" s="249"/>
      <c r="BM303" s="249"/>
      <c r="BN303" s="249"/>
      <c r="BO303" s="249"/>
      <c r="BP303" s="249"/>
      <c r="BQ303" s="249"/>
      <c r="BR303" s="249"/>
      <c r="BS303" s="249"/>
      <c r="BT303" s="249"/>
      <c r="BU303" s="249"/>
      <c r="BV303" s="249"/>
      <c r="BW303" s="249"/>
      <c r="BX303" s="249"/>
      <c r="BY303" s="249"/>
      <c r="BZ303" s="249"/>
      <c r="CA303" s="249"/>
      <c r="CB303" s="249"/>
      <c r="CC303" s="249"/>
      <c r="CD303" s="249"/>
      <c r="CE303" s="249"/>
    </row>
    <row r="304" spans="1:83" s="84" customFormat="1" ht="12.95" customHeight="1">
      <c r="A304" s="84" t="s">
        <v>3414</v>
      </c>
      <c r="B304" s="84" t="s">
        <v>2410</v>
      </c>
      <c r="C304" s="79" t="s">
        <v>327</v>
      </c>
      <c r="D304" s="52" t="s">
        <v>2410</v>
      </c>
      <c r="E304" s="52" t="s">
        <v>2374</v>
      </c>
      <c r="F304" s="53" t="s">
        <v>579</v>
      </c>
      <c r="G304" s="179" t="s">
        <v>1429</v>
      </c>
      <c r="H304" s="180" t="s">
        <v>327</v>
      </c>
      <c r="I304" s="55" t="s">
        <v>1429</v>
      </c>
      <c r="J304" s="55" t="s">
        <v>1429</v>
      </c>
      <c r="K304" s="56" t="s">
        <v>1429</v>
      </c>
      <c r="L304" s="54" t="s">
        <v>1429</v>
      </c>
      <c r="M304" s="55" t="s">
        <v>1590</v>
      </c>
      <c r="N304" s="55" t="s">
        <v>1429</v>
      </c>
      <c r="O304" s="55" t="s">
        <v>1429</v>
      </c>
      <c r="P304" s="56" t="s">
        <v>1429</v>
      </c>
      <c r="Q304" s="85"/>
      <c r="R304" s="85"/>
      <c r="S304" s="85"/>
      <c r="T304" s="85"/>
      <c r="U304" s="85"/>
      <c r="V304" s="146" t="s">
        <v>2411</v>
      </c>
      <c r="W304" s="51" t="s">
        <v>2290</v>
      </c>
      <c r="X304" s="130" t="s">
        <v>1429</v>
      </c>
      <c r="Y304" s="130" t="s">
        <v>1429</v>
      </c>
      <c r="Z304" s="51"/>
      <c r="AA304" s="51" t="s">
        <v>2348</v>
      </c>
      <c r="AB304" s="51"/>
      <c r="AC304" s="146" t="s">
        <v>1633</v>
      </c>
      <c r="AD304" s="98"/>
      <c r="AE304" s="83"/>
      <c r="AF304" s="83"/>
      <c r="AG304" s="83"/>
      <c r="AH304" s="86"/>
      <c r="AI304" s="86"/>
      <c r="AJ304" s="87"/>
      <c r="AK304" s="87"/>
      <c r="AL304" s="87"/>
      <c r="AM304" s="87"/>
      <c r="AN304" s="87"/>
      <c r="AO304" s="87"/>
      <c r="AP304" s="87"/>
      <c r="AQ304" s="233" t="s">
        <v>327</v>
      </c>
      <c r="AR304" s="5"/>
      <c r="AS304" s="5"/>
      <c r="AT304" s="5"/>
      <c r="AU304" s="5"/>
      <c r="AV304" s="5"/>
      <c r="AW304" s="5"/>
      <c r="AX304" s="284"/>
      <c r="AY304" s="5"/>
      <c r="AZ304" s="5"/>
      <c r="BA304" s="230"/>
      <c r="BB304" s="5"/>
      <c r="BC304" s="232" t="s">
        <v>327</v>
      </c>
      <c r="BD304" s="256"/>
      <c r="BE304" s="249"/>
      <c r="BF304" s="249"/>
      <c r="BG304" s="249"/>
      <c r="BH304" s="249"/>
      <c r="BI304" s="249"/>
      <c r="BJ304" s="249"/>
      <c r="BK304" s="249"/>
      <c r="BL304" s="249"/>
      <c r="BM304" s="249"/>
      <c r="BN304" s="249"/>
      <c r="BO304" s="249"/>
      <c r="BP304" s="249"/>
      <c r="BQ304" s="249"/>
      <c r="BR304" s="249"/>
      <c r="BS304" s="249"/>
      <c r="BT304" s="249"/>
      <c r="BU304" s="249"/>
      <c r="BV304" s="249"/>
      <c r="BW304" s="249"/>
      <c r="BX304" s="249"/>
      <c r="BY304" s="249"/>
      <c r="BZ304" s="249"/>
      <c r="CA304" s="249"/>
      <c r="CB304" s="249"/>
      <c r="CC304" s="249"/>
      <c r="CD304" s="249"/>
      <c r="CE304" s="249"/>
    </row>
    <row r="305" spans="1:83" s="84" customFormat="1" ht="12.95" customHeight="1">
      <c r="A305" s="84" t="s">
        <v>3415</v>
      </c>
      <c r="B305" s="84" t="s">
        <v>1879</v>
      </c>
      <c r="C305" s="79" t="s">
        <v>328</v>
      </c>
      <c r="D305" s="52" t="s">
        <v>2412</v>
      </c>
      <c r="E305" s="52" t="s">
        <v>2376</v>
      </c>
      <c r="F305" s="53" t="s">
        <v>580</v>
      </c>
      <c r="G305" s="179" t="s">
        <v>1429</v>
      </c>
      <c r="H305" s="180" t="s">
        <v>328</v>
      </c>
      <c r="I305" s="55" t="s">
        <v>1429</v>
      </c>
      <c r="J305" s="55" t="s">
        <v>1429</v>
      </c>
      <c r="K305" s="56" t="s">
        <v>1429</v>
      </c>
      <c r="L305" s="54" t="s">
        <v>1429</v>
      </c>
      <c r="M305" s="55" t="s">
        <v>1590</v>
      </c>
      <c r="N305" s="55" t="s">
        <v>1429</v>
      </c>
      <c r="O305" s="55" t="s">
        <v>1429</v>
      </c>
      <c r="P305" s="56" t="s">
        <v>1429</v>
      </c>
      <c r="Q305" s="85"/>
      <c r="R305" s="85"/>
      <c r="S305" s="85"/>
      <c r="T305" s="85"/>
      <c r="U305" s="85"/>
      <c r="V305" s="146" t="s">
        <v>2413</v>
      </c>
      <c r="W305" s="51" t="s">
        <v>2290</v>
      </c>
      <c r="X305" s="130" t="s">
        <v>1429</v>
      </c>
      <c r="Y305" s="130" t="s">
        <v>1429</v>
      </c>
      <c r="Z305" s="51"/>
      <c r="AA305" s="51" t="s">
        <v>2348</v>
      </c>
      <c r="AB305" s="51"/>
      <c r="AC305" s="146" t="s">
        <v>1633</v>
      </c>
      <c r="AD305" s="98"/>
      <c r="AE305" s="83"/>
      <c r="AF305" s="83"/>
      <c r="AG305" s="83"/>
      <c r="AH305" s="86"/>
      <c r="AI305" s="86"/>
      <c r="AJ305" s="87"/>
      <c r="AK305" s="87"/>
      <c r="AL305" s="87"/>
      <c r="AM305" s="87"/>
      <c r="AN305" s="87"/>
      <c r="AO305" s="87"/>
      <c r="AP305" s="87"/>
      <c r="AQ305" s="233" t="s">
        <v>328</v>
      </c>
      <c r="AR305" s="5"/>
      <c r="AS305" s="5"/>
      <c r="AT305" s="5"/>
      <c r="AU305" s="5"/>
      <c r="AV305" s="5"/>
      <c r="AW305" s="5"/>
      <c r="AX305" s="284"/>
      <c r="AY305" s="5"/>
      <c r="AZ305" s="5"/>
      <c r="BA305" s="230"/>
      <c r="BB305" s="5"/>
      <c r="BC305" s="232" t="s">
        <v>328</v>
      </c>
      <c r="BD305" s="257"/>
      <c r="BE305" s="249"/>
      <c r="BF305" s="249"/>
      <c r="BG305" s="249"/>
      <c r="BH305" s="249"/>
      <c r="BI305" s="249"/>
      <c r="BJ305" s="249"/>
      <c r="BK305" s="249"/>
      <c r="BL305" s="249"/>
      <c r="BM305" s="249"/>
      <c r="BN305" s="249"/>
      <c r="BO305" s="249"/>
      <c r="BP305" s="249"/>
      <c r="BQ305" s="249"/>
      <c r="BR305" s="249"/>
      <c r="BS305" s="249"/>
      <c r="BT305" s="249"/>
      <c r="BU305" s="249"/>
      <c r="BV305" s="249"/>
      <c r="BW305" s="249"/>
      <c r="BX305" s="249"/>
      <c r="BY305" s="249"/>
      <c r="BZ305" s="249"/>
      <c r="CA305" s="249"/>
      <c r="CB305" s="249"/>
      <c r="CC305" s="249"/>
      <c r="CD305" s="249"/>
      <c r="CE305" s="249"/>
    </row>
    <row r="306" spans="1:83" s="84" customFormat="1" ht="12.95" customHeight="1">
      <c r="A306" s="84" t="s">
        <v>3416</v>
      </c>
      <c r="B306" s="84" t="s">
        <v>3579</v>
      </c>
      <c r="C306" s="79" t="s">
        <v>329</v>
      </c>
      <c r="D306" s="52" t="s">
        <v>2414</v>
      </c>
      <c r="E306" s="52" t="s">
        <v>2380</v>
      </c>
      <c r="F306" s="53" t="s">
        <v>581</v>
      </c>
      <c r="G306" s="179" t="s">
        <v>1429</v>
      </c>
      <c r="H306" s="180" t="s">
        <v>329</v>
      </c>
      <c r="I306" s="55" t="s">
        <v>1429</v>
      </c>
      <c r="J306" s="55" t="s">
        <v>1429</v>
      </c>
      <c r="K306" s="56" t="s">
        <v>1429</v>
      </c>
      <c r="L306" s="54" t="s">
        <v>1429</v>
      </c>
      <c r="M306" s="55" t="s">
        <v>1590</v>
      </c>
      <c r="N306" s="55" t="s">
        <v>1429</v>
      </c>
      <c r="O306" s="55" t="s">
        <v>1429</v>
      </c>
      <c r="P306" s="56" t="s">
        <v>1429</v>
      </c>
      <c r="Q306" s="85"/>
      <c r="R306" s="85"/>
      <c r="S306" s="85"/>
      <c r="T306" s="85"/>
      <c r="U306" s="85"/>
      <c r="V306" s="146" t="s">
        <v>2415</v>
      </c>
      <c r="W306" s="51" t="s">
        <v>2290</v>
      </c>
      <c r="X306" s="130" t="s">
        <v>1429</v>
      </c>
      <c r="Y306" s="130" t="s">
        <v>1429</v>
      </c>
      <c r="Z306" s="51"/>
      <c r="AA306" s="51" t="s">
        <v>2348</v>
      </c>
      <c r="AB306" s="51"/>
      <c r="AC306" s="146" t="s">
        <v>1633</v>
      </c>
      <c r="AD306" s="98"/>
      <c r="AE306" s="83"/>
      <c r="AF306" s="83"/>
      <c r="AG306" s="83"/>
      <c r="AH306" s="86"/>
      <c r="AI306" s="86"/>
      <c r="AJ306" s="87"/>
      <c r="AK306" s="87"/>
      <c r="AL306" s="87"/>
      <c r="AM306" s="87"/>
      <c r="AN306" s="87"/>
      <c r="AO306" s="87"/>
      <c r="AP306" s="87"/>
      <c r="AQ306" s="233" t="s">
        <v>329</v>
      </c>
      <c r="AR306" s="5"/>
      <c r="AS306" s="5"/>
      <c r="AT306" s="5"/>
      <c r="AU306" s="5"/>
      <c r="AV306" s="5"/>
      <c r="AW306" s="5"/>
      <c r="AX306" s="284"/>
      <c r="AY306" s="5"/>
      <c r="AZ306" s="5"/>
      <c r="BA306" s="230"/>
      <c r="BB306" s="5"/>
      <c r="BC306" s="232" t="s">
        <v>329</v>
      </c>
      <c r="BD306" s="257"/>
      <c r="BE306" s="249"/>
      <c r="BF306" s="249"/>
      <c r="BG306" s="249"/>
      <c r="BH306" s="249"/>
      <c r="BI306" s="249"/>
      <c r="BJ306" s="249"/>
      <c r="BK306" s="249"/>
      <c r="BL306" s="249"/>
      <c r="BM306" s="249"/>
      <c r="BN306" s="249"/>
      <c r="BO306" s="249"/>
      <c r="BP306" s="249"/>
      <c r="BQ306" s="249"/>
      <c r="BR306" s="249"/>
      <c r="BS306" s="249"/>
      <c r="BT306" s="249"/>
      <c r="BU306" s="249"/>
      <c r="BV306" s="249"/>
      <c r="BW306" s="249"/>
      <c r="BX306" s="249"/>
      <c r="BY306" s="249"/>
      <c r="BZ306" s="249"/>
      <c r="CA306" s="249"/>
      <c r="CB306" s="249"/>
      <c r="CC306" s="249"/>
      <c r="CD306" s="249"/>
      <c r="CE306" s="249"/>
    </row>
    <row r="307" spans="1:83" s="84" customFormat="1" ht="12.95" customHeight="1">
      <c r="A307" s="84" t="s">
        <v>3417</v>
      </c>
      <c r="B307" s="84" t="s">
        <v>1873</v>
      </c>
      <c r="C307" s="79" t="s">
        <v>330</v>
      </c>
      <c r="D307" s="52" t="s">
        <v>2416</v>
      </c>
      <c r="E307" s="52" t="s">
        <v>2378</v>
      </c>
      <c r="F307" s="53" t="s">
        <v>582</v>
      </c>
      <c r="G307" s="179" t="s">
        <v>1429</v>
      </c>
      <c r="H307" s="180" t="s">
        <v>330</v>
      </c>
      <c r="I307" s="55" t="s">
        <v>1429</v>
      </c>
      <c r="J307" s="55" t="s">
        <v>1429</v>
      </c>
      <c r="K307" s="56" t="s">
        <v>1429</v>
      </c>
      <c r="L307" s="54" t="s">
        <v>1429</v>
      </c>
      <c r="M307" s="55" t="s">
        <v>1590</v>
      </c>
      <c r="N307" s="55" t="s">
        <v>1429</v>
      </c>
      <c r="O307" s="55" t="s">
        <v>1429</v>
      </c>
      <c r="P307" s="56" t="s">
        <v>1429</v>
      </c>
      <c r="Q307" s="85"/>
      <c r="R307" s="85"/>
      <c r="S307" s="85"/>
      <c r="T307" s="85"/>
      <c r="U307" s="85"/>
      <c r="V307" s="146" t="s">
        <v>2417</v>
      </c>
      <c r="W307" s="51" t="s">
        <v>2290</v>
      </c>
      <c r="X307" s="130" t="s">
        <v>1429</v>
      </c>
      <c r="Y307" s="130" t="s">
        <v>1429</v>
      </c>
      <c r="Z307" s="51"/>
      <c r="AA307" s="51" t="s">
        <v>2348</v>
      </c>
      <c r="AB307" s="51"/>
      <c r="AC307" s="146" t="s">
        <v>1633</v>
      </c>
      <c r="AD307" s="98"/>
      <c r="AE307" s="83"/>
      <c r="AF307" s="83"/>
      <c r="AG307" s="83"/>
      <c r="AH307" s="86"/>
      <c r="AI307" s="86"/>
      <c r="AJ307" s="87"/>
      <c r="AK307" s="87"/>
      <c r="AL307" s="87"/>
      <c r="AM307" s="87"/>
      <c r="AN307" s="87"/>
      <c r="AO307" s="87"/>
      <c r="AP307" s="87"/>
      <c r="AQ307" s="233" t="s">
        <v>330</v>
      </c>
      <c r="AR307" s="5"/>
      <c r="AS307" s="5"/>
      <c r="AT307" s="5"/>
      <c r="AU307" s="5"/>
      <c r="AV307" s="5"/>
      <c r="AW307" s="5"/>
      <c r="AX307" s="284"/>
      <c r="AY307" s="5"/>
      <c r="AZ307" s="5"/>
      <c r="BA307" s="230"/>
      <c r="BB307" s="5"/>
      <c r="BC307" s="232" t="s">
        <v>330</v>
      </c>
      <c r="BD307" s="257"/>
      <c r="BE307" s="249"/>
      <c r="BF307" s="249"/>
      <c r="BG307" s="249"/>
      <c r="BH307" s="249"/>
      <c r="BI307" s="249"/>
      <c r="BJ307" s="249"/>
      <c r="BK307" s="249"/>
      <c r="BL307" s="249"/>
      <c r="BM307" s="249"/>
      <c r="BN307" s="249"/>
      <c r="BO307" s="249"/>
      <c r="BP307" s="249"/>
      <c r="BQ307" s="249"/>
      <c r="BR307" s="249"/>
      <c r="BS307" s="249"/>
      <c r="BT307" s="249"/>
      <c r="BU307" s="249"/>
      <c r="BV307" s="249"/>
      <c r="BW307" s="249"/>
      <c r="BX307" s="249"/>
      <c r="BY307" s="249"/>
      <c r="BZ307" s="249"/>
      <c r="CA307" s="249"/>
      <c r="CB307" s="249"/>
      <c r="CC307" s="249"/>
      <c r="CD307" s="249"/>
      <c r="CE307" s="249"/>
    </row>
    <row r="308" spans="1:83" s="84" customFormat="1" ht="12.95" customHeight="1">
      <c r="A308" s="84" t="s">
        <v>3418</v>
      </c>
      <c r="B308" s="84" t="s">
        <v>2416</v>
      </c>
      <c r="C308" s="79" t="s">
        <v>331</v>
      </c>
      <c r="D308" s="52" t="s">
        <v>2418</v>
      </c>
      <c r="E308" s="52" t="s">
        <v>2384</v>
      </c>
      <c r="F308" s="53" t="s">
        <v>583</v>
      </c>
      <c r="G308" s="179" t="s">
        <v>1429</v>
      </c>
      <c r="H308" s="180" t="s">
        <v>331</v>
      </c>
      <c r="I308" s="55" t="s">
        <v>1429</v>
      </c>
      <c r="J308" s="55" t="s">
        <v>1429</v>
      </c>
      <c r="K308" s="56" t="s">
        <v>1429</v>
      </c>
      <c r="L308" s="54" t="s">
        <v>1429</v>
      </c>
      <c r="M308" s="55" t="s">
        <v>1590</v>
      </c>
      <c r="N308" s="55" t="s">
        <v>1429</v>
      </c>
      <c r="O308" s="55" t="s">
        <v>1429</v>
      </c>
      <c r="P308" s="56" t="s">
        <v>1429</v>
      </c>
      <c r="Q308" s="85"/>
      <c r="R308" s="85"/>
      <c r="S308" s="85"/>
      <c r="T308" s="85"/>
      <c r="U308" s="85"/>
      <c r="V308" s="146" t="s">
        <v>2419</v>
      </c>
      <c r="W308" s="51" t="s">
        <v>2290</v>
      </c>
      <c r="X308" s="130" t="s">
        <v>1429</v>
      </c>
      <c r="Y308" s="130" t="s">
        <v>1429</v>
      </c>
      <c r="Z308" s="51"/>
      <c r="AA308" s="51" t="s">
        <v>2348</v>
      </c>
      <c r="AB308" s="51"/>
      <c r="AC308" s="146" t="s">
        <v>1633</v>
      </c>
      <c r="AD308" s="98"/>
      <c r="AE308" s="83"/>
      <c r="AF308" s="83"/>
      <c r="AG308" s="83"/>
      <c r="AH308" s="86"/>
      <c r="AI308" s="86"/>
      <c r="AJ308" s="87"/>
      <c r="AK308" s="87"/>
      <c r="AL308" s="87"/>
      <c r="AM308" s="87"/>
      <c r="AN308" s="87"/>
      <c r="AO308" s="87"/>
      <c r="AP308" s="87"/>
      <c r="AQ308" s="233" t="s">
        <v>331</v>
      </c>
      <c r="AR308" s="5"/>
      <c r="AS308" s="5"/>
      <c r="AT308" s="5"/>
      <c r="AU308" s="5"/>
      <c r="AV308" s="5"/>
      <c r="AW308" s="5"/>
      <c r="AX308" s="284"/>
      <c r="AY308" s="5"/>
      <c r="AZ308" s="5"/>
      <c r="BA308" s="230"/>
      <c r="BB308" s="5"/>
      <c r="BC308" s="232" t="s">
        <v>331</v>
      </c>
      <c r="BD308" s="257"/>
      <c r="BE308" s="249"/>
      <c r="BF308" s="249"/>
      <c r="BG308" s="249"/>
      <c r="BH308" s="249"/>
      <c r="BI308" s="249"/>
      <c r="BJ308" s="249"/>
      <c r="BK308" s="249"/>
      <c r="BL308" s="249"/>
      <c r="BM308" s="249"/>
      <c r="BN308" s="249"/>
      <c r="BO308" s="249"/>
      <c r="BP308" s="249"/>
      <c r="BQ308" s="249"/>
      <c r="BR308" s="249"/>
      <c r="BS308" s="249"/>
      <c r="BT308" s="249"/>
      <c r="BU308" s="249"/>
      <c r="BV308" s="249"/>
      <c r="BW308" s="249"/>
      <c r="BX308" s="249"/>
      <c r="BY308" s="249"/>
      <c r="BZ308" s="249"/>
      <c r="CA308" s="249"/>
      <c r="CB308" s="249"/>
      <c r="CC308" s="249"/>
      <c r="CD308" s="249"/>
      <c r="CE308" s="249"/>
    </row>
    <row r="309" spans="1:83" s="84" customFormat="1" ht="12.95" customHeight="1">
      <c r="A309" s="84" t="s">
        <v>3419</v>
      </c>
      <c r="B309" s="84" t="s">
        <v>2418</v>
      </c>
      <c r="C309" s="79" t="s">
        <v>332</v>
      </c>
      <c r="D309" s="52" t="s">
        <v>2420</v>
      </c>
      <c r="E309" s="52" t="s">
        <v>2382</v>
      </c>
      <c r="F309" s="53" t="s">
        <v>584</v>
      </c>
      <c r="G309" s="179" t="s">
        <v>1429</v>
      </c>
      <c r="H309" s="180" t="s">
        <v>332</v>
      </c>
      <c r="I309" s="55" t="s">
        <v>1429</v>
      </c>
      <c r="J309" s="55" t="s">
        <v>1429</v>
      </c>
      <c r="K309" s="56" t="s">
        <v>1429</v>
      </c>
      <c r="L309" s="54" t="s">
        <v>1429</v>
      </c>
      <c r="M309" s="55" t="s">
        <v>1590</v>
      </c>
      <c r="N309" s="55" t="s">
        <v>1429</v>
      </c>
      <c r="O309" s="55" t="s">
        <v>1429</v>
      </c>
      <c r="P309" s="56" t="s">
        <v>1429</v>
      </c>
      <c r="Q309" s="85"/>
      <c r="R309" s="85"/>
      <c r="S309" s="85"/>
      <c r="T309" s="85"/>
      <c r="U309" s="85"/>
      <c r="V309" s="146" t="s">
        <v>2421</v>
      </c>
      <c r="W309" s="51" t="s">
        <v>2290</v>
      </c>
      <c r="X309" s="130" t="s">
        <v>1429</v>
      </c>
      <c r="Y309" s="130" t="s">
        <v>1429</v>
      </c>
      <c r="Z309" s="51"/>
      <c r="AA309" s="51" t="s">
        <v>2348</v>
      </c>
      <c r="AB309" s="51"/>
      <c r="AC309" s="146" t="s">
        <v>1633</v>
      </c>
      <c r="AD309" s="98"/>
      <c r="AE309" s="83"/>
      <c r="AF309" s="83"/>
      <c r="AG309" s="83"/>
      <c r="AH309" s="86"/>
      <c r="AI309" s="86"/>
      <c r="AJ309" s="87"/>
      <c r="AK309" s="87"/>
      <c r="AL309" s="87"/>
      <c r="AM309" s="87"/>
      <c r="AN309" s="87"/>
      <c r="AO309" s="87"/>
      <c r="AP309" s="87"/>
      <c r="AQ309" s="233" t="s">
        <v>332</v>
      </c>
      <c r="AR309" s="5"/>
      <c r="AS309" s="5"/>
      <c r="AT309" s="5"/>
      <c r="AU309" s="5"/>
      <c r="AV309" s="5"/>
      <c r="AW309" s="5"/>
      <c r="AX309" s="284"/>
      <c r="AY309" s="5"/>
      <c r="AZ309" s="5"/>
      <c r="BA309" s="230"/>
      <c r="BB309" s="5"/>
      <c r="BC309" s="232" t="s">
        <v>332</v>
      </c>
      <c r="BD309" s="259"/>
      <c r="BE309" s="249"/>
      <c r="BF309" s="249"/>
      <c r="BG309" s="249"/>
      <c r="BH309" s="249"/>
      <c r="BI309" s="249"/>
      <c r="BJ309" s="249"/>
      <c r="BK309" s="249"/>
      <c r="BL309" s="249"/>
      <c r="BM309" s="249"/>
      <c r="BN309" s="249"/>
      <c r="BO309" s="249"/>
      <c r="BP309" s="249"/>
      <c r="BQ309" s="249"/>
      <c r="BR309" s="249"/>
      <c r="BS309" s="249"/>
      <c r="BT309" s="249"/>
      <c r="BU309" s="249"/>
      <c r="BV309" s="249"/>
      <c r="BW309" s="249"/>
      <c r="BX309" s="249"/>
      <c r="BY309" s="249"/>
      <c r="BZ309" s="249"/>
      <c r="CA309" s="249"/>
      <c r="CB309" s="249"/>
      <c r="CC309" s="249"/>
      <c r="CD309" s="249"/>
      <c r="CE309" s="249"/>
    </row>
    <row r="310" spans="1:83" s="84" customFormat="1" ht="12.95" customHeight="1">
      <c r="A310" s="1"/>
      <c r="B310" s="1"/>
      <c r="C310" s="79" t="s">
        <v>220</v>
      </c>
      <c r="D310" s="52" t="s">
        <v>2422</v>
      </c>
      <c r="E310" s="52" t="s">
        <v>2423</v>
      </c>
      <c r="F310" s="53" t="s">
        <v>221</v>
      </c>
      <c r="G310" s="179" t="s">
        <v>1429</v>
      </c>
      <c r="H310" s="180" t="s">
        <v>220</v>
      </c>
      <c r="I310" s="55" t="s">
        <v>1429</v>
      </c>
      <c r="J310" s="55" t="s">
        <v>1429</v>
      </c>
      <c r="K310" s="56" t="s">
        <v>1429</v>
      </c>
      <c r="L310" s="54" t="s">
        <v>1429</v>
      </c>
      <c r="M310" s="55" t="s">
        <v>1590</v>
      </c>
      <c r="N310" s="55" t="s">
        <v>1429</v>
      </c>
      <c r="O310" s="55" t="s">
        <v>1429</v>
      </c>
      <c r="P310" s="56" t="s">
        <v>1429</v>
      </c>
      <c r="Q310" s="85"/>
      <c r="R310" s="85"/>
      <c r="S310" s="85"/>
      <c r="T310" s="85"/>
      <c r="U310" s="85"/>
      <c r="V310" s="146" t="s">
        <v>2424</v>
      </c>
      <c r="W310" s="51"/>
      <c r="X310" s="133"/>
      <c r="Y310" s="133"/>
      <c r="Z310" s="51"/>
      <c r="AA310" s="51" t="s">
        <v>2425</v>
      </c>
      <c r="AB310" s="51"/>
      <c r="AC310" s="82"/>
      <c r="AD310" s="98"/>
      <c r="AE310" s="83"/>
      <c r="AF310" s="83"/>
      <c r="AG310" s="83"/>
      <c r="AH310" s="86"/>
      <c r="AI310" s="86"/>
      <c r="AJ310" s="87"/>
      <c r="AK310" s="87"/>
      <c r="AL310" s="87"/>
      <c r="AM310" s="87"/>
      <c r="AN310" s="87"/>
      <c r="AO310" s="87"/>
      <c r="AP310" s="87"/>
      <c r="AQ310" s="233" t="s">
        <v>220</v>
      </c>
      <c r="AR310" s="5"/>
      <c r="AS310" s="5"/>
      <c r="AT310" s="5"/>
      <c r="AU310" s="5"/>
      <c r="AV310" s="5"/>
      <c r="AW310" s="5"/>
      <c r="AX310" s="284"/>
      <c r="AY310" s="5">
        <v>453</v>
      </c>
      <c r="AZ310" s="5"/>
      <c r="BA310" s="230"/>
      <c r="BB310" s="5"/>
      <c r="BC310" s="232"/>
      <c r="BD310" s="263"/>
      <c r="BE310" s="249"/>
      <c r="BF310" s="249"/>
      <c r="BG310" s="249"/>
      <c r="BH310" s="249"/>
      <c r="BI310" s="249"/>
      <c r="BJ310" s="249"/>
      <c r="BK310" s="249"/>
      <c r="BL310" s="249"/>
      <c r="BM310" s="249"/>
      <c r="BN310" s="249"/>
      <c r="BO310" s="249"/>
      <c r="BP310" s="249"/>
      <c r="BQ310" s="249"/>
      <c r="BR310" s="249"/>
      <c r="BS310" s="249"/>
      <c r="BT310" s="249"/>
      <c r="BU310" s="249"/>
      <c r="BV310" s="249"/>
      <c r="BW310" s="249"/>
      <c r="BX310" s="249"/>
      <c r="BY310" s="249"/>
      <c r="BZ310" s="249"/>
      <c r="CA310" s="249"/>
      <c r="CB310" s="249"/>
      <c r="CC310" s="249"/>
      <c r="CD310" s="249"/>
      <c r="CE310" s="249"/>
    </row>
    <row r="311" spans="1:83" s="84" customFormat="1" ht="12.95" customHeight="1">
      <c r="A311" s="1"/>
      <c r="B311" s="1"/>
      <c r="C311" s="79" t="s">
        <v>222</v>
      </c>
      <c r="D311" s="52" t="s">
        <v>2426</v>
      </c>
      <c r="E311" s="52" t="s">
        <v>2427</v>
      </c>
      <c r="F311" s="53" t="s">
        <v>1320</v>
      </c>
      <c r="G311" s="179" t="s">
        <v>1429</v>
      </c>
      <c r="H311" s="180" t="s">
        <v>222</v>
      </c>
      <c r="I311" s="55" t="s">
        <v>1429</v>
      </c>
      <c r="J311" s="55" t="s">
        <v>1429</v>
      </c>
      <c r="K311" s="56" t="s">
        <v>1429</v>
      </c>
      <c r="L311" s="54" t="s">
        <v>1429</v>
      </c>
      <c r="M311" s="55" t="s">
        <v>1590</v>
      </c>
      <c r="N311" s="55" t="s">
        <v>1429</v>
      </c>
      <c r="O311" s="55" t="s">
        <v>1429</v>
      </c>
      <c r="P311" s="56" t="s">
        <v>1429</v>
      </c>
      <c r="Q311" s="85"/>
      <c r="R311" s="85"/>
      <c r="S311" s="85"/>
      <c r="T311" s="85"/>
      <c r="U311" s="85"/>
      <c r="V311" s="146" t="s">
        <v>2428</v>
      </c>
      <c r="W311" s="51"/>
      <c r="X311" s="133"/>
      <c r="Y311" s="133"/>
      <c r="Z311" s="51"/>
      <c r="AA311" s="51" t="s">
        <v>2425</v>
      </c>
      <c r="AB311" s="51"/>
      <c r="AC311" s="119"/>
      <c r="AD311" s="99"/>
      <c r="AE311" s="100"/>
      <c r="AF311" s="100"/>
      <c r="AG311" s="100"/>
      <c r="AH311" s="101"/>
      <c r="AI311" s="86"/>
      <c r="AJ311" s="87"/>
      <c r="AK311" s="87"/>
      <c r="AL311" s="87"/>
      <c r="AM311" s="87"/>
      <c r="AN311" s="87"/>
      <c r="AO311" s="87"/>
      <c r="AP311" s="87"/>
      <c r="AQ311" s="233" t="s">
        <v>222</v>
      </c>
      <c r="AR311" s="5"/>
      <c r="AS311" s="5"/>
      <c r="AT311" s="5"/>
      <c r="AU311" s="5"/>
      <c r="AV311" s="5"/>
      <c r="AW311" s="5"/>
      <c r="AX311" s="284"/>
      <c r="AY311" s="5"/>
      <c r="AZ311" s="5">
        <v>49.9</v>
      </c>
      <c r="BA311" s="230"/>
      <c r="BB311" s="219"/>
      <c r="BC311" s="236"/>
      <c r="BD311" s="263"/>
      <c r="BE311" s="249"/>
      <c r="BF311" s="249"/>
      <c r="BG311" s="249"/>
      <c r="BH311" s="249"/>
      <c r="BI311" s="249"/>
      <c r="BJ311" s="249"/>
      <c r="BK311" s="249"/>
      <c r="BL311" s="249"/>
      <c r="BM311" s="249"/>
      <c r="BN311" s="249"/>
      <c r="BO311" s="249"/>
      <c r="BP311" s="249"/>
      <c r="BQ311" s="249"/>
      <c r="BR311" s="249"/>
      <c r="BS311" s="249"/>
      <c r="BT311" s="249"/>
      <c r="BU311" s="249"/>
      <c r="BV311" s="249"/>
      <c r="BW311" s="249"/>
      <c r="BX311" s="249"/>
      <c r="BY311" s="249"/>
      <c r="BZ311" s="249"/>
      <c r="CA311" s="249"/>
      <c r="CB311" s="249"/>
      <c r="CC311" s="249"/>
      <c r="CD311" s="249"/>
      <c r="CE311" s="249"/>
    </row>
    <row r="312" spans="1:83" s="94" customFormat="1" ht="18" customHeight="1">
      <c r="A312" s="88" t="s">
        <v>1038</v>
      </c>
      <c r="B312" s="88"/>
      <c r="C312" s="88"/>
      <c r="D312" s="89"/>
      <c r="E312" s="89"/>
      <c r="F312" s="89"/>
      <c r="G312" s="90"/>
      <c r="H312" s="90"/>
      <c r="I312" s="90"/>
      <c r="J312" s="90"/>
      <c r="K312" s="90"/>
      <c r="L312" s="89"/>
      <c r="M312" s="89"/>
      <c r="N312" s="89"/>
      <c r="O312" s="89"/>
      <c r="P312" s="89"/>
      <c r="Q312" s="89"/>
      <c r="R312" s="89"/>
      <c r="S312" s="89"/>
      <c r="T312" s="89"/>
      <c r="U312" s="89"/>
      <c r="V312" s="89"/>
      <c r="W312" s="89"/>
      <c r="X312" s="134"/>
      <c r="Y312" s="134"/>
      <c r="Z312" s="91"/>
      <c r="AA312" s="91"/>
      <c r="AB312" s="91"/>
      <c r="AC312" s="91"/>
      <c r="AD312" s="91"/>
      <c r="AE312" s="91"/>
      <c r="AF312" s="91"/>
      <c r="AG312" s="91"/>
      <c r="AH312" s="91"/>
      <c r="AI312" s="91"/>
      <c r="AJ312" s="91"/>
      <c r="AK312" s="91"/>
      <c r="AL312" s="91"/>
      <c r="AM312" s="91"/>
      <c r="AN312" s="91"/>
      <c r="AO312" s="91"/>
      <c r="AP312" s="91"/>
      <c r="AQ312" s="251"/>
      <c r="AR312" s="251"/>
      <c r="AS312" s="252"/>
      <c r="AT312" s="252"/>
      <c r="AU312" s="252"/>
      <c r="AV312" s="252"/>
      <c r="AW312" s="252"/>
      <c r="AX312" s="291"/>
      <c r="AY312" s="252"/>
      <c r="AZ312" s="252"/>
      <c r="BA312" s="252"/>
      <c r="BB312" s="168" t="s">
        <v>511</v>
      </c>
      <c r="BC312" s="253"/>
      <c r="BD312" s="253"/>
      <c r="BE312" s="254"/>
      <c r="BF312" s="254"/>
      <c r="BG312" s="254"/>
      <c r="BH312" s="254"/>
      <c r="BI312" s="254"/>
      <c r="BJ312" s="254"/>
      <c r="BK312" s="254"/>
      <c r="BL312" s="254"/>
      <c r="BM312" s="254"/>
      <c r="BN312" s="254"/>
      <c r="BO312" s="254"/>
      <c r="BP312" s="254"/>
      <c r="BQ312" s="254"/>
      <c r="BR312" s="254"/>
      <c r="BS312" s="254"/>
      <c r="BT312" s="254"/>
      <c r="BU312" s="254"/>
      <c r="BV312" s="254"/>
      <c r="BW312" s="254"/>
      <c r="BX312" s="254"/>
      <c r="BY312" s="254"/>
      <c r="BZ312" s="254"/>
      <c r="CA312" s="254"/>
      <c r="CB312" s="254"/>
      <c r="CC312" s="254"/>
      <c r="CD312" s="254"/>
      <c r="CE312" s="254"/>
    </row>
    <row r="313" spans="1:83" s="84" customFormat="1" ht="12.95" customHeight="1">
      <c r="A313" s="84" t="s">
        <v>3447</v>
      </c>
      <c r="B313" s="84" t="s">
        <v>3614</v>
      </c>
      <c r="C313" s="79" t="s">
        <v>1028</v>
      </c>
      <c r="D313" s="52" t="s">
        <v>2429</v>
      </c>
      <c r="E313" s="52" t="s">
        <v>2257</v>
      </c>
      <c r="F313" s="53" t="s">
        <v>1321</v>
      </c>
      <c r="G313" s="179" t="s">
        <v>1429</v>
      </c>
      <c r="H313" s="180" t="s">
        <v>1028</v>
      </c>
      <c r="I313" s="55" t="s">
        <v>1429</v>
      </c>
      <c r="J313" s="55" t="s">
        <v>1429</v>
      </c>
      <c r="K313" s="56" t="s">
        <v>1429</v>
      </c>
      <c r="L313" s="54" t="s">
        <v>1429</v>
      </c>
      <c r="M313" s="55" t="s">
        <v>1581</v>
      </c>
      <c r="N313" s="55" t="s">
        <v>1429</v>
      </c>
      <c r="O313" s="55" t="s">
        <v>1429</v>
      </c>
      <c r="P313" s="56" t="s">
        <v>1429</v>
      </c>
      <c r="Q313" s="85"/>
      <c r="R313" s="85"/>
      <c r="S313" s="85"/>
      <c r="T313" s="85"/>
      <c r="U313" s="85"/>
      <c r="V313" s="146" t="s">
        <v>2430</v>
      </c>
      <c r="W313" s="51" t="s">
        <v>2431</v>
      </c>
      <c r="X313" s="130" t="s">
        <v>1429</v>
      </c>
      <c r="Y313" s="130" t="s">
        <v>1429</v>
      </c>
      <c r="Z313" s="51"/>
      <c r="AA313" s="51" t="s">
        <v>2432</v>
      </c>
      <c r="AB313" s="145"/>
      <c r="AC313" s="145" t="s">
        <v>1633</v>
      </c>
      <c r="AD313" s="95"/>
      <c r="AE313" s="96"/>
      <c r="AF313" s="96"/>
      <c r="AG313" s="96"/>
      <c r="AH313" s="97"/>
      <c r="AI313" s="86"/>
      <c r="AJ313" s="87"/>
      <c r="AK313" s="87"/>
      <c r="AL313" s="87"/>
      <c r="AM313" s="87"/>
      <c r="AN313" s="87"/>
      <c r="AO313" s="87"/>
      <c r="AP313" s="87"/>
      <c r="AQ313" s="229" t="s">
        <v>1028</v>
      </c>
      <c r="AR313" s="5"/>
      <c r="AS313" s="5"/>
      <c r="AT313" s="5"/>
      <c r="AU313" s="5"/>
      <c r="AV313" s="5"/>
      <c r="AW313" s="5"/>
      <c r="AX313" s="284"/>
      <c r="AY313" s="5"/>
      <c r="AZ313" s="5"/>
      <c r="BA313" s="230"/>
      <c r="BB313" s="215"/>
      <c r="BC313" s="231" t="s">
        <v>3532</v>
      </c>
      <c r="BD313" s="238"/>
      <c r="BE313" s="249"/>
      <c r="BF313" s="249"/>
      <c r="BG313" s="249"/>
      <c r="BH313" s="249"/>
      <c r="BI313" s="249"/>
      <c r="BJ313" s="249"/>
      <c r="BK313" s="249"/>
      <c r="BL313" s="249"/>
      <c r="BM313" s="249"/>
      <c r="BN313" s="249"/>
      <c r="BO313" s="249"/>
      <c r="BP313" s="249"/>
      <c r="BQ313" s="249"/>
      <c r="BR313" s="249"/>
      <c r="BS313" s="249"/>
      <c r="BT313" s="249"/>
      <c r="BU313" s="249"/>
      <c r="BV313" s="249"/>
      <c r="BW313" s="249"/>
      <c r="BX313" s="249"/>
      <c r="BY313" s="249"/>
      <c r="BZ313" s="249"/>
      <c r="CA313" s="249"/>
      <c r="CB313" s="249"/>
      <c r="CC313" s="249"/>
      <c r="CD313" s="249"/>
      <c r="CE313" s="249"/>
    </row>
    <row r="314" spans="1:83" s="84" customFormat="1" ht="12.95" customHeight="1">
      <c r="A314" s="84" t="s">
        <v>3448</v>
      </c>
      <c r="B314" s="84" t="s">
        <v>1836</v>
      </c>
      <c r="C314" s="79" t="s">
        <v>1029</v>
      </c>
      <c r="D314" s="52" t="s">
        <v>2433</v>
      </c>
      <c r="E314" s="52" t="s">
        <v>2264</v>
      </c>
      <c r="F314" s="53" t="s">
        <v>1322</v>
      </c>
      <c r="G314" s="179" t="s">
        <v>1429</v>
      </c>
      <c r="H314" s="180" t="s">
        <v>1029</v>
      </c>
      <c r="I314" s="55" t="s">
        <v>1429</v>
      </c>
      <c r="J314" s="55" t="s">
        <v>1429</v>
      </c>
      <c r="K314" s="56" t="s">
        <v>1429</v>
      </c>
      <c r="L314" s="54" t="s">
        <v>1429</v>
      </c>
      <c r="M314" s="55" t="s">
        <v>1581</v>
      </c>
      <c r="N314" s="55" t="s">
        <v>1429</v>
      </c>
      <c r="O314" s="55" t="s">
        <v>1429</v>
      </c>
      <c r="P314" s="56" t="s">
        <v>1429</v>
      </c>
      <c r="Q314" s="85"/>
      <c r="R314" s="85"/>
      <c r="S314" s="85"/>
      <c r="T314" s="85"/>
      <c r="U314" s="85"/>
      <c r="V314" s="146" t="s">
        <v>2434</v>
      </c>
      <c r="W314" s="51" t="s">
        <v>2431</v>
      </c>
      <c r="X314" s="130" t="s">
        <v>1429</v>
      </c>
      <c r="Y314" s="130" t="s">
        <v>1429</v>
      </c>
      <c r="Z314" s="51"/>
      <c r="AA314" s="51" t="s">
        <v>2432</v>
      </c>
      <c r="AB314" s="146"/>
      <c r="AC314" s="146" t="s">
        <v>1633</v>
      </c>
      <c r="AD314" s="98"/>
      <c r="AE314" s="83"/>
      <c r="AF314" s="83"/>
      <c r="AG314" s="83"/>
      <c r="AH314" s="86"/>
      <c r="AI314" s="86"/>
      <c r="AJ314" s="87"/>
      <c r="AK314" s="87"/>
      <c r="AL314" s="87"/>
      <c r="AM314" s="87"/>
      <c r="AN314" s="87"/>
      <c r="AO314" s="87"/>
      <c r="AP314" s="87"/>
      <c r="AQ314" s="229" t="s">
        <v>1029</v>
      </c>
      <c r="AR314" s="5"/>
      <c r="AS314" s="5"/>
      <c r="AT314" s="5"/>
      <c r="AU314" s="5"/>
      <c r="AV314" s="5"/>
      <c r="AW314" s="5"/>
      <c r="AX314" s="284"/>
      <c r="AY314" s="5"/>
      <c r="AZ314" s="5"/>
      <c r="BA314" s="230"/>
      <c r="BB314" s="5"/>
      <c r="BC314" s="232" t="s">
        <v>3532</v>
      </c>
      <c r="BD314" s="238"/>
      <c r="BE314" s="249"/>
      <c r="BF314" s="249"/>
      <c r="BG314" s="249"/>
      <c r="BH314" s="249"/>
      <c r="BI314" s="249"/>
      <c r="BJ314" s="249"/>
      <c r="BK314" s="249"/>
      <c r="BL314" s="249"/>
      <c r="BM314" s="249"/>
      <c r="BN314" s="249"/>
      <c r="BO314" s="249"/>
      <c r="BP314" s="249"/>
      <c r="BQ314" s="249"/>
      <c r="BR314" s="249"/>
      <c r="BS314" s="249"/>
      <c r="BT314" s="249"/>
      <c r="BU314" s="249"/>
      <c r="BV314" s="249"/>
      <c r="BW314" s="249"/>
      <c r="BX314" s="249"/>
      <c r="BY314" s="249"/>
      <c r="BZ314" s="249"/>
      <c r="CA314" s="249"/>
      <c r="CB314" s="249"/>
      <c r="CC314" s="249"/>
      <c r="CD314" s="249"/>
      <c r="CE314" s="249"/>
    </row>
    <row r="315" spans="1:83" s="84" customFormat="1" ht="12.95" customHeight="1">
      <c r="A315" s="84" t="s">
        <v>3445</v>
      </c>
      <c r="B315" s="84" t="s">
        <v>1832</v>
      </c>
      <c r="C315" s="79" t="s">
        <v>1030</v>
      </c>
      <c r="D315" s="52" t="s">
        <v>2435</v>
      </c>
      <c r="E315" s="52" t="s">
        <v>2274</v>
      </c>
      <c r="F315" s="53" t="s">
        <v>1323</v>
      </c>
      <c r="G315" s="179" t="s">
        <v>1429</v>
      </c>
      <c r="H315" s="180" t="s">
        <v>1030</v>
      </c>
      <c r="I315" s="55" t="s">
        <v>1429</v>
      </c>
      <c r="J315" s="55" t="s">
        <v>1429</v>
      </c>
      <c r="K315" s="56" t="s">
        <v>1429</v>
      </c>
      <c r="L315" s="54" t="s">
        <v>1429</v>
      </c>
      <c r="M315" s="55" t="s">
        <v>1581</v>
      </c>
      <c r="N315" s="55" t="s">
        <v>1429</v>
      </c>
      <c r="O315" s="55" t="s">
        <v>1429</v>
      </c>
      <c r="P315" s="56" t="s">
        <v>1429</v>
      </c>
      <c r="Q315" s="85"/>
      <c r="R315" s="85"/>
      <c r="S315" s="85"/>
      <c r="T315" s="85"/>
      <c r="U315" s="85"/>
      <c r="V315" s="146" t="s">
        <v>2436</v>
      </c>
      <c r="W315" s="51" t="s">
        <v>2431</v>
      </c>
      <c r="X315" s="130" t="s">
        <v>1429</v>
      </c>
      <c r="Y315" s="130" t="s">
        <v>1429</v>
      </c>
      <c r="Z315" s="51"/>
      <c r="AA315" s="51" t="s">
        <v>2432</v>
      </c>
      <c r="AB315" s="146"/>
      <c r="AC315" s="146" t="s">
        <v>1633</v>
      </c>
      <c r="AD315" s="98"/>
      <c r="AE315" s="83"/>
      <c r="AF315" s="83"/>
      <c r="AG315" s="83"/>
      <c r="AH315" s="86"/>
      <c r="AI315" s="86"/>
      <c r="AJ315" s="87"/>
      <c r="AK315" s="87"/>
      <c r="AL315" s="87"/>
      <c r="AM315" s="87"/>
      <c r="AN315" s="87"/>
      <c r="AO315" s="87"/>
      <c r="AP315" s="87"/>
      <c r="AQ315" s="229" t="s">
        <v>1030</v>
      </c>
      <c r="AR315" s="5"/>
      <c r="AS315" s="5"/>
      <c r="AT315" s="5"/>
      <c r="AU315" s="5"/>
      <c r="AV315" s="5"/>
      <c r="AW315" s="5"/>
      <c r="AX315" s="284"/>
      <c r="AY315" s="5"/>
      <c r="AZ315" s="5"/>
      <c r="BA315" s="230"/>
      <c r="BB315" s="5"/>
      <c r="BC315" s="232" t="s">
        <v>3532</v>
      </c>
      <c r="BD315" s="238"/>
      <c r="BE315" s="249"/>
      <c r="BF315" s="249"/>
      <c r="BG315" s="249"/>
      <c r="BH315" s="249"/>
      <c r="BI315" s="249"/>
      <c r="BJ315" s="249"/>
      <c r="BK315" s="249"/>
      <c r="BL315" s="249"/>
      <c r="BM315" s="249"/>
      <c r="BN315" s="249"/>
      <c r="BO315" s="249"/>
      <c r="BP315" s="249"/>
      <c r="BQ315" s="249"/>
      <c r="BR315" s="249"/>
      <c r="BS315" s="249"/>
      <c r="BT315" s="249"/>
      <c r="BU315" s="249"/>
      <c r="BV315" s="249"/>
      <c r="BW315" s="249"/>
      <c r="BX315" s="249"/>
      <c r="BY315" s="249"/>
      <c r="BZ315" s="249"/>
      <c r="CA315" s="249"/>
      <c r="CB315" s="249"/>
      <c r="CC315" s="249"/>
      <c r="CD315" s="249"/>
      <c r="CE315" s="249"/>
    </row>
    <row r="316" spans="1:83" s="84" customFormat="1" ht="12.95" customHeight="1">
      <c r="A316" s="84" t="s">
        <v>3446</v>
      </c>
      <c r="B316" s="84" t="s">
        <v>1850</v>
      </c>
      <c r="C316" s="79" t="s">
        <v>1031</v>
      </c>
      <c r="D316" s="52" t="s">
        <v>2437</v>
      </c>
      <c r="E316" s="52" t="s">
        <v>2254</v>
      </c>
      <c r="F316" s="53" t="s">
        <v>1324</v>
      </c>
      <c r="G316" s="179" t="s">
        <v>1429</v>
      </c>
      <c r="H316" s="180" t="s">
        <v>1031</v>
      </c>
      <c r="I316" s="55" t="s">
        <v>1429</v>
      </c>
      <c r="J316" s="55" t="s">
        <v>1429</v>
      </c>
      <c r="K316" s="56" t="s">
        <v>1429</v>
      </c>
      <c r="L316" s="54" t="s">
        <v>1429</v>
      </c>
      <c r="M316" s="55" t="s">
        <v>1581</v>
      </c>
      <c r="N316" s="55" t="s">
        <v>1429</v>
      </c>
      <c r="O316" s="55" t="s">
        <v>1429</v>
      </c>
      <c r="P316" s="56" t="s">
        <v>1429</v>
      </c>
      <c r="Q316" s="85"/>
      <c r="R316" s="85"/>
      <c r="S316" s="85"/>
      <c r="T316" s="85"/>
      <c r="U316" s="85"/>
      <c r="V316" s="146" t="s">
        <v>2438</v>
      </c>
      <c r="W316" s="51" t="s">
        <v>2431</v>
      </c>
      <c r="X316" s="130" t="s">
        <v>1429</v>
      </c>
      <c r="Y316" s="130" t="s">
        <v>1429</v>
      </c>
      <c r="Z316" s="51"/>
      <c r="AA316" s="51" t="s">
        <v>2432</v>
      </c>
      <c r="AB316" s="146"/>
      <c r="AC316" s="146" t="s">
        <v>1633</v>
      </c>
      <c r="AD316" s="98"/>
      <c r="AE316" s="83"/>
      <c r="AF316" s="83"/>
      <c r="AG316" s="83"/>
      <c r="AH316" s="86"/>
      <c r="AI316" s="86"/>
      <c r="AJ316" s="87"/>
      <c r="AK316" s="87"/>
      <c r="AL316" s="87"/>
      <c r="AM316" s="87"/>
      <c r="AN316" s="87"/>
      <c r="AO316" s="87"/>
      <c r="AP316" s="87"/>
      <c r="AQ316" s="229" t="s">
        <v>1031</v>
      </c>
      <c r="AR316" s="5"/>
      <c r="AS316" s="5"/>
      <c r="AT316" s="5"/>
      <c r="AU316" s="5"/>
      <c r="AV316" s="5"/>
      <c r="AW316" s="5"/>
      <c r="AX316" s="284"/>
      <c r="AY316" s="5"/>
      <c r="AZ316" s="5"/>
      <c r="BA316" s="230"/>
      <c r="BB316" s="5"/>
      <c r="BC316" s="232" t="s">
        <v>3532</v>
      </c>
      <c r="BD316" s="238"/>
      <c r="BE316" s="249"/>
      <c r="BF316" s="249"/>
      <c r="BG316" s="249"/>
      <c r="BH316" s="249"/>
      <c r="BI316" s="249"/>
      <c r="BJ316" s="249"/>
      <c r="BK316" s="249"/>
      <c r="BL316" s="249"/>
      <c r="BM316" s="249"/>
      <c r="BN316" s="249"/>
      <c r="BO316" s="249"/>
      <c r="BP316" s="249"/>
      <c r="BQ316" s="249"/>
      <c r="BR316" s="249"/>
      <c r="BS316" s="249"/>
      <c r="BT316" s="249"/>
      <c r="BU316" s="249"/>
      <c r="BV316" s="249"/>
      <c r="BW316" s="249"/>
      <c r="BX316" s="249"/>
      <c r="BY316" s="249"/>
      <c r="BZ316" s="249"/>
      <c r="CA316" s="249"/>
      <c r="CB316" s="249"/>
      <c r="CC316" s="249"/>
      <c r="CD316" s="249"/>
      <c r="CE316" s="249"/>
    </row>
    <row r="317" spans="1:83" s="84" customFormat="1" ht="12.95" customHeight="1">
      <c r="A317" s="84" t="s">
        <v>3443</v>
      </c>
      <c r="B317" s="84" t="s">
        <v>2935</v>
      </c>
      <c r="C317" s="79" t="s">
        <v>1032</v>
      </c>
      <c r="D317" s="52" t="s">
        <v>2439</v>
      </c>
      <c r="E317" s="52" t="s">
        <v>2440</v>
      </c>
      <c r="F317" s="53" t="s">
        <v>1325</v>
      </c>
      <c r="G317" s="179" t="s">
        <v>1429</v>
      </c>
      <c r="H317" s="180" t="s">
        <v>1032</v>
      </c>
      <c r="I317" s="55" t="s">
        <v>1429</v>
      </c>
      <c r="J317" s="55" t="s">
        <v>1429</v>
      </c>
      <c r="K317" s="56" t="s">
        <v>1429</v>
      </c>
      <c r="L317" s="54" t="s">
        <v>1429</v>
      </c>
      <c r="M317" s="55" t="s">
        <v>1581</v>
      </c>
      <c r="N317" s="55" t="s">
        <v>1429</v>
      </c>
      <c r="O317" s="55" t="s">
        <v>1429</v>
      </c>
      <c r="P317" s="56" t="s">
        <v>1429</v>
      </c>
      <c r="Q317" s="85"/>
      <c r="R317" s="85"/>
      <c r="S317" s="85"/>
      <c r="T317" s="85"/>
      <c r="U317" s="85"/>
      <c r="V317" s="146" t="s">
        <v>2441</v>
      </c>
      <c r="W317" s="51" t="s">
        <v>2431</v>
      </c>
      <c r="X317" s="130" t="s">
        <v>1429</v>
      </c>
      <c r="Y317" s="130" t="s">
        <v>1429</v>
      </c>
      <c r="Z317" s="51"/>
      <c r="AA317" s="51" t="s">
        <v>2432</v>
      </c>
      <c r="AB317" s="146"/>
      <c r="AC317" s="146" t="s">
        <v>1633</v>
      </c>
      <c r="AD317" s="98"/>
      <c r="AE317" s="83"/>
      <c r="AF317" s="83"/>
      <c r="AG317" s="83"/>
      <c r="AH317" s="86"/>
      <c r="AI317" s="86"/>
      <c r="AJ317" s="87"/>
      <c r="AK317" s="87"/>
      <c r="AL317" s="87"/>
      <c r="AM317" s="87"/>
      <c r="AN317" s="87"/>
      <c r="AO317" s="87"/>
      <c r="AP317" s="87"/>
      <c r="AQ317" s="229" t="s">
        <v>1032</v>
      </c>
      <c r="AR317" s="5"/>
      <c r="AS317" s="5"/>
      <c r="AT317" s="5"/>
      <c r="AU317" s="5"/>
      <c r="AV317" s="5"/>
      <c r="AW317" s="5"/>
      <c r="AX317" s="284"/>
      <c r="AY317" s="5"/>
      <c r="AZ317" s="5"/>
      <c r="BA317" s="230"/>
      <c r="BB317" s="5"/>
      <c r="BC317" s="232" t="s">
        <v>3532</v>
      </c>
      <c r="BD317" s="238"/>
      <c r="BE317" s="249"/>
      <c r="BF317" s="249"/>
      <c r="BG317" s="249"/>
      <c r="BH317" s="249"/>
      <c r="BI317" s="249"/>
      <c r="BJ317" s="249"/>
      <c r="BK317" s="249"/>
      <c r="BL317" s="249"/>
      <c r="BM317" s="249"/>
      <c r="BN317" s="249"/>
      <c r="BO317" s="249"/>
      <c r="BP317" s="249"/>
      <c r="BQ317" s="249"/>
      <c r="BR317" s="249"/>
      <c r="BS317" s="249"/>
      <c r="BT317" s="249"/>
      <c r="BU317" s="249"/>
      <c r="BV317" s="249"/>
      <c r="BW317" s="249"/>
      <c r="BX317" s="249"/>
      <c r="BY317" s="249"/>
      <c r="BZ317" s="249"/>
      <c r="CA317" s="249"/>
      <c r="CB317" s="249"/>
      <c r="CC317" s="249"/>
      <c r="CD317" s="249"/>
      <c r="CE317" s="249"/>
    </row>
    <row r="318" spans="1:83" s="84" customFormat="1" ht="12.95" customHeight="1">
      <c r="A318" s="84" t="s">
        <v>3444</v>
      </c>
      <c r="B318" s="84" t="s">
        <v>2948</v>
      </c>
      <c r="C318" s="79" t="s">
        <v>1033</v>
      </c>
      <c r="D318" s="52" t="s">
        <v>2442</v>
      </c>
      <c r="E318" s="52" t="s">
        <v>2443</v>
      </c>
      <c r="F318" s="53" t="s">
        <v>1326</v>
      </c>
      <c r="G318" s="179" t="s">
        <v>1429</v>
      </c>
      <c r="H318" s="180" t="s">
        <v>1033</v>
      </c>
      <c r="I318" s="55" t="s">
        <v>1429</v>
      </c>
      <c r="J318" s="55" t="s">
        <v>1429</v>
      </c>
      <c r="K318" s="56" t="s">
        <v>1429</v>
      </c>
      <c r="L318" s="54" t="s">
        <v>1429</v>
      </c>
      <c r="M318" s="55" t="s">
        <v>1581</v>
      </c>
      <c r="N318" s="55" t="s">
        <v>1429</v>
      </c>
      <c r="O318" s="55" t="s">
        <v>1429</v>
      </c>
      <c r="P318" s="56" t="s">
        <v>1429</v>
      </c>
      <c r="Q318" s="85"/>
      <c r="R318" s="85"/>
      <c r="S318" s="85"/>
      <c r="T318" s="85"/>
      <c r="U318" s="85"/>
      <c r="V318" s="146" t="s">
        <v>2444</v>
      </c>
      <c r="W318" s="51" t="s">
        <v>2431</v>
      </c>
      <c r="X318" s="130" t="s">
        <v>1429</v>
      </c>
      <c r="Y318" s="130" t="s">
        <v>1429</v>
      </c>
      <c r="Z318" s="51"/>
      <c r="AA318" s="51" t="s">
        <v>2432</v>
      </c>
      <c r="AB318" s="146"/>
      <c r="AC318" s="146" t="s">
        <v>1633</v>
      </c>
      <c r="AD318" s="98"/>
      <c r="AE318" s="83"/>
      <c r="AF318" s="83"/>
      <c r="AG318" s="83"/>
      <c r="AH318" s="86"/>
      <c r="AI318" s="86"/>
      <c r="AJ318" s="87"/>
      <c r="AK318" s="87"/>
      <c r="AL318" s="87"/>
      <c r="AM318" s="87"/>
      <c r="AN318" s="87"/>
      <c r="AO318" s="87"/>
      <c r="AP318" s="87"/>
      <c r="AQ318" s="229" t="s">
        <v>1033</v>
      </c>
      <c r="AR318" s="5"/>
      <c r="AS318" s="5"/>
      <c r="AT318" s="5"/>
      <c r="AU318" s="5"/>
      <c r="AV318" s="5"/>
      <c r="AW318" s="5"/>
      <c r="AX318" s="284"/>
      <c r="AY318" s="5"/>
      <c r="AZ318" s="5"/>
      <c r="BA318" s="230"/>
      <c r="BB318" s="5"/>
      <c r="BC318" s="232" t="s">
        <v>3532</v>
      </c>
      <c r="BD318" s="238"/>
      <c r="BE318" s="249"/>
      <c r="BF318" s="249"/>
      <c r="BG318" s="249"/>
      <c r="BH318" s="249"/>
      <c r="BI318" s="249"/>
      <c r="BJ318" s="249"/>
      <c r="BK318" s="249"/>
      <c r="BL318" s="249"/>
      <c r="BM318" s="249"/>
      <c r="BN318" s="249"/>
      <c r="BO318" s="249"/>
      <c r="BP318" s="249"/>
      <c r="BQ318" s="249"/>
      <c r="BR318" s="249"/>
      <c r="BS318" s="249"/>
      <c r="BT318" s="249"/>
      <c r="BU318" s="249"/>
      <c r="BV318" s="249"/>
      <c r="BW318" s="249"/>
      <c r="BX318" s="249"/>
      <c r="BY318" s="249"/>
      <c r="BZ318" s="249"/>
      <c r="CA318" s="249"/>
      <c r="CB318" s="249"/>
      <c r="CC318" s="249"/>
      <c r="CD318" s="249"/>
      <c r="CE318" s="249"/>
    </row>
    <row r="319" spans="1:83" s="84" customFormat="1" ht="12.95" customHeight="1">
      <c r="A319" s="84" t="s">
        <v>3449</v>
      </c>
      <c r="B319" s="84" t="s">
        <v>3630</v>
      </c>
      <c r="C319" s="79" t="s">
        <v>1034</v>
      </c>
      <c r="D319" s="52" t="s">
        <v>2445</v>
      </c>
      <c r="E319" s="52" t="s">
        <v>84</v>
      </c>
      <c r="F319" s="53" t="s">
        <v>1327</v>
      </c>
      <c r="G319" s="179" t="s">
        <v>1429</v>
      </c>
      <c r="H319" s="180" t="s">
        <v>1034</v>
      </c>
      <c r="I319" s="55" t="s">
        <v>1429</v>
      </c>
      <c r="J319" s="55" t="s">
        <v>1429</v>
      </c>
      <c r="K319" s="56" t="s">
        <v>1429</v>
      </c>
      <c r="L319" s="54" t="s">
        <v>1429</v>
      </c>
      <c r="M319" s="55" t="s">
        <v>1581</v>
      </c>
      <c r="N319" s="55" t="s">
        <v>1429</v>
      </c>
      <c r="O319" s="55" t="s">
        <v>1429</v>
      </c>
      <c r="P319" s="56" t="s">
        <v>1429</v>
      </c>
      <c r="Q319" s="85"/>
      <c r="R319" s="85"/>
      <c r="S319" s="85"/>
      <c r="T319" s="85"/>
      <c r="U319" s="85"/>
      <c r="V319" s="146" t="s">
        <v>2446</v>
      </c>
      <c r="W319" s="51" t="s">
        <v>2431</v>
      </c>
      <c r="X319" s="130" t="s">
        <v>1429</v>
      </c>
      <c r="Y319" s="130" t="s">
        <v>1429</v>
      </c>
      <c r="Z319" s="51"/>
      <c r="AA319" s="51" t="s">
        <v>2432</v>
      </c>
      <c r="AB319" s="146"/>
      <c r="AC319" s="146" t="s">
        <v>1633</v>
      </c>
      <c r="AD319" s="98"/>
      <c r="AE319" s="83"/>
      <c r="AF319" s="83"/>
      <c r="AG319" s="83"/>
      <c r="AH319" s="86"/>
      <c r="AI319" s="86"/>
      <c r="AJ319" s="87"/>
      <c r="AK319" s="87"/>
      <c r="AL319" s="87"/>
      <c r="AM319" s="87"/>
      <c r="AN319" s="87"/>
      <c r="AO319" s="87"/>
      <c r="AP319" s="87"/>
      <c r="AQ319" s="229" t="s">
        <v>1034</v>
      </c>
      <c r="AR319" s="5"/>
      <c r="AS319" s="5"/>
      <c r="AT319" s="5"/>
      <c r="AU319" s="5"/>
      <c r="AV319" s="5"/>
      <c r="AW319" s="5"/>
      <c r="AX319" s="284"/>
      <c r="AY319" s="5"/>
      <c r="AZ319" s="5"/>
      <c r="BA319" s="230"/>
      <c r="BB319" s="5"/>
      <c r="BC319" s="232" t="s">
        <v>3532</v>
      </c>
      <c r="BD319" s="238"/>
      <c r="BE319" s="249"/>
      <c r="BF319" s="249"/>
      <c r="BG319" s="249"/>
      <c r="BH319" s="249"/>
      <c r="BI319" s="249"/>
      <c r="BJ319" s="249"/>
      <c r="BK319" s="249"/>
      <c r="BL319" s="249"/>
      <c r="BM319" s="249"/>
      <c r="BN319" s="249"/>
      <c r="BO319" s="249"/>
      <c r="BP319" s="249"/>
      <c r="BQ319" s="249"/>
      <c r="BR319" s="249"/>
      <c r="BS319" s="249"/>
      <c r="BT319" s="249"/>
      <c r="BU319" s="249"/>
      <c r="BV319" s="249"/>
      <c r="BW319" s="249"/>
      <c r="BX319" s="249"/>
      <c r="BY319" s="249"/>
      <c r="BZ319" s="249"/>
      <c r="CA319" s="249"/>
      <c r="CB319" s="249"/>
      <c r="CC319" s="249"/>
      <c r="CD319" s="249"/>
      <c r="CE319" s="249"/>
    </row>
    <row r="320" spans="1:83" s="84" customFormat="1" ht="12.95" customHeight="1">
      <c r="A320" s="84" t="s">
        <v>3450</v>
      </c>
      <c r="B320" s="84" t="s">
        <v>3631</v>
      </c>
      <c r="C320" s="79" t="s">
        <v>1035</v>
      </c>
      <c r="D320" s="52" t="s">
        <v>2447</v>
      </c>
      <c r="E320" s="52" t="s">
        <v>83</v>
      </c>
      <c r="F320" s="53" t="s">
        <v>1328</v>
      </c>
      <c r="G320" s="179" t="s">
        <v>1429</v>
      </c>
      <c r="H320" s="180" t="s">
        <v>1035</v>
      </c>
      <c r="I320" s="55" t="s">
        <v>1429</v>
      </c>
      <c r="J320" s="55" t="s">
        <v>1429</v>
      </c>
      <c r="K320" s="56" t="s">
        <v>1429</v>
      </c>
      <c r="L320" s="54" t="s">
        <v>1429</v>
      </c>
      <c r="M320" s="55" t="s">
        <v>1581</v>
      </c>
      <c r="N320" s="55" t="s">
        <v>1429</v>
      </c>
      <c r="O320" s="55" t="s">
        <v>1429</v>
      </c>
      <c r="P320" s="56" t="s">
        <v>1429</v>
      </c>
      <c r="Q320" s="85"/>
      <c r="R320" s="85"/>
      <c r="S320" s="85"/>
      <c r="T320" s="85"/>
      <c r="U320" s="85"/>
      <c r="V320" s="146" t="s">
        <v>2448</v>
      </c>
      <c r="W320" s="51" t="s">
        <v>2431</v>
      </c>
      <c r="X320" s="130" t="s">
        <v>1429</v>
      </c>
      <c r="Y320" s="130" t="s">
        <v>1429</v>
      </c>
      <c r="Z320" s="51"/>
      <c r="AA320" s="51" t="s">
        <v>2432</v>
      </c>
      <c r="AB320" s="146"/>
      <c r="AC320" s="146" t="s">
        <v>1633</v>
      </c>
      <c r="AD320" s="98"/>
      <c r="AE320" s="83"/>
      <c r="AF320" s="83"/>
      <c r="AG320" s="83"/>
      <c r="AH320" s="86"/>
      <c r="AI320" s="86"/>
      <c r="AJ320" s="87"/>
      <c r="AK320" s="87"/>
      <c r="AL320" s="87"/>
      <c r="AM320" s="87"/>
      <c r="AN320" s="87"/>
      <c r="AO320" s="87"/>
      <c r="AP320" s="87"/>
      <c r="AQ320" s="229" t="s">
        <v>1035</v>
      </c>
      <c r="AR320" s="5"/>
      <c r="AS320" s="5"/>
      <c r="AT320" s="5"/>
      <c r="AU320" s="5"/>
      <c r="AV320" s="5"/>
      <c r="AW320" s="5"/>
      <c r="AX320" s="284"/>
      <c r="AY320" s="5"/>
      <c r="AZ320" s="5"/>
      <c r="BA320" s="230"/>
      <c r="BB320" s="5"/>
      <c r="BC320" s="232" t="s">
        <v>3532</v>
      </c>
      <c r="BD320" s="238"/>
      <c r="BE320" s="249"/>
      <c r="BF320" s="249"/>
      <c r="BG320" s="249"/>
      <c r="BH320" s="249"/>
      <c r="BI320" s="249"/>
      <c r="BJ320" s="249"/>
      <c r="BK320" s="249"/>
      <c r="BL320" s="249"/>
      <c r="BM320" s="249"/>
      <c r="BN320" s="249"/>
      <c r="BO320" s="249"/>
      <c r="BP320" s="249"/>
      <c r="BQ320" s="249"/>
      <c r="BR320" s="249"/>
      <c r="BS320" s="249"/>
      <c r="BT320" s="249"/>
      <c r="BU320" s="249"/>
      <c r="BV320" s="249"/>
      <c r="BW320" s="249"/>
      <c r="BX320" s="249"/>
      <c r="BY320" s="249"/>
      <c r="BZ320" s="249"/>
      <c r="CA320" s="249"/>
      <c r="CB320" s="249"/>
      <c r="CC320" s="249"/>
      <c r="CD320" s="249"/>
      <c r="CE320" s="249"/>
    </row>
    <row r="321" spans="1:83" s="84" customFormat="1" ht="12.95" customHeight="1">
      <c r="A321" s="1"/>
      <c r="B321" s="1"/>
      <c r="C321" s="79" t="s">
        <v>1036</v>
      </c>
      <c r="D321" s="52" t="s">
        <v>2299</v>
      </c>
      <c r="E321" s="52" t="s">
        <v>2439</v>
      </c>
      <c r="F321" s="53" t="s">
        <v>1329</v>
      </c>
      <c r="G321" s="179" t="s">
        <v>1429</v>
      </c>
      <c r="H321" s="180" t="s">
        <v>1036</v>
      </c>
      <c r="I321" s="55" t="s">
        <v>1429</v>
      </c>
      <c r="J321" s="55" t="s">
        <v>1429</v>
      </c>
      <c r="K321" s="56" t="s">
        <v>1429</v>
      </c>
      <c r="L321" s="54" t="s">
        <v>1429</v>
      </c>
      <c r="M321" s="55" t="s">
        <v>1590</v>
      </c>
      <c r="N321" s="55" t="s">
        <v>1429</v>
      </c>
      <c r="O321" s="55" t="s">
        <v>1429</v>
      </c>
      <c r="P321" s="56" t="s">
        <v>1429</v>
      </c>
      <c r="Q321" s="85"/>
      <c r="R321" s="85"/>
      <c r="S321" s="85"/>
      <c r="T321" s="85"/>
      <c r="U321" s="85"/>
      <c r="V321" s="146" t="s">
        <v>2449</v>
      </c>
      <c r="W321" s="51"/>
      <c r="X321" s="133"/>
      <c r="Y321" s="133"/>
      <c r="Z321" s="51"/>
      <c r="AA321" s="51" t="s">
        <v>2432</v>
      </c>
      <c r="AB321" s="82"/>
      <c r="AC321" s="82"/>
      <c r="AD321" s="98"/>
      <c r="AE321" s="83"/>
      <c r="AF321" s="83"/>
      <c r="AG321" s="83"/>
      <c r="AH321" s="86"/>
      <c r="AI321" s="86"/>
      <c r="AJ321" s="87"/>
      <c r="AK321" s="87"/>
      <c r="AL321" s="87"/>
      <c r="AM321" s="87"/>
      <c r="AN321" s="87"/>
      <c r="AO321" s="87"/>
      <c r="AP321" s="87"/>
      <c r="AQ321" s="233" t="s">
        <v>1036</v>
      </c>
      <c r="AR321" s="5"/>
      <c r="AS321" s="5"/>
      <c r="AT321" s="5"/>
      <c r="AU321" s="5"/>
      <c r="AV321" s="5"/>
      <c r="AW321" s="5"/>
      <c r="AX321" s="284"/>
      <c r="AY321" s="5"/>
      <c r="AZ321" s="5" t="s">
        <v>67</v>
      </c>
      <c r="BA321" s="230"/>
      <c r="BB321" s="5"/>
      <c r="BC321" s="232" t="s">
        <v>3532</v>
      </c>
      <c r="BD321" s="250"/>
      <c r="BE321" s="249"/>
      <c r="BF321" s="249"/>
      <c r="BG321" s="249"/>
      <c r="BH321" s="249"/>
      <c r="BI321" s="249"/>
      <c r="BJ321" s="249"/>
      <c r="BK321" s="249"/>
      <c r="BL321" s="249"/>
      <c r="BM321" s="249"/>
      <c r="BN321" s="249"/>
      <c r="BO321" s="249"/>
      <c r="BP321" s="249"/>
      <c r="BQ321" s="249"/>
      <c r="BR321" s="249"/>
      <c r="BS321" s="249"/>
      <c r="BT321" s="249"/>
      <c r="BU321" s="249"/>
      <c r="BV321" s="249"/>
      <c r="BW321" s="249"/>
      <c r="BX321" s="249"/>
      <c r="BY321" s="249"/>
      <c r="BZ321" s="249"/>
      <c r="CA321" s="249"/>
      <c r="CB321" s="249"/>
      <c r="CC321" s="249"/>
      <c r="CD321" s="249"/>
      <c r="CE321" s="249"/>
    </row>
    <row r="322" spans="1:83" s="84" customFormat="1" ht="12.95" customHeight="1">
      <c r="A322" s="1"/>
      <c r="B322" s="1"/>
      <c r="C322" s="79" t="s">
        <v>1037</v>
      </c>
      <c r="D322" s="52" t="s">
        <v>2450</v>
      </c>
      <c r="E322" s="52" t="s">
        <v>2251</v>
      </c>
      <c r="F322" s="53" t="s">
        <v>1330</v>
      </c>
      <c r="G322" s="179" t="s">
        <v>1429</v>
      </c>
      <c r="H322" s="180" t="s">
        <v>1037</v>
      </c>
      <c r="I322" s="55" t="s">
        <v>1429</v>
      </c>
      <c r="J322" s="55" t="s">
        <v>1429</v>
      </c>
      <c r="K322" s="56" t="s">
        <v>1429</v>
      </c>
      <c r="L322" s="54" t="s">
        <v>1429</v>
      </c>
      <c r="M322" s="55" t="s">
        <v>1580</v>
      </c>
      <c r="N322" s="55" t="s">
        <v>1429</v>
      </c>
      <c r="O322" s="55" t="s">
        <v>1429</v>
      </c>
      <c r="P322" s="56" t="s">
        <v>1429</v>
      </c>
      <c r="Q322" s="85"/>
      <c r="R322" s="85"/>
      <c r="S322" s="85"/>
      <c r="T322" s="85"/>
      <c r="U322" s="85"/>
      <c r="V322" s="146" t="s">
        <v>2451</v>
      </c>
      <c r="W322" s="51"/>
      <c r="X322" s="133"/>
      <c r="Y322" s="133"/>
      <c r="Z322" s="51"/>
      <c r="AA322" s="51" t="s">
        <v>2432</v>
      </c>
      <c r="AB322" s="119"/>
      <c r="AC322" s="119"/>
      <c r="AD322" s="98"/>
      <c r="AE322" s="83"/>
      <c r="AF322" s="83"/>
      <c r="AG322" s="83"/>
      <c r="AH322" s="86"/>
      <c r="AI322" s="86"/>
      <c r="AJ322" s="87"/>
      <c r="AK322" s="87"/>
      <c r="AL322" s="87"/>
      <c r="AM322" s="87"/>
      <c r="AN322" s="87"/>
      <c r="AO322" s="87"/>
      <c r="AP322" s="87"/>
      <c r="AQ322" s="233" t="s">
        <v>1037</v>
      </c>
      <c r="AR322" s="5"/>
      <c r="AS322" s="5"/>
      <c r="AT322" s="5"/>
      <c r="AU322" s="5"/>
      <c r="AV322" s="5"/>
      <c r="AW322" s="5"/>
      <c r="AX322" s="284"/>
      <c r="AY322" s="5"/>
      <c r="AZ322" s="5" t="s">
        <v>67</v>
      </c>
      <c r="BA322" s="230"/>
      <c r="BB322" s="5"/>
      <c r="BC322" s="232" t="s">
        <v>3532</v>
      </c>
      <c r="BD322" s="250"/>
      <c r="BE322" s="249"/>
      <c r="BF322" s="249"/>
      <c r="BG322" s="249"/>
      <c r="BH322" s="249"/>
      <c r="BI322" s="249"/>
      <c r="BJ322" s="249"/>
      <c r="BK322" s="249"/>
      <c r="BL322" s="249"/>
      <c r="BM322" s="249"/>
      <c r="BN322" s="249"/>
      <c r="BO322" s="249"/>
      <c r="BP322" s="249"/>
      <c r="BQ322" s="249"/>
      <c r="BR322" s="249"/>
      <c r="BS322" s="249"/>
      <c r="BT322" s="249"/>
      <c r="BU322" s="249"/>
      <c r="BV322" s="249"/>
      <c r="BW322" s="249"/>
      <c r="BX322" s="249"/>
      <c r="BY322" s="249"/>
      <c r="BZ322" s="249"/>
      <c r="CA322" s="249"/>
      <c r="CB322" s="249"/>
      <c r="CC322" s="249"/>
      <c r="CD322" s="249"/>
      <c r="CE322" s="249"/>
    </row>
    <row r="323" spans="1:83" s="94" customFormat="1" ht="18" customHeight="1">
      <c r="A323" s="88" t="s">
        <v>1027</v>
      </c>
      <c r="B323" s="88"/>
      <c r="C323" s="88"/>
      <c r="D323" s="89"/>
      <c r="E323" s="89"/>
      <c r="F323" s="89"/>
      <c r="G323" s="90"/>
      <c r="H323" s="90"/>
      <c r="I323" s="90"/>
      <c r="J323" s="90"/>
      <c r="K323" s="90"/>
      <c r="L323" s="89"/>
      <c r="M323" s="89"/>
      <c r="N323" s="89"/>
      <c r="O323" s="89"/>
      <c r="P323" s="89"/>
      <c r="Q323" s="89"/>
      <c r="R323" s="89"/>
      <c r="S323" s="89"/>
      <c r="T323" s="89"/>
      <c r="U323" s="89"/>
      <c r="V323" s="89"/>
      <c r="W323" s="89"/>
      <c r="X323" s="134"/>
      <c r="Y323" s="134"/>
      <c r="Z323" s="91"/>
      <c r="AA323" s="91"/>
      <c r="AB323" s="91"/>
      <c r="AC323" s="91"/>
      <c r="AD323" s="91"/>
      <c r="AE323" s="91"/>
      <c r="AF323" s="91"/>
      <c r="AG323" s="91"/>
      <c r="AH323" s="91"/>
      <c r="AI323" s="91"/>
      <c r="AJ323" s="91"/>
      <c r="AK323" s="91"/>
      <c r="AL323" s="91"/>
      <c r="AM323" s="91"/>
      <c r="AN323" s="91"/>
      <c r="AO323" s="91"/>
      <c r="AP323" s="91"/>
      <c r="AQ323" s="251"/>
      <c r="AR323" s="251"/>
      <c r="AS323" s="252"/>
      <c r="AT323" s="252"/>
      <c r="AU323" s="252"/>
      <c r="AV323" s="252"/>
      <c r="AW323" s="252"/>
      <c r="AX323" s="291"/>
      <c r="AY323" s="252"/>
      <c r="AZ323" s="252"/>
      <c r="BA323" s="252"/>
      <c r="BB323" s="168" t="s">
        <v>511</v>
      </c>
      <c r="BC323" s="253"/>
      <c r="BD323" s="253"/>
      <c r="BE323" s="254"/>
      <c r="BF323" s="254"/>
      <c r="BG323" s="254"/>
      <c r="BH323" s="254"/>
      <c r="BI323" s="254"/>
      <c r="BJ323" s="254"/>
      <c r="BK323" s="254"/>
      <c r="BL323" s="254"/>
      <c r="BM323" s="254"/>
      <c r="BN323" s="254"/>
      <c r="BO323" s="254"/>
      <c r="BP323" s="254"/>
      <c r="BQ323" s="254"/>
      <c r="BR323" s="254"/>
      <c r="BS323" s="254"/>
      <c r="BT323" s="254"/>
      <c r="BU323" s="254"/>
      <c r="BV323" s="254"/>
      <c r="BW323" s="254"/>
      <c r="BX323" s="254"/>
      <c r="BY323" s="254"/>
      <c r="BZ323" s="254"/>
      <c r="CA323" s="254"/>
      <c r="CB323" s="254"/>
      <c r="CC323" s="254"/>
      <c r="CD323" s="254"/>
      <c r="CE323" s="254"/>
    </row>
    <row r="324" spans="1:83" s="84" customFormat="1" ht="12.95" customHeight="1">
      <c r="A324" s="84" t="s">
        <v>3439</v>
      </c>
      <c r="B324" s="84" t="s">
        <v>1611</v>
      </c>
      <c r="C324" s="79" t="s">
        <v>1039</v>
      </c>
      <c r="D324" s="52" t="s">
        <v>2452</v>
      </c>
      <c r="E324" s="52" t="s">
        <v>2453</v>
      </c>
      <c r="F324" s="53" t="s">
        <v>1331</v>
      </c>
      <c r="G324" s="179" t="s">
        <v>1429</v>
      </c>
      <c r="H324" s="180" t="s">
        <v>1039</v>
      </c>
      <c r="I324" s="55" t="s">
        <v>1429</v>
      </c>
      <c r="J324" s="55" t="s">
        <v>1429</v>
      </c>
      <c r="K324" s="56" t="s">
        <v>1429</v>
      </c>
      <c r="L324" s="54" t="s">
        <v>1429</v>
      </c>
      <c r="M324" s="55" t="s">
        <v>1581</v>
      </c>
      <c r="N324" s="55" t="s">
        <v>1429</v>
      </c>
      <c r="O324" s="55" t="s">
        <v>1429</v>
      </c>
      <c r="P324" s="56" t="s">
        <v>1429</v>
      </c>
      <c r="Q324" s="85"/>
      <c r="R324" s="85"/>
      <c r="S324" s="85"/>
      <c r="T324" s="85"/>
      <c r="U324" s="85"/>
      <c r="V324" s="146" t="s">
        <v>2454</v>
      </c>
      <c r="W324" s="51" t="s">
        <v>2455</v>
      </c>
      <c r="X324" s="130" t="s">
        <v>1429</v>
      </c>
      <c r="Y324" s="130" t="s">
        <v>1429</v>
      </c>
      <c r="Z324" s="51"/>
      <c r="AA324" s="51" t="s">
        <v>2432</v>
      </c>
      <c r="AB324" s="145"/>
      <c r="AC324" s="145" t="s">
        <v>1633</v>
      </c>
      <c r="AD324" s="95"/>
      <c r="AE324" s="96"/>
      <c r="AF324" s="96"/>
      <c r="AG324" s="96"/>
      <c r="AH324" s="97"/>
      <c r="AI324" s="86"/>
      <c r="AJ324" s="87"/>
      <c r="AK324" s="87"/>
      <c r="AL324" s="87"/>
      <c r="AM324" s="87"/>
      <c r="AN324" s="87"/>
      <c r="AO324" s="87"/>
      <c r="AP324" s="87"/>
      <c r="AQ324" s="229" t="s">
        <v>1039</v>
      </c>
      <c r="AR324" s="5"/>
      <c r="AS324" s="5"/>
      <c r="AT324" s="5"/>
      <c r="AU324" s="5"/>
      <c r="AV324" s="5"/>
      <c r="AW324" s="5"/>
      <c r="AX324" s="284"/>
      <c r="AY324" s="5"/>
      <c r="AZ324" s="5"/>
      <c r="BA324" s="230"/>
      <c r="BB324" s="215"/>
      <c r="BC324" s="231" t="s">
        <v>3533</v>
      </c>
      <c r="BD324" s="238"/>
      <c r="BE324" s="249"/>
      <c r="BF324" s="249"/>
      <c r="BG324" s="249"/>
      <c r="BH324" s="249"/>
      <c r="BI324" s="249"/>
      <c r="BJ324" s="249"/>
      <c r="BK324" s="249"/>
      <c r="BL324" s="249"/>
      <c r="BM324" s="249"/>
      <c r="BN324" s="249"/>
      <c r="BO324" s="249"/>
      <c r="BP324" s="249"/>
      <c r="BQ324" s="249"/>
      <c r="BR324" s="249"/>
      <c r="BS324" s="249"/>
      <c r="BT324" s="249"/>
      <c r="BU324" s="249"/>
      <c r="BV324" s="249"/>
      <c r="BW324" s="249"/>
      <c r="BX324" s="249"/>
      <c r="BY324" s="249"/>
      <c r="BZ324" s="249"/>
      <c r="CA324" s="249"/>
      <c r="CB324" s="249"/>
      <c r="CC324" s="249"/>
      <c r="CD324" s="249"/>
      <c r="CE324" s="249"/>
    </row>
    <row r="325" spans="1:83" s="84" customFormat="1" ht="12.95" customHeight="1">
      <c r="A325" s="84" t="s">
        <v>3440</v>
      </c>
      <c r="B325" s="84" t="s">
        <v>1886</v>
      </c>
      <c r="C325" s="79" t="s">
        <v>1040</v>
      </c>
      <c r="D325" s="52" t="s">
        <v>2293</v>
      </c>
      <c r="E325" s="52" t="s">
        <v>2456</v>
      </c>
      <c r="F325" s="53" t="s">
        <v>1332</v>
      </c>
      <c r="G325" s="179" t="s">
        <v>1429</v>
      </c>
      <c r="H325" s="180" t="s">
        <v>1040</v>
      </c>
      <c r="I325" s="55" t="s">
        <v>1429</v>
      </c>
      <c r="J325" s="55" t="s">
        <v>1429</v>
      </c>
      <c r="K325" s="56" t="s">
        <v>1429</v>
      </c>
      <c r="L325" s="54" t="s">
        <v>1429</v>
      </c>
      <c r="M325" s="55" t="s">
        <v>1581</v>
      </c>
      <c r="N325" s="55" t="s">
        <v>1429</v>
      </c>
      <c r="O325" s="55" t="s">
        <v>1429</v>
      </c>
      <c r="P325" s="56" t="s">
        <v>1429</v>
      </c>
      <c r="Q325" s="85"/>
      <c r="R325" s="85"/>
      <c r="S325" s="85"/>
      <c r="T325" s="85"/>
      <c r="U325" s="85"/>
      <c r="V325" s="146" t="s">
        <v>2457</v>
      </c>
      <c r="W325" s="51" t="s">
        <v>2455</v>
      </c>
      <c r="X325" s="130" t="s">
        <v>1429</v>
      </c>
      <c r="Y325" s="130" t="s">
        <v>1429</v>
      </c>
      <c r="Z325" s="51"/>
      <c r="AA325" s="51" t="s">
        <v>2432</v>
      </c>
      <c r="AB325" s="146"/>
      <c r="AC325" s="146" t="s">
        <v>1633</v>
      </c>
      <c r="AD325" s="98"/>
      <c r="AE325" s="83"/>
      <c r="AF325" s="83"/>
      <c r="AG325" s="83"/>
      <c r="AH325" s="86"/>
      <c r="AI325" s="86"/>
      <c r="AJ325" s="87"/>
      <c r="AK325" s="87"/>
      <c r="AL325" s="87"/>
      <c r="AM325" s="87"/>
      <c r="AN325" s="87"/>
      <c r="AO325" s="87"/>
      <c r="AP325" s="87"/>
      <c r="AQ325" s="229" t="s">
        <v>1040</v>
      </c>
      <c r="AR325" s="5"/>
      <c r="AS325" s="5"/>
      <c r="AT325" s="5"/>
      <c r="AU325" s="5"/>
      <c r="AV325" s="5"/>
      <c r="AW325" s="5"/>
      <c r="AX325" s="284"/>
      <c r="AY325" s="5"/>
      <c r="AZ325" s="5"/>
      <c r="BA325" s="230"/>
      <c r="BB325" s="5"/>
      <c r="BC325" s="232" t="s">
        <v>3533</v>
      </c>
      <c r="BD325" s="238"/>
      <c r="BE325" s="249"/>
      <c r="BF325" s="249"/>
      <c r="BG325" s="249"/>
      <c r="BH325" s="249"/>
      <c r="BI325" s="249"/>
      <c r="BJ325" s="249"/>
      <c r="BK325" s="249"/>
      <c r="BL325" s="249"/>
      <c r="BM325" s="249"/>
      <c r="BN325" s="249"/>
      <c r="BO325" s="249"/>
      <c r="BP325" s="249"/>
      <c r="BQ325" s="249"/>
      <c r="BR325" s="249"/>
      <c r="BS325" s="249"/>
      <c r="BT325" s="249"/>
      <c r="BU325" s="249"/>
      <c r="BV325" s="249"/>
      <c r="BW325" s="249"/>
      <c r="BX325" s="249"/>
      <c r="BY325" s="249"/>
      <c r="BZ325" s="249"/>
      <c r="CA325" s="249"/>
      <c r="CB325" s="249"/>
      <c r="CC325" s="249"/>
      <c r="CD325" s="249"/>
      <c r="CE325" s="249"/>
    </row>
    <row r="326" spans="1:83" s="84" customFormat="1" ht="12.95" customHeight="1">
      <c r="A326" s="84" t="s">
        <v>3437</v>
      </c>
      <c r="B326" s="84" t="s">
        <v>1578</v>
      </c>
      <c r="C326" s="79" t="s">
        <v>1041</v>
      </c>
      <c r="D326" s="52" t="s">
        <v>2458</v>
      </c>
      <c r="E326" s="52" t="s">
        <v>2450</v>
      </c>
      <c r="F326" s="53" t="s">
        <v>1333</v>
      </c>
      <c r="G326" s="179" t="s">
        <v>1429</v>
      </c>
      <c r="H326" s="180" t="s">
        <v>1041</v>
      </c>
      <c r="I326" s="55" t="s">
        <v>1429</v>
      </c>
      <c r="J326" s="55" t="s">
        <v>1429</v>
      </c>
      <c r="K326" s="56" t="s">
        <v>1429</v>
      </c>
      <c r="L326" s="54" t="s">
        <v>1429</v>
      </c>
      <c r="M326" s="55" t="s">
        <v>1581</v>
      </c>
      <c r="N326" s="55" t="s">
        <v>1429</v>
      </c>
      <c r="O326" s="55" t="s">
        <v>1429</v>
      </c>
      <c r="P326" s="56" t="s">
        <v>1429</v>
      </c>
      <c r="Q326" s="85"/>
      <c r="R326" s="85"/>
      <c r="S326" s="85"/>
      <c r="T326" s="85"/>
      <c r="U326" s="85"/>
      <c r="V326" s="146" t="s">
        <v>2459</v>
      </c>
      <c r="W326" s="51" t="s">
        <v>2455</v>
      </c>
      <c r="X326" s="130" t="s">
        <v>1429</v>
      </c>
      <c r="Y326" s="130" t="s">
        <v>1429</v>
      </c>
      <c r="Z326" s="51"/>
      <c r="AA326" s="51" t="s">
        <v>2432</v>
      </c>
      <c r="AB326" s="146"/>
      <c r="AC326" s="146" t="s">
        <v>1633</v>
      </c>
      <c r="AD326" s="98"/>
      <c r="AE326" s="83"/>
      <c r="AF326" s="83"/>
      <c r="AG326" s="83"/>
      <c r="AH326" s="86"/>
      <c r="AI326" s="86"/>
      <c r="AJ326" s="87"/>
      <c r="AK326" s="87"/>
      <c r="AL326" s="87"/>
      <c r="AM326" s="87"/>
      <c r="AN326" s="87"/>
      <c r="AO326" s="87"/>
      <c r="AP326" s="87"/>
      <c r="AQ326" s="229" t="s">
        <v>1041</v>
      </c>
      <c r="AR326" s="5"/>
      <c r="AS326" s="5"/>
      <c r="AT326" s="5"/>
      <c r="AU326" s="5"/>
      <c r="AV326" s="5"/>
      <c r="AW326" s="5"/>
      <c r="AX326" s="284"/>
      <c r="AY326" s="5"/>
      <c r="AZ326" s="5"/>
      <c r="BA326" s="230"/>
      <c r="BB326" s="5"/>
      <c r="BC326" s="232" t="s">
        <v>3533</v>
      </c>
      <c r="BD326" s="238"/>
      <c r="BE326" s="249"/>
      <c r="BF326" s="249"/>
      <c r="BG326" s="249"/>
      <c r="BH326" s="249"/>
      <c r="BI326" s="249"/>
      <c r="BJ326" s="249"/>
      <c r="BK326" s="249"/>
      <c r="BL326" s="249"/>
      <c r="BM326" s="249"/>
      <c r="BN326" s="249"/>
      <c r="BO326" s="249"/>
      <c r="BP326" s="249"/>
      <c r="BQ326" s="249"/>
      <c r="BR326" s="249"/>
      <c r="BS326" s="249"/>
      <c r="BT326" s="249"/>
      <c r="BU326" s="249"/>
      <c r="BV326" s="249"/>
      <c r="BW326" s="249"/>
      <c r="BX326" s="249"/>
      <c r="BY326" s="249"/>
      <c r="BZ326" s="249"/>
      <c r="CA326" s="249"/>
      <c r="CB326" s="249"/>
      <c r="CC326" s="249"/>
      <c r="CD326" s="249"/>
      <c r="CE326" s="249"/>
    </row>
    <row r="327" spans="1:83" s="84" customFormat="1" ht="12.95" customHeight="1">
      <c r="A327" s="84" t="s">
        <v>3438</v>
      </c>
      <c r="B327" s="84" t="s">
        <v>1619</v>
      </c>
      <c r="C327" s="79" t="s">
        <v>1042</v>
      </c>
      <c r="D327" s="52" t="s">
        <v>2460</v>
      </c>
      <c r="E327" s="52" t="s">
        <v>2461</v>
      </c>
      <c r="F327" s="53" t="s">
        <v>1334</v>
      </c>
      <c r="G327" s="179" t="s">
        <v>1429</v>
      </c>
      <c r="H327" s="180" t="s">
        <v>1042</v>
      </c>
      <c r="I327" s="55" t="s">
        <v>1429</v>
      </c>
      <c r="J327" s="55" t="s">
        <v>1429</v>
      </c>
      <c r="K327" s="56" t="s">
        <v>1429</v>
      </c>
      <c r="L327" s="54" t="s">
        <v>1429</v>
      </c>
      <c r="M327" s="55" t="s">
        <v>1581</v>
      </c>
      <c r="N327" s="55" t="s">
        <v>1429</v>
      </c>
      <c r="O327" s="55" t="s">
        <v>1429</v>
      </c>
      <c r="P327" s="56" t="s">
        <v>1429</v>
      </c>
      <c r="Q327" s="85"/>
      <c r="R327" s="85"/>
      <c r="S327" s="85"/>
      <c r="T327" s="85"/>
      <c r="U327" s="85"/>
      <c r="V327" s="146" t="s">
        <v>2462</v>
      </c>
      <c r="W327" s="51" t="s">
        <v>2455</v>
      </c>
      <c r="X327" s="130" t="s">
        <v>1429</v>
      </c>
      <c r="Y327" s="130" t="s">
        <v>1429</v>
      </c>
      <c r="Z327" s="51"/>
      <c r="AA327" s="51" t="s">
        <v>2432</v>
      </c>
      <c r="AB327" s="146"/>
      <c r="AC327" s="146" t="s">
        <v>1633</v>
      </c>
      <c r="AD327" s="98"/>
      <c r="AE327" s="83"/>
      <c r="AF327" s="83"/>
      <c r="AG327" s="83"/>
      <c r="AH327" s="86"/>
      <c r="AI327" s="86"/>
      <c r="AJ327" s="87"/>
      <c r="AK327" s="87"/>
      <c r="AL327" s="87"/>
      <c r="AM327" s="87"/>
      <c r="AN327" s="87"/>
      <c r="AO327" s="87"/>
      <c r="AP327" s="87"/>
      <c r="AQ327" s="229" t="s">
        <v>1042</v>
      </c>
      <c r="AR327" s="5"/>
      <c r="AS327" s="5"/>
      <c r="AT327" s="5"/>
      <c r="AU327" s="5"/>
      <c r="AV327" s="5"/>
      <c r="AW327" s="5"/>
      <c r="AX327" s="284"/>
      <c r="AY327" s="5"/>
      <c r="AZ327" s="5"/>
      <c r="BA327" s="230"/>
      <c r="BB327" s="5"/>
      <c r="BC327" s="232" t="s">
        <v>3533</v>
      </c>
      <c r="BD327" s="238"/>
      <c r="BE327" s="249"/>
      <c r="BF327" s="249"/>
      <c r="BG327" s="249"/>
      <c r="BH327" s="249"/>
      <c r="BI327" s="249"/>
      <c r="BJ327" s="249"/>
      <c r="BK327" s="249"/>
      <c r="BL327" s="249"/>
      <c r="BM327" s="249"/>
      <c r="BN327" s="249"/>
      <c r="BO327" s="249"/>
      <c r="BP327" s="249"/>
      <c r="BQ327" s="249"/>
      <c r="BR327" s="249"/>
      <c r="BS327" s="249"/>
      <c r="BT327" s="249"/>
      <c r="BU327" s="249"/>
      <c r="BV327" s="249"/>
      <c r="BW327" s="249"/>
      <c r="BX327" s="249"/>
      <c r="BY327" s="249"/>
      <c r="BZ327" s="249"/>
      <c r="CA327" s="249"/>
      <c r="CB327" s="249"/>
      <c r="CC327" s="249"/>
      <c r="CD327" s="249"/>
      <c r="CE327" s="249"/>
    </row>
    <row r="328" spans="1:83" s="84" customFormat="1" ht="12.95" customHeight="1">
      <c r="A328" s="84" t="s">
        <v>3435</v>
      </c>
      <c r="B328" s="84" t="s">
        <v>3591</v>
      </c>
      <c r="C328" s="79" t="s">
        <v>1043</v>
      </c>
      <c r="D328" s="52" t="s">
        <v>2463</v>
      </c>
      <c r="E328" s="52" t="s">
        <v>2433</v>
      </c>
      <c r="F328" s="53" t="s">
        <v>1335</v>
      </c>
      <c r="G328" s="179" t="s">
        <v>1429</v>
      </c>
      <c r="H328" s="180" t="s">
        <v>1043</v>
      </c>
      <c r="I328" s="55" t="s">
        <v>1429</v>
      </c>
      <c r="J328" s="55" t="s">
        <v>1429</v>
      </c>
      <c r="K328" s="56" t="s">
        <v>1429</v>
      </c>
      <c r="L328" s="54" t="s">
        <v>1429</v>
      </c>
      <c r="M328" s="55" t="s">
        <v>1581</v>
      </c>
      <c r="N328" s="55" t="s">
        <v>1429</v>
      </c>
      <c r="O328" s="55" t="s">
        <v>1429</v>
      </c>
      <c r="P328" s="56" t="s">
        <v>1429</v>
      </c>
      <c r="Q328" s="85"/>
      <c r="R328" s="85"/>
      <c r="S328" s="85"/>
      <c r="T328" s="85"/>
      <c r="U328" s="85"/>
      <c r="V328" s="146" t="s">
        <v>2464</v>
      </c>
      <c r="W328" s="51" t="s">
        <v>2455</v>
      </c>
      <c r="X328" s="130" t="s">
        <v>1429</v>
      </c>
      <c r="Y328" s="130" t="s">
        <v>1429</v>
      </c>
      <c r="Z328" s="51"/>
      <c r="AA328" s="51" t="s">
        <v>2432</v>
      </c>
      <c r="AB328" s="146"/>
      <c r="AC328" s="146" t="s">
        <v>1633</v>
      </c>
      <c r="AD328" s="98"/>
      <c r="AE328" s="83"/>
      <c r="AF328" s="83"/>
      <c r="AG328" s="83"/>
      <c r="AH328" s="86"/>
      <c r="AI328" s="86"/>
      <c r="AJ328" s="87"/>
      <c r="AK328" s="87"/>
      <c r="AL328" s="87"/>
      <c r="AM328" s="87"/>
      <c r="AN328" s="87"/>
      <c r="AO328" s="87"/>
      <c r="AP328" s="87"/>
      <c r="AQ328" s="229" t="s">
        <v>1043</v>
      </c>
      <c r="AR328" s="5"/>
      <c r="AS328" s="5"/>
      <c r="AT328" s="5"/>
      <c r="AU328" s="5"/>
      <c r="AV328" s="5"/>
      <c r="AW328" s="5"/>
      <c r="AX328" s="284"/>
      <c r="AY328" s="5"/>
      <c r="AZ328" s="5"/>
      <c r="BA328" s="230"/>
      <c r="BB328" s="5"/>
      <c r="BC328" s="232" t="s">
        <v>3533</v>
      </c>
      <c r="BD328" s="238"/>
      <c r="BE328" s="249"/>
      <c r="BF328" s="249"/>
      <c r="BG328" s="249"/>
      <c r="BH328" s="249"/>
      <c r="BI328" s="249"/>
      <c r="BJ328" s="249"/>
      <c r="BK328" s="249"/>
      <c r="BL328" s="249"/>
      <c r="BM328" s="249"/>
      <c r="BN328" s="249"/>
      <c r="BO328" s="249"/>
      <c r="BP328" s="249"/>
      <c r="BQ328" s="249"/>
      <c r="BR328" s="249"/>
      <c r="BS328" s="249"/>
      <c r="BT328" s="249"/>
      <c r="BU328" s="249"/>
      <c r="BV328" s="249"/>
      <c r="BW328" s="249"/>
      <c r="BX328" s="249"/>
      <c r="BY328" s="249"/>
      <c r="BZ328" s="249"/>
      <c r="CA328" s="249"/>
      <c r="CB328" s="249"/>
      <c r="CC328" s="249"/>
      <c r="CD328" s="249"/>
      <c r="CE328" s="249"/>
    </row>
    <row r="329" spans="1:83" s="84" customFormat="1" ht="12.95" customHeight="1">
      <c r="A329" s="84" t="s">
        <v>3436</v>
      </c>
      <c r="B329" s="84" t="s">
        <v>3590</v>
      </c>
      <c r="C329" s="79" t="s">
        <v>1044</v>
      </c>
      <c r="D329" s="52" t="s">
        <v>2302</v>
      </c>
      <c r="E329" s="52" t="s">
        <v>2465</v>
      </c>
      <c r="F329" s="53" t="s">
        <v>1336</v>
      </c>
      <c r="G329" s="179" t="s">
        <v>1429</v>
      </c>
      <c r="H329" s="180" t="s">
        <v>1044</v>
      </c>
      <c r="I329" s="55" t="s">
        <v>1429</v>
      </c>
      <c r="J329" s="55" t="s">
        <v>1429</v>
      </c>
      <c r="K329" s="56" t="s">
        <v>1429</v>
      </c>
      <c r="L329" s="54" t="s">
        <v>1429</v>
      </c>
      <c r="M329" s="55" t="s">
        <v>1581</v>
      </c>
      <c r="N329" s="55" t="s">
        <v>1429</v>
      </c>
      <c r="O329" s="55" t="s">
        <v>1429</v>
      </c>
      <c r="P329" s="56" t="s">
        <v>1429</v>
      </c>
      <c r="Q329" s="85"/>
      <c r="R329" s="85"/>
      <c r="S329" s="85"/>
      <c r="T329" s="85"/>
      <c r="U329" s="85"/>
      <c r="V329" s="146" t="s">
        <v>2466</v>
      </c>
      <c r="W329" s="51" t="s">
        <v>2455</v>
      </c>
      <c r="X329" s="130" t="s">
        <v>1429</v>
      </c>
      <c r="Y329" s="130" t="s">
        <v>1429</v>
      </c>
      <c r="Z329" s="51"/>
      <c r="AA329" s="51" t="s">
        <v>2432</v>
      </c>
      <c r="AB329" s="146"/>
      <c r="AC329" s="146" t="s">
        <v>1633</v>
      </c>
      <c r="AD329" s="98"/>
      <c r="AE329" s="83"/>
      <c r="AF329" s="83"/>
      <c r="AG329" s="83"/>
      <c r="AH329" s="86"/>
      <c r="AI329" s="86"/>
      <c r="AJ329" s="87"/>
      <c r="AK329" s="87"/>
      <c r="AL329" s="87"/>
      <c r="AM329" s="87"/>
      <c r="AN329" s="87"/>
      <c r="AO329" s="87"/>
      <c r="AP329" s="87"/>
      <c r="AQ329" s="229" t="s">
        <v>1044</v>
      </c>
      <c r="AR329" s="5"/>
      <c r="AS329" s="5"/>
      <c r="AT329" s="5"/>
      <c r="AU329" s="5"/>
      <c r="AV329" s="5"/>
      <c r="AW329" s="5"/>
      <c r="AX329" s="284"/>
      <c r="AY329" s="5"/>
      <c r="AZ329" s="5"/>
      <c r="BA329" s="230"/>
      <c r="BB329" s="5"/>
      <c r="BC329" s="232" t="s">
        <v>3533</v>
      </c>
      <c r="BD329" s="238"/>
      <c r="BE329" s="249"/>
      <c r="BF329" s="249"/>
      <c r="BG329" s="249"/>
      <c r="BH329" s="249"/>
      <c r="BI329" s="249"/>
      <c r="BJ329" s="249"/>
      <c r="BK329" s="249"/>
      <c r="BL329" s="249"/>
      <c r="BM329" s="249"/>
      <c r="BN329" s="249"/>
      <c r="BO329" s="249"/>
      <c r="BP329" s="249"/>
      <c r="BQ329" s="249"/>
      <c r="BR329" s="249"/>
      <c r="BS329" s="249"/>
      <c r="BT329" s="249"/>
      <c r="BU329" s="249"/>
      <c r="BV329" s="249"/>
      <c r="BW329" s="249"/>
      <c r="BX329" s="249"/>
      <c r="BY329" s="249"/>
      <c r="BZ329" s="249"/>
      <c r="CA329" s="249"/>
      <c r="CB329" s="249"/>
      <c r="CC329" s="249"/>
      <c r="CD329" s="249"/>
      <c r="CE329" s="249"/>
    </row>
    <row r="330" spans="1:83" s="84" customFormat="1" ht="12.95" customHeight="1">
      <c r="A330" s="84" t="s">
        <v>3441</v>
      </c>
      <c r="B330" s="84" t="s">
        <v>1885</v>
      </c>
      <c r="C330" s="79" t="s">
        <v>1045</v>
      </c>
      <c r="D330" s="52" t="s">
        <v>2288</v>
      </c>
      <c r="E330" s="52" t="s">
        <v>2463</v>
      </c>
      <c r="F330" s="53" t="s">
        <v>1337</v>
      </c>
      <c r="G330" s="179" t="s">
        <v>1429</v>
      </c>
      <c r="H330" s="180" t="s">
        <v>1045</v>
      </c>
      <c r="I330" s="55" t="s">
        <v>1429</v>
      </c>
      <c r="J330" s="55" t="s">
        <v>1429</v>
      </c>
      <c r="K330" s="56" t="s">
        <v>1429</v>
      </c>
      <c r="L330" s="54" t="s">
        <v>1429</v>
      </c>
      <c r="M330" s="55" t="s">
        <v>1581</v>
      </c>
      <c r="N330" s="55" t="s">
        <v>1429</v>
      </c>
      <c r="O330" s="55" t="s">
        <v>1429</v>
      </c>
      <c r="P330" s="56" t="s">
        <v>1429</v>
      </c>
      <c r="Q330" s="85"/>
      <c r="R330" s="85"/>
      <c r="S330" s="85"/>
      <c r="T330" s="85"/>
      <c r="U330" s="85"/>
      <c r="V330" s="146" t="s">
        <v>2467</v>
      </c>
      <c r="W330" s="51" t="s">
        <v>2455</v>
      </c>
      <c r="X330" s="130" t="s">
        <v>1429</v>
      </c>
      <c r="Y330" s="130" t="s">
        <v>1429</v>
      </c>
      <c r="Z330" s="51"/>
      <c r="AA330" s="51" t="s">
        <v>2432</v>
      </c>
      <c r="AB330" s="146"/>
      <c r="AC330" s="146" t="s">
        <v>1633</v>
      </c>
      <c r="AD330" s="98"/>
      <c r="AE330" s="83"/>
      <c r="AF330" s="83"/>
      <c r="AG330" s="83"/>
      <c r="AH330" s="86"/>
      <c r="AI330" s="86"/>
      <c r="AJ330" s="87"/>
      <c r="AK330" s="87"/>
      <c r="AL330" s="87"/>
      <c r="AM330" s="87"/>
      <c r="AN330" s="87"/>
      <c r="AO330" s="87"/>
      <c r="AP330" s="87"/>
      <c r="AQ330" s="229" t="s">
        <v>1045</v>
      </c>
      <c r="AR330" s="5"/>
      <c r="AS330" s="5"/>
      <c r="AT330" s="5"/>
      <c r="AU330" s="5"/>
      <c r="AV330" s="5"/>
      <c r="AW330" s="5"/>
      <c r="AX330" s="284"/>
      <c r="AY330" s="5"/>
      <c r="AZ330" s="5"/>
      <c r="BA330" s="230"/>
      <c r="BB330" s="5"/>
      <c r="BC330" s="232" t="s">
        <v>3533</v>
      </c>
      <c r="BD330" s="238"/>
      <c r="BE330" s="249"/>
      <c r="BF330" s="249"/>
      <c r="BG330" s="249"/>
      <c r="BH330" s="249"/>
      <c r="BI330" s="249"/>
      <c r="BJ330" s="249"/>
      <c r="BK330" s="249"/>
      <c r="BL330" s="249"/>
      <c r="BM330" s="249"/>
      <c r="BN330" s="249"/>
      <c r="BO330" s="249"/>
      <c r="BP330" s="249"/>
      <c r="BQ330" s="249"/>
      <c r="BR330" s="249"/>
      <c r="BS330" s="249"/>
      <c r="BT330" s="249"/>
      <c r="BU330" s="249"/>
      <c r="BV330" s="249"/>
      <c r="BW330" s="249"/>
      <c r="BX330" s="249"/>
      <c r="BY330" s="249"/>
      <c r="BZ330" s="249"/>
      <c r="CA330" s="249"/>
      <c r="CB330" s="249"/>
      <c r="CC330" s="249"/>
      <c r="CD330" s="249"/>
      <c r="CE330" s="249"/>
    </row>
    <row r="331" spans="1:83" s="84" customFormat="1" ht="12.95" customHeight="1">
      <c r="A331" s="84" t="s">
        <v>3442</v>
      </c>
      <c r="B331" s="84" t="s">
        <v>1602</v>
      </c>
      <c r="C331" s="79" t="s">
        <v>1046</v>
      </c>
      <c r="D331" s="52" t="s">
        <v>2305</v>
      </c>
      <c r="E331" s="52" t="s">
        <v>2460</v>
      </c>
      <c r="F331" s="53" t="s">
        <v>1338</v>
      </c>
      <c r="G331" s="179" t="s">
        <v>1429</v>
      </c>
      <c r="H331" s="180" t="s">
        <v>1046</v>
      </c>
      <c r="I331" s="55" t="s">
        <v>1429</v>
      </c>
      <c r="J331" s="55" t="s">
        <v>1429</v>
      </c>
      <c r="K331" s="56" t="s">
        <v>1429</v>
      </c>
      <c r="L331" s="54" t="s">
        <v>1429</v>
      </c>
      <c r="M331" s="55" t="s">
        <v>1581</v>
      </c>
      <c r="N331" s="55" t="s">
        <v>1429</v>
      </c>
      <c r="O331" s="55" t="s">
        <v>1429</v>
      </c>
      <c r="P331" s="56" t="s">
        <v>1429</v>
      </c>
      <c r="Q331" s="85"/>
      <c r="R331" s="85"/>
      <c r="S331" s="85"/>
      <c r="T331" s="85"/>
      <c r="U331" s="85"/>
      <c r="V331" s="146" t="s">
        <v>2468</v>
      </c>
      <c r="W331" s="51" t="s">
        <v>2455</v>
      </c>
      <c r="X331" s="130" t="s">
        <v>1429</v>
      </c>
      <c r="Y331" s="130" t="s">
        <v>1429</v>
      </c>
      <c r="Z331" s="51"/>
      <c r="AA331" s="51" t="s">
        <v>2432</v>
      </c>
      <c r="AB331" s="146"/>
      <c r="AC331" s="146" t="s">
        <v>1633</v>
      </c>
      <c r="AD331" s="98"/>
      <c r="AE331" s="83"/>
      <c r="AF331" s="83"/>
      <c r="AG331" s="83"/>
      <c r="AH331" s="86"/>
      <c r="AI331" s="86"/>
      <c r="AJ331" s="87"/>
      <c r="AK331" s="87"/>
      <c r="AL331" s="87"/>
      <c r="AM331" s="87"/>
      <c r="AN331" s="87"/>
      <c r="AO331" s="87"/>
      <c r="AP331" s="87"/>
      <c r="AQ331" s="234" t="s">
        <v>1046</v>
      </c>
      <c r="AR331" s="5"/>
      <c r="AS331" s="5"/>
      <c r="AT331" s="5"/>
      <c r="AU331" s="5"/>
      <c r="AV331" s="5"/>
      <c r="AW331" s="5"/>
      <c r="AX331" s="284"/>
      <c r="AY331" s="5"/>
      <c r="AZ331" s="5"/>
      <c r="BA331" s="230"/>
      <c r="BB331" s="5"/>
      <c r="BC331" s="232" t="s">
        <v>3533</v>
      </c>
      <c r="BD331" s="238"/>
      <c r="BE331" s="249"/>
      <c r="BF331" s="249"/>
      <c r="BG331" s="249"/>
      <c r="BH331" s="249"/>
      <c r="BI331" s="249"/>
      <c r="BJ331" s="249"/>
      <c r="BK331" s="249"/>
      <c r="BL331" s="249"/>
      <c r="BM331" s="249"/>
      <c r="BN331" s="249"/>
      <c r="BO331" s="249"/>
      <c r="BP331" s="249"/>
      <c r="BQ331" s="249"/>
      <c r="BR331" s="249"/>
      <c r="BS331" s="249"/>
      <c r="BT331" s="249"/>
      <c r="BU331" s="249"/>
      <c r="BV331" s="249"/>
      <c r="BW331" s="249"/>
      <c r="BX331" s="249"/>
      <c r="BY331" s="249"/>
      <c r="BZ331" s="249"/>
      <c r="CA331" s="249"/>
      <c r="CB331" s="249"/>
      <c r="CC331" s="249"/>
      <c r="CD331" s="249"/>
      <c r="CE331" s="249"/>
    </row>
    <row r="332" spans="1:83" s="84" customFormat="1" ht="12.95" customHeight="1">
      <c r="A332" s="1"/>
      <c r="B332" s="1"/>
      <c r="C332" s="79" t="s">
        <v>1047</v>
      </c>
      <c r="D332" s="52" t="s">
        <v>2296</v>
      </c>
      <c r="E332" s="52" t="s">
        <v>2452</v>
      </c>
      <c r="F332" s="53" t="s">
        <v>1339</v>
      </c>
      <c r="G332" s="179" t="s">
        <v>1429</v>
      </c>
      <c r="H332" s="180" t="s">
        <v>1047</v>
      </c>
      <c r="I332" s="55" t="s">
        <v>1429</v>
      </c>
      <c r="J332" s="55" t="s">
        <v>1429</v>
      </c>
      <c r="K332" s="56" t="s">
        <v>1429</v>
      </c>
      <c r="L332" s="54" t="s">
        <v>1429</v>
      </c>
      <c r="M332" s="55" t="s">
        <v>1590</v>
      </c>
      <c r="N332" s="55" t="s">
        <v>1429</v>
      </c>
      <c r="O332" s="55" t="s">
        <v>1429</v>
      </c>
      <c r="P332" s="56" t="s">
        <v>1429</v>
      </c>
      <c r="Q332" s="85"/>
      <c r="R332" s="85"/>
      <c r="S332" s="85"/>
      <c r="T332" s="85"/>
      <c r="U332" s="85"/>
      <c r="V332" s="146" t="s">
        <v>2469</v>
      </c>
      <c r="W332" s="51"/>
      <c r="X332" s="133"/>
      <c r="Y332" s="133"/>
      <c r="Z332" s="51"/>
      <c r="AA332" s="51" t="s">
        <v>2432</v>
      </c>
      <c r="AB332" s="82"/>
      <c r="AC332" s="82"/>
      <c r="AD332" s="98"/>
      <c r="AE332" s="83"/>
      <c r="AF332" s="83"/>
      <c r="AG332" s="83"/>
      <c r="AH332" s="86"/>
      <c r="AI332" s="86"/>
      <c r="AJ332" s="87"/>
      <c r="AK332" s="87"/>
      <c r="AL332" s="87"/>
      <c r="AM332" s="87"/>
      <c r="AN332" s="87"/>
      <c r="AO332" s="87"/>
      <c r="AP332" s="87"/>
      <c r="AQ332" s="235" t="s">
        <v>1047</v>
      </c>
      <c r="AR332" s="5"/>
      <c r="AS332" s="5"/>
      <c r="AT332" s="5"/>
      <c r="AU332" s="5"/>
      <c r="AV332" s="5"/>
      <c r="AW332" s="5"/>
      <c r="AX332" s="284"/>
      <c r="AY332" s="5"/>
      <c r="AZ332" s="5" t="s">
        <v>67</v>
      </c>
      <c r="BA332" s="230"/>
      <c r="BB332" s="5"/>
      <c r="BC332" s="232" t="s">
        <v>3533</v>
      </c>
      <c r="BD332" s="264"/>
      <c r="BE332" s="249"/>
      <c r="BF332" s="249"/>
      <c r="BG332" s="249"/>
      <c r="BH332" s="249"/>
      <c r="BI332" s="249"/>
      <c r="BJ332" s="249"/>
      <c r="BK332" s="249"/>
      <c r="BL332" s="249"/>
      <c r="BM332" s="249"/>
      <c r="BN332" s="249"/>
      <c r="BO332" s="249"/>
      <c r="BP332" s="249"/>
      <c r="BQ332" s="249"/>
      <c r="BR332" s="249"/>
      <c r="BS332" s="249"/>
      <c r="BT332" s="249"/>
      <c r="BU332" s="249"/>
      <c r="BV332" s="249"/>
      <c r="BW332" s="249"/>
      <c r="BX332" s="249"/>
      <c r="BY332" s="249"/>
      <c r="BZ332" s="249"/>
      <c r="CA332" s="249"/>
      <c r="CB332" s="249"/>
      <c r="CC332" s="249"/>
      <c r="CD332" s="249"/>
      <c r="CE332" s="249"/>
    </row>
    <row r="333" spans="1:83" s="84" customFormat="1" ht="12.95" customHeight="1">
      <c r="A333" s="1"/>
      <c r="B333" s="1"/>
      <c r="C333" s="79" t="s">
        <v>1048</v>
      </c>
      <c r="D333" s="52" t="s">
        <v>2470</v>
      </c>
      <c r="E333" s="52" t="s">
        <v>2442</v>
      </c>
      <c r="F333" s="53" t="s">
        <v>1340</v>
      </c>
      <c r="G333" s="179" t="s">
        <v>1429</v>
      </c>
      <c r="H333" s="180" t="s">
        <v>1048</v>
      </c>
      <c r="I333" s="55" t="s">
        <v>1429</v>
      </c>
      <c r="J333" s="55" t="s">
        <v>1429</v>
      </c>
      <c r="K333" s="56" t="s">
        <v>1429</v>
      </c>
      <c r="L333" s="54" t="s">
        <v>1429</v>
      </c>
      <c r="M333" s="55" t="s">
        <v>1580</v>
      </c>
      <c r="N333" s="55" t="s">
        <v>1429</v>
      </c>
      <c r="O333" s="55" t="s">
        <v>1429</v>
      </c>
      <c r="P333" s="56" t="s">
        <v>1429</v>
      </c>
      <c r="Q333" s="85"/>
      <c r="R333" s="85"/>
      <c r="S333" s="85"/>
      <c r="T333" s="85"/>
      <c r="U333" s="85"/>
      <c r="V333" s="146" t="s">
        <v>2471</v>
      </c>
      <c r="W333" s="51"/>
      <c r="X333" s="133"/>
      <c r="Y333" s="133"/>
      <c r="Z333" s="51"/>
      <c r="AA333" s="51" t="s">
        <v>2432</v>
      </c>
      <c r="AB333" s="119"/>
      <c r="AC333" s="119"/>
      <c r="AD333" s="99"/>
      <c r="AE333" s="100"/>
      <c r="AF333" s="100"/>
      <c r="AG333" s="100"/>
      <c r="AH333" s="101"/>
      <c r="AI333" s="86"/>
      <c r="AJ333" s="87"/>
      <c r="AK333" s="87"/>
      <c r="AL333" s="87"/>
      <c r="AM333" s="87"/>
      <c r="AN333" s="87"/>
      <c r="AO333" s="87"/>
      <c r="AP333" s="87"/>
      <c r="AQ333" s="233" t="s">
        <v>1048</v>
      </c>
      <c r="AR333" s="5"/>
      <c r="AS333" s="5"/>
      <c r="AT333" s="5"/>
      <c r="AU333" s="5"/>
      <c r="AV333" s="5"/>
      <c r="AW333" s="5"/>
      <c r="AX333" s="284"/>
      <c r="AY333" s="5"/>
      <c r="AZ333" s="5"/>
      <c r="BA333" s="230"/>
      <c r="BB333" s="219"/>
      <c r="BC333" s="236" t="s">
        <v>3533</v>
      </c>
      <c r="BD333" s="265"/>
      <c r="BE333" s="249"/>
      <c r="BF333" s="249"/>
      <c r="BG333" s="249"/>
      <c r="BH333" s="249"/>
      <c r="BI333" s="249"/>
      <c r="BJ333" s="249"/>
      <c r="BK333" s="249"/>
      <c r="BL333" s="249"/>
      <c r="BM333" s="249"/>
      <c r="BN333" s="249"/>
      <c r="BO333" s="249"/>
      <c r="BP333" s="249"/>
      <c r="BQ333" s="249"/>
      <c r="BR333" s="249"/>
      <c r="BS333" s="249"/>
      <c r="BT333" s="249"/>
      <c r="BU333" s="249"/>
      <c r="BV333" s="249"/>
      <c r="BW333" s="249"/>
      <c r="BX333" s="249"/>
      <c r="BY333" s="249"/>
      <c r="BZ333" s="249"/>
      <c r="CA333" s="249"/>
      <c r="CB333" s="249"/>
      <c r="CC333" s="249"/>
      <c r="CD333" s="249"/>
      <c r="CE333" s="249"/>
    </row>
    <row r="334" spans="1:83" s="94" customFormat="1" ht="18" customHeight="1">
      <c r="A334" s="88" t="s">
        <v>224</v>
      </c>
      <c r="B334" s="88"/>
      <c r="C334" s="88"/>
      <c r="D334" s="89"/>
      <c r="E334" s="89"/>
      <c r="F334" s="89"/>
      <c r="G334" s="90"/>
      <c r="H334" s="90"/>
      <c r="I334" s="90"/>
      <c r="J334" s="90"/>
      <c r="K334" s="90"/>
      <c r="L334" s="89"/>
      <c r="M334" s="89"/>
      <c r="N334" s="89"/>
      <c r="O334" s="89"/>
      <c r="P334" s="89"/>
      <c r="Q334" s="89"/>
      <c r="R334" s="89"/>
      <c r="S334" s="89"/>
      <c r="T334" s="89"/>
      <c r="U334" s="89"/>
      <c r="V334" s="89"/>
      <c r="W334" s="89"/>
      <c r="X334" s="134"/>
      <c r="Y334" s="134"/>
      <c r="Z334" s="91"/>
      <c r="AA334" s="91"/>
      <c r="AB334" s="91"/>
      <c r="AC334" s="91"/>
      <c r="AD334" s="91"/>
      <c r="AE334" s="91"/>
      <c r="AF334" s="91"/>
      <c r="AG334" s="91"/>
      <c r="AH334" s="91"/>
      <c r="AI334" s="91"/>
      <c r="AJ334" s="91"/>
      <c r="AK334" s="91"/>
      <c r="AL334" s="91"/>
      <c r="AM334" s="91"/>
      <c r="AN334" s="91"/>
      <c r="AO334" s="91"/>
      <c r="AP334" s="91"/>
      <c r="AQ334" s="251"/>
      <c r="AR334" s="251"/>
      <c r="AS334" s="252"/>
      <c r="AT334" s="252"/>
      <c r="AU334" s="252"/>
      <c r="AV334" s="252"/>
      <c r="AW334" s="252"/>
      <c r="AX334" s="291"/>
      <c r="AY334" s="252"/>
      <c r="AZ334" s="252"/>
      <c r="BA334" s="252"/>
      <c r="BB334" s="168" t="s">
        <v>286</v>
      </c>
      <c r="BC334" s="253"/>
      <c r="BD334" s="253"/>
      <c r="BE334" s="254"/>
      <c r="BF334" s="254"/>
      <c r="BG334" s="254"/>
      <c r="BH334" s="254"/>
      <c r="BI334" s="254"/>
      <c r="BJ334" s="254"/>
      <c r="BK334" s="254"/>
      <c r="BL334" s="254"/>
      <c r="BM334" s="254"/>
      <c r="BN334" s="254"/>
      <c r="BO334" s="254"/>
      <c r="BP334" s="254"/>
      <c r="BQ334" s="254"/>
      <c r="BR334" s="254"/>
      <c r="BS334" s="254"/>
      <c r="BT334" s="254"/>
      <c r="BU334" s="254"/>
      <c r="BV334" s="254"/>
      <c r="BW334" s="254"/>
      <c r="BX334" s="254"/>
      <c r="BY334" s="254"/>
      <c r="BZ334" s="254"/>
      <c r="CA334" s="254"/>
      <c r="CB334" s="254"/>
      <c r="CC334" s="254"/>
      <c r="CD334" s="254"/>
      <c r="CE334" s="254"/>
    </row>
    <row r="335" spans="1:83" s="84" customFormat="1" ht="12.95" customHeight="1">
      <c r="A335" s="1"/>
      <c r="B335" s="1"/>
      <c r="C335" s="79" t="s">
        <v>1049</v>
      </c>
      <c r="D335" s="52" t="s">
        <v>2472</v>
      </c>
      <c r="E335" s="52" t="s">
        <v>2473</v>
      </c>
      <c r="F335" s="53" t="s">
        <v>1341</v>
      </c>
      <c r="G335" s="179" t="s">
        <v>1429</v>
      </c>
      <c r="H335" s="180" t="s">
        <v>1049</v>
      </c>
      <c r="I335" s="55" t="s">
        <v>1429</v>
      </c>
      <c r="J335" s="55" t="s">
        <v>1429</v>
      </c>
      <c r="K335" s="56" t="s">
        <v>1429</v>
      </c>
      <c r="L335" s="54" t="s">
        <v>1429</v>
      </c>
      <c r="M335" s="55" t="s">
        <v>1580</v>
      </c>
      <c r="N335" s="55" t="s">
        <v>1429</v>
      </c>
      <c r="O335" s="55" t="s">
        <v>1429</v>
      </c>
      <c r="P335" s="56" t="s">
        <v>1429</v>
      </c>
      <c r="Q335" s="85"/>
      <c r="R335" s="85"/>
      <c r="S335" s="85"/>
      <c r="T335" s="85"/>
      <c r="U335" s="85"/>
      <c r="V335" s="146" t="s">
        <v>2474</v>
      </c>
      <c r="W335" s="51" t="s">
        <v>2475</v>
      </c>
      <c r="X335" s="130" t="s">
        <v>1429</v>
      </c>
      <c r="Y335" s="130" t="s">
        <v>1429</v>
      </c>
      <c r="Z335" s="51"/>
      <c r="AA335" s="51" t="s">
        <v>2476</v>
      </c>
      <c r="AB335" s="145"/>
      <c r="AC335" s="145">
        <v>0</v>
      </c>
      <c r="AD335" s="98"/>
      <c r="AE335" s="83"/>
      <c r="AF335" s="83"/>
      <c r="AG335" s="83"/>
      <c r="AH335" s="86"/>
      <c r="AI335" s="86"/>
      <c r="AJ335" s="87"/>
      <c r="AK335" s="87"/>
      <c r="AL335" s="87"/>
      <c r="AM335" s="87"/>
      <c r="AN335" s="87"/>
      <c r="AO335" s="87"/>
      <c r="AP335" s="87"/>
      <c r="AQ335" s="235" t="s">
        <v>1341</v>
      </c>
      <c r="AR335" s="5"/>
      <c r="AS335" s="5"/>
      <c r="AT335" s="5"/>
      <c r="AU335" s="5"/>
      <c r="AV335" s="5"/>
      <c r="AW335" s="5"/>
      <c r="AX335" s="284"/>
      <c r="AY335" s="5"/>
      <c r="AZ335" s="5"/>
      <c r="BA335" s="230"/>
      <c r="BB335" s="5"/>
      <c r="BC335" s="232" t="s">
        <v>3534</v>
      </c>
      <c r="BD335" s="256"/>
      <c r="BE335" s="249"/>
      <c r="BF335" s="249"/>
      <c r="BG335" s="249"/>
      <c r="BH335" s="249"/>
      <c r="BI335" s="249"/>
      <c r="BJ335" s="249"/>
      <c r="BK335" s="249"/>
      <c r="BL335" s="249"/>
      <c r="BM335" s="249"/>
      <c r="BN335" s="249"/>
      <c r="BO335" s="249"/>
      <c r="BP335" s="249"/>
      <c r="BQ335" s="249"/>
      <c r="BR335" s="249"/>
      <c r="BS335" s="249"/>
      <c r="BT335" s="249"/>
      <c r="BU335" s="249"/>
      <c r="BV335" s="249"/>
      <c r="BW335" s="249"/>
      <c r="BX335" s="249"/>
      <c r="BY335" s="249"/>
      <c r="BZ335" s="249"/>
      <c r="CA335" s="249"/>
      <c r="CB335" s="249"/>
      <c r="CC335" s="249"/>
      <c r="CD335" s="249"/>
      <c r="CE335" s="249"/>
    </row>
    <row r="336" spans="1:83" s="84" customFormat="1" ht="12.95" customHeight="1">
      <c r="A336" s="1"/>
      <c r="B336" s="1"/>
      <c r="C336" s="79" t="s">
        <v>1061</v>
      </c>
      <c r="D336" s="52" t="s">
        <v>2477</v>
      </c>
      <c r="E336" s="52" t="s">
        <v>2478</v>
      </c>
      <c r="F336" s="53" t="s">
        <v>1342</v>
      </c>
      <c r="G336" s="179" t="s">
        <v>1429</v>
      </c>
      <c r="H336" s="180" t="s">
        <v>1061</v>
      </c>
      <c r="I336" s="55" t="s">
        <v>1429</v>
      </c>
      <c r="J336" s="55" t="s">
        <v>1429</v>
      </c>
      <c r="K336" s="56" t="s">
        <v>1429</v>
      </c>
      <c r="L336" s="54" t="s">
        <v>1429</v>
      </c>
      <c r="M336" s="55" t="s">
        <v>1580</v>
      </c>
      <c r="N336" s="55" t="s">
        <v>1429</v>
      </c>
      <c r="O336" s="55" t="s">
        <v>1429</v>
      </c>
      <c r="P336" s="56" t="s">
        <v>1429</v>
      </c>
      <c r="Q336" s="85"/>
      <c r="R336" s="85"/>
      <c r="S336" s="85"/>
      <c r="T336" s="85"/>
      <c r="U336" s="85"/>
      <c r="V336" s="146" t="s">
        <v>2479</v>
      </c>
      <c r="W336" s="51" t="s">
        <v>2475</v>
      </c>
      <c r="X336" s="130" t="s">
        <v>1429</v>
      </c>
      <c r="Y336" s="130" t="s">
        <v>1429</v>
      </c>
      <c r="Z336" s="51"/>
      <c r="AA336" s="51" t="s">
        <v>2476</v>
      </c>
      <c r="AB336" s="146"/>
      <c r="AC336" s="146">
        <v>0</v>
      </c>
      <c r="AD336" s="98"/>
      <c r="AE336" s="83"/>
      <c r="AF336" s="83"/>
      <c r="AG336" s="83"/>
      <c r="AH336" s="86"/>
      <c r="AI336" s="86"/>
      <c r="AJ336" s="87"/>
      <c r="AK336" s="87"/>
      <c r="AL336" s="87"/>
      <c r="AM336" s="87"/>
      <c r="AN336" s="87"/>
      <c r="AO336" s="87"/>
      <c r="AP336" s="87"/>
      <c r="AQ336" s="233" t="s">
        <v>1342</v>
      </c>
      <c r="AR336" s="5"/>
      <c r="AS336" s="5"/>
      <c r="AT336" s="5"/>
      <c r="AU336" s="5"/>
      <c r="AV336" s="5"/>
      <c r="AW336" s="5"/>
      <c r="AX336" s="284"/>
      <c r="AY336" s="5"/>
      <c r="AZ336" s="5"/>
      <c r="BA336" s="230"/>
      <c r="BB336" s="5"/>
      <c r="BC336" s="232" t="s">
        <v>3534</v>
      </c>
      <c r="BD336" s="257"/>
      <c r="BE336" s="249"/>
      <c r="BF336" s="249"/>
      <c r="BG336" s="249"/>
      <c r="BH336" s="249"/>
      <c r="BI336" s="249"/>
      <c r="BJ336" s="249"/>
      <c r="BK336" s="249"/>
      <c r="BL336" s="249"/>
      <c r="BM336" s="249"/>
      <c r="BN336" s="249"/>
      <c r="BO336" s="249"/>
      <c r="BP336" s="249"/>
      <c r="BQ336" s="249"/>
      <c r="BR336" s="249"/>
      <c r="BS336" s="249"/>
      <c r="BT336" s="249"/>
      <c r="BU336" s="249"/>
      <c r="BV336" s="249"/>
      <c r="BW336" s="249"/>
      <c r="BX336" s="249"/>
      <c r="BY336" s="249"/>
      <c r="BZ336" s="249"/>
      <c r="CA336" s="249"/>
      <c r="CB336" s="249"/>
      <c r="CC336" s="249"/>
      <c r="CD336" s="249"/>
      <c r="CE336" s="249"/>
    </row>
    <row r="337" spans="1:83" s="84" customFormat="1" ht="12.95" customHeight="1">
      <c r="A337" s="1"/>
      <c r="B337" s="1"/>
      <c r="C337" s="79" t="s">
        <v>225</v>
      </c>
      <c r="D337" s="52" t="s">
        <v>1806</v>
      </c>
      <c r="E337" s="52" t="s">
        <v>2480</v>
      </c>
      <c r="F337" s="53" t="s">
        <v>226</v>
      </c>
      <c r="G337" s="179" t="s">
        <v>1429</v>
      </c>
      <c r="H337" s="180" t="s">
        <v>225</v>
      </c>
      <c r="I337" s="55" t="s">
        <v>1429</v>
      </c>
      <c r="J337" s="55" t="s">
        <v>1429</v>
      </c>
      <c r="K337" s="56" t="s">
        <v>1429</v>
      </c>
      <c r="L337" s="54" t="s">
        <v>1429</v>
      </c>
      <c r="M337" s="55" t="s">
        <v>1580</v>
      </c>
      <c r="N337" s="55" t="s">
        <v>1429</v>
      </c>
      <c r="O337" s="55" t="s">
        <v>1429</v>
      </c>
      <c r="P337" s="56" t="s">
        <v>1429</v>
      </c>
      <c r="Q337" s="85"/>
      <c r="R337" s="85"/>
      <c r="S337" s="85"/>
      <c r="T337" s="85"/>
      <c r="U337" s="85"/>
      <c r="V337" s="146" t="s">
        <v>2481</v>
      </c>
      <c r="W337" s="51"/>
      <c r="X337" s="133"/>
      <c r="Y337" s="133"/>
      <c r="Z337" s="51"/>
      <c r="AA337" s="51" t="s">
        <v>2476</v>
      </c>
      <c r="AB337" s="119"/>
      <c r="AC337" s="119"/>
      <c r="AD337" s="99"/>
      <c r="AE337" s="100"/>
      <c r="AF337" s="100"/>
      <c r="AG337" s="100"/>
      <c r="AH337" s="101"/>
      <c r="AI337" s="86"/>
      <c r="AJ337" s="87"/>
      <c r="AK337" s="87"/>
      <c r="AL337" s="87"/>
      <c r="AM337" s="87"/>
      <c r="AN337" s="87"/>
      <c r="AO337" s="87"/>
      <c r="AP337" s="87"/>
      <c r="AQ337" s="233" t="s">
        <v>226</v>
      </c>
      <c r="AR337" s="5"/>
      <c r="AS337" s="5"/>
      <c r="AT337" s="5"/>
      <c r="AU337" s="5"/>
      <c r="AV337" s="5"/>
      <c r="AW337" s="5"/>
      <c r="AX337" s="284"/>
      <c r="AY337" s="5"/>
      <c r="AZ337" s="5" t="s">
        <v>67</v>
      </c>
      <c r="BA337" s="230"/>
      <c r="BB337" s="219"/>
      <c r="BC337" s="236"/>
      <c r="BD337" s="259"/>
      <c r="BE337" s="249"/>
      <c r="BF337" s="249"/>
      <c r="BG337" s="249"/>
      <c r="BH337" s="249"/>
      <c r="BI337" s="249"/>
      <c r="BJ337" s="249"/>
      <c r="BK337" s="249"/>
      <c r="BL337" s="249"/>
      <c r="BM337" s="249"/>
      <c r="BN337" s="249"/>
      <c r="BO337" s="249"/>
      <c r="BP337" s="249"/>
      <c r="BQ337" s="249"/>
      <c r="BR337" s="249"/>
      <c r="BS337" s="249"/>
      <c r="BT337" s="249"/>
      <c r="BU337" s="249"/>
      <c r="BV337" s="249"/>
      <c r="BW337" s="249"/>
      <c r="BX337" s="249"/>
      <c r="BY337" s="249"/>
      <c r="BZ337" s="249"/>
      <c r="CA337" s="249"/>
      <c r="CB337" s="249"/>
      <c r="CC337" s="249"/>
      <c r="CD337" s="249"/>
      <c r="CE337" s="249"/>
    </row>
    <row r="338" spans="1:83" s="94" customFormat="1" ht="18" customHeight="1">
      <c r="A338" s="88" t="s">
        <v>3434</v>
      </c>
      <c r="B338" s="88"/>
      <c r="C338" s="88"/>
      <c r="D338" s="89"/>
      <c r="E338" s="89"/>
      <c r="F338" s="89"/>
      <c r="G338" s="90"/>
      <c r="H338" s="90"/>
      <c r="I338" s="90"/>
      <c r="J338" s="90"/>
      <c r="K338" s="90"/>
      <c r="L338" s="89"/>
      <c r="M338" s="89"/>
      <c r="N338" s="89"/>
      <c r="O338" s="89"/>
      <c r="P338" s="89"/>
      <c r="Q338" s="89"/>
      <c r="R338" s="89"/>
      <c r="S338" s="89"/>
      <c r="T338" s="89"/>
      <c r="U338" s="89"/>
      <c r="V338" s="89"/>
      <c r="W338" s="89"/>
      <c r="X338" s="134"/>
      <c r="Y338" s="134"/>
      <c r="Z338" s="91"/>
      <c r="AA338" s="91"/>
      <c r="AB338" s="91"/>
      <c r="AC338" s="91"/>
      <c r="AD338" s="91"/>
      <c r="AE338" s="91"/>
      <c r="AF338" s="91"/>
      <c r="AG338" s="91"/>
      <c r="AH338" s="91"/>
      <c r="AI338" s="91"/>
      <c r="AJ338" s="91"/>
      <c r="AK338" s="91"/>
      <c r="AL338" s="91"/>
      <c r="AM338" s="91"/>
      <c r="AN338" s="91"/>
      <c r="AO338" s="91"/>
      <c r="AP338" s="91"/>
      <c r="AQ338" s="251"/>
      <c r="AR338" s="251"/>
      <c r="AS338" s="252"/>
      <c r="AT338" s="252"/>
      <c r="AU338" s="252"/>
      <c r="AV338" s="252"/>
      <c r="AW338" s="252"/>
      <c r="AX338" s="291"/>
      <c r="AY338" s="252"/>
      <c r="AZ338" s="252"/>
      <c r="BA338" s="252"/>
      <c r="BB338" s="168" t="s">
        <v>50</v>
      </c>
      <c r="BC338" s="252"/>
      <c r="BD338" s="253"/>
      <c r="BE338" s="254"/>
      <c r="BF338" s="254"/>
      <c r="BG338" s="254"/>
      <c r="BH338" s="254"/>
      <c r="BI338" s="254"/>
      <c r="BJ338" s="254"/>
      <c r="BK338" s="254"/>
      <c r="BL338" s="254"/>
      <c r="BM338" s="254"/>
      <c r="BN338" s="254"/>
      <c r="BO338" s="254"/>
      <c r="BP338" s="254"/>
      <c r="BQ338" s="254"/>
      <c r="BR338" s="254"/>
      <c r="BS338" s="254"/>
      <c r="BT338" s="254"/>
      <c r="BU338" s="254"/>
      <c r="BV338" s="254"/>
      <c r="BW338" s="254"/>
      <c r="BX338" s="254"/>
      <c r="BY338" s="254"/>
      <c r="BZ338" s="254"/>
      <c r="CA338" s="254"/>
      <c r="CB338" s="254"/>
      <c r="CC338" s="254"/>
      <c r="CD338" s="254"/>
      <c r="CE338" s="254"/>
    </row>
    <row r="339" spans="1:83" s="84" customFormat="1" ht="12.95" customHeight="1">
      <c r="A339" s="84" t="s">
        <v>3428</v>
      </c>
      <c r="B339" s="84" t="s">
        <v>3571</v>
      </c>
      <c r="C339" s="79" t="s">
        <v>241</v>
      </c>
      <c r="D339" s="52" t="s">
        <v>2482</v>
      </c>
      <c r="E339" s="52" t="s">
        <v>2483</v>
      </c>
      <c r="F339" s="53" t="s">
        <v>273</v>
      </c>
      <c r="G339" s="179" t="s">
        <v>1429</v>
      </c>
      <c r="H339" s="180" t="s">
        <v>241</v>
      </c>
      <c r="I339" s="55" t="s">
        <v>1429</v>
      </c>
      <c r="J339" s="55" t="s">
        <v>1429</v>
      </c>
      <c r="K339" s="56" t="s">
        <v>1429</v>
      </c>
      <c r="L339" s="54" t="s">
        <v>1429</v>
      </c>
      <c r="M339" s="55" t="s">
        <v>1580</v>
      </c>
      <c r="N339" s="55" t="s">
        <v>1429</v>
      </c>
      <c r="O339" s="55" t="s">
        <v>1429</v>
      </c>
      <c r="P339" s="56" t="s">
        <v>1429</v>
      </c>
      <c r="Q339" s="85"/>
      <c r="R339" s="85"/>
      <c r="S339" s="85"/>
      <c r="T339" s="85"/>
      <c r="U339" s="85"/>
      <c r="V339" s="146" t="s">
        <v>2484</v>
      </c>
      <c r="W339" s="51" t="s">
        <v>2485</v>
      </c>
      <c r="X339" s="130" t="s">
        <v>1429</v>
      </c>
      <c r="Y339" s="130" t="s">
        <v>1429</v>
      </c>
      <c r="Z339" s="51"/>
      <c r="AA339" s="51" t="s">
        <v>2486</v>
      </c>
      <c r="AB339" s="145"/>
      <c r="AC339" s="145">
        <v>0</v>
      </c>
      <c r="AD339" s="96"/>
      <c r="AE339" s="96"/>
      <c r="AF339" s="96"/>
      <c r="AG339" s="96"/>
      <c r="AH339" s="97"/>
      <c r="AI339" s="86"/>
      <c r="AJ339" s="87"/>
      <c r="AK339" s="87"/>
      <c r="AL339" s="87"/>
      <c r="AM339" s="87"/>
      <c r="AN339" s="87"/>
      <c r="AO339" s="87"/>
      <c r="AP339" s="87"/>
      <c r="AQ339" s="237" t="s">
        <v>241</v>
      </c>
      <c r="AR339" s="5"/>
      <c r="AS339" s="5"/>
      <c r="AT339" s="5"/>
      <c r="AU339" s="5"/>
      <c r="AV339" s="5"/>
      <c r="AW339" s="5"/>
      <c r="AX339" s="284"/>
      <c r="AY339" s="5"/>
      <c r="AZ339" s="5"/>
      <c r="BA339" s="230"/>
      <c r="BB339" s="215"/>
      <c r="BC339" s="232" t="s">
        <v>241</v>
      </c>
      <c r="BD339" s="266"/>
      <c r="BE339" s="249"/>
      <c r="BF339" s="249"/>
      <c r="BG339" s="249"/>
      <c r="BH339" s="249"/>
      <c r="BI339" s="249"/>
      <c r="BJ339" s="249"/>
      <c r="BK339" s="249"/>
      <c r="BL339" s="249"/>
      <c r="BM339" s="249"/>
      <c r="BN339" s="249"/>
      <c r="BO339" s="249"/>
      <c r="BP339" s="249"/>
      <c r="BQ339" s="249"/>
      <c r="BR339" s="249"/>
      <c r="BS339" s="249"/>
      <c r="BT339" s="249"/>
      <c r="BU339" s="249"/>
      <c r="BV339" s="249"/>
      <c r="BW339" s="249"/>
      <c r="BX339" s="249"/>
      <c r="BY339" s="249"/>
      <c r="BZ339" s="249"/>
      <c r="CA339" s="249"/>
      <c r="CB339" s="249"/>
      <c r="CC339" s="249"/>
      <c r="CD339" s="249"/>
      <c r="CE339" s="249"/>
    </row>
    <row r="340" spans="1:83" s="84" customFormat="1" ht="12.95" customHeight="1">
      <c r="A340" s="84" t="s">
        <v>3429</v>
      </c>
      <c r="B340" s="84" t="s">
        <v>1588</v>
      </c>
      <c r="C340" s="79" t="s">
        <v>242</v>
      </c>
      <c r="D340" s="52" t="s">
        <v>2487</v>
      </c>
      <c r="E340" s="52" t="s">
        <v>2488</v>
      </c>
      <c r="F340" s="53" t="s">
        <v>274</v>
      </c>
      <c r="G340" s="179" t="s">
        <v>1429</v>
      </c>
      <c r="H340" s="180" t="s">
        <v>242</v>
      </c>
      <c r="I340" s="55" t="s">
        <v>1429</v>
      </c>
      <c r="J340" s="55" t="s">
        <v>1429</v>
      </c>
      <c r="K340" s="56" t="s">
        <v>1429</v>
      </c>
      <c r="L340" s="54" t="s">
        <v>1429</v>
      </c>
      <c r="M340" s="55" t="s">
        <v>1580</v>
      </c>
      <c r="N340" s="55" t="s">
        <v>1429</v>
      </c>
      <c r="O340" s="55" t="s">
        <v>1429</v>
      </c>
      <c r="P340" s="56" t="s">
        <v>1429</v>
      </c>
      <c r="Q340" s="85"/>
      <c r="R340" s="85"/>
      <c r="S340" s="85"/>
      <c r="T340" s="85"/>
      <c r="U340" s="85"/>
      <c r="V340" s="146" t="s">
        <v>2489</v>
      </c>
      <c r="W340" s="51" t="s">
        <v>2485</v>
      </c>
      <c r="X340" s="130" t="s">
        <v>1429</v>
      </c>
      <c r="Y340" s="130" t="s">
        <v>1429</v>
      </c>
      <c r="Z340" s="51"/>
      <c r="AA340" s="51" t="s">
        <v>2486</v>
      </c>
      <c r="AB340" s="146"/>
      <c r="AC340" s="146">
        <v>0</v>
      </c>
      <c r="AD340" s="83"/>
      <c r="AE340" s="83"/>
      <c r="AF340" s="83"/>
      <c r="AG340" s="83"/>
      <c r="AH340" s="86"/>
      <c r="AI340" s="86"/>
      <c r="AJ340" s="87"/>
      <c r="AK340" s="87"/>
      <c r="AL340" s="87"/>
      <c r="AM340" s="87"/>
      <c r="AN340" s="87"/>
      <c r="AO340" s="87"/>
      <c r="AP340" s="87"/>
      <c r="AQ340" s="235" t="s">
        <v>242</v>
      </c>
      <c r="AR340" s="5"/>
      <c r="AS340" s="5"/>
      <c r="AT340" s="5"/>
      <c r="AU340" s="5"/>
      <c r="AV340" s="5"/>
      <c r="AW340" s="5"/>
      <c r="AX340" s="284"/>
      <c r="AY340" s="5"/>
      <c r="AZ340" s="5"/>
      <c r="BA340" s="230"/>
      <c r="BB340" s="5"/>
      <c r="BC340" s="232" t="s">
        <v>242</v>
      </c>
      <c r="BD340" s="266"/>
      <c r="BE340" s="249"/>
      <c r="BF340" s="249"/>
      <c r="BG340" s="249"/>
      <c r="BH340" s="249"/>
      <c r="BI340" s="249"/>
      <c r="BJ340" s="249"/>
      <c r="BK340" s="249"/>
      <c r="BL340" s="249"/>
      <c r="BM340" s="249"/>
      <c r="BN340" s="249"/>
      <c r="BO340" s="249"/>
      <c r="BP340" s="249"/>
      <c r="BQ340" s="249"/>
      <c r="BR340" s="249"/>
      <c r="BS340" s="249"/>
      <c r="BT340" s="249"/>
      <c r="BU340" s="249"/>
      <c r="BV340" s="249"/>
      <c r="BW340" s="249"/>
      <c r="BX340" s="249"/>
      <c r="BY340" s="249"/>
      <c r="BZ340" s="249"/>
      <c r="CA340" s="249"/>
      <c r="CB340" s="249"/>
      <c r="CC340" s="249"/>
      <c r="CD340" s="249"/>
      <c r="CE340" s="249"/>
    </row>
    <row r="341" spans="1:83" s="84" customFormat="1" ht="12.95" customHeight="1">
      <c r="A341" s="84" t="s">
        <v>3430</v>
      </c>
      <c r="B341" s="84" t="s">
        <v>1608</v>
      </c>
      <c r="C341" s="79" t="s">
        <v>227</v>
      </c>
      <c r="D341" s="52" t="s">
        <v>2490</v>
      </c>
      <c r="E341" s="52" t="s">
        <v>2491</v>
      </c>
      <c r="F341" s="53" t="s">
        <v>269</v>
      </c>
      <c r="G341" s="179" t="s">
        <v>1429</v>
      </c>
      <c r="H341" s="180" t="s">
        <v>227</v>
      </c>
      <c r="I341" s="55" t="s">
        <v>1429</v>
      </c>
      <c r="J341" s="55" t="s">
        <v>1429</v>
      </c>
      <c r="K341" s="56" t="s">
        <v>1429</v>
      </c>
      <c r="L341" s="54" t="s">
        <v>1429</v>
      </c>
      <c r="M341" s="55" t="s">
        <v>1580</v>
      </c>
      <c r="N341" s="55" t="s">
        <v>1429</v>
      </c>
      <c r="O341" s="55" t="s">
        <v>1429</v>
      </c>
      <c r="P341" s="56" t="s">
        <v>1429</v>
      </c>
      <c r="Q341" s="85"/>
      <c r="R341" s="85"/>
      <c r="S341" s="85"/>
      <c r="T341" s="85"/>
      <c r="U341" s="85"/>
      <c r="V341" s="146" t="s">
        <v>2492</v>
      </c>
      <c r="W341" s="51" t="s">
        <v>2485</v>
      </c>
      <c r="X341" s="130" t="s">
        <v>1429</v>
      </c>
      <c r="Y341" s="130" t="s">
        <v>1429</v>
      </c>
      <c r="Z341" s="51"/>
      <c r="AA341" s="51" t="s">
        <v>2486</v>
      </c>
      <c r="AB341" s="146"/>
      <c r="AC341" s="146">
        <v>0</v>
      </c>
      <c r="AD341" s="83"/>
      <c r="AE341" s="83"/>
      <c r="AF341" s="83"/>
      <c r="AG341" s="83"/>
      <c r="AH341" s="86"/>
      <c r="AI341" s="86"/>
      <c r="AJ341" s="87"/>
      <c r="AK341" s="87"/>
      <c r="AL341" s="87"/>
      <c r="AM341" s="87"/>
      <c r="AN341" s="87"/>
      <c r="AO341" s="87"/>
      <c r="AP341" s="87"/>
      <c r="AQ341" s="235" t="s">
        <v>227</v>
      </c>
      <c r="AR341" s="5"/>
      <c r="AS341" s="5"/>
      <c r="AT341" s="5"/>
      <c r="AU341" s="5"/>
      <c r="AV341" s="5"/>
      <c r="AW341" s="5"/>
      <c r="AX341" s="284"/>
      <c r="AY341" s="5"/>
      <c r="AZ341" s="5"/>
      <c r="BA341" s="230"/>
      <c r="BB341" s="5"/>
      <c r="BC341" s="232" t="s">
        <v>227</v>
      </c>
      <c r="BD341" s="238"/>
      <c r="BE341" s="249"/>
      <c r="BF341" s="249"/>
      <c r="BG341" s="249"/>
      <c r="BH341" s="249"/>
      <c r="BI341" s="249"/>
      <c r="BJ341" s="249"/>
      <c r="BK341" s="249"/>
      <c r="BL341" s="249"/>
      <c r="BM341" s="249"/>
      <c r="BN341" s="249"/>
      <c r="BO341" s="249"/>
      <c r="BP341" s="249"/>
      <c r="BQ341" s="249"/>
      <c r="BR341" s="249"/>
      <c r="BS341" s="249"/>
      <c r="BT341" s="249"/>
      <c r="BU341" s="249"/>
      <c r="BV341" s="249"/>
      <c r="BW341" s="249"/>
      <c r="BX341" s="249"/>
      <c r="BY341" s="249"/>
      <c r="BZ341" s="249"/>
      <c r="CA341" s="249"/>
      <c r="CB341" s="249"/>
      <c r="CC341" s="249"/>
      <c r="CD341" s="249"/>
      <c r="CE341" s="249"/>
    </row>
    <row r="342" spans="1:83" s="84" customFormat="1" ht="12.95" customHeight="1">
      <c r="A342" s="84" t="s">
        <v>3431</v>
      </c>
      <c r="B342" s="84" t="s">
        <v>1616</v>
      </c>
      <c r="C342" s="79" t="s">
        <v>228</v>
      </c>
      <c r="D342" s="52" t="s">
        <v>2493</v>
      </c>
      <c r="E342" s="52" t="s">
        <v>2494</v>
      </c>
      <c r="F342" s="53" t="s">
        <v>270</v>
      </c>
      <c r="G342" s="179" t="s">
        <v>1429</v>
      </c>
      <c r="H342" s="180" t="s">
        <v>228</v>
      </c>
      <c r="I342" s="55" t="s">
        <v>1429</v>
      </c>
      <c r="J342" s="55" t="s">
        <v>1429</v>
      </c>
      <c r="K342" s="56" t="s">
        <v>1429</v>
      </c>
      <c r="L342" s="54" t="s">
        <v>1429</v>
      </c>
      <c r="M342" s="55" t="s">
        <v>1580</v>
      </c>
      <c r="N342" s="55" t="s">
        <v>1429</v>
      </c>
      <c r="O342" s="55" t="s">
        <v>1429</v>
      </c>
      <c r="P342" s="56" t="s">
        <v>1429</v>
      </c>
      <c r="Q342" s="85"/>
      <c r="R342" s="85"/>
      <c r="S342" s="85"/>
      <c r="T342" s="85"/>
      <c r="U342" s="85"/>
      <c r="V342" s="146" t="s">
        <v>2495</v>
      </c>
      <c r="W342" s="51" t="s">
        <v>2485</v>
      </c>
      <c r="X342" s="130" t="s">
        <v>1429</v>
      </c>
      <c r="Y342" s="130" t="s">
        <v>1429</v>
      </c>
      <c r="Z342" s="51"/>
      <c r="AA342" s="51" t="s">
        <v>2486</v>
      </c>
      <c r="AB342" s="146"/>
      <c r="AC342" s="146">
        <v>0</v>
      </c>
      <c r="AD342" s="83"/>
      <c r="AE342" s="83"/>
      <c r="AF342" s="83"/>
      <c r="AG342" s="83"/>
      <c r="AH342" s="86"/>
      <c r="AI342" s="86"/>
      <c r="AJ342" s="87"/>
      <c r="AK342" s="87"/>
      <c r="AL342" s="87"/>
      <c r="AM342" s="87"/>
      <c r="AN342" s="87"/>
      <c r="AO342" s="87"/>
      <c r="AP342" s="87"/>
      <c r="AQ342" s="235" t="s">
        <v>228</v>
      </c>
      <c r="AR342" s="5"/>
      <c r="AS342" s="5"/>
      <c r="AT342" s="5"/>
      <c r="AU342" s="5"/>
      <c r="AV342" s="5"/>
      <c r="AW342" s="5"/>
      <c r="AX342" s="284"/>
      <c r="AY342" s="5"/>
      <c r="AZ342" s="5"/>
      <c r="BA342" s="230"/>
      <c r="BB342" s="5"/>
      <c r="BC342" s="232" t="s">
        <v>228</v>
      </c>
      <c r="BD342" s="238"/>
      <c r="BE342" s="249"/>
      <c r="BF342" s="249"/>
      <c r="BG342" s="249"/>
      <c r="BH342" s="249"/>
      <c r="BI342" s="249"/>
      <c r="BJ342" s="249"/>
      <c r="BK342" s="249"/>
      <c r="BL342" s="249"/>
      <c r="BM342" s="249"/>
      <c r="BN342" s="249"/>
      <c r="BO342" s="249"/>
      <c r="BP342" s="249"/>
      <c r="BQ342" s="249"/>
      <c r="BR342" s="249"/>
      <c r="BS342" s="249"/>
      <c r="BT342" s="249"/>
      <c r="BU342" s="249"/>
      <c r="BV342" s="249"/>
      <c r="BW342" s="249"/>
      <c r="BX342" s="249"/>
      <c r="BY342" s="249"/>
      <c r="BZ342" s="249"/>
      <c r="CA342" s="249"/>
      <c r="CB342" s="249"/>
      <c r="CC342" s="249"/>
      <c r="CD342" s="249"/>
      <c r="CE342" s="249"/>
    </row>
    <row r="343" spans="1:83" s="84" customFormat="1" ht="12.95" customHeight="1">
      <c r="A343" s="84" t="s">
        <v>3432</v>
      </c>
      <c r="B343" s="84" t="s">
        <v>3572</v>
      </c>
      <c r="C343" s="79" t="s">
        <v>243</v>
      </c>
      <c r="D343" s="52" t="s">
        <v>2496</v>
      </c>
      <c r="E343" s="52" t="s">
        <v>2497</v>
      </c>
      <c r="F343" s="53" t="s">
        <v>271</v>
      </c>
      <c r="G343" s="179" t="s">
        <v>1429</v>
      </c>
      <c r="H343" s="180" t="s">
        <v>243</v>
      </c>
      <c r="I343" s="55" t="s">
        <v>1429</v>
      </c>
      <c r="J343" s="55" t="s">
        <v>1429</v>
      </c>
      <c r="K343" s="56" t="s">
        <v>1429</v>
      </c>
      <c r="L343" s="54" t="s">
        <v>1429</v>
      </c>
      <c r="M343" s="55" t="s">
        <v>1580</v>
      </c>
      <c r="N343" s="55" t="s">
        <v>1429</v>
      </c>
      <c r="O343" s="55" t="s">
        <v>1429</v>
      </c>
      <c r="P343" s="56" t="s">
        <v>1429</v>
      </c>
      <c r="Q343" s="85"/>
      <c r="R343" s="85"/>
      <c r="S343" s="85"/>
      <c r="T343" s="85"/>
      <c r="U343" s="85"/>
      <c r="V343" s="146" t="s">
        <v>2498</v>
      </c>
      <c r="W343" s="51" t="s">
        <v>2485</v>
      </c>
      <c r="X343" s="130" t="s">
        <v>1429</v>
      </c>
      <c r="Y343" s="130" t="s">
        <v>1429</v>
      </c>
      <c r="Z343" s="51"/>
      <c r="AA343" s="51" t="s">
        <v>2486</v>
      </c>
      <c r="AB343" s="146"/>
      <c r="AC343" s="146">
        <v>0</v>
      </c>
      <c r="AD343" s="83"/>
      <c r="AE343" s="83"/>
      <c r="AF343" s="83"/>
      <c r="AG343" s="83"/>
      <c r="AH343" s="86"/>
      <c r="AI343" s="86"/>
      <c r="AJ343" s="87"/>
      <c r="AK343" s="87"/>
      <c r="AL343" s="87"/>
      <c r="AM343" s="87"/>
      <c r="AN343" s="87"/>
      <c r="AO343" s="87"/>
      <c r="AP343" s="87"/>
      <c r="AQ343" s="237" t="s">
        <v>243</v>
      </c>
      <c r="AR343" s="5"/>
      <c r="AS343" s="5"/>
      <c r="AT343" s="5"/>
      <c r="AU343" s="5"/>
      <c r="AV343" s="5"/>
      <c r="AW343" s="5"/>
      <c r="AX343" s="284"/>
      <c r="AY343" s="5"/>
      <c r="AZ343" s="5"/>
      <c r="BA343" s="230"/>
      <c r="BB343" s="5"/>
      <c r="BC343" s="232" t="s">
        <v>243</v>
      </c>
      <c r="BD343" s="238"/>
      <c r="BE343" s="249"/>
      <c r="BF343" s="249"/>
      <c r="BG343" s="249"/>
      <c r="BH343" s="249"/>
      <c r="BI343" s="249"/>
      <c r="BJ343" s="249"/>
      <c r="BK343" s="249"/>
      <c r="BL343" s="249"/>
      <c r="BM343" s="249"/>
      <c r="BN343" s="249"/>
      <c r="BO343" s="249"/>
      <c r="BP343" s="249"/>
      <c r="BQ343" s="249"/>
      <c r="BR343" s="249"/>
      <c r="BS343" s="249"/>
      <c r="BT343" s="249"/>
      <c r="BU343" s="249"/>
      <c r="BV343" s="249"/>
      <c r="BW343" s="249"/>
      <c r="BX343" s="249"/>
      <c r="BY343" s="249"/>
      <c r="BZ343" s="249"/>
      <c r="CA343" s="249"/>
      <c r="CB343" s="249"/>
      <c r="CC343" s="249"/>
      <c r="CD343" s="249"/>
      <c r="CE343" s="249"/>
    </row>
    <row r="344" spans="1:83" s="84" customFormat="1" ht="12.95" customHeight="1">
      <c r="A344" s="84" t="s">
        <v>3433</v>
      </c>
      <c r="B344" s="84" t="s">
        <v>3573</v>
      </c>
      <c r="C344" s="79" t="s">
        <v>244</v>
      </c>
      <c r="D344" s="52" t="s">
        <v>2499</v>
      </c>
      <c r="E344" s="52" t="s">
        <v>2500</v>
      </c>
      <c r="F344" s="53" t="s">
        <v>272</v>
      </c>
      <c r="G344" s="179" t="s">
        <v>1429</v>
      </c>
      <c r="H344" s="180" t="s">
        <v>244</v>
      </c>
      <c r="I344" s="55" t="s">
        <v>1429</v>
      </c>
      <c r="J344" s="55" t="s">
        <v>1429</v>
      </c>
      <c r="K344" s="56" t="s">
        <v>1429</v>
      </c>
      <c r="L344" s="54" t="s">
        <v>1429</v>
      </c>
      <c r="M344" s="55" t="s">
        <v>1580</v>
      </c>
      <c r="N344" s="55" t="s">
        <v>1429</v>
      </c>
      <c r="O344" s="55" t="s">
        <v>1429</v>
      </c>
      <c r="P344" s="56" t="s">
        <v>1429</v>
      </c>
      <c r="Q344" s="85"/>
      <c r="R344" s="85"/>
      <c r="S344" s="85"/>
      <c r="T344" s="85"/>
      <c r="U344" s="85"/>
      <c r="V344" s="146" t="s">
        <v>2501</v>
      </c>
      <c r="W344" s="51" t="s">
        <v>2485</v>
      </c>
      <c r="X344" s="130" t="s">
        <v>1429</v>
      </c>
      <c r="Y344" s="130" t="s">
        <v>1429</v>
      </c>
      <c r="Z344" s="51"/>
      <c r="AA344" s="51" t="s">
        <v>2486</v>
      </c>
      <c r="AB344" s="146"/>
      <c r="AC344" s="146">
        <v>0</v>
      </c>
      <c r="AD344" s="83"/>
      <c r="AE344" s="83"/>
      <c r="AF344" s="83"/>
      <c r="AG344" s="83"/>
      <c r="AH344" s="86"/>
      <c r="AI344" s="86"/>
      <c r="AJ344" s="87"/>
      <c r="AK344" s="87"/>
      <c r="AL344" s="87"/>
      <c r="AM344" s="87"/>
      <c r="AN344" s="87"/>
      <c r="AO344" s="87"/>
      <c r="AP344" s="87"/>
      <c r="AQ344" s="235" t="s">
        <v>244</v>
      </c>
      <c r="AR344" s="5"/>
      <c r="AS344" s="5"/>
      <c r="AT344" s="5"/>
      <c r="AU344" s="5"/>
      <c r="AV344" s="5"/>
      <c r="AW344" s="5"/>
      <c r="AX344" s="284"/>
      <c r="AY344" s="5"/>
      <c r="AZ344" s="5"/>
      <c r="BA344" s="230"/>
      <c r="BB344" s="5"/>
      <c r="BC344" s="232" t="s">
        <v>244</v>
      </c>
      <c r="BD344" s="238"/>
      <c r="BE344" s="249"/>
      <c r="BF344" s="249"/>
      <c r="BG344" s="249"/>
      <c r="BH344" s="249"/>
      <c r="BI344" s="249"/>
      <c r="BJ344" s="249"/>
      <c r="BK344" s="249"/>
      <c r="BL344" s="249"/>
      <c r="BM344" s="249"/>
      <c r="BN344" s="249"/>
      <c r="BO344" s="249"/>
      <c r="BP344" s="249"/>
      <c r="BQ344" s="249"/>
      <c r="BR344" s="249"/>
      <c r="BS344" s="249"/>
      <c r="BT344" s="249"/>
      <c r="BU344" s="249"/>
      <c r="BV344" s="249"/>
      <c r="BW344" s="249"/>
      <c r="BX344" s="249"/>
      <c r="BY344" s="249"/>
      <c r="BZ344" s="249"/>
      <c r="CA344" s="249"/>
      <c r="CB344" s="249"/>
      <c r="CC344" s="249"/>
      <c r="CD344" s="249"/>
      <c r="CE344" s="249"/>
    </row>
    <row r="345" spans="1:83" s="84" customFormat="1" ht="12.95" customHeight="1">
      <c r="A345" s="1"/>
      <c r="B345" s="1"/>
      <c r="C345" s="79" t="s">
        <v>229</v>
      </c>
      <c r="D345" s="52" t="s">
        <v>2502</v>
      </c>
      <c r="E345" s="52" t="s">
        <v>2503</v>
      </c>
      <c r="F345" s="53" t="s">
        <v>230</v>
      </c>
      <c r="G345" s="179" t="s">
        <v>1429</v>
      </c>
      <c r="H345" s="180" t="s">
        <v>229</v>
      </c>
      <c r="I345" s="55" t="s">
        <v>1429</v>
      </c>
      <c r="J345" s="55" t="s">
        <v>1429</v>
      </c>
      <c r="K345" s="56" t="s">
        <v>1429</v>
      </c>
      <c r="L345" s="80"/>
      <c r="M345" s="80"/>
      <c r="N345" s="80"/>
      <c r="O345" s="80"/>
      <c r="P345" s="81"/>
      <c r="Q345" s="85"/>
      <c r="R345" s="85"/>
      <c r="S345" s="85"/>
      <c r="T345" s="85"/>
      <c r="U345" s="85"/>
      <c r="V345" s="146" t="s">
        <v>2504</v>
      </c>
      <c r="W345" s="51"/>
      <c r="X345" s="133"/>
      <c r="Y345" s="133"/>
      <c r="Z345" s="51"/>
      <c r="AA345" s="51" t="s">
        <v>2505</v>
      </c>
      <c r="AB345" s="119"/>
      <c r="AC345" s="119"/>
      <c r="AD345" s="83"/>
      <c r="AE345" s="83"/>
      <c r="AF345" s="83"/>
      <c r="AG345" s="83"/>
      <c r="AH345" s="86"/>
      <c r="AI345" s="86"/>
      <c r="AJ345" s="87"/>
      <c r="AK345" s="87"/>
      <c r="AL345" s="87"/>
      <c r="AM345" s="87"/>
      <c r="AN345" s="87"/>
      <c r="AO345" s="87"/>
      <c r="AP345" s="87"/>
      <c r="AQ345" s="233" t="s">
        <v>229</v>
      </c>
      <c r="AR345" s="5"/>
      <c r="AS345" s="5"/>
      <c r="AT345" s="5"/>
      <c r="AU345" s="5"/>
      <c r="AV345" s="5"/>
      <c r="AW345" s="5"/>
      <c r="AX345" s="284"/>
      <c r="AY345" s="5"/>
      <c r="AZ345" s="5" t="s">
        <v>67</v>
      </c>
      <c r="BA345" s="230"/>
      <c r="BB345" s="219"/>
      <c r="BC345" s="236"/>
      <c r="BD345" s="267"/>
      <c r="BE345" s="249"/>
      <c r="BF345" s="249"/>
      <c r="BG345" s="249"/>
      <c r="BH345" s="249"/>
      <c r="BI345" s="249"/>
      <c r="BJ345" s="249"/>
      <c r="BK345" s="249"/>
      <c r="BL345" s="249"/>
      <c r="BM345" s="249"/>
      <c r="BN345" s="249"/>
      <c r="BO345" s="249"/>
      <c r="BP345" s="249"/>
      <c r="BQ345" s="249"/>
      <c r="BR345" s="249"/>
      <c r="BS345" s="249"/>
      <c r="BT345" s="249"/>
      <c r="BU345" s="249"/>
      <c r="BV345" s="249"/>
      <c r="BW345" s="249"/>
      <c r="BX345" s="249"/>
      <c r="BY345" s="249"/>
      <c r="BZ345" s="249"/>
      <c r="CA345" s="249"/>
      <c r="CB345" s="249"/>
      <c r="CC345" s="249"/>
      <c r="CD345" s="249"/>
      <c r="CE345" s="249"/>
    </row>
    <row r="346" spans="1:83" s="94" customFormat="1" ht="18" customHeight="1">
      <c r="A346" s="88" t="s">
        <v>1053</v>
      </c>
      <c r="B346" s="88"/>
      <c r="C346" s="88"/>
      <c r="D346" s="89"/>
      <c r="E346" s="89"/>
      <c r="F346" s="89"/>
      <c r="G346" s="90"/>
      <c r="H346" s="90"/>
      <c r="I346" s="90"/>
      <c r="J346" s="90"/>
      <c r="K346" s="90"/>
      <c r="L346" s="89"/>
      <c r="M346" s="89"/>
      <c r="N346" s="89"/>
      <c r="O346" s="89"/>
      <c r="P346" s="89"/>
      <c r="Q346" s="89"/>
      <c r="R346" s="89"/>
      <c r="S346" s="89"/>
      <c r="T346" s="89"/>
      <c r="U346" s="89"/>
      <c r="V346" s="89"/>
      <c r="W346" s="89"/>
      <c r="X346" s="134"/>
      <c r="Y346" s="134"/>
      <c r="Z346" s="91"/>
      <c r="AA346" s="91"/>
      <c r="AB346" s="91"/>
      <c r="AC346" s="91"/>
      <c r="AD346" s="91"/>
      <c r="AE346" s="91"/>
      <c r="AF346" s="91"/>
      <c r="AG346" s="91"/>
      <c r="AH346" s="91"/>
      <c r="AI346" s="91"/>
      <c r="AJ346" s="91"/>
      <c r="AK346" s="91"/>
      <c r="AL346" s="91"/>
      <c r="AM346" s="91"/>
      <c r="AN346" s="91"/>
      <c r="AO346" s="91"/>
      <c r="AP346" s="91"/>
      <c r="AQ346" s="251"/>
      <c r="AR346" s="251"/>
      <c r="AS346" s="252"/>
      <c r="AT346" s="252"/>
      <c r="AU346" s="252"/>
      <c r="AV346" s="252"/>
      <c r="AW346" s="252"/>
      <c r="AX346" s="291"/>
      <c r="AY346" s="252"/>
      <c r="AZ346" s="252"/>
      <c r="BA346" s="252"/>
      <c r="BB346" s="168" t="s">
        <v>511</v>
      </c>
      <c r="BC346" s="252"/>
      <c r="BD346" s="253"/>
      <c r="BE346" s="309"/>
      <c r="BF346" s="254"/>
      <c r="BG346" s="254"/>
      <c r="BH346" s="254"/>
      <c r="BI346" s="254"/>
      <c r="BJ346" s="254"/>
      <c r="BK346" s="254"/>
      <c r="BL346" s="254"/>
      <c r="BM346" s="254"/>
      <c r="BN346" s="254"/>
      <c r="BO346" s="254"/>
      <c r="BP346" s="254"/>
      <c r="BQ346" s="254"/>
      <c r="BR346" s="254"/>
      <c r="BS346" s="254"/>
      <c r="BT346" s="254"/>
      <c r="BU346" s="254"/>
      <c r="BV346" s="254"/>
      <c r="BW346" s="254"/>
      <c r="BX346" s="254"/>
      <c r="BY346" s="254"/>
      <c r="BZ346" s="254"/>
      <c r="CA346" s="254"/>
      <c r="CB346" s="254"/>
      <c r="CC346" s="254"/>
      <c r="CD346" s="254"/>
      <c r="CE346" s="254"/>
    </row>
    <row r="347" spans="1:83" s="84" customFormat="1" ht="12.95" customHeight="1">
      <c r="A347" s="84" t="s">
        <v>3647</v>
      </c>
      <c r="B347" s="84" t="s">
        <v>3648</v>
      </c>
      <c r="C347" s="79" t="s">
        <v>333</v>
      </c>
      <c r="D347" s="52" t="s">
        <v>2506</v>
      </c>
      <c r="E347" s="52" t="s">
        <v>2507</v>
      </c>
      <c r="F347" s="53" t="s">
        <v>585</v>
      </c>
      <c r="G347" s="179" t="s">
        <v>1429</v>
      </c>
      <c r="H347" s="180" t="s">
        <v>1445</v>
      </c>
      <c r="I347" s="55" t="s">
        <v>2508</v>
      </c>
      <c r="J347" s="55" t="s">
        <v>1429</v>
      </c>
      <c r="K347" s="56" t="s">
        <v>1429</v>
      </c>
      <c r="L347" s="54" t="s">
        <v>1429</v>
      </c>
      <c r="M347" s="55" t="s">
        <v>1590</v>
      </c>
      <c r="N347" s="55" t="s">
        <v>1590</v>
      </c>
      <c r="O347" s="55" t="s">
        <v>1429</v>
      </c>
      <c r="P347" s="56" t="s">
        <v>1429</v>
      </c>
      <c r="Q347" s="85"/>
      <c r="R347" s="85"/>
      <c r="S347" s="85"/>
      <c r="T347" s="85"/>
      <c r="U347" s="85"/>
      <c r="V347" s="146" t="s">
        <v>2509</v>
      </c>
      <c r="W347" s="51" t="s">
        <v>2510</v>
      </c>
      <c r="X347" s="130" t="s">
        <v>1429</v>
      </c>
      <c r="Y347" s="130" t="s">
        <v>1429</v>
      </c>
      <c r="Z347" s="51"/>
      <c r="AA347" s="51" t="s">
        <v>2511</v>
      </c>
      <c r="AB347" s="145"/>
      <c r="AC347" s="145" t="s">
        <v>1429</v>
      </c>
      <c r="AD347" s="83"/>
      <c r="AE347" s="83"/>
      <c r="AF347" s="83"/>
      <c r="AG347" s="83"/>
      <c r="AH347" s="86"/>
      <c r="AI347" s="86"/>
      <c r="AJ347" s="87"/>
      <c r="AK347" s="87"/>
      <c r="AL347" s="87"/>
      <c r="AM347" s="87"/>
      <c r="AN347" s="87"/>
      <c r="AO347" s="87"/>
      <c r="AP347" s="87"/>
      <c r="AQ347" s="237" t="s">
        <v>2508</v>
      </c>
      <c r="AR347" s="5"/>
      <c r="AS347" s="5"/>
      <c r="AT347" s="5"/>
      <c r="AU347" s="5"/>
      <c r="AV347" s="5"/>
      <c r="AW347" s="5"/>
      <c r="AX347" s="284"/>
      <c r="AY347" s="5"/>
      <c r="AZ347" s="5"/>
      <c r="BA347" s="230"/>
      <c r="BB347" s="5"/>
      <c r="BC347" s="232" t="s">
        <v>3537</v>
      </c>
      <c r="BD347" s="238" t="s">
        <v>3659</v>
      </c>
      <c r="BE347" s="249"/>
      <c r="BF347" s="249"/>
      <c r="BG347" s="249"/>
      <c r="BH347" s="249"/>
      <c r="BI347" s="249"/>
      <c r="BJ347" s="249"/>
      <c r="BK347" s="249"/>
      <c r="BL347" s="249"/>
      <c r="BM347" s="249"/>
      <c r="BN347" s="249"/>
      <c r="BO347" s="249"/>
      <c r="BP347" s="249"/>
      <c r="BQ347" s="249"/>
      <c r="BR347" s="249"/>
      <c r="BS347" s="249"/>
      <c r="BT347" s="249"/>
      <c r="BU347" s="249"/>
      <c r="BV347" s="249"/>
      <c r="BW347" s="249"/>
      <c r="BX347" s="249"/>
      <c r="BY347" s="249"/>
      <c r="BZ347" s="249"/>
      <c r="CA347" s="249"/>
      <c r="CB347" s="249"/>
      <c r="CC347" s="249"/>
      <c r="CD347" s="249"/>
      <c r="CE347" s="249"/>
    </row>
    <row r="348" spans="1:83" s="84" customFormat="1" ht="12.95" customHeight="1">
      <c r="A348" s="84" t="s">
        <v>3649</v>
      </c>
      <c r="B348" s="84" t="s">
        <v>3650</v>
      </c>
      <c r="C348" s="79" t="s">
        <v>337</v>
      </c>
      <c r="D348" s="52" t="s">
        <v>2512</v>
      </c>
      <c r="E348" s="52" t="s">
        <v>2513</v>
      </c>
      <c r="F348" s="53" t="s">
        <v>586</v>
      </c>
      <c r="G348" s="179" t="s">
        <v>1429</v>
      </c>
      <c r="H348" s="180" t="s">
        <v>1444</v>
      </c>
      <c r="I348" s="55" t="s">
        <v>2514</v>
      </c>
      <c r="J348" s="55" t="s">
        <v>1429</v>
      </c>
      <c r="K348" s="56" t="s">
        <v>1429</v>
      </c>
      <c r="L348" s="54" t="s">
        <v>1429</v>
      </c>
      <c r="M348" s="55" t="s">
        <v>1590</v>
      </c>
      <c r="N348" s="55" t="s">
        <v>1590</v>
      </c>
      <c r="O348" s="55" t="s">
        <v>1429</v>
      </c>
      <c r="P348" s="56" t="s">
        <v>1429</v>
      </c>
      <c r="Q348" s="85"/>
      <c r="R348" s="85"/>
      <c r="S348" s="85"/>
      <c r="T348" s="85"/>
      <c r="U348" s="85"/>
      <c r="V348" s="146" t="s">
        <v>2515</v>
      </c>
      <c r="W348" s="51" t="s">
        <v>2510</v>
      </c>
      <c r="X348" s="130" t="s">
        <v>1429</v>
      </c>
      <c r="Y348" s="130" t="s">
        <v>1429</v>
      </c>
      <c r="Z348" s="51"/>
      <c r="AA348" s="51" t="s">
        <v>2511</v>
      </c>
      <c r="AB348" s="146"/>
      <c r="AC348" s="146" t="s">
        <v>1429</v>
      </c>
      <c r="AD348" s="83"/>
      <c r="AE348" s="83"/>
      <c r="AF348" s="83"/>
      <c r="AG348" s="83"/>
      <c r="AH348" s="86"/>
      <c r="AI348" s="86"/>
      <c r="AJ348" s="87"/>
      <c r="AK348" s="87"/>
      <c r="AL348" s="87"/>
      <c r="AM348" s="87"/>
      <c r="AN348" s="87"/>
      <c r="AO348" s="87"/>
      <c r="AP348" s="87"/>
      <c r="AQ348" s="235" t="s">
        <v>2514</v>
      </c>
      <c r="AR348" s="5"/>
      <c r="AS348" s="5"/>
      <c r="AT348" s="5"/>
      <c r="AU348" s="5"/>
      <c r="AV348" s="5"/>
      <c r="AW348" s="5"/>
      <c r="AX348" s="284"/>
      <c r="AY348" s="5"/>
      <c r="AZ348" s="5"/>
      <c r="BA348" s="230"/>
      <c r="BB348" s="5"/>
      <c r="BC348" s="232" t="s">
        <v>3538</v>
      </c>
      <c r="BD348" s="238" t="s">
        <v>3659</v>
      </c>
      <c r="BE348" s="249"/>
      <c r="BF348" s="249"/>
      <c r="BG348" s="249"/>
      <c r="BH348" s="249"/>
      <c r="BI348" s="249"/>
      <c r="BJ348" s="249"/>
      <c r="BK348" s="249"/>
      <c r="BL348" s="249"/>
      <c r="BM348" s="249"/>
      <c r="BN348" s="249"/>
      <c r="BO348" s="249"/>
      <c r="BP348" s="249"/>
      <c r="BQ348" s="249"/>
      <c r="BR348" s="249"/>
      <c r="BS348" s="249"/>
      <c r="BT348" s="249"/>
      <c r="BU348" s="249"/>
      <c r="BV348" s="249"/>
      <c r="BW348" s="249"/>
      <c r="BX348" s="249"/>
      <c r="BY348" s="249"/>
      <c r="BZ348" s="249"/>
      <c r="CA348" s="249"/>
      <c r="CB348" s="249"/>
      <c r="CC348" s="249"/>
      <c r="CD348" s="249"/>
      <c r="CE348" s="249"/>
    </row>
    <row r="349" spans="1:83" s="84" customFormat="1" ht="12.95" customHeight="1">
      <c r="A349" s="84" t="s">
        <v>3651</v>
      </c>
      <c r="B349" s="84" t="s">
        <v>3652</v>
      </c>
      <c r="C349" s="79" t="s">
        <v>335</v>
      </c>
      <c r="D349" s="52" t="s">
        <v>2516</v>
      </c>
      <c r="E349" s="52" t="s">
        <v>2517</v>
      </c>
      <c r="F349" s="53" t="s">
        <v>587</v>
      </c>
      <c r="G349" s="179" t="s">
        <v>1429</v>
      </c>
      <c r="H349" s="180" t="s">
        <v>1447</v>
      </c>
      <c r="I349" s="55" t="s">
        <v>2518</v>
      </c>
      <c r="J349" s="55" t="s">
        <v>1429</v>
      </c>
      <c r="K349" s="56" t="s">
        <v>1429</v>
      </c>
      <c r="L349" s="54" t="s">
        <v>1429</v>
      </c>
      <c r="M349" s="55" t="s">
        <v>1581</v>
      </c>
      <c r="N349" s="55" t="s">
        <v>1581</v>
      </c>
      <c r="O349" s="55" t="s">
        <v>1429</v>
      </c>
      <c r="P349" s="56" t="s">
        <v>1429</v>
      </c>
      <c r="Q349" s="85"/>
      <c r="R349" s="85"/>
      <c r="S349" s="85"/>
      <c r="T349" s="85"/>
      <c r="U349" s="85"/>
      <c r="V349" s="146" t="s">
        <v>2519</v>
      </c>
      <c r="W349" s="51" t="s">
        <v>2510</v>
      </c>
      <c r="X349" s="130" t="s">
        <v>1429</v>
      </c>
      <c r="Y349" s="130" t="s">
        <v>1429</v>
      </c>
      <c r="Z349" s="51"/>
      <c r="AA349" s="51" t="s">
        <v>2511</v>
      </c>
      <c r="AB349" s="146"/>
      <c r="AC349" s="146" t="s">
        <v>1429</v>
      </c>
      <c r="AD349" s="83"/>
      <c r="AE349" s="83"/>
      <c r="AF349" s="83"/>
      <c r="AG349" s="83"/>
      <c r="AH349" s="86"/>
      <c r="AI349" s="86"/>
      <c r="AJ349" s="87"/>
      <c r="AK349" s="87"/>
      <c r="AL349" s="87"/>
      <c r="AM349" s="87"/>
      <c r="AN349" s="87"/>
      <c r="AO349" s="87"/>
      <c r="AP349" s="87"/>
      <c r="AQ349" s="237" t="s">
        <v>2518</v>
      </c>
      <c r="AR349" s="5"/>
      <c r="AS349" s="5"/>
      <c r="AT349" s="5"/>
      <c r="AU349" s="5"/>
      <c r="AV349" s="5"/>
      <c r="AW349" s="5"/>
      <c r="AX349" s="284"/>
      <c r="AY349" s="5"/>
      <c r="AZ349" s="5"/>
      <c r="BA349" s="230"/>
      <c r="BB349" s="5"/>
      <c r="BC349" s="232" t="s">
        <v>3539</v>
      </c>
      <c r="BD349" s="238" t="s">
        <v>3659</v>
      </c>
      <c r="BE349" s="249"/>
      <c r="BF349" s="249"/>
      <c r="BG349" s="249"/>
      <c r="BH349" s="249"/>
      <c r="BI349" s="249"/>
      <c r="BJ349" s="249"/>
      <c r="BK349" s="249"/>
      <c r="BL349" s="249"/>
      <c r="BM349" s="249"/>
      <c r="BN349" s="249"/>
      <c r="BO349" s="249"/>
      <c r="BP349" s="249"/>
      <c r="BQ349" s="249"/>
      <c r="BR349" s="249"/>
      <c r="BS349" s="249"/>
      <c r="BT349" s="249"/>
      <c r="BU349" s="249"/>
      <c r="BV349" s="249"/>
      <c r="BW349" s="249"/>
      <c r="BX349" s="249"/>
      <c r="BY349" s="249"/>
      <c r="BZ349" s="249"/>
      <c r="CA349" s="249"/>
      <c r="CB349" s="249"/>
      <c r="CC349" s="249"/>
      <c r="CD349" s="249"/>
      <c r="CE349" s="249"/>
    </row>
    <row r="350" spans="1:83" s="84" customFormat="1" ht="12.95" customHeight="1">
      <c r="A350" s="84" t="s">
        <v>3653</v>
      </c>
      <c r="B350" s="84" t="s">
        <v>3654</v>
      </c>
      <c r="C350" s="79" t="s">
        <v>338</v>
      </c>
      <c r="D350" s="52" t="s">
        <v>2520</v>
      </c>
      <c r="E350" s="52" t="s">
        <v>2521</v>
      </c>
      <c r="F350" s="53" t="s">
        <v>588</v>
      </c>
      <c r="G350" s="179" t="s">
        <v>1429</v>
      </c>
      <c r="H350" s="180" t="s">
        <v>1446</v>
      </c>
      <c r="I350" s="55" t="s">
        <v>2522</v>
      </c>
      <c r="J350" s="55" t="s">
        <v>1429</v>
      </c>
      <c r="K350" s="56" t="s">
        <v>1429</v>
      </c>
      <c r="L350" s="54" t="s">
        <v>1429</v>
      </c>
      <c r="M350" s="55" t="s">
        <v>1581</v>
      </c>
      <c r="N350" s="55" t="s">
        <v>1581</v>
      </c>
      <c r="O350" s="55" t="s">
        <v>1429</v>
      </c>
      <c r="P350" s="56" t="s">
        <v>1429</v>
      </c>
      <c r="Q350" s="85"/>
      <c r="R350" s="85"/>
      <c r="S350" s="85"/>
      <c r="T350" s="85"/>
      <c r="U350" s="85"/>
      <c r="V350" s="146" t="s">
        <v>2523</v>
      </c>
      <c r="W350" s="51" t="s">
        <v>2510</v>
      </c>
      <c r="X350" s="130" t="s">
        <v>1429</v>
      </c>
      <c r="Y350" s="130" t="s">
        <v>1429</v>
      </c>
      <c r="Z350" s="51"/>
      <c r="AA350" s="51" t="s">
        <v>2511</v>
      </c>
      <c r="AB350" s="146"/>
      <c r="AC350" s="146" t="s">
        <v>1429</v>
      </c>
      <c r="AD350" s="83"/>
      <c r="AE350" s="83"/>
      <c r="AF350" s="83"/>
      <c r="AG350" s="83"/>
      <c r="AH350" s="86"/>
      <c r="AI350" s="86"/>
      <c r="AJ350" s="87"/>
      <c r="AK350" s="87"/>
      <c r="AL350" s="87"/>
      <c r="AM350" s="87"/>
      <c r="AN350" s="87"/>
      <c r="AO350" s="87"/>
      <c r="AP350" s="87"/>
      <c r="AQ350" s="235" t="s">
        <v>2522</v>
      </c>
      <c r="AR350" s="5"/>
      <c r="AS350" s="5"/>
      <c r="AT350" s="5"/>
      <c r="AU350" s="5"/>
      <c r="AV350" s="5"/>
      <c r="AW350" s="5"/>
      <c r="AX350" s="284"/>
      <c r="AY350" s="5"/>
      <c r="AZ350" s="5"/>
      <c r="BA350" s="230"/>
      <c r="BB350" s="5"/>
      <c r="BC350" s="232" t="s">
        <v>3540</v>
      </c>
      <c r="BD350" s="238" t="s">
        <v>3659</v>
      </c>
      <c r="BE350" s="249"/>
      <c r="BF350" s="249"/>
      <c r="BG350" s="249"/>
      <c r="BH350" s="249"/>
      <c r="BI350" s="249"/>
      <c r="BJ350" s="249"/>
      <c r="BK350" s="249"/>
      <c r="BL350" s="249"/>
      <c r="BM350" s="249"/>
      <c r="BN350" s="249"/>
      <c r="BO350" s="249"/>
      <c r="BP350" s="249"/>
      <c r="BQ350" s="249"/>
      <c r="BR350" s="249"/>
      <c r="BS350" s="249"/>
      <c r="BT350" s="249"/>
      <c r="BU350" s="249"/>
      <c r="BV350" s="249"/>
      <c r="BW350" s="249"/>
      <c r="BX350" s="249"/>
      <c r="BY350" s="249"/>
      <c r="BZ350" s="249"/>
      <c r="CA350" s="249"/>
      <c r="CB350" s="249"/>
      <c r="CC350" s="249"/>
      <c r="CD350" s="249"/>
      <c r="CE350" s="249"/>
    </row>
    <row r="351" spans="1:83" s="84" customFormat="1" ht="12.95" customHeight="1">
      <c r="A351" s="209" t="s">
        <v>3545</v>
      </c>
      <c r="B351" s="209" t="s">
        <v>2943</v>
      </c>
      <c r="C351" s="79" t="s">
        <v>339</v>
      </c>
      <c r="D351" s="52" t="s">
        <v>2524</v>
      </c>
      <c r="E351" s="52" t="s">
        <v>2525</v>
      </c>
      <c r="F351" s="53" t="s">
        <v>589</v>
      </c>
      <c r="G351" s="179" t="s">
        <v>1429</v>
      </c>
      <c r="H351" s="180" t="s">
        <v>1448</v>
      </c>
      <c r="I351" s="55" t="s">
        <v>2526</v>
      </c>
      <c r="J351" s="55" t="s">
        <v>1429</v>
      </c>
      <c r="K351" s="56" t="s">
        <v>1429</v>
      </c>
      <c r="L351" s="54" t="s">
        <v>1429</v>
      </c>
      <c r="M351" s="55" t="s">
        <v>1590</v>
      </c>
      <c r="N351" s="55" t="s">
        <v>1590</v>
      </c>
      <c r="O351" s="55" t="s">
        <v>1429</v>
      </c>
      <c r="P351" s="56" t="s">
        <v>1429</v>
      </c>
      <c r="Q351" s="85"/>
      <c r="R351" s="85"/>
      <c r="S351" s="85"/>
      <c r="T351" s="85"/>
      <c r="U351" s="85"/>
      <c r="V351" s="146" t="s">
        <v>2527</v>
      </c>
      <c r="W351" s="51" t="s">
        <v>2510</v>
      </c>
      <c r="X351" s="130" t="s">
        <v>1429</v>
      </c>
      <c r="Y351" s="130" t="s">
        <v>1429</v>
      </c>
      <c r="Z351" s="51"/>
      <c r="AA351" s="51" t="s">
        <v>2511</v>
      </c>
      <c r="AB351" s="146"/>
      <c r="AC351" s="146" t="s">
        <v>1429</v>
      </c>
      <c r="AD351" s="83"/>
      <c r="AE351" s="83"/>
      <c r="AF351" s="83"/>
      <c r="AG351" s="83"/>
      <c r="AH351" s="86"/>
      <c r="AI351" s="86"/>
      <c r="AJ351" s="87"/>
      <c r="AK351" s="87"/>
      <c r="AL351" s="87"/>
      <c r="AM351" s="87"/>
      <c r="AN351" s="87"/>
      <c r="AO351" s="87"/>
      <c r="AP351" s="87"/>
      <c r="AQ351" s="237" t="s">
        <v>2526</v>
      </c>
      <c r="AR351" s="5"/>
      <c r="AS351" s="5"/>
      <c r="AT351" s="5"/>
      <c r="AU351" s="5"/>
      <c r="AV351" s="5"/>
      <c r="AW351" s="5"/>
      <c r="AX351" s="284"/>
      <c r="AY351" s="5"/>
      <c r="AZ351" s="5"/>
      <c r="BA351" s="230"/>
      <c r="BB351" s="5"/>
      <c r="BC351" s="232" t="s">
        <v>3545</v>
      </c>
      <c r="BD351" s="238" t="s">
        <v>3660</v>
      </c>
      <c r="BE351" s="249"/>
      <c r="BF351" s="249"/>
      <c r="BG351" s="249"/>
      <c r="BH351" s="249"/>
      <c r="BI351" s="249"/>
      <c r="BJ351" s="249"/>
      <c r="BK351" s="249"/>
      <c r="BL351" s="249"/>
      <c r="BM351" s="249"/>
      <c r="BN351" s="249"/>
      <c r="BO351" s="249"/>
      <c r="BP351" s="249"/>
      <c r="BQ351" s="249"/>
      <c r="BR351" s="249"/>
      <c r="BS351" s="249"/>
      <c r="BT351" s="249"/>
      <c r="BU351" s="249"/>
      <c r="BV351" s="249"/>
      <c r="BW351" s="249"/>
      <c r="BX351" s="249"/>
      <c r="BY351" s="249"/>
      <c r="BZ351" s="249"/>
      <c r="CA351" s="249"/>
      <c r="CB351" s="249"/>
      <c r="CC351" s="249"/>
      <c r="CD351" s="249"/>
      <c r="CE351" s="249"/>
    </row>
    <row r="352" spans="1:83" s="84" customFormat="1" ht="12.95" customHeight="1">
      <c r="A352" s="209" t="s">
        <v>3546</v>
      </c>
      <c r="B352" s="209" t="s">
        <v>3615</v>
      </c>
      <c r="C352" s="79" t="s">
        <v>334</v>
      </c>
      <c r="D352" s="52" t="s">
        <v>2528</v>
      </c>
      <c r="E352" s="52" t="s">
        <v>2529</v>
      </c>
      <c r="F352" s="53" t="s">
        <v>590</v>
      </c>
      <c r="G352" s="179" t="s">
        <v>1429</v>
      </c>
      <c r="H352" s="180" t="s">
        <v>1449</v>
      </c>
      <c r="I352" s="55" t="s">
        <v>2530</v>
      </c>
      <c r="J352" s="55" t="s">
        <v>1429</v>
      </c>
      <c r="K352" s="56" t="s">
        <v>1429</v>
      </c>
      <c r="L352" s="54" t="s">
        <v>1429</v>
      </c>
      <c r="M352" s="55" t="s">
        <v>1590</v>
      </c>
      <c r="N352" s="55" t="s">
        <v>1590</v>
      </c>
      <c r="O352" s="55" t="s">
        <v>1429</v>
      </c>
      <c r="P352" s="56" t="s">
        <v>1429</v>
      </c>
      <c r="Q352" s="85"/>
      <c r="R352" s="85"/>
      <c r="S352" s="85"/>
      <c r="T352" s="85"/>
      <c r="U352" s="85"/>
      <c r="V352" s="146" t="s">
        <v>2531</v>
      </c>
      <c r="W352" s="51" t="s">
        <v>2510</v>
      </c>
      <c r="X352" s="130" t="s">
        <v>1429</v>
      </c>
      <c r="Y352" s="130" t="s">
        <v>1429</v>
      </c>
      <c r="Z352" s="51"/>
      <c r="AA352" s="51" t="s">
        <v>2511</v>
      </c>
      <c r="AB352" s="146"/>
      <c r="AC352" s="146" t="s">
        <v>1429</v>
      </c>
      <c r="AD352" s="83"/>
      <c r="AE352" s="83"/>
      <c r="AF352" s="83"/>
      <c r="AG352" s="83"/>
      <c r="AH352" s="86"/>
      <c r="AI352" s="86"/>
      <c r="AJ352" s="87"/>
      <c r="AK352" s="87"/>
      <c r="AL352" s="87"/>
      <c r="AM352" s="87"/>
      <c r="AN352" s="87"/>
      <c r="AO352" s="87"/>
      <c r="AP352" s="87"/>
      <c r="AQ352" s="235" t="s">
        <v>2530</v>
      </c>
      <c r="AR352" s="5"/>
      <c r="AS352" s="5"/>
      <c r="AT352" s="5"/>
      <c r="AU352" s="5"/>
      <c r="AV352" s="5"/>
      <c r="AW352" s="5"/>
      <c r="AX352" s="284"/>
      <c r="AY352" s="5"/>
      <c r="AZ352" s="5"/>
      <c r="BA352" s="230"/>
      <c r="BB352" s="5"/>
      <c r="BC352" s="232" t="s">
        <v>3546</v>
      </c>
      <c r="BD352" s="238" t="s">
        <v>3660</v>
      </c>
      <c r="BE352" s="249"/>
      <c r="BF352" s="249"/>
      <c r="BG352" s="249"/>
      <c r="BH352" s="249"/>
      <c r="BI352" s="249"/>
      <c r="BJ352" s="249"/>
      <c r="BK352" s="249"/>
      <c r="BL352" s="249"/>
      <c r="BM352" s="249"/>
      <c r="BN352" s="249"/>
      <c r="BO352" s="249"/>
      <c r="BP352" s="249"/>
      <c r="BQ352" s="249"/>
      <c r="BR352" s="249"/>
      <c r="BS352" s="249"/>
      <c r="BT352" s="249"/>
      <c r="BU352" s="249"/>
      <c r="BV352" s="249"/>
      <c r="BW352" s="249"/>
      <c r="BX352" s="249"/>
      <c r="BY352" s="249"/>
      <c r="BZ352" s="249"/>
      <c r="CA352" s="249"/>
      <c r="CB352" s="249"/>
      <c r="CC352" s="249"/>
      <c r="CD352" s="249"/>
      <c r="CE352" s="249"/>
    </row>
    <row r="353" spans="1:83" s="84" customFormat="1" ht="12.95" customHeight="1">
      <c r="A353" s="209" t="s">
        <v>3548</v>
      </c>
      <c r="B353" s="209" t="s">
        <v>3585</v>
      </c>
      <c r="C353" s="79" t="s">
        <v>336</v>
      </c>
      <c r="D353" s="52" t="s">
        <v>2525</v>
      </c>
      <c r="E353" s="52" t="s">
        <v>2532</v>
      </c>
      <c r="F353" s="53" t="s">
        <v>591</v>
      </c>
      <c r="G353" s="179" t="s">
        <v>1429</v>
      </c>
      <c r="H353" s="180" t="s">
        <v>1450</v>
      </c>
      <c r="I353" s="55" t="s">
        <v>2533</v>
      </c>
      <c r="J353" s="55" t="s">
        <v>1429</v>
      </c>
      <c r="K353" s="56" t="s">
        <v>1429</v>
      </c>
      <c r="L353" s="54" t="s">
        <v>1429</v>
      </c>
      <c r="M353" s="55" t="s">
        <v>1581</v>
      </c>
      <c r="N353" s="55" t="s">
        <v>1581</v>
      </c>
      <c r="O353" s="55" t="s">
        <v>1429</v>
      </c>
      <c r="P353" s="56" t="s">
        <v>1429</v>
      </c>
      <c r="Q353" s="85"/>
      <c r="R353" s="85"/>
      <c r="S353" s="85"/>
      <c r="T353" s="85"/>
      <c r="U353" s="85"/>
      <c r="V353" s="146" t="s">
        <v>2534</v>
      </c>
      <c r="W353" s="51" t="s">
        <v>2510</v>
      </c>
      <c r="X353" s="130" t="s">
        <v>1429</v>
      </c>
      <c r="Y353" s="130" t="s">
        <v>1429</v>
      </c>
      <c r="Z353" s="51"/>
      <c r="AA353" s="51" t="s">
        <v>2511</v>
      </c>
      <c r="AB353" s="146"/>
      <c r="AC353" s="146" t="s">
        <v>1429</v>
      </c>
      <c r="AD353" s="83"/>
      <c r="AE353" s="83"/>
      <c r="AF353" s="83"/>
      <c r="AG353" s="83"/>
      <c r="AH353" s="86"/>
      <c r="AI353" s="86"/>
      <c r="AJ353" s="87"/>
      <c r="AK353" s="87"/>
      <c r="AL353" s="87"/>
      <c r="AM353" s="87"/>
      <c r="AN353" s="87"/>
      <c r="AO353" s="87"/>
      <c r="AP353" s="87"/>
      <c r="AQ353" s="237" t="s">
        <v>2533</v>
      </c>
      <c r="AR353" s="5"/>
      <c r="AS353" s="5"/>
      <c r="AT353" s="5"/>
      <c r="AU353" s="5"/>
      <c r="AV353" s="5"/>
      <c r="AW353" s="5"/>
      <c r="AX353" s="284"/>
      <c r="AY353" s="5"/>
      <c r="AZ353" s="5"/>
      <c r="BA353" s="230"/>
      <c r="BB353" s="5"/>
      <c r="BC353" s="232" t="s">
        <v>3548</v>
      </c>
      <c r="BD353" s="238" t="s">
        <v>3660</v>
      </c>
      <c r="BE353" s="249"/>
      <c r="BF353" s="249"/>
      <c r="BG353" s="249"/>
      <c r="BH353" s="249"/>
      <c r="BI353" s="249"/>
      <c r="BJ353" s="249"/>
      <c r="BK353" s="249"/>
      <c r="BL353" s="249"/>
      <c r="BM353" s="249"/>
      <c r="BN353" s="249"/>
      <c r="BO353" s="249"/>
      <c r="BP353" s="249"/>
      <c r="BQ353" s="249"/>
      <c r="BR353" s="249"/>
      <c r="BS353" s="249"/>
      <c r="BT353" s="249"/>
      <c r="BU353" s="249"/>
      <c r="BV353" s="249"/>
      <c r="BW353" s="249"/>
      <c r="BX353" s="249"/>
      <c r="BY353" s="249"/>
      <c r="BZ353" s="249"/>
      <c r="CA353" s="249"/>
      <c r="CB353" s="249"/>
      <c r="CC353" s="249"/>
      <c r="CD353" s="249"/>
      <c r="CE353" s="249"/>
    </row>
    <row r="354" spans="1:83" s="84" customFormat="1" ht="12.95" customHeight="1">
      <c r="A354" s="209" t="s">
        <v>3547</v>
      </c>
      <c r="B354" s="209" t="s">
        <v>3584</v>
      </c>
      <c r="C354" s="79" t="s">
        <v>340</v>
      </c>
      <c r="D354" s="52" t="s">
        <v>2529</v>
      </c>
      <c r="E354" s="52" t="s">
        <v>2535</v>
      </c>
      <c r="F354" s="53" t="s">
        <v>592</v>
      </c>
      <c r="G354" s="179" t="s">
        <v>1429</v>
      </c>
      <c r="H354" s="180" t="s">
        <v>1451</v>
      </c>
      <c r="I354" s="55" t="s">
        <v>2536</v>
      </c>
      <c r="J354" s="55" t="s">
        <v>1429</v>
      </c>
      <c r="K354" s="56" t="s">
        <v>1429</v>
      </c>
      <c r="L354" s="54" t="s">
        <v>1429</v>
      </c>
      <c r="M354" s="55" t="s">
        <v>1581</v>
      </c>
      <c r="N354" s="55" t="s">
        <v>1581</v>
      </c>
      <c r="O354" s="55" t="s">
        <v>1429</v>
      </c>
      <c r="P354" s="56" t="s">
        <v>1429</v>
      </c>
      <c r="Q354" s="85"/>
      <c r="R354" s="85"/>
      <c r="S354" s="85"/>
      <c r="T354" s="85"/>
      <c r="U354" s="85"/>
      <c r="V354" s="146" t="s">
        <v>2537</v>
      </c>
      <c r="W354" s="51" t="s">
        <v>2510</v>
      </c>
      <c r="X354" s="130" t="s">
        <v>1429</v>
      </c>
      <c r="Y354" s="130" t="s">
        <v>1429</v>
      </c>
      <c r="Z354" s="51"/>
      <c r="AA354" s="51" t="s">
        <v>2511</v>
      </c>
      <c r="AB354" s="146"/>
      <c r="AC354" s="146" t="s">
        <v>1429</v>
      </c>
      <c r="AD354" s="83"/>
      <c r="AE354" s="83"/>
      <c r="AF354" s="83"/>
      <c r="AG354" s="83"/>
      <c r="AH354" s="86"/>
      <c r="AI354" s="86"/>
      <c r="AJ354" s="87"/>
      <c r="AK354" s="87"/>
      <c r="AL354" s="87"/>
      <c r="AM354" s="87"/>
      <c r="AN354" s="87"/>
      <c r="AO354" s="87"/>
      <c r="AP354" s="87"/>
      <c r="AQ354" s="235" t="s">
        <v>2536</v>
      </c>
      <c r="AR354" s="5"/>
      <c r="AS354" s="5"/>
      <c r="AT354" s="5"/>
      <c r="AU354" s="5"/>
      <c r="AV354" s="5"/>
      <c r="AW354" s="5"/>
      <c r="AX354" s="284"/>
      <c r="AY354" s="5"/>
      <c r="AZ354" s="5"/>
      <c r="BA354" s="230"/>
      <c r="BB354" s="5"/>
      <c r="BC354" s="232" t="s">
        <v>3547</v>
      </c>
      <c r="BD354" s="238" t="s">
        <v>3660</v>
      </c>
      <c r="BE354" s="249"/>
      <c r="BF354" s="249"/>
      <c r="BG354" s="249"/>
      <c r="BH354" s="249"/>
      <c r="BI354" s="249"/>
      <c r="BJ354" s="249"/>
      <c r="BK354" s="249"/>
      <c r="BL354" s="249"/>
      <c r="BM354" s="249"/>
      <c r="BN354" s="249"/>
      <c r="BO354" s="249"/>
      <c r="BP354" s="249"/>
      <c r="BQ354" s="249"/>
      <c r="BR354" s="249"/>
      <c r="BS354" s="249"/>
      <c r="BT354" s="249"/>
      <c r="BU354" s="249"/>
      <c r="BV354" s="249"/>
      <c r="BW354" s="249"/>
      <c r="BX354" s="249"/>
      <c r="BY354" s="249"/>
      <c r="BZ354" s="249"/>
      <c r="CA354" s="249"/>
      <c r="CB354" s="249"/>
      <c r="CC354" s="249"/>
      <c r="CD354" s="249"/>
      <c r="CE354" s="249"/>
    </row>
    <row r="355" spans="1:83" s="84" customFormat="1" ht="12.95" customHeight="1">
      <c r="A355" s="209" t="s">
        <v>3655</v>
      </c>
      <c r="B355" s="209" t="s">
        <v>3765</v>
      </c>
      <c r="C355" s="79" t="s">
        <v>245</v>
      </c>
      <c r="D355" s="52" t="s">
        <v>2538</v>
      </c>
      <c r="E355" s="52" t="s">
        <v>2539</v>
      </c>
      <c r="F355" s="53" t="s">
        <v>268</v>
      </c>
      <c r="G355" s="179" t="s">
        <v>1429</v>
      </c>
      <c r="H355" s="180" t="s">
        <v>1452</v>
      </c>
      <c r="I355" s="55" t="s">
        <v>2540</v>
      </c>
      <c r="J355" s="55" t="s">
        <v>1429</v>
      </c>
      <c r="K355" s="56" t="s">
        <v>1429</v>
      </c>
      <c r="L355" s="54" t="s">
        <v>1429</v>
      </c>
      <c r="M355" s="55" t="s">
        <v>1590</v>
      </c>
      <c r="N355" s="55" t="s">
        <v>1590</v>
      </c>
      <c r="O355" s="55" t="s">
        <v>1429</v>
      </c>
      <c r="P355" s="56" t="s">
        <v>1429</v>
      </c>
      <c r="Q355" s="85"/>
      <c r="R355" s="85"/>
      <c r="S355" s="85"/>
      <c r="T355" s="85"/>
      <c r="U355" s="85"/>
      <c r="V355" s="146" t="s">
        <v>2541</v>
      </c>
      <c r="W355" s="51" t="s">
        <v>2510</v>
      </c>
      <c r="X355" s="130" t="s">
        <v>1429</v>
      </c>
      <c r="Y355" s="130" t="s">
        <v>1429</v>
      </c>
      <c r="Z355" s="51"/>
      <c r="AA355" s="51" t="s">
        <v>2511</v>
      </c>
      <c r="AB355" s="146"/>
      <c r="AC355" s="146" t="s">
        <v>1429</v>
      </c>
      <c r="AD355" s="83"/>
      <c r="AE355" s="83"/>
      <c r="AF355" s="83"/>
      <c r="AG355" s="83"/>
      <c r="AH355" s="86"/>
      <c r="AI355" s="86"/>
      <c r="AJ355" s="87"/>
      <c r="AK355" s="87"/>
      <c r="AL355" s="87"/>
      <c r="AM355" s="87"/>
      <c r="AN355" s="87"/>
      <c r="AO355" s="87"/>
      <c r="AP355" s="87"/>
      <c r="AQ355" s="237" t="s">
        <v>1452</v>
      </c>
      <c r="AR355" s="5"/>
      <c r="AS355" s="5"/>
      <c r="AT355" s="5"/>
      <c r="AU355" s="5"/>
      <c r="AV355" s="5"/>
      <c r="AW355" s="5"/>
      <c r="AX355" s="284"/>
      <c r="AY355" s="5"/>
      <c r="AZ355" s="5"/>
      <c r="BA355" s="230"/>
      <c r="BB355" s="5"/>
      <c r="BC355" s="232" t="s">
        <v>3655</v>
      </c>
      <c r="BD355" s="238" t="s">
        <v>3661</v>
      </c>
      <c r="BE355" s="249"/>
      <c r="BF355" s="249"/>
      <c r="BG355" s="249"/>
      <c r="BH355" s="249"/>
      <c r="BI355" s="249"/>
      <c r="BJ355" s="249"/>
      <c r="BK355" s="249"/>
      <c r="BL355" s="249"/>
      <c r="BM355" s="249"/>
      <c r="BN355" s="249"/>
      <c r="BO355" s="249"/>
      <c r="BP355" s="249"/>
      <c r="BQ355" s="249"/>
      <c r="BR355" s="249"/>
      <c r="BS355" s="249"/>
      <c r="BT355" s="249"/>
      <c r="BU355" s="249"/>
      <c r="BV355" s="249"/>
      <c r="BW355" s="249"/>
      <c r="BX355" s="249"/>
      <c r="BY355" s="249"/>
      <c r="BZ355" s="249"/>
      <c r="CA355" s="249"/>
      <c r="CB355" s="249"/>
      <c r="CC355" s="249"/>
      <c r="CD355" s="249"/>
      <c r="CE355" s="249"/>
    </row>
    <row r="356" spans="1:83" s="84" customFormat="1" ht="12.95" customHeight="1">
      <c r="A356" s="209" t="s">
        <v>3656</v>
      </c>
      <c r="B356" s="209" t="s">
        <v>3766</v>
      </c>
      <c r="C356" s="79" t="s">
        <v>246</v>
      </c>
      <c r="D356" s="52" t="s">
        <v>2542</v>
      </c>
      <c r="E356" s="52" t="s">
        <v>2543</v>
      </c>
      <c r="F356" s="53" t="s">
        <v>267</v>
      </c>
      <c r="G356" s="179" t="s">
        <v>1429</v>
      </c>
      <c r="H356" s="180" t="s">
        <v>1453</v>
      </c>
      <c r="I356" s="55" t="s">
        <v>2544</v>
      </c>
      <c r="J356" s="55" t="s">
        <v>1429</v>
      </c>
      <c r="K356" s="56" t="s">
        <v>1429</v>
      </c>
      <c r="L356" s="54" t="s">
        <v>1429</v>
      </c>
      <c r="M356" s="55" t="s">
        <v>1590</v>
      </c>
      <c r="N356" s="55" t="s">
        <v>1590</v>
      </c>
      <c r="O356" s="55" t="s">
        <v>1429</v>
      </c>
      <c r="P356" s="56" t="s">
        <v>1429</v>
      </c>
      <c r="Q356" s="85"/>
      <c r="R356" s="85"/>
      <c r="S356" s="85"/>
      <c r="T356" s="85"/>
      <c r="U356" s="85"/>
      <c r="V356" s="146" t="s">
        <v>2545</v>
      </c>
      <c r="W356" s="51" t="s">
        <v>2510</v>
      </c>
      <c r="X356" s="130" t="s">
        <v>1429</v>
      </c>
      <c r="Y356" s="130" t="s">
        <v>1429</v>
      </c>
      <c r="Z356" s="51"/>
      <c r="AA356" s="51" t="s">
        <v>2511</v>
      </c>
      <c r="AB356" s="146"/>
      <c r="AC356" s="146" t="s">
        <v>1429</v>
      </c>
      <c r="AD356" s="83"/>
      <c r="AE356" s="83"/>
      <c r="AF356" s="83"/>
      <c r="AG356" s="83"/>
      <c r="AH356" s="86"/>
      <c r="AI356" s="86"/>
      <c r="AJ356" s="87"/>
      <c r="AK356" s="87"/>
      <c r="AL356" s="87"/>
      <c r="AM356" s="87"/>
      <c r="AN356" s="87"/>
      <c r="AO356" s="87"/>
      <c r="AP356" s="87"/>
      <c r="AQ356" s="235" t="s">
        <v>1453</v>
      </c>
      <c r="AR356" s="5"/>
      <c r="AS356" s="5"/>
      <c r="AT356" s="5"/>
      <c r="AU356" s="5"/>
      <c r="AV356" s="5"/>
      <c r="AW356" s="5"/>
      <c r="AX356" s="284"/>
      <c r="AY356" s="5"/>
      <c r="AZ356" s="5"/>
      <c r="BA356" s="230"/>
      <c r="BB356" s="5"/>
      <c r="BC356" s="232" t="s">
        <v>3656</v>
      </c>
      <c r="BD356" s="238" t="s">
        <v>3661</v>
      </c>
      <c r="BE356" s="249"/>
      <c r="BF356" s="249"/>
      <c r="BG356" s="249"/>
      <c r="BH356" s="249"/>
      <c r="BI356" s="249"/>
      <c r="BJ356" s="249"/>
      <c r="BK356" s="249"/>
      <c r="BL356" s="249"/>
      <c r="BM356" s="249"/>
      <c r="BN356" s="249"/>
      <c r="BO356" s="249"/>
      <c r="BP356" s="249"/>
      <c r="BQ356" s="249"/>
      <c r="BR356" s="249"/>
      <c r="BS356" s="249"/>
      <c r="BT356" s="249"/>
      <c r="BU356" s="249"/>
      <c r="BV356" s="249"/>
      <c r="BW356" s="249"/>
      <c r="BX356" s="249"/>
      <c r="BY356" s="249"/>
      <c r="BZ356" s="249"/>
      <c r="CA356" s="249"/>
      <c r="CB356" s="249"/>
      <c r="CC356" s="249"/>
      <c r="CD356" s="249"/>
      <c r="CE356" s="249"/>
    </row>
    <row r="357" spans="1:83" s="84" customFormat="1" ht="12.95" customHeight="1">
      <c r="A357" s="209" t="s">
        <v>3657</v>
      </c>
      <c r="B357" s="209" t="s">
        <v>3767</v>
      </c>
      <c r="C357" s="79" t="s">
        <v>247</v>
      </c>
      <c r="D357" s="52" t="s">
        <v>2513</v>
      </c>
      <c r="E357" s="52" t="s">
        <v>2546</v>
      </c>
      <c r="F357" s="53" t="s">
        <v>266</v>
      </c>
      <c r="G357" s="179" t="s">
        <v>1429</v>
      </c>
      <c r="H357" s="180" t="s">
        <v>1454</v>
      </c>
      <c r="I357" s="55" t="s">
        <v>2547</v>
      </c>
      <c r="J357" s="55" t="s">
        <v>1429</v>
      </c>
      <c r="K357" s="56" t="s">
        <v>1429</v>
      </c>
      <c r="L357" s="54" t="s">
        <v>1429</v>
      </c>
      <c r="M357" s="55" t="s">
        <v>1581</v>
      </c>
      <c r="N357" s="55" t="s">
        <v>1581</v>
      </c>
      <c r="O357" s="55" t="s">
        <v>1429</v>
      </c>
      <c r="P357" s="56" t="s">
        <v>1429</v>
      </c>
      <c r="Q357" s="85"/>
      <c r="R357" s="85"/>
      <c r="S357" s="85"/>
      <c r="T357" s="85"/>
      <c r="U357" s="85"/>
      <c r="V357" s="146" t="s">
        <v>2548</v>
      </c>
      <c r="W357" s="51" t="s">
        <v>2510</v>
      </c>
      <c r="X357" s="130" t="s">
        <v>1429</v>
      </c>
      <c r="Y357" s="130" t="s">
        <v>1429</v>
      </c>
      <c r="Z357" s="51"/>
      <c r="AA357" s="51" t="s">
        <v>2511</v>
      </c>
      <c r="AB357" s="146"/>
      <c r="AC357" s="146" t="s">
        <v>1429</v>
      </c>
      <c r="AD357" s="83"/>
      <c r="AE357" s="83"/>
      <c r="AF357" s="83"/>
      <c r="AG357" s="83"/>
      <c r="AH357" s="86"/>
      <c r="AI357" s="86"/>
      <c r="AJ357" s="87"/>
      <c r="AK357" s="87"/>
      <c r="AL357" s="87"/>
      <c r="AM357" s="87"/>
      <c r="AN357" s="87"/>
      <c r="AO357" s="87"/>
      <c r="AP357" s="87"/>
      <c r="AQ357" s="237" t="s">
        <v>1454</v>
      </c>
      <c r="AR357" s="5"/>
      <c r="AS357" s="5"/>
      <c r="AT357" s="5"/>
      <c r="AU357" s="5"/>
      <c r="AV357" s="5"/>
      <c r="AW357" s="5"/>
      <c r="AX357" s="284"/>
      <c r="AY357" s="5"/>
      <c r="AZ357" s="5"/>
      <c r="BA357" s="230"/>
      <c r="BB357" s="5"/>
      <c r="BC357" s="232" t="s">
        <v>3657</v>
      </c>
      <c r="BD357" s="238" t="s">
        <v>3661</v>
      </c>
      <c r="BE357" s="249"/>
      <c r="BF357" s="249"/>
      <c r="BG357" s="249"/>
      <c r="BH357" s="249"/>
      <c r="BI357" s="249"/>
      <c r="BJ357" s="249"/>
      <c r="BK357" s="249"/>
      <c r="BL357" s="249"/>
      <c r="BM357" s="249"/>
      <c r="BN357" s="249"/>
      <c r="BO357" s="249"/>
      <c r="BP357" s="249"/>
      <c r="BQ357" s="249"/>
      <c r="BR357" s="249"/>
      <c r="BS357" s="249"/>
      <c r="BT357" s="249"/>
      <c r="BU357" s="249"/>
      <c r="BV357" s="249"/>
      <c r="BW357" s="249"/>
      <c r="BX357" s="249"/>
      <c r="BY357" s="249"/>
      <c r="BZ357" s="249"/>
      <c r="CA357" s="249"/>
      <c r="CB357" s="249"/>
      <c r="CC357" s="249"/>
      <c r="CD357" s="249"/>
      <c r="CE357" s="249"/>
    </row>
    <row r="358" spans="1:83" s="84" customFormat="1" ht="12.95" customHeight="1">
      <c r="A358" s="209" t="s">
        <v>3658</v>
      </c>
      <c r="B358" s="209" t="s">
        <v>3768</v>
      </c>
      <c r="C358" s="79" t="s">
        <v>248</v>
      </c>
      <c r="D358" s="52" t="s">
        <v>2507</v>
      </c>
      <c r="E358" s="52" t="s">
        <v>2549</v>
      </c>
      <c r="F358" s="53" t="s">
        <v>265</v>
      </c>
      <c r="G358" s="179" t="s">
        <v>1429</v>
      </c>
      <c r="H358" s="180" t="s">
        <v>1455</v>
      </c>
      <c r="I358" s="55" t="s">
        <v>2550</v>
      </c>
      <c r="J358" s="55" t="s">
        <v>1429</v>
      </c>
      <c r="K358" s="56" t="s">
        <v>1429</v>
      </c>
      <c r="L358" s="54" t="s">
        <v>1429</v>
      </c>
      <c r="M358" s="55" t="s">
        <v>1581</v>
      </c>
      <c r="N358" s="55" t="s">
        <v>1581</v>
      </c>
      <c r="O358" s="55" t="s">
        <v>1429</v>
      </c>
      <c r="P358" s="56" t="s">
        <v>1429</v>
      </c>
      <c r="Q358" s="85"/>
      <c r="R358" s="85"/>
      <c r="S358" s="85"/>
      <c r="T358" s="85"/>
      <c r="U358" s="85"/>
      <c r="V358" s="146" t="s">
        <v>2551</v>
      </c>
      <c r="W358" s="51" t="s">
        <v>2510</v>
      </c>
      <c r="X358" s="130" t="s">
        <v>1429</v>
      </c>
      <c r="Y358" s="130" t="s">
        <v>1429</v>
      </c>
      <c r="Z358" s="51"/>
      <c r="AA358" s="51" t="s">
        <v>2511</v>
      </c>
      <c r="AB358" s="146"/>
      <c r="AC358" s="146" t="s">
        <v>1429</v>
      </c>
      <c r="AD358" s="83"/>
      <c r="AE358" s="83"/>
      <c r="AF358" s="83"/>
      <c r="AG358" s="83"/>
      <c r="AH358" s="86"/>
      <c r="AI358" s="86"/>
      <c r="AJ358" s="87"/>
      <c r="AK358" s="87"/>
      <c r="AL358" s="87"/>
      <c r="AM358" s="87"/>
      <c r="AN358" s="87"/>
      <c r="AO358" s="87"/>
      <c r="AP358" s="87"/>
      <c r="AQ358" s="235" t="s">
        <v>1455</v>
      </c>
      <c r="AR358" s="5"/>
      <c r="AS358" s="5"/>
      <c r="AT358" s="5"/>
      <c r="AU358" s="5"/>
      <c r="AV358" s="5"/>
      <c r="AW358" s="5"/>
      <c r="AX358" s="284"/>
      <c r="AY358" s="5"/>
      <c r="AZ358" s="5"/>
      <c r="BA358" s="230"/>
      <c r="BB358" s="5"/>
      <c r="BC358" s="232" t="s">
        <v>3658</v>
      </c>
      <c r="BD358" s="238" t="s">
        <v>3661</v>
      </c>
      <c r="BE358" s="249"/>
      <c r="BF358" s="249"/>
      <c r="BG358" s="249"/>
      <c r="BH358" s="249"/>
      <c r="BI358" s="249"/>
      <c r="BJ358" s="249"/>
      <c r="BK358" s="249"/>
      <c r="BL358" s="249"/>
      <c r="BM358" s="249"/>
      <c r="BN358" s="249"/>
      <c r="BO358" s="249"/>
      <c r="BP358" s="249"/>
      <c r="BQ358" s="249"/>
      <c r="BR358" s="249"/>
      <c r="BS358" s="249"/>
      <c r="BT358" s="249"/>
      <c r="BU358" s="249"/>
      <c r="BV358" s="249"/>
      <c r="BW358" s="249"/>
      <c r="BX358" s="249"/>
      <c r="BY358" s="249"/>
      <c r="BZ358" s="249"/>
      <c r="CA358" s="249"/>
      <c r="CB358" s="249"/>
      <c r="CC358" s="249"/>
      <c r="CD358" s="249"/>
      <c r="CE358" s="249"/>
    </row>
    <row r="359" spans="1:83" s="84" customFormat="1" ht="12.95" customHeight="1">
      <c r="A359" s="209" t="s">
        <v>3541</v>
      </c>
      <c r="B359" s="209" t="s">
        <v>1831</v>
      </c>
      <c r="C359" s="79" t="s">
        <v>249</v>
      </c>
      <c r="D359" s="52" t="s">
        <v>2552</v>
      </c>
      <c r="E359" s="52" t="s">
        <v>2553</v>
      </c>
      <c r="F359" s="53" t="s">
        <v>264</v>
      </c>
      <c r="G359" s="179" t="s">
        <v>1429</v>
      </c>
      <c r="H359" s="180" t="s">
        <v>1457</v>
      </c>
      <c r="I359" s="55" t="s">
        <v>2554</v>
      </c>
      <c r="J359" s="55" t="s">
        <v>1429</v>
      </c>
      <c r="K359" s="56" t="s">
        <v>1429</v>
      </c>
      <c r="L359" s="54" t="s">
        <v>1429</v>
      </c>
      <c r="M359" s="55" t="s">
        <v>1590</v>
      </c>
      <c r="N359" s="55" t="s">
        <v>1590</v>
      </c>
      <c r="O359" s="55" t="s">
        <v>1429</v>
      </c>
      <c r="P359" s="56" t="s">
        <v>1429</v>
      </c>
      <c r="Q359" s="85"/>
      <c r="R359" s="85"/>
      <c r="S359" s="85"/>
      <c r="T359" s="85"/>
      <c r="U359" s="85"/>
      <c r="V359" s="146" t="s">
        <v>2555</v>
      </c>
      <c r="W359" s="51" t="s">
        <v>2510</v>
      </c>
      <c r="X359" s="130" t="s">
        <v>1429</v>
      </c>
      <c r="Y359" s="130" t="s">
        <v>1429</v>
      </c>
      <c r="Z359" s="51"/>
      <c r="AA359" s="51" t="s">
        <v>2511</v>
      </c>
      <c r="AB359" s="146"/>
      <c r="AC359" s="146" t="s">
        <v>1429</v>
      </c>
      <c r="AD359" s="83"/>
      <c r="AE359" s="83"/>
      <c r="AF359" s="83"/>
      <c r="AG359" s="83"/>
      <c r="AH359" s="86"/>
      <c r="AI359" s="86"/>
      <c r="AJ359" s="87"/>
      <c r="AK359" s="87"/>
      <c r="AL359" s="87"/>
      <c r="AM359" s="87"/>
      <c r="AN359" s="87"/>
      <c r="AO359" s="87"/>
      <c r="AP359" s="87"/>
      <c r="AQ359" s="237" t="s">
        <v>2554</v>
      </c>
      <c r="AR359" s="5"/>
      <c r="AS359" s="5"/>
      <c r="AT359" s="5"/>
      <c r="AU359" s="5"/>
      <c r="AV359" s="5"/>
      <c r="AW359" s="5"/>
      <c r="AX359" s="284"/>
      <c r="AY359" s="5"/>
      <c r="AZ359" s="5"/>
      <c r="BA359" s="230"/>
      <c r="BB359" s="5"/>
      <c r="BC359" s="232" t="s">
        <v>3541</v>
      </c>
      <c r="BD359" s="238" t="s">
        <v>3662</v>
      </c>
      <c r="BE359" s="249"/>
      <c r="BF359" s="249"/>
      <c r="BG359" s="249"/>
      <c r="BH359" s="249"/>
      <c r="BI359" s="249"/>
      <c r="BJ359" s="249"/>
      <c r="BK359" s="249"/>
      <c r="BL359" s="249"/>
      <c r="BM359" s="249"/>
      <c r="BN359" s="249"/>
      <c r="BO359" s="249"/>
      <c r="BP359" s="249"/>
      <c r="BQ359" s="249"/>
      <c r="BR359" s="249"/>
      <c r="BS359" s="249"/>
      <c r="BT359" s="249"/>
      <c r="BU359" s="249"/>
      <c r="BV359" s="249"/>
      <c r="BW359" s="249"/>
      <c r="BX359" s="249"/>
      <c r="BY359" s="249"/>
      <c r="BZ359" s="249"/>
      <c r="CA359" s="249"/>
      <c r="CB359" s="249"/>
      <c r="CC359" s="249"/>
      <c r="CD359" s="249"/>
      <c r="CE359" s="249"/>
    </row>
    <row r="360" spans="1:83" s="84" customFormat="1" ht="12.95" customHeight="1">
      <c r="A360" s="209" t="s">
        <v>3542</v>
      </c>
      <c r="B360" s="209" t="s">
        <v>1839</v>
      </c>
      <c r="C360" s="79" t="s">
        <v>250</v>
      </c>
      <c r="D360" s="52" t="s">
        <v>2556</v>
      </c>
      <c r="E360" s="52" t="s">
        <v>2557</v>
      </c>
      <c r="F360" s="53" t="s">
        <v>263</v>
      </c>
      <c r="G360" s="179" t="s">
        <v>1429</v>
      </c>
      <c r="H360" s="180" t="s">
        <v>1456</v>
      </c>
      <c r="I360" s="55" t="s">
        <v>2558</v>
      </c>
      <c r="J360" s="55" t="s">
        <v>1429</v>
      </c>
      <c r="K360" s="56" t="s">
        <v>1429</v>
      </c>
      <c r="L360" s="54" t="s">
        <v>1429</v>
      </c>
      <c r="M360" s="55" t="s">
        <v>1590</v>
      </c>
      <c r="N360" s="55" t="s">
        <v>1590</v>
      </c>
      <c r="O360" s="55" t="s">
        <v>1429</v>
      </c>
      <c r="P360" s="56" t="s">
        <v>1429</v>
      </c>
      <c r="Q360" s="85"/>
      <c r="R360" s="85"/>
      <c r="S360" s="85"/>
      <c r="T360" s="85"/>
      <c r="U360" s="85"/>
      <c r="V360" s="146" t="s">
        <v>2559</v>
      </c>
      <c r="W360" s="51" t="s">
        <v>2510</v>
      </c>
      <c r="X360" s="130" t="s">
        <v>1429</v>
      </c>
      <c r="Y360" s="130" t="s">
        <v>1429</v>
      </c>
      <c r="Z360" s="51"/>
      <c r="AA360" s="51" t="s">
        <v>2511</v>
      </c>
      <c r="AB360" s="146"/>
      <c r="AC360" s="146" t="s">
        <v>1429</v>
      </c>
      <c r="AD360" s="83"/>
      <c r="AE360" s="83"/>
      <c r="AF360" s="83"/>
      <c r="AG360" s="83"/>
      <c r="AH360" s="86"/>
      <c r="AI360" s="86"/>
      <c r="AJ360" s="87"/>
      <c r="AK360" s="87"/>
      <c r="AL360" s="87"/>
      <c r="AM360" s="87"/>
      <c r="AN360" s="87"/>
      <c r="AO360" s="87"/>
      <c r="AP360" s="87"/>
      <c r="AQ360" s="235" t="s">
        <v>2558</v>
      </c>
      <c r="AR360" s="5"/>
      <c r="AS360" s="5"/>
      <c r="AT360" s="5"/>
      <c r="AU360" s="5"/>
      <c r="AV360" s="5"/>
      <c r="AW360" s="5"/>
      <c r="AX360" s="284"/>
      <c r="AY360" s="5"/>
      <c r="AZ360" s="5"/>
      <c r="BA360" s="230"/>
      <c r="BB360" s="5"/>
      <c r="BC360" s="232" t="s">
        <v>3542</v>
      </c>
      <c r="BD360" s="238" t="s">
        <v>3662</v>
      </c>
      <c r="BE360" s="249"/>
      <c r="BF360" s="249"/>
      <c r="BG360" s="249"/>
      <c r="BH360" s="249"/>
      <c r="BI360" s="249"/>
      <c r="BJ360" s="249"/>
      <c r="BK360" s="249"/>
      <c r="BL360" s="249"/>
      <c r="BM360" s="249"/>
      <c r="BN360" s="249"/>
      <c r="BO360" s="249"/>
      <c r="BP360" s="249"/>
      <c r="BQ360" s="249"/>
      <c r="BR360" s="249"/>
      <c r="BS360" s="249"/>
      <c r="BT360" s="249"/>
      <c r="BU360" s="249"/>
      <c r="BV360" s="249"/>
      <c r="BW360" s="249"/>
      <c r="BX360" s="249"/>
      <c r="BY360" s="249"/>
      <c r="BZ360" s="249"/>
      <c r="CA360" s="249"/>
      <c r="CB360" s="249"/>
      <c r="CC360" s="249"/>
      <c r="CD360" s="249"/>
      <c r="CE360" s="249"/>
    </row>
    <row r="361" spans="1:83" s="84" customFormat="1" ht="12.95" customHeight="1">
      <c r="A361" s="209" t="s">
        <v>3543</v>
      </c>
      <c r="B361" s="209" t="s">
        <v>3580</v>
      </c>
      <c r="C361" s="79" t="s">
        <v>251</v>
      </c>
      <c r="D361" s="52" t="s">
        <v>2543</v>
      </c>
      <c r="E361" s="52" t="s">
        <v>2560</v>
      </c>
      <c r="F361" s="53" t="s">
        <v>262</v>
      </c>
      <c r="G361" s="179" t="s">
        <v>1429</v>
      </c>
      <c r="H361" s="180" t="s">
        <v>1459</v>
      </c>
      <c r="I361" s="55" t="s">
        <v>2561</v>
      </c>
      <c r="J361" s="55" t="s">
        <v>1429</v>
      </c>
      <c r="K361" s="56" t="s">
        <v>1429</v>
      </c>
      <c r="L361" s="54" t="s">
        <v>1429</v>
      </c>
      <c r="M361" s="55" t="s">
        <v>1581</v>
      </c>
      <c r="N361" s="55" t="s">
        <v>1581</v>
      </c>
      <c r="O361" s="55" t="s">
        <v>1429</v>
      </c>
      <c r="P361" s="56" t="s">
        <v>1429</v>
      </c>
      <c r="Q361" s="85"/>
      <c r="R361" s="85"/>
      <c r="S361" s="85"/>
      <c r="T361" s="85"/>
      <c r="U361" s="85"/>
      <c r="V361" s="146" t="s">
        <v>2562</v>
      </c>
      <c r="W361" s="51" t="s">
        <v>2510</v>
      </c>
      <c r="X361" s="130" t="s">
        <v>1429</v>
      </c>
      <c r="Y361" s="130" t="s">
        <v>1429</v>
      </c>
      <c r="Z361" s="51"/>
      <c r="AA361" s="51" t="s">
        <v>2511</v>
      </c>
      <c r="AB361" s="146"/>
      <c r="AC361" s="146" t="s">
        <v>1429</v>
      </c>
      <c r="AD361" s="83"/>
      <c r="AE361" s="83"/>
      <c r="AF361" s="83"/>
      <c r="AG361" s="83"/>
      <c r="AH361" s="86"/>
      <c r="AI361" s="86"/>
      <c r="AJ361" s="87"/>
      <c r="AK361" s="87"/>
      <c r="AL361" s="87"/>
      <c r="AM361" s="87"/>
      <c r="AN361" s="87"/>
      <c r="AO361" s="87"/>
      <c r="AP361" s="87"/>
      <c r="AQ361" s="237" t="s">
        <v>2561</v>
      </c>
      <c r="AR361" s="5"/>
      <c r="AS361" s="5"/>
      <c r="AT361" s="5"/>
      <c r="AU361" s="5"/>
      <c r="AV361" s="5"/>
      <c r="AW361" s="5"/>
      <c r="AX361" s="284"/>
      <c r="AY361" s="5"/>
      <c r="AZ361" s="5"/>
      <c r="BA361" s="230"/>
      <c r="BB361" s="5"/>
      <c r="BC361" s="232" t="s">
        <v>3543</v>
      </c>
      <c r="BD361" s="238" t="s">
        <v>3662</v>
      </c>
      <c r="BE361" s="249"/>
      <c r="BF361" s="249"/>
      <c r="BG361" s="249"/>
      <c r="BH361" s="249"/>
      <c r="BI361" s="249"/>
      <c r="BJ361" s="249"/>
      <c r="BK361" s="249"/>
      <c r="BL361" s="249"/>
      <c r="BM361" s="249"/>
      <c r="BN361" s="249"/>
      <c r="BO361" s="249"/>
      <c r="BP361" s="249"/>
      <c r="BQ361" s="249"/>
      <c r="BR361" s="249"/>
      <c r="BS361" s="249"/>
      <c r="BT361" s="249"/>
      <c r="BU361" s="249"/>
      <c r="BV361" s="249"/>
      <c r="BW361" s="249"/>
      <c r="BX361" s="249"/>
      <c r="BY361" s="249"/>
      <c r="BZ361" s="249"/>
      <c r="CA361" s="249"/>
      <c r="CB361" s="249"/>
      <c r="CC361" s="249"/>
      <c r="CD361" s="249"/>
      <c r="CE361" s="249"/>
    </row>
    <row r="362" spans="1:83" s="84" customFormat="1" ht="12.95" customHeight="1">
      <c r="A362" s="209" t="s">
        <v>3544</v>
      </c>
      <c r="B362" s="209" t="s">
        <v>1601</v>
      </c>
      <c r="C362" s="79" t="s">
        <v>252</v>
      </c>
      <c r="D362" s="52" t="s">
        <v>2539</v>
      </c>
      <c r="E362" s="52" t="s">
        <v>2563</v>
      </c>
      <c r="F362" s="53" t="s">
        <v>261</v>
      </c>
      <c r="G362" s="179" t="s">
        <v>1429</v>
      </c>
      <c r="H362" s="180" t="s">
        <v>1458</v>
      </c>
      <c r="I362" s="55" t="s">
        <v>2564</v>
      </c>
      <c r="J362" s="55" t="s">
        <v>1429</v>
      </c>
      <c r="K362" s="56" t="s">
        <v>1429</v>
      </c>
      <c r="L362" s="54" t="s">
        <v>1429</v>
      </c>
      <c r="M362" s="55" t="s">
        <v>1581</v>
      </c>
      <c r="N362" s="55" t="s">
        <v>1581</v>
      </c>
      <c r="O362" s="55" t="s">
        <v>1429</v>
      </c>
      <c r="P362" s="56" t="s">
        <v>1429</v>
      </c>
      <c r="Q362" s="85"/>
      <c r="R362" s="85"/>
      <c r="S362" s="85"/>
      <c r="T362" s="85"/>
      <c r="U362" s="85"/>
      <c r="V362" s="146" t="s">
        <v>2565</v>
      </c>
      <c r="W362" s="51" t="s">
        <v>2510</v>
      </c>
      <c r="X362" s="130" t="s">
        <v>1429</v>
      </c>
      <c r="Y362" s="130" t="s">
        <v>1429</v>
      </c>
      <c r="Z362" s="51"/>
      <c r="AA362" s="51" t="s">
        <v>2511</v>
      </c>
      <c r="AB362" s="146"/>
      <c r="AC362" s="146" t="s">
        <v>1429</v>
      </c>
      <c r="AD362" s="83"/>
      <c r="AE362" s="83"/>
      <c r="AF362" s="83"/>
      <c r="AG362" s="83"/>
      <c r="AH362" s="86"/>
      <c r="AI362" s="86"/>
      <c r="AJ362" s="87"/>
      <c r="AK362" s="87"/>
      <c r="AL362" s="87"/>
      <c r="AM362" s="87"/>
      <c r="AN362" s="87"/>
      <c r="AO362" s="87"/>
      <c r="AP362" s="87"/>
      <c r="AQ362" s="235" t="s">
        <v>2564</v>
      </c>
      <c r="AR362" s="5"/>
      <c r="AS362" s="5"/>
      <c r="AT362" s="5"/>
      <c r="AU362" s="5"/>
      <c r="AV362" s="5"/>
      <c r="AW362" s="5"/>
      <c r="AX362" s="284"/>
      <c r="AY362" s="5"/>
      <c r="AZ362" s="5"/>
      <c r="BA362" s="230"/>
      <c r="BB362" s="5"/>
      <c r="BC362" s="232" t="s">
        <v>3544</v>
      </c>
      <c r="BD362" s="238" t="s">
        <v>3662</v>
      </c>
      <c r="BE362" s="249"/>
      <c r="BF362" s="249"/>
      <c r="BG362" s="249"/>
      <c r="BH362" s="249"/>
      <c r="BI362" s="249"/>
      <c r="BJ362" s="249"/>
      <c r="BK362" s="249"/>
      <c r="BL362" s="249"/>
      <c r="BM362" s="249"/>
      <c r="BN362" s="249"/>
      <c r="BO362" s="249"/>
      <c r="BP362" s="249"/>
      <c r="BQ362" s="249"/>
      <c r="BR362" s="249"/>
      <c r="BS362" s="249"/>
      <c r="BT362" s="249"/>
      <c r="BU362" s="249"/>
      <c r="BV362" s="249"/>
      <c r="BW362" s="249"/>
      <c r="BX362" s="249"/>
      <c r="BY362" s="249"/>
      <c r="BZ362" s="249"/>
      <c r="CA362" s="249"/>
      <c r="CB362" s="249"/>
      <c r="CC362" s="249"/>
      <c r="CD362" s="249"/>
      <c r="CE362" s="249"/>
    </row>
    <row r="363" spans="1:83" s="84" customFormat="1" ht="12.95" customHeight="1">
      <c r="A363" s="84" t="s">
        <v>3424</v>
      </c>
      <c r="B363" s="84" t="s">
        <v>3632</v>
      </c>
      <c r="C363" s="79" t="s">
        <v>253</v>
      </c>
      <c r="D363" s="52" t="s">
        <v>2566</v>
      </c>
      <c r="E363" s="52" t="s">
        <v>2567</v>
      </c>
      <c r="F363" s="53" t="s">
        <v>260</v>
      </c>
      <c r="G363" s="179" t="s">
        <v>1429</v>
      </c>
      <c r="H363" s="180" t="s">
        <v>1461</v>
      </c>
      <c r="I363" s="55" t="s">
        <v>2568</v>
      </c>
      <c r="J363" s="55" t="s">
        <v>1429</v>
      </c>
      <c r="K363" s="56" t="s">
        <v>1429</v>
      </c>
      <c r="L363" s="54" t="s">
        <v>1429</v>
      </c>
      <c r="M363" s="55" t="s">
        <v>1590</v>
      </c>
      <c r="N363" s="55" t="s">
        <v>1590</v>
      </c>
      <c r="O363" s="55" t="s">
        <v>1429</v>
      </c>
      <c r="P363" s="56" t="s">
        <v>1429</v>
      </c>
      <c r="Q363" s="85"/>
      <c r="R363" s="85"/>
      <c r="S363" s="85"/>
      <c r="T363" s="85"/>
      <c r="U363" s="85"/>
      <c r="V363" s="146" t="s">
        <v>2569</v>
      </c>
      <c r="W363" s="51" t="s">
        <v>2510</v>
      </c>
      <c r="X363" s="130" t="s">
        <v>1429</v>
      </c>
      <c r="Y363" s="130" t="s">
        <v>1429</v>
      </c>
      <c r="Z363" s="51"/>
      <c r="AA363" s="51" t="s">
        <v>2511</v>
      </c>
      <c r="AB363" s="146"/>
      <c r="AC363" s="146" t="s">
        <v>1429</v>
      </c>
      <c r="AD363" s="83"/>
      <c r="AE363" s="83"/>
      <c r="AF363" s="83"/>
      <c r="AG363" s="83"/>
      <c r="AH363" s="86"/>
      <c r="AI363" s="86"/>
      <c r="AJ363" s="87"/>
      <c r="AK363" s="87"/>
      <c r="AL363" s="87"/>
      <c r="AM363" s="87"/>
      <c r="AN363" s="87"/>
      <c r="AO363" s="87"/>
      <c r="AP363" s="87"/>
      <c r="AQ363" s="237" t="s">
        <v>1461</v>
      </c>
      <c r="AR363" s="5"/>
      <c r="AS363" s="5"/>
      <c r="AT363" s="5"/>
      <c r="AU363" s="5"/>
      <c r="AV363" s="5"/>
      <c r="AW363" s="5"/>
      <c r="AX363" s="284"/>
      <c r="AY363" s="5"/>
      <c r="AZ363" s="5"/>
      <c r="BA363" s="230"/>
      <c r="BB363" s="5"/>
      <c r="BC363" s="232" t="s">
        <v>3424</v>
      </c>
      <c r="BD363" s="238" t="s">
        <v>3663</v>
      </c>
      <c r="BE363" s="249"/>
      <c r="BF363" s="249"/>
      <c r="BG363" s="249"/>
      <c r="BH363" s="249"/>
      <c r="BI363" s="249"/>
      <c r="BJ363" s="249"/>
      <c r="BK363" s="249"/>
      <c r="BL363" s="249"/>
      <c r="BM363" s="249"/>
      <c r="BN363" s="249"/>
      <c r="BO363" s="249"/>
      <c r="BP363" s="249"/>
      <c r="BQ363" s="249"/>
      <c r="BR363" s="249"/>
      <c r="BS363" s="249"/>
      <c r="BT363" s="249"/>
      <c r="BU363" s="249"/>
      <c r="BV363" s="249"/>
      <c r="BW363" s="249"/>
      <c r="BX363" s="249"/>
      <c r="BY363" s="249"/>
      <c r="BZ363" s="249"/>
      <c r="CA363" s="249"/>
      <c r="CB363" s="249"/>
      <c r="CC363" s="249"/>
      <c r="CD363" s="249"/>
      <c r="CE363" s="249"/>
    </row>
    <row r="364" spans="1:83" s="84" customFormat="1" ht="12.95" customHeight="1">
      <c r="A364" s="84" t="s">
        <v>3425</v>
      </c>
      <c r="B364" s="84" t="s">
        <v>3633</v>
      </c>
      <c r="C364" s="79" t="s">
        <v>254</v>
      </c>
      <c r="D364" s="52" t="s">
        <v>2570</v>
      </c>
      <c r="E364" s="52" t="s">
        <v>2571</v>
      </c>
      <c r="F364" s="53" t="s">
        <v>259</v>
      </c>
      <c r="G364" s="179" t="s">
        <v>1429</v>
      </c>
      <c r="H364" s="180" t="s">
        <v>1460</v>
      </c>
      <c r="I364" s="55" t="s">
        <v>2572</v>
      </c>
      <c r="J364" s="55" t="s">
        <v>1429</v>
      </c>
      <c r="K364" s="56" t="s">
        <v>1429</v>
      </c>
      <c r="L364" s="54" t="s">
        <v>1429</v>
      </c>
      <c r="M364" s="55" t="s">
        <v>1590</v>
      </c>
      <c r="N364" s="55" t="s">
        <v>1590</v>
      </c>
      <c r="O364" s="55" t="s">
        <v>1429</v>
      </c>
      <c r="P364" s="56" t="s">
        <v>1429</v>
      </c>
      <c r="Q364" s="85"/>
      <c r="R364" s="85"/>
      <c r="S364" s="85"/>
      <c r="T364" s="85"/>
      <c r="U364" s="85"/>
      <c r="V364" s="146" t="s">
        <v>2573</v>
      </c>
      <c r="W364" s="51" t="s">
        <v>2510</v>
      </c>
      <c r="X364" s="130" t="s">
        <v>1429</v>
      </c>
      <c r="Y364" s="130" t="s">
        <v>1429</v>
      </c>
      <c r="Z364" s="51"/>
      <c r="AA364" s="51" t="s">
        <v>2511</v>
      </c>
      <c r="AB364" s="146"/>
      <c r="AC364" s="146" t="s">
        <v>1429</v>
      </c>
      <c r="AD364" s="83"/>
      <c r="AE364" s="83"/>
      <c r="AF364" s="83"/>
      <c r="AG364" s="83"/>
      <c r="AH364" s="86"/>
      <c r="AI364" s="86"/>
      <c r="AJ364" s="87"/>
      <c r="AK364" s="87"/>
      <c r="AL364" s="87"/>
      <c r="AM364" s="87"/>
      <c r="AN364" s="87"/>
      <c r="AO364" s="87"/>
      <c r="AP364" s="87"/>
      <c r="AQ364" s="235" t="s">
        <v>1460</v>
      </c>
      <c r="AR364" s="5"/>
      <c r="AS364" s="5"/>
      <c r="AT364" s="5"/>
      <c r="AU364" s="5"/>
      <c r="AV364" s="5"/>
      <c r="AW364" s="5"/>
      <c r="AX364" s="284"/>
      <c r="AY364" s="5"/>
      <c r="AZ364" s="5"/>
      <c r="BA364" s="230"/>
      <c r="BB364" s="5"/>
      <c r="BC364" s="232" t="s">
        <v>3425</v>
      </c>
      <c r="BD364" s="238" t="s">
        <v>3663</v>
      </c>
      <c r="BE364" s="249"/>
      <c r="BF364" s="249"/>
      <c r="BG364" s="249"/>
      <c r="BH364" s="249"/>
      <c r="BI364" s="249"/>
      <c r="BJ364" s="249"/>
      <c r="BK364" s="249"/>
      <c r="BL364" s="249"/>
      <c r="BM364" s="249"/>
      <c r="BN364" s="249"/>
      <c r="BO364" s="249"/>
      <c r="BP364" s="249"/>
      <c r="BQ364" s="249"/>
      <c r="BR364" s="249"/>
      <c r="BS364" s="249"/>
      <c r="BT364" s="249"/>
      <c r="BU364" s="249"/>
      <c r="BV364" s="249"/>
      <c r="BW364" s="249"/>
      <c r="BX364" s="249"/>
      <c r="BY364" s="249"/>
      <c r="BZ364" s="249"/>
      <c r="CA364" s="249"/>
      <c r="CB364" s="249"/>
      <c r="CC364" s="249"/>
      <c r="CD364" s="249"/>
      <c r="CE364" s="249"/>
    </row>
    <row r="365" spans="1:83" s="84" customFormat="1" ht="12.95" customHeight="1">
      <c r="A365" s="84" t="s">
        <v>3426</v>
      </c>
      <c r="B365" s="84" t="s">
        <v>3593</v>
      </c>
      <c r="C365" s="79" t="s">
        <v>255</v>
      </c>
      <c r="D365" s="52" t="s">
        <v>2553</v>
      </c>
      <c r="E365" s="52" t="s">
        <v>2574</v>
      </c>
      <c r="F365" s="53" t="s">
        <v>258</v>
      </c>
      <c r="G365" s="179" t="s">
        <v>1429</v>
      </c>
      <c r="H365" s="180" t="s">
        <v>1463</v>
      </c>
      <c r="I365" s="55" t="s">
        <v>2575</v>
      </c>
      <c r="J365" s="55" t="s">
        <v>1429</v>
      </c>
      <c r="K365" s="56" t="s">
        <v>1429</v>
      </c>
      <c r="L365" s="54" t="s">
        <v>1429</v>
      </c>
      <c r="M365" s="55" t="s">
        <v>1581</v>
      </c>
      <c r="N365" s="55" t="s">
        <v>1581</v>
      </c>
      <c r="O365" s="55" t="s">
        <v>1429</v>
      </c>
      <c r="P365" s="56" t="s">
        <v>1429</v>
      </c>
      <c r="Q365" s="85"/>
      <c r="R365" s="85"/>
      <c r="S365" s="85"/>
      <c r="T365" s="85"/>
      <c r="U365" s="85"/>
      <c r="V365" s="146" t="s">
        <v>2576</v>
      </c>
      <c r="W365" s="51" t="s">
        <v>2510</v>
      </c>
      <c r="X365" s="130" t="s">
        <v>1429</v>
      </c>
      <c r="Y365" s="130" t="s">
        <v>1429</v>
      </c>
      <c r="Z365" s="51"/>
      <c r="AA365" s="51" t="s">
        <v>2511</v>
      </c>
      <c r="AB365" s="146"/>
      <c r="AC365" s="146" t="s">
        <v>1429</v>
      </c>
      <c r="AD365" s="83"/>
      <c r="AE365" s="83"/>
      <c r="AF365" s="83"/>
      <c r="AG365" s="83"/>
      <c r="AH365" s="86"/>
      <c r="AI365" s="86"/>
      <c r="AJ365" s="87"/>
      <c r="AK365" s="87"/>
      <c r="AL365" s="87"/>
      <c r="AM365" s="87"/>
      <c r="AN365" s="87"/>
      <c r="AO365" s="87"/>
      <c r="AP365" s="87"/>
      <c r="AQ365" s="237" t="s">
        <v>1463</v>
      </c>
      <c r="AR365" s="5"/>
      <c r="AS365" s="5"/>
      <c r="AT365" s="5"/>
      <c r="AU365" s="5"/>
      <c r="AV365" s="5"/>
      <c r="AW365" s="5"/>
      <c r="AX365" s="284"/>
      <c r="AY365" s="5"/>
      <c r="AZ365" s="5"/>
      <c r="BA365" s="230"/>
      <c r="BB365" s="5"/>
      <c r="BC365" s="232" t="s">
        <v>3426</v>
      </c>
      <c r="BD365" s="238" t="s">
        <v>3663</v>
      </c>
      <c r="BE365" s="249"/>
      <c r="BF365" s="249"/>
      <c r="BG365" s="249"/>
      <c r="BH365" s="249"/>
      <c r="BI365" s="249"/>
      <c r="BJ365" s="249"/>
      <c r="BK365" s="249"/>
      <c r="BL365" s="249"/>
      <c r="BM365" s="249"/>
      <c r="BN365" s="249"/>
      <c r="BO365" s="249"/>
      <c r="BP365" s="249"/>
      <c r="BQ365" s="249"/>
      <c r="BR365" s="249"/>
      <c r="BS365" s="249"/>
      <c r="BT365" s="249"/>
      <c r="BU365" s="249"/>
      <c r="BV365" s="249"/>
      <c r="BW365" s="249"/>
      <c r="BX365" s="249"/>
      <c r="BY365" s="249"/>
      <c r="BZ365" s="249"/>
      <c r="CA365" s="249"/>
      <c r="CB365" s="249"/>
      <c r="CC365" s="249"/>
      <c r="CD365" s="249"/>
      <c r="CE365" s="249"/>
    </row>
    <row r="366" spans="1:83" s="84" customFormat="1" ht="12.95" customHeight="1">
      <c r="A366" s="84" t="s">
        <v>3427</v>
      </c>
      <c r="B366" s="84" t="s">
        <v>3592</v>
      </c>
      <c r="C366" s="79" t="s">
        <v>256</v>
      </c>
      <c r="D366" s="52" t="s">
        <v>2557</v>
      </c>
      <c r="E366" s="52" t="s">
        <v>2577</v>
      </c>
      <c r="F366" s="53" t="s">
        <v>257</v>
      </c>
      <c r="G366" s="179" t="s">
        <v>1429</v>
      </c>
      <c r="H366" s="180" t="s">
        <v>1462</v>
      </c>
      <c r="I366" s="55" t="s">
        <v>2578</v>
      </c>
      <c r="J366" s="55" t="s">
        <v>1429</v>
      </c>
      <c r="K366" s="56" t="s">
        <v>1429</v>
      </c>
      <c r="L366" s="54" t="s">
        <v>1429</v>
      </c>
      <c r="M366" s="55" t="s">
        <v>1581</v>
      </c>
      <c r="N366" s="55" t="s">
        <v>1581</v>
      </c>
      <c r="O366" s="55" t="s">
        <v>1429</v>
      </c>
      <c r="P366" s="56" t="s">
        <v>1429</v>
      </c>
      <c r="Q366" s="85"/>
      <c r="R366" s="85"/>
      <c r="S366" s="85"/>
      <c r="T366" s="85"/>
      <c r="U366" s="85"/>
      <c r="V366" s="146" t="s">
        <v>2579</v>
      </c>
      <c r="W366" s="51" t="s">
        <v>2510</v>
      </c>
      <c r="X366" s="130" t="s">
        <v>1429</v>
      </c>
      <c r="Y366" s="130" t="s">
        <v>1429</v>
      </c>
      <c r="Z366" s="51"/>
      <c r="AA366" s="51" t="s">
        <v>2511</v>
      </c>
      <c r="AB366" s="146"/>
      <c r="AC366" s="146" t="s">
        <v>1429</v>
      </c>
      <c r="AD366" s="83"/>
      <c r="AE366" s="83"/>
      <c r="AF366" s="83"/>
      <c r="AG366" s="83"/>
      <c r="AH366" s="86"/>
      <c r="AI366" s="86"/>
      <c r="AJ366" s="87"/>
      <c r="AK366" s="87"/>
      <c r="AL366" s="87"/>
      <c r="AM366" s="87"/>
      <c r="AN366" s="87"/>
      <c r="AO366" s="87"/>
      <c r="AP366" s="87"/>
      <c r="AQ366" s="235" t="s">
        <v>1462</v>
      </c>
      <c r="AR366" s="5"/>
      <c r="AS366" s="5"/>
      <c r="AT366" s="5"/>
      <c r="AU366" s="5"/>
      <c r="AV366" s="5"/>
      <c r="AW366" s="5"/>
      <c r="AX366" s="284"/>
      <c r="AY366" s="5"/>
      <c r="AZ366" s="5"/>
      <c r="BA366" s="230"/>
      <c r="BB366" s="5"/>
      <c r="BC366" s="232" t="s">
        <v>3427</v>
      </c>
      <c r="BD366" s="238" t="s">
        <v>3663</v>
      </c>
      <c r="BE366" s="249"/>
      <c r="BF366" s="249"/>
      <c r="BG366" s="249"/>
      <c r="BH366" s="249"/>
      <c r="BI366" s="249"/>
      <c r="BJ366" s="249"/>
      <c r="BK366" s="249"/>
      <c r="BL366" s="249"/>
      <c r="BM366" s="249"/>
      <c r="BN366" s="249"/>
      <c r="BO366" s="249"/>
      <c r="BP366" s="249"/>
      <c r="BQ366" s="249"/>
      <c r="BR366" s="249"/>
      <c r="BS366" s="249"/>
      <c r="BT366" s="249"/>
      <c r="BU366" s="249"/>
      <c r="BV366" s="249"/>
      <c r="BW366" s="249"/>
      <c r="BX366" s="249"/>
      <c r="BY366" s="249"/>
      <c r="BZ366" s="249"/>
      <c r="CA366" s="249"/>
      <c r="CB366" s="249"/>
      <c r="CC366" s="249"/>
      <c r="CD366" s="249"/>
      <c r="CE366" s="249"/>
    </row>
    <row r="367" spans="1:83" s="84" customFormat="1" ht="12.95" customHeight="1">
      <c r="A367" s="84" t="s">
        <v>3420</v>
      </c>
      <c r="B367" s="84" t="s">
        <v>3617</v>
      </c>
      <c r="C367" s="79" t="s">
        <v>341</v>
      </c>
      <c r="D367" s="52" t="s">
        <v>2580</v>
      </c>
      <c r="E367" s="52" t="s">
        <v>2581</v>
      </c>
      <c r="F367" s="53" t="s">
        <v>593</v>
      </c>
      <c r="G367" s="179" t="s">
        <v>1429</v>
      </c>
      <c r="H367" s="180" t="s">
        <v>1464</v>
      </c>
      <c r="I367" s="55" t="s">
        <v>2582</v>
      </c>
      <c r="J367" s="55" t="s">
        <v>1429</v>
      </c>
      <c r="K367" s="56" t="s">
        <v>1429</v>
      </c>
      <c r="L367" s="54" t="s">
        <v>1429</v>
      </c>
      <c r="M367" s="55" t="s">
        <v>1590</v>
      </c>
      <c r="N367" s="55" t="s">
        <v>1590</v>
      </c>
      <c r="O367" s="55" t="s">
        <v>1429</v>
      </c>
      <c r="P367" s="56" t="s">
        <v>1429</v>
      </c>
      <c r="Q367" s="85"/>
      <c r="R367" s="85"/>
      <c r="S367" s="85"/>
      <c r="T367" s="85"/>
      <c r="U367" s="85"/>
      <c r="V367" s="146" t="s">
        <v>2583</v>
      </c>
      <c r="W367" s="51" t="s">
        <v>2510</v>
      </c>
      <c r="X367" s="130" t="s">
        <v>1429</v>
      </c>
      <c r="Y367" s="130" t="s">
        <v>1429</v>
      </c>
      <c r="Z367" s="51"/>
      <c r="AA367" s="51" t="s">
        <v>2511</v>
      </c>
      <c r="AB367" s="146"/>
      <c r="AC367" s="146" t="s">
        <v>1429</v>
      </c>
      <c r="AD367" s="83"/>
      <c r="AE367" s="83"/>
      <c r="AF367" s="83"/>
      <c r="AG367" s="83"/>
      <c r="AH367" s="86"/>
      <c r="AI367" s="86"/>
      <c r="AJ367" s="87"/>
      <c r="AK367" s="87"/>
      <c r="AL367" s="87"/>
      <c r="AM367" s="87"/>
      <c r="AN367" s="87"/>
      <c r="AO367" s="87"/>
      <c r="AP367" s="87"/>
      <c r="AQ367" s="237" t="s">
        <v>1464</v>
      </c>
      <c r="AR367" s="5"/>
      <c r="AS367" s="5"/>
      <c r="AT367" s="5"/>
      <c r="AU367" s="5"/>
      <c r="AV367" s="5"/>
      <c r="AW367" s="5"/>
      <c r="AX367" s="284"/>
      <c r="AY367" s="5"/>
      <c r="AZ367" s="5"/>
      <c r="BA367" s="230"/>
      <c r="BB367" s="5"/>
      <c r="BC367" s="232" t="s">
        <v>3420</v>
      </c>
      <c r="BD367" s="238" t="s">
        <v>275</v>
      </c>
      <c r="BE367" s="249"/>
      <c r="BF367" s="249"/>
      <c r="BG367" s="249"/>
      <c r="BH367" s="249"/>
      <c r="BI367" s="249"/>
      <c r="BJ367" s="249"/>
      <c r="BK367" s="249"/>
      <c r="BL367" s="249"/>
      <c r="BM367" s="249"/>
      <c r="BN367" s="249"/>
      <c r="BO367" s="249"/>
      <c r="BP367" s="249"/>
      <c r="BQ367" s="249"/>
      <c r="BR367" s="249"/>
      <c r="BS367" s="249"/>
      <c r="BT367" s="249"/>
      <c r="BU367" s="249"/>
      <c r="BV367" s="249"/>
      <c r="BW367" s="249"/>
      <c r="BX367" s="249"/>
      <c r="BY367" s="249"/>
      <c r="BZ367" s="249"/>
      <c r="CA367" s="249"/>
      <c r="CB367" s="249"/>
      <c r="CC367" s="249"/>
      <c r="CD367" s="249"/>
      <c r="CE367" s="249"/>
    </row>
    <row r="368" spans="1:83" s="84" customFormat="1" ht="12.95" customHeight="1">
      <c r="A368" s="84" t="s">
        <v>3421</v>
      </c>
      <c r="B368" s="84" t="s">
        <v>3616</v>
      </c>
      <c r="C368" s="79" t="s">
        <v>342</v>
      </c>
      <c r="D368" s="52" t="s">
        <v>2584</v>
      </c>
      <c r="E368" s="52" t="s">
        <v>2585</v>
      </c>
      <c r="F368" s="53" t="s">
        <v>594</v>
      </c>
      <c r="G368" s="179" t="s">
        <v>1429</v>
      </c>
      <c r="H368" s="180" t="s">
        <v>1465</v>
      </c>
      <c r="I368" s="55" t="s">
        <v>2586</v>
      </c>
      <c r="J368" s="55" t="s">
        <v>1429</v>
      </c>
      <c r="K368" s="56" t="s">
        <v>1429</v>
      </c>
      <c r="L368" s="54" t="s">
        <v>1429</v>
      </c>
      <c r="M368" s="55" t="s">
        <v>1590</v>
      </c>
      <c r="N368" s="55" t="s">
        <v>1590</v>
      </c>
      <c r="O368" s="55" t="s">
        <v>1429</v>
      </c>
      <c r="P368" s="56" t="s">
        <v>1429</v>
      </c>
      <c r="Q368" s="85"/>
      <c r="R368" s="85"/>
      <c r="S368" s="85"/>
      <c r="T368" s="85"/>
      <c r="U368" s="85"/>
      <c r="V368" s="146" t="s">
        <v>2587</v>
      </c>
      <c r="W368" s="51" t="s">
        <v>2510</v>
      </c>
      <c r="X368" s="130" t="s">
        <v>1429</v>
      </c>
      <c r="Y368" s="130" t="s">
        <v>1429</v>
      </c>
      <c r="Z368" s="51"/>
      <c r="AA368" s="51" t="s">
        <v>2511</v>
      </c>
      <c r="AB368" s="146"/>
      <c r="AC368" s="146" t="s">
        <v>1429</v>
      </c>
      <c r="AD368" s="83"/>
      <c r="AE368" s="83"/>
      <c r="AF368" s="83"/>
      <c r="AG368" s="83"/>
      <c r="AH368" s="86"/>
      <c r="AI368" s="86"/>
      <c r="AJ368" s="87"/>
      <c r="AK368" s="87"/>
      <c r="AL368" s="87"/>
      <c r="AM368" s="87"/>
      <c r="AN368" s="87"/>
      <c r="AO368" s="87"/>
      <c r="AP368" s="87"/>
      <c r="AQ368" s="235" t="s">
        <v>1465</v>
      </c>
      <c r="AR368" s="5"/>
      <c r="AS368" s="5"/>
      <c r="AT368" s="5"/>
      <c r="AU368" s="5"/>
      <c r="AV368" s="5"/>
      <c r="AW368" s="5"/>
      <c r="AX368" s="284"/>
      <c r="AY368" s="5"/>
      <c r="AZ368" s="5"/>
      <c r="BA368" s="230"/>
      <c r="BB368" s="5"/>
      <c r="BC368" s="232" t="s">
        <v>3421</v>
      </c>
      <c r="BD368" s="238" t="s">
        <v>275</v>
      </c>
      <c r="BE368" s="249"/>
      <c r="BF368" s="249"/>
      <c r="BG368" s="249"/>
      <c r="BH368" s="249"/>
      <c r="BI368" s="249"/>
      <c r="BJ368" s="249"/>
      <c r="BK368" s="249"/>
      <c r="BL368" s="249"/>
      <c r="BM368" s="249"/>
      <c r="BN368" s="249"/>
      <c r="BO368" s="249"/>
      <c r="BP368" s="249"/>
      <c r="BQ368" s="249"/>
      <c r="BR368" s="249"/>
      <c r="BS368" s="249"/>
      <c r="BT368" s="249"/>
      <c r="BU368" s="249"/>
      <c r="BV368" s="249"/>
      <c r="BW368" s="249"/>
      <c r="BX368" s="249"/>
      <c r="BY368" s="249"/>
      <c r="BZ368" s="249"/>
      <c r="CA368" s="249"/>
      <c r="CB368" s="249"/>
      <c r="CC368" s="249"/>
      <c r="CD368" s="249"/>
      <c r="CE368" s="249"/>
    </row>
    <row r="369" spans="1:83" s="84" customFormat="1" ht="12.95" customHeight="1">
      <c r="A369" s="84" t="s">
        <v>3422</v>
      </c>
      <c r="B369" s="84" t="s">
        <v>3586</v>
      </c>
      <c r="C369" s="79" t="s">
        <v>343</v>
      </c>
      <c r="D369" s="52" t="s">
        <v>2581</v>
      </c>
      <c r="E369" s="52" t="s">
        <v>2588</v>
      </c>
      <c r="F369" s="53" t="s">
        <v>595</v>
      </c>
      <c r="G369" s="179" t="s">
        <v>1429</v>
      </c>
      <c r="H369" s="180" t="s">
        <v>1466</v>
      </c>
      <c r="I369" s="55" t="s">
        <v>2589</v>
      </c>
      <c r="J369" s="55" t="s">
        <v>1429</v>
      </c>
      <c r="K369" s="56" t="s">
        <v>1429</v>
      </c>
      <c r="L369" s="54" t="s">
        <v>1429</v>
      </c>
      <c r="M369" s="55" t="s">
        <v>1581</v>
      </c>
      <c r="N369" s="55" t="s">
        <v>1581</v>
      </c>
      <c r="O369" s="55" t="s">
        <v>1429</v>
      </c>
      <c r="P369" s="56" t="s">
        <v>1429</v>
      </c>
      <c r="Q369" s="85"/>
      <c r="R369" s="85"/>
      <c r="S369" s="85"/>
      <c r="T369" s="85"/>
      <c r="U369" s="85"/>
      <c r="V369" s="146" t="s">
        <v>2590</v>
      </c>
      <c r="W369" s="51" t="s">
        <v>2510</v>
      </c>
      <c r="X369" s="130" t="s">
        <v>1429</v>
      </c>
      <c r="Y369" s="130" t="s">
        <v>1429</v>
      </c>
      <c r="Z369" s="51"/>
      <c r="AA369" s="51" t="s">
        <v>2511</v>
      </c>
      <c r="AB369" s="146"/>
      <c r="AC369" s="146" t="s">
        <v>1429</v>
      </c>
      <c r="AD369" s="83"/>
      <c r="AE369" s="83"/>
      <c r="AF369" s="83"/>
      <c r="AG369" s="83"/>
      <c r="AH369" s="86"/>
      <c r="AI369" s="86"/>
      <c r="AJ369" s="87"/>
      <c r="AK369" s="87"/>
      <c r="AL369" s="87"/>
      <c r="AM369" s="87"/>
      <c r="AN369" s="87"/>
      <c r="AO369" s="87"/>
      <c r="AP369" s="87"/>
      <c r="AQ369" s="237" t="s">
        <v>1466</v>
      </c>
      <c r="AR369" s="5"/>
      <c r="AS369" s="5"/>
      <c r="AT369" s="5"/>
      <c r="AU369" s="5"/>
      <c r="AV369" s="5"/>
      <c r="AW369" s="5"/>
      <c r="AX369" s="284"/>
      <c r="AY369" s="5"/>
      <c r="AZ369" s="5"/>
      <c r="BA369" s="230"/>
      <c r="BB369" s="5"/>
      <c r="BC369" s="232" t="s">
        <v>3422</v>
      </c>
      <c r="BD369" s="238" t="s">
        <v>275</v>
      </c>
      <c r="BE369" s="249"/>
      <c r="BF369" s="249"/>
      <c r="BG369" s="249"/>
      <c r="BH369" s="249"/>
      <c r="BI369" s="249"/>
      <c r="BJ369" s="249"/>
      <c r="BK369" s="249"/>
      <c r="BL369" s="249"/>
      <c r="BM369" s="249"/>
      <c r="BN369" s="249"/>
      <c r="BO369" s="249"/>
      <c r="BP369" s="249"/>
      <c r="BQ369" s="249"/>
      <c r="BR369" s="249"/>
      <c r="BS369" s="249"/>
      <c r="BT369" s="249"/>
      <c r="BU369" s="249"/>
      <c r="BV369" s="249"/>
      <c r="BW369" s="249"/>
      <c r="BX369" s="249"/>
      <c r="BY369" s="249"/>
      <c r="BZ369" s="249"/>
      <c r="CA369" s="249"/>
      <c r="CB369" s="249"/>
      <c r="CC369" s="249"/>
      <c r="CD369" s="249"/>
      <c r="CE369" s="249"/>
    </row>
    <row r="370" spans="1:83" s="84" customFormat="1" ht="12.95" customHeight="1">
      <c r="A370" s="84" t="s">
        <v>3423</v>
      </c>
      <c r="B370" s="84" t="s">
        <v>3587</v>
      </c>
      <c r="C370" s="79" t="s">
        <v>344</v>
      </c>
      <c r="D370" s="52" t="s">
        <v>2585</v>
      </c>
      <c r="E370" s="52" t="s">
        <v>2591</v>
      </c>
      <c r="F370" s="53" t="s">
        <v>596</v>
      </c>
      <c r="G370" s="179" t="s">
        <v>1429</v>
      </c>
      <c r="H370" s="180" t="s">
        <v>1467</v>
      </c>
      <c r="I370" s="55" t="s">
        <v>2592</v>
      </c>
      <c r="J370" s="55" t="s">
        <v>1429</v>
      </c>
      <c r="K370" s="56" t="s">
        <v>1429</v>
      </c>
      <c r="L370" s="54" t="s">
        <v>1429</v>
      </c>
      <c r="M370" s="55" t="s">
        <v>1581</v>
      </c>
      <c r="N370" s="55" t="s">
        <v>1581</v>
      </c>
      <c r="O370" s="55" t="s">
        <v>1429</v>
      </c>
      <c r="P370" s="56" t="s">
        <v>1429</v>
      </c>
      <c r="Q370" s="85"/>
      <c r="R370" s="85"/>
      <c r="S370" s="85"/>
      <c r="T370" s="85"/>
      <c r="U370" s="85"/>
      <c r="V370" s="146" t="s">
        <v>2593</v>
      </c>
      <c r="W370" s="51" t="s">
        <v>2510</v>
      </c>
      <c r="X370" s="130" t="s">
        <v>1429</v>
      </c>
      <c r="Y370" s="130" t="s">
        <v>1429</v>
      </c>
      <c r="Z370" s="51"/>
      <c r="AA370" s="51" t="s">
        <v>2511</v>
      </c>
      <c r="AB370" s="146"/>
      <c r="AC370" s="146" t="s">
        <v>1429</v>
      </c>
      <c r="AD370" s="83"/>
      <c r="AE370" s="83"/>
      <c r="AF370" s="83"/>
      <c r="AG370" s="83"/>
      <c r="AH370" s="86"/>
      <c r="AI370" s="86"/>
      <c r="AJ370" s="87"/>
      <c r="AK370" s="87"/>
      <c r="AL370" s="87"/>
      <c r="AM370" s="87"/>
      <c r="AN370" s="87"/>
      <c r="AO370" s="87"/>
      <c r="AP370" s="87"/>
      <c r="AQ370" s="235" t="s">
        <v>1467</v>
      </c>
      <c r="AR370" s="5"/>
      <c r="AS370" s="5"/>
      <c r="AT370" s="5"/>
      <c r="AU370" s="5"/>
      <c r="AV370" s="5"/>
      <c r="AW370" s="5"/>
      <c r="AX370" s="284"/>
      <c r="AY370" s="5"/>
      <c r="AZ370" s="5"/>
      <c r="BA370" s="230"/>
      <c r="BB370" s="5"/>
      <c r="BC370" s="232" t="s">
        <v>3423</v>
      </c>
      <c r="BD370" s="238" t="s">
        <v>275</v>
      </c>
      <c r="BE370" s="249"/>
      <c r="BF370" s="249"/>
      <c r="BG370" s="249"/>
      <c r="BH370" s="249"/>
      <c r="BI370" s="249"/>
      <c r="BJ370" s="249"/>
      <c r="BK370" s="249"/>
      <c r="BL370" s="249"/>
      <c r="BM370" s="249"/>
      <c r="BN370" s="249"/>
      <c r="BO370" s="249"/>
      <c r="BP370" s="249"/>
      <c r="BQ370" s="249"/>
      <c r="BR370" s="249"/>
      <c r="BS370" s="249"/>
      <c r="BT370" s="249"/>
      <c r="BU370" s="249"/>
      <c r="BV370" s="249"/>
      <c r="BW370" s="249"/>
      <c r="BX370" s="249"/>
      <c r="BY370" s="249"/>
      <c r="BZ370" s="249"/>
      <c r="CA370" s="249"/>
      <c r="CB370" s="249"/>
      <c r="CC370" s="249"/>
      <c r="CD370" s="249"/>
      <c r="CE370" s="249"/>
    </row>
    <row r="371" spans="1:83" s="84" customFormat="1" ht="12.95" customHeight="1">
      <c r="A371" s="1"/>
      <c r="B371" s="1"/>
      <c r="C371" s="79" t="s">
        <v>1055</v>
      </c>
      <c r="D371" s="52" t="s">
        <v>2594</v>
      </c>
      <c r="E371" s="52" t="s">
        <v>2520</v>
      </c>
      <c r="F371" s="53" t="s">
        <v>1343</v>
      </c>
      <c r="G371" s="179" t="s">
        <v>1429</v>
      </c>
      <c r="H371" s="180" t="s">
        <v>1055</v>
      </c>
      <c r="I371" s="55" t="s">
        <v>1429</v>
      </c>
      <c r="J371" s="55" t="s">
        <v>1429</v>
      </c>
      <c r="K371" s="56" t="s">
        <v>1429</v>
      </c>
      <c r="L371" s="54" t="s">
        <v>1429</v>
      </c>
      <c r="M371" s="55" t="s">
        <v>1590</v>
      </c>
      <c r="N371" s="55" t="s">
        <v>1429</v>
      </c>
      <c r="O371" s="55" t="s">
        <v>1429</v>
      </c>
      <c r="P371" s="56" t="s">
        <v>1429</v>
      </c>
      <c r="Q371" s="85"/>
      <c r="R371" s="85"/>
      <c r="S371" s="85"/>
      <c r="T371" s="85"/>
      <c r="U371" s="85"/>
      <c r="V371" s="146" t="s">
        <v>2595</v>
      </c>
      <c r="W371" s="51" t="s">
        <v>2510</v>
      </c>
      <c r="X371" s="130" t="s">
        <v>1429</v>
      </c>
      <c r="Y371" s="130" t="s">
        <v>1429</v>
      </c>
      <c r="Z371" s="51"/>
      <c r="AA371" s="51" t="s">
        <v>2511</v>
      </c>
      <c r="AB371" s="146"/>
      <c r="AC371" s="146" t="s">
        <v>1429</v>
      </c>
      <c r="AD371" s="83"/>
      <c r="AE371" s="83"/>
      <c r="AF371" s="83"/>
      <c r="AG371" s="83"/>
      <c r="AH371" s="86"/>
      <c r="AI371" s="86"/>
      <c r="AJ371" s="87"/>
      <c r="AK371" s="87"/>
      <c r="AL371" s="87"/>
      <c r="AM371" s="87"/>
      <c r="AN371" s="87"/>
      <c r="AO371" s="87"/>
      <c r="AP371" s="87"/>
      <c r="AQ371" s="237" t="s">
        <v>1055</v>
      </c>
      <c r="AR371" s="5"/>
      <c r="AS371" s="5"/>
      <c r="AT371" s="5"/>
      <c r="AU371" s="5"/>
      <c r="AV371" s="5"/>
      <c r="AW371" s="5"/>
      <c r="AX371" s="284"/>
      <c r="AY371" s="5"/>
      <c r="AZ371" s="5"/>
      <c r="BA371" s="230"/>
      <c r="BB371" s="5"/>
      <c r="BC371" s="232" t="s">
        <v>1055</v>
      </c>
      <c r="BD371" s="268"/>
      <c r="BE371" s="249"/>
      <c r="BF371" s="249"/>
      <c r="BG371" s="249"/>
      <c r="BH371" s="249"/>
      <c r="BI371" s="249"/>
      <c r="BJ371" s="249"/>
      <c r="BK371" s="249"/>
      <c r="BL371" s="249"/>
      <c r="BM371" s="249"/>
      <c r="BN371" s="249"/>
      <c r="BO371" s="249"/>
      <c r="BP371" s="249"/>
      <c r="BQ371" s="249"/>
      <c r="BR371" s="249"/>
      <c r="BS371" s="249"/>
      <c r="BT371" s="249"/>
      <c r="BU371" s="249"/>
      <c r="BV371" s="249"/>
      <c r="BW371" s="249"/>
      <c r="BX371" s="249"/>
      <c r="BY371" s="249"/>
      <c r="BZ371" s="249"/>
      <c r="CA371" s="249"/>
      <c r="CB371" s="249"/>
      <c r="CC371" s="249"/>
      <c r="CD371" s="249"/>
      <c r="CE371" s="249"/>
    </row>
    <row r="372" spans="1:83" s="84" customFormat="1" ht="12.95" customHeight="1">
      <c r="A372" s="1"/>
      <c r="B372" s="1"/>
      <c r="C372" s="79" t="s">
        <v>1054</v>
      </c>
      <c r="D372" s="52" t="s">
        <v>2596</v>
      </c>
      <c r="E372" s="52" t="s">
        <v>2516</v>
      </c>
      <c r="F372" s="53" t="s">
        <v>1344</v>
      </c>
      <c r="G372" s="179" t="s">
        <v>1429</v>
      </c>
      <c r="H372" s="180" t="s">
        <v>1054</v>
      </c>
      <c r="I372" s="55" t="s">
        <v>1429</v>
      </c>
      <c r="J372" s="55" t="s">
        <v>1429</v>
      </c>
      <c r="K372" s="56" t="s">
        <v>1429</v>
      </c>
      <c r="L372" s="54" t="s">
        <v>1429</v>
      </c>
      <c r="M372" s="55" t="s">
        <v>1590</v>
      </c>
      <c r="N372" s="55" t="s">
        <v>1429</v>
      </c>
      <c r="O372" s="55" t="s">
        <v>1429</v>
      </c>
      <c r="P372" s="56" t="s">
        <v>1429</v>
      </c>
      <c r="Q372" s="85"/>
      <c r="R372" s="85"/>
      <c r="S372" s="85"/>
      <c r="T372" s="85"/>
      <c r="U372" s="85"/>
      <c r="V372" s="146" t="s">
        <v>2597</v>
      </c>
      <c r="W372" s="51" t="s">
        <v>2510</v>
      </c>
      <c r="X372" s="130" t="s">
        <v>1429</v>
      </c>
      <c r="Y372" s="130" t="s">
        <v>1429</v>
      </c>
      <c r="Z372" s="51"/>
      <c r="AA372" s="51" t="s">
        <v>2511</v>
      </c>
      <c r="AB372" s="146"/>
      <c r="AC372" s="146" t="s">
        <v>1429</v>
      </c>
      <c r="AD372" s="83"/>
      <c r="AE372" s="83"/>
      <c r="AF372" s="83"/>
      <c r="AG372" s="83"/>
      <c r="AH372" s="86"/>
      <c r="AI372" s="86"/>
      <c r="AJ372" s="87"/>
      <c r="AK372" s="87"/>
      <c r="AL372" s="87"/>
      <c r="AM372" s="87"/>
      <c r="AN372" s="87"/>
      <c r="AO372" s="87"/>
      <c r="AP372" s="87"/>
      <c r="AQ372" s="235" t="s">
        <v>1054</v>
      </c>
      <c r="AR372" s="5"/>
      <c r="AS372" s="5"/>
      <c r="AT372" s="5"/>
      <c r="AU372" s="5"/>
      <c r="AV372" s="5"/>
      <c r="AW372" s="5"/>
      <c r="AX372" s="284"/>
      <c r="AY372" s="5"/>
      <c r="AZ372" s="5"/>
      <c r="BA372" s="230"/>
      <c r="BB372" s="5"/>
      <c r="BC372" s="232" t="s">
        <v>1054</v>
      </c>
      <c r="BD372" s="268"/>
      <c r="BE372" s="249"/>
      <c r="BF372" s="249"/>
      <c r="BG372" s="249"/>
      <c r="BH372" s="249"/>
      <c r="BI372" s="249"/>
      <c r="BJ372" s="249"/>
      <c r="BK372" s="249"/>
      <c r="BL372" s="249"/>
      <c r="BM372" s="249"/>
      <c r="BN372" s="249"/>
      <c r="BO372" s="249"/>
      <c r="BP372" s="249"/>
      <c r="BQ372" s="249"/>
      <c r="BR372" s="249"/>
      <c r="BS372" s="249"/>
      <c r="BT372" s="249"/>
      <c r="BU372" s="249"/>
      <c r="BV372" s="249"/>
      <c r="BW372" s="249"/>
      <c r="BX372" s="249"/>
      <c r="BY372" s="249"/>
      <c r="BZ372" s="249"/>
      <c r="CA372" s="249"/>
      <c r="CB372" s="249"/>
      <c r="CC372" s="249"/>
      <c r="CD372" s="249"/>
      <c r="CE372" s="249"/>
    </row>
    <row r="373" spans="1:83" s="84" customFormat="1" ht="12.95" customHeight="1">
      <c r="A373" s="1"/>
      <c r="B373" s="1"/>
      <c r="C373" s="79" t="s">
        <v>1057</v>
      </c>
      <c r="D373" s="52" t="s">
        <v>2567</v>
      </c>
      <c r="E373" s="52" t="s">
        <v>2598</v>
      </c>
      <c r="F373" s="53" t="s">
        <v>1345</v>
      </c>
      <c r="G373" s="179" t="s">
        <v>1429</v>
      </c>
      <c r="H373" s="180" t="s">
        <v>1057</v>
      </c>
      <c r="I373" s="55" t="s">
        <v>1429</v>
      </c>
      <c r="J373" s="55" t="s">
        <v>1429</v>
      </c>
      <c r="K373" s="56" t="s">
        <v>1429</v>
      </c>
      <c r="L373" s="54" t="s">
        <v>1429</v>
      </c>
      <c r="M373" s="55" t="s">
        <v>1590</v>
      </c>
      <c r="N373" s="55" t="s">
        <v>1429</v>
      </c>
      <c r="O373" s="55" t="s">
        <v>1429</v>
      </c>
      <c r="P373" s="56" t="s">
        <v>1429</v>
      </c>
      <c r="Q373" s="85"/>
      <c r="R373" s="85"/>
      <c r="S373" s="85"/>
      <c r="T373" s="85"/>
      <c r="U373" s="85"/>
      <c r="V373" s="146" t="s">
        <v>2599</v>
      </c>
      <c r="W373" s="51" t="s">
        <v>2510</v>
      </c>
      <c r="X373" s="130" t="s">
        <v>1429</v>
      </c>
      <c r="Y373" s="130" t="s">
        <v>1429</v>
      </c>
      <c r="Z373" s="51"/>
      <c r="AA373" s="51" t="s">
        <v>2511</v>
      </c>
      <c r="AB373" s="146"/>
      <c r="AC373" s="146" t="s">
        <v>1429</v>
      </c>
      <c r="AD373" s="83"/>
      <c r="AE373" s="83"/>
      <c r="AF373" s="83"/>
      <c r="AG373" s="83"/>
      <c r="AH373" s="86"/>
      <c r="AI373" s="86"/>
      <c r="AJ373" s="87"/>
      <c r="AK373" s="87"/>
      <c r="AL373" s="87"/>
      <c r="AM373" s="87"/>
      <c r="AN373" s="87"/>
      <c r="AO373" s="87"/>
      <c r="AP373" s="87"/>
      <c r="AQ373" s="237" t="s">
        <v>1057</v>
      </c>
      <c r="AR373" s="5"/>
      <c r="AS373" s="5"/>
      <c r="AT373" s="5"/>
      <c r="AU373" s="5"/>
      <c r="AV373" s="5"/>
      <c r="AW373" s="5"/>
      <c r="AX373" s="284"/>
      <c r="AY373" s="5"/>
      <c r="AZ373" s="5"/>
      <c r="BA373" s="230"/>
      <c r="BB373" s="5"/>
      <c r="BC373" s="232" t="s">
        <v>1057</v>
      </c>
      <c r="BD373" s="268"/>
      <c r="BE373" s="249"/>
      <c r="BF373" s="249"/>
      <c r="BG373" s="249"/>
      <c r="BH373" s="249"/>
      <c r="BI373" s="249"/>
      <c r="BJ373" s="249"/>
      <c r="BK373" s="249"/>
      <c r="BL373" s="249"/>
      <c r="BM373" s="249"/>
      <c r="BN373" s="249"/>
      <c r="BO373" s="249"/>
      <c r="BP373" s="249"/>
      <c r="BQ373" s="249"/>
      <c r="BR373" s="249"/>
      <c r="BS373" s="249"/>
      <c r="BT373" s="249"/>
      <c r="BU373" s="249"/>
      <c r="BV373" s="249"/>
      <c r="BW373" s="249"/>
      <c r="BX373" s="249"/>
      <c r="BY373" s="249"/>
      <c r="BZ373" s="249"/>
      <c r="CA373" s="249"/>
      <c r="CB373" s="249"/>
      <c r="CC373" s="249"/>
      <c r="CD373" s="249"/>
      <c r="CE373" s="249"/>
    </row>
    <row r="374" spans="1:83" s="84" customFormat="1" ht="12.95" customHeight="1">
      <c r="A374" s="1"/>
      <c r="B374" s="1"/>
      <c r="C374" s="79" t="s">
        <v>1056</v>
      </c>
      <c r="D374" s="52" t="s">
        <v>2571</v>
      </c>
      <c r="E374" s="52" t="s">
        <v>2600</v>
      </c>
      <c r="F374" s="53" t="s">
        <v>1346</v>
      </c>
      <c r="G374" s="179" t="s">
        <v>1429</v>
      </c>
      <c r="H374" s="180" t="s">
        <v>1056</v>
      </c>
      <c r="I374" s="55" t="s">
        <v>1429</v>
      </c>
      <c r="J374" s="55" t="s">
        <v>1429</v>
      </c>
      <c r="K374" s="56" t="s">
        <v>1429</v>
      </c>
      <c r="L374" s="54" t="s">
        <v>1429</v>
      </c>
      <c r="M374" s="55" t="s">
        <v>1590</v>
      </c>
      <c r="N374" s="55" t="s">
        <v>1429</v>
      </c>
      <c r="O374" s="55" t="s">
        <v>1429</v>
      </c>
      <c r="P374" s="56" t="s">
        <v>1429</v>
      </c>
      <c r="Q374" s="85"/>
      <c r="R374" s="85"/>
      <c r="S374" s="85"/>
      <c r="T374" s="85"/>
      <c r="U374" s="85"/>
      <c r="V374" s="146" t="s">
        <v>2601</v>
      </c>
      <c r="W374" s="51" t="s">
        <v>2510</v>
      </c>
      <c r="X374" s="130" t="s">
        <v>1429</v>
      </c>
      <c r="Y374" s="130" t="s">
        <v>1429</v>
      </c>
      <c r="Z374" s="51"/>
      <c r="AA374" s="51" t="s">
        <v>2511</v>
      </c>
      <c r="AB374" s="146"/>
      <c r="AC374" s="146" t="s">
        <v>1429</v>
      </c>
      <c r="AD374" s="83"/>
      <c r="AE374" s="83"/>
      <c r="AF374" s="83"/>
      <c r="AG374" s="83"/>
      <c r="AH374" s="86"/>
      <c r="AI374" s="86"/>
      <c r="AJ374" s="87"/>
      <c r="AK374" s="87"/>
      <c r="AL374" s="87"/>
      <c r="AM374" s="87"/>
      <c r="AN374" s="87"/>
      <c r="AO374" s="87"/>
      <c r="AP374" s="87"/>
      <c r="AQ374" s="235" t="s">
        <v>1056</v>
      </c>
      <c r="AR374" s="5"/>
      <c r="AS374" s="5"/>
      <c r="AT374" s="5"/>
      <c r="AU374" s="5"/>
      <c r="AV374" s="5"/>
      <c r="AW374" s="5"/>
      <c r="AX374" s="284"/>
      <c r="AY374" s="5"/>
      <c r="AZ374" s="5"/>
      <c r="BA374" s="230"/>
      <c r="BB374" s="5"/>
      <c r="BC374" s="232" t="s">
        <v>1056</v>
      </c>
      <c r="BD374" s="268"/>
      <c r="BE374" s="249"/>
      <c r="BF374" s="249"/>
      <c r="BG374" s="249"/>
      <c r="BH374" s="249"/>
      <c r="BI374" s="249"/>
      <c r="BJ374" s="249"/>
      <c r="BK374" s="249"/>
      <c r="BL374" s="249"/>
      <c r="BM374" s="249"/>
      <c r="BN374" s="249"/>
      <c r="BO374" s="249"/>
      <c r="BP374" s="249"/>
      <c r="BQ374" s="249"/>
      <c r="BR374" s="249"/>
      <c r="BS374" s="249"/>
      <c r="BT374" s="249"/>
      <c r="BU374" s="249"/>
      <c r="BV374" s="249"/>
      <c r="BW374" s="249"/>
      <c r="BX374" s="249"/>
      <c r="BY374" s="249"/>
      <c r="BZ374" s="249"/>
      <c r="CA374" s="249"/>
      <c r="CB374" s="249"/>
      <c r="CC374" s="249"/>
      <c r="CD374" s="249"/>
      <c r="CE374" s="249"/>
    </row>
    <row r="375" spans="1:83" s="84" customFormat="1" ht="12.95" customHeight="1">
      <c r="A375" s="1"/>
      <c r="B375" s="1"/>
      <c r="C375" s="79" t="s">
        <v>1058</v>
      </c>
      <c r="D375" s="52" t="s">
        <v>2602</v>
      </c>
      <c r="E375" s="52" t="s">
        <v>2603</v>
      </c>
      <c r="F375" s="53" t="s">
        <v>1347</v>
      </c>
      <c r="G375" s="179" t="s">
        <v>1429</v>
      </c>
      <c r="H375" s="180" t="s">
        <v>1058</v>
      </c>
      <c r="I375" s="55" t="s">
        <v>1429</v>
      </c>
      <c r="J375" s="55" t="s">
        <v>1429</v>
      </c>
      <c r="K375" s="56" t="s">
        <v>1429</v>
      </c>
      <c r="L375" s="54" t="s">
        <v>1429</v>
      </c>
      <c r="M375" s="55" t="s">
        <v>1590</v>
      </c>
      <c r="N375" s="55" t="s">
        <v>1429</v>
      </c>
      <c r="O375" s="55" t="s">
        <v>1429</v>
      </c>
      <c r="P375" s="56" t="s">
        <v>1429</v>
      </c>
      <c r="Q375" s="85"/>
      <c r="R375" s="85"/>
      <c r="S375" s="85"/>
      <c r="T375" s="85"/>
      <c r="U375" s="85"/>
      <c r="V375" s="146" t="s">
        <v>2604</v>
      </c>
      <c r="W375" s="51"/>
      <c r="X375" s="133"/>
      <c r="Y375" s="133"/>
      <c r="Z375" s="51"/>
      <c r="AA375" s="51" t="s">
        <v>2511</v>
      </c>
      <c r="AB375" s="82"/>
      <c r="AC375" s="82"/>
      <c r="AD375" s="83"/>
      <c r="AE375" s="83"/>
      <c r="AF375" s="83"/>
      <c r="AG375" s="83"/>
      <c r="AH375" s="86"/>
      <c r="AI375" s="86"/>
      <c r="AJ375" s="87"/>
      <c r="AK375" s="87"/>
      <c r="AL375" s="87"/>
      <c r="AM375" s="87"/>
      <c r="AN375" s="87"/>
      <c r="AO375" s="87"/>
      <c r="AP375" s="87"/>
      <c r="AQ375" s="235" t="s">
        <v>1058</v>
      </c>
      <c r="AR375" s="5"/>
      <c r="AS375" s="5"/>
      <c r="AT375" s="5"/>
      <c r="AU375" s="5"/>
      <c r="AV375" s="5"/>
      <c r="AW375" s="5"/>
      <c r="AX375" s="284"/>
      <c r="AY375" s="5"/>
      <c r="AZ375" s="5" t="s">
        <v>291</v>
      </c>
      <c r="BA375" s="230"/>
      <c r="BB375" s="5"/>
      <c r="BC375" s="232"/>
      <c r="BD375" s="269"/>
      <c r="BE375" s="249"/>
      <c r="BF375" s="249"/>
      <c r="BG375" s="249"/>
      <c r="BH375" s="249"/>
      <c r="BI375" s="249"/>
      <c r="BJ375" s="249"/>
      <c r="BK375" s="249"/>
      <c r="BL375" s="249"/>
      <c r="BM375" s="249"/>
      <c r="BN375" s="249"/>
      <c r="BO375" s="249"/>
      <c r="BP375" s="249"/>
      <c r="BQ375" s="249"/>
      <c r="BR375" s="249"/>
      <c r="BS375" s="249"/>
      <c r="BT375" s="249"/>
      <c r="BU375" s="249"/>
      <c r="BV375" s="249"/>
      <c r="BW375" s="249"/>
      <c r="BX375" s="249"/>
      <c r="BY375" s="249"/>
      <c r="BZ375" s="249"/>
      <c r="CA375" s="249"/>
      <c r="CB375" s="249"/>
      <c r="CC375" s="249"/>
      <c r="CD375" s="249"/>
      <c r="CE375" s="249"/>
    </row>
    <row r="376" spans="1:83" s="84" customFormat="1" ht="12.95" customHeight="1">
      <c r="A376" s="1"/>
      <c r="B376" s="1"/>
      <c r="C376" s="79" t="s">
        <v>1059</v>
      </c>
      <c r="D376" s="52" t="s">
        <v>2605</v>
      </c>
      <c r="E376" s="52" t="s">
        <v>2606</v>
      </c>
      <c r="F376" s="53" t="s">
        <v>1348</v>
      </c>
      <c r="G376" s="179" t="s">
        <v>1429</v>
      </c>
      <c r="H376" s="180" t="s">
        <v>1059</v>
      </c>
      <c r="I376" s="55" t="s">
        <v>1429</v>
      </c>
      <c r="J376" s="55" t="s">
        <v>1429</v>
      </c>
      <c r="K376" s="56" t="s">
        <v>1429</v>
      </c>
      <c r="L376" s="54" t="s">
        <v>1429</v>
      </c>
      <c r="M376" s="55" t="s">
        <v>1590</v>
      </c>
      <c r="N376" s="55" t="s">
        <v>1429</v>
      </c>
      <c r="O376" s="55" t="s">
        <v>1429</v>
      </c>
      <c r="P376" s="56" t="s">
        <v>1429</v>
      </c>
      <c r="Q376" s="85"/>
      <c r="R376" s="85"/>
      <c r="S376" s="85"/>
      <c r="T376" s="85"/>
      <c r="U376" s="85"/>
      <c r="V376" s="146" t="s">
        <v>2607</v>
      </c>
      <c r="W376" s="51"/>
      <c r="X376" s="133"/>
      <c r="Y376" s="133"/>
      <c r="Z376" s="51"/>
      <c r="AA376" s="51" t="s">
        <v>2511</v>
      </c>
      <c r="AB376" s="119"/>
      <c r="AC376" s="119"/>
      <c r="AD376" s="83"/>
      <c r="AE376" s="83"/>
      <c r="AF376" s="83"/>
      <c r="AG376" s="83"/>
      <c r="AH376" s="86"/>
      <c r="AI376" s="86"/>
      <c r="AJ376" s="87"/>
      <c r="AK376" s="87"/>
      <c r="AL376" s="87"/>
      <c r="AM376" s="87"/>
      <c r="AN376" s="87"/>
      <c r="AO376" s="87"/>
      <c r="AP376" s="87"/>
      <c r="AQ376" s="235" t="s">
        <v>1059</v>
      </c>
      <c r="AR376" s="5"/>
      <c r="AS376" s="5"/>
      <c r="AT376" s="5"/>
      <c r="AU376" s="5"/>
      <c r="AV376" s="5"/>
      <c r="AW376" s="5"/>
      <c r="AX376" s="284"/>
      <c r="AY376" s="5"/>
      <c r="AZ376" s="5" t="s">
        <v>291</v>
      </c>
      <c r="BA376" s="230"/>
      <c r="BB376" s="5"/>
      <c r="BC376" s="232"/>
      <c r="BD376" s="269"/>
      <c r="BE376" s="249"/>
      <c r="BF376" s="249"/>
      <c r="BG376" s="249"/>
      <c r="BH376" s="249"/>
      <c r="BI376" s="249"/>
      <c r="BJ376" s="249"/>
      <c r="BK376" s="249"/>
      <c r="BL376" s="249"/>
      <c r="BM376" s="249"/>
      <c r="BN376" s="249"/>
      <c r="BO376" s="249"/>
      <c r="BP376" s="249"/>
      <c r="BQ376" s="249"/>
      <c r="BR376" s="249"/>
      <c r="BS376" s="249"/>
      <c r="BT376" s="249"/>
      <c r="BU376" s="249"/>
      <c r="BV376" s="249"/>
      <c r="BW376" s="249"/>
      <c r="BX376" s="249"/>
      <c r="BY376" s="249"/>
      <c r="BZ376" s="249"/>
      <c r="CA376" s="249"/>
      <c r="CB376" s="249"/>
      <c r="CC376" s="249"/>
      <c r="CD376" s="249"/>
      <c r="CE376" s="249"/>
    </row>
    <row r="377" spans="1:83" s="94" customFormat="1" ht="18" customHeight="1">
      <c r="A377" s="88" t="s">
        <v>766</v>
      </c>
      <c r="B377" s="88"/>
      <c r="C377" s="88"/>
      <c r="D377" s="89"/>
      <c r="E377" s="89"/>
      <c r="F377" s="89"/>
      <c r="G377" s="90"/>
      <c r="H377" s="90"/>
      <c r="I377" s="90"/>
      <c r="J377" s="90"/>
      <c r="K377" s="90"/>
      <c r="L377" s="89"/>
      <c r="M377" s="89"/>
      <c r="N377" s="89"/>
      <c r="O377" s="89"/>
      <c r="P377" s="89"/>
      <c r="Q377" s="89"/>
      <c r="R377" s="89"/>
      <c r="S377" s="89"/>
      <c r="T377" s="89"/>
      <c r="U377" s="89"/>
      <c r="V377" s="89"/>
      <c r="W377" s="89"/>
      <c r="X377" s="134"/>
      <c r="Y377" s="134"/>
      <c r="Z377" s="91"/>
      <c r="AA377" s="91"/>
      <c r="AB377" s="91"/>
      <c r="AC377" s="91"/>
      <c r="AD377" s="91"/>
      <c r="AE377" s="91"/>
      <c r="AF377" s="91"/>
      <c r="AG377" s="91"/>
      <c r="AH377" s="91"/>
      <c r="AI377" s="91"/>
      <c r="AJ377" s="91"/>
      <c r="AK377" s="91"/>
      <c r="AL377" s="91"/>
      <c r="AM377" s="91"/>
      <c r="AN377" s="91"/>
      <c r="AO377" s="91"/>
      <c r="AP377" s="91"/>
      <c r="AQ377" s="251"/>
      <c r="AR377" s="251"/>
      <c r="AS377" s="252"/>
      <c r="AT377" s="252"/>
      <c r="AU377" s="252"/>
      <c r="AV377" s="252"/>
      <c r="AW377" s="252"/>
      <c r="AX377" s="291"/>
      <c r="AY377" s="252"/>
      <c r="AZ377" s="252"/>
      <c r="BA377" s="252"/>
      <c r="BB377" s="168" t="s">
        <v>512</v>
      </c>
      <c r="BC377" s="252"/>
      <c r="BD377" s="253"/>
      <c r="BE377" s="309"/>
      <c r="BF377" s="254"/>
      <c r="BG377" s="254"/>
      <c r="BH377" s="254"/>
      <c r="BI377" s="254"/>
      <c r="BJ377" s="254"/>
      <c r="BK377" s="254"/>
      <c r="BL377" s="254"/>
      <c r="BM377" s="254"/>
      <c r="BN377" s="254"/>
      <c r="BO377" s="254"/>
      <c r="BP377" s="254"/>
      <c r="BQ377" s="254"/>
      <c r="BR377" s="254"/>
      <c r="BS377" s="254"/>
      <c r="BT377" s="254"/>
      <c r="BU377" s="254"/>
      <c r="BV377" s="254"/>
      <c r="BW377" s="254"/>
      <c r="BX377" s="254"/>
      <c r="BY377" s="254"/>
      <c r="BZ377" s="254"/>
      <c r="CA377" s="254"/>
      <c r="CB377" s="254"/>
      <c r="CC377" s="254"/>
      <c r="CD377" s="254"/>
      <c r="CE377" s="254"/>
    </row>
    <row r="378" spans="1:83" s="84" customFormat="1" ht="12.95" customHeight="1">
      <c r="A378" s="1"/>
      <c r="B378" s="1"/>
      <c r="C378" s="18" t="s">
        <v>368</v>
      </c>
      <c r="D378" s="52" t="s">
        <v>2608</v>
      </c>
      <c r="E378" s="52" t="s">
        <v>2609</v>
      </c>
      <c r="F378" s="53" t="s">
        <v>597</v>
      </c>
      <c r="G378" s="179" t="s">
        <v>1429</v>
      </c>
      <c r="H378" s="180" t="s">
        <v>368</v>
      </c>
      <c r="I378" s="55" t="s">
        <v>1429</v>
      </c>
      <c r="J378" s="55" t="s">
        <v>1429</v>
      </c>
      <c r="K378" s="56" t="s">
        <v>1429</v>
      </c>
      <c r="L378" s="54" t="s">
        <v>1429</v>
      </c>
      <c r="M378" s="55" t="s">
        <v>1580</v>
      </c>
      <c r="N378" s="55" t="s">
        <v>1429</v>
      </c>
      <c r="O378" s="55" t="s">
        <v>1429</v>
      </c>
      <c r="P378" s="56" t="s">
        <v>1429</v>
      </c>
      <c r="Q378" s="85"/>
      <c r="R378" s="85"/>
      <c r="S378" s="85"/>
      <c r="T378" s="85"/>
      <c r="U378" s="85"/>
      <c r="V378" s="146" t="s">
        <v>2610</v>
      </c>
      <c r="W378" s="51" t="s">
        <v>2611</v>
      </c>
      <c r="X378" s="130" t="s">
        <v>1429</v>
      </c>
      <c r="Y378" s="130" t="s">
        <v>1429</v>
      </c>
      <c r="Z378" s="51"/>
      <c r="AA378" s="51" t="s">
        <v>2612</v>
      </c>
      <c r="AB378" s="145"/>
      <c r="AC378" s="145" t="s">
        <v>1429</v>
      </c>
      <c r="AD378" s="95"/>
      <c r="AE378" s="96"/>
      <c r="AF378" s="96"/>
      <c r="AG378" s="96"/>
      <c r="AH378" s="97"/>
      <c r="AI378" s="86"/>
      <c r="AJ378" s="87"/>
      <c r="AK378" s="87"/>
      <c r="AL378" s="87"/>
      <c r="AM378" s="87"/>
      <c r="AN378" s="87"/>
      <c r="AO378" s="87"/>
      <c r="AP378" s="87"/>
      <c r="AQ378" s="229" t="s">
        <v>368</v>
      </c>
      <c r="AR378" s="5"/>
      <c r="AS378" s="5"/>
      <c r="AT378" s="5"/>
      <c r="AU378" s="5"/>
      <c r="AV378" s="5"/>
      <c r="AW378" s="5"/>
      <c r="AX378" s="284"/>
      <c r="AY378" s="5"/>
      <c r="AZ378" s="5"/>
      <c r="BA378" s="230"/>
      <c r="BB378" s="215"/>
      <c r="BC378" s="231" t="s">
        <v>3535</v>
      </c>
      <c r="BD378" s="256"/>
      <c r="BE378" s="249"/>
      <c r="BF378" s="249"/>
      <c r="BG378" s="249"/>
      <c r="BH378" s="249"/>
      <c r="BI378" s="249"/>
      <c r="BJ378" s="249"/>
      <c r="BK378" s="249"/>
      <c r="BL378" s="249"/>
      <c r="BM378" s="249"/>
      <c r="BN378" s="249"/>
      <c r="BO378" s="249"/>
      <c r="BP378" s="249"/>
      <c r="BQ378" s="249"/>
      <c r="BR378" s="249"/>
      <c r="BS378" s="249"/>
      <c r="BT378" s="249"/>
      <c r="BU378" s="249"/>
      <c r="BV378" s="249"/>
      <c r="BW378" s="249"/>
      <c r="BX378" s="249"/>
      <c r="BY378" s="249"/>
      <c r="BZ378" s="249"/>
      <c r="CA378" s="249"/>
      <c r="CB378" s="249"/>
      <c r="CC378" s="249"/>
      <c r="CD378" s="249"/>
      <c r="CE378" s="249"/>
    </row>
    <row r="379" spans="1:83" s="84" customFormat="1" ht="12.95" customHeight="1">
      <c r="A379" s="1"/>
      <c r="B379" s="1"/>
      <c r="C379" s="18" t="s">
        <v>369</v>
      </c>
      <c r="D379" s="52" t="s">
        <v>2613</v>
      </c>
      <c r="E379" s="52" t="s">
        <v>2614</v>
      </c>
      <c r="F379" s="53" t="s">
        <v>598</v>
      </c>
      <c r="G379" s="179" t="s">
        <v>1429</v>
      </c>
      <c r="H379" s="180" t="s">
        <v>369</v>
      </c>
      <c r="I379" s="55" t="s">
        <v>1429</v>
      </c>
      <c r="J379" s="55" t="s">
        <v>1429</v>
      </c>
      <c r="K379" s="56" t="s">
        <v>1429</v>
      </c>
      <c r="L379" s="54" t="s">
        <v>1429</v>
      </c>
      <c r="M379" s="55" t="s">
        <v>1580</v>
      </c>
      <c r="N379" s="55" t="s">
        <v>1429</v>
      </c>
      <c r="O379" s="55" t="s">
        <v>1429</v>
      </c>
      <c r="P379" s="56" t="s">
        <v>1429</v>
      </c>
      <c r="Q379" s="85"/>
      <c r="R379" s="85"/>
      <c r="S379" s="85"/>
      <c r="T379" s="85"/>
      <c r="U379" s="85"/>
      <c r="V379" s="146" t="s">
        <v>2615</v>
      </c>
      <c r="W379" s="51" t="s">
        <v>2611</v>
      </c>
      <c r="X379" s="130" t="s">
        <v>1429</v>
      </c>
      <c r="Y379" s="130" t="s">
        <v>1429</v>
      </c>
      <c r="Z379" s="51"/>
      <c r="AA379" s="51" t="s">
        <v>2612</v>
      </c>
      <c r="AB379" s="146"/>
      <c r="AC379" s="146" t="s">
        <v>1429</v>
      </c>
      <c r="AD379" s="98"/>
      <c r="AE379" s="83"/>
      <c r="AF379" s="83"/>
      <c r="AG379" s="83"/>
      <c r="AH379" s="86"/>
      <c r="AI379" s="86"/>
      <c r="AJ379" s="87"/>
      <c r="AK379" s="87"/>
      <c r="AL379" s="87"/>
      <c r="AM379" s="87"/>
      <c r="AN379" s="87"/>
      <c r="AO379" s="87"/>
      <c r="AP379" s="87"/>
      <c r="AQ379" s="229" t="s">
        <v>369</v>
      </c>
      <c r="AR379" s="5"/>
      <c r="AS379" s="5"/>
      <c r="AT379" s="5"/>
      <c r="AU379" s="5"/>
      <c r="AV379" s="5"/>
      <c r="AW379" s="5"/>
      <c r="AX379" s="284"/>
      <c r="AY379" s="5"/>
      <c r="AZ379" s="5"/>
      <c r="BA379" s="230"/>
      <c r="BB379" s="5"/>
      <c r="BC379" s="232" t="s">
        <v>3535</v>
      </c>
      <c r="BD379" s="257"/>
      <c r="BE379" s="249"/>
      <c r="BF379" s="249"/>
      <c r="BG379" s="249"/>
      <c r="BH379" s="249"/>
      <c r="BI379" s="249"/>
      <c r="BJ379" s="249"/>
      <c r="BK379" s="249"/>
      <c r="BL379" s="249"/>
      <c r="BM379" s="249"/>
      <c r="BN379" s="249"/>
      <c r="BO379" s="249"/>
      <c r="BP379" s="249"/>
      <c r="BQ379" s="249"/>
      <c r="BR379" s="249"/>
      <c r="BS379" s="249"/>
      <c r="BT379" s="249"/>
      <c r="BU379" s="249"/>
      <c r="BV379" s="249"/>
      <c r="BW379" s="249"/>
      <c r="BX379" s="249"/>
      <c r="BY379" s="249"/>
      <c r="BZ379" s="249"/>
      <c r="CA379" s="249"/>
      <c r="CB379" s="249"/>
      <c r="CC379" s="249"/>
      <c r="CD379" s="249"/>
      <c r="CE379" s="249"/>
    </row>
    <row r="380" spans="1:83" s="84" customFormat="1" ht="12.95" customHeight="1">
      <c r="A380" s="1"/>
      <c r="B380" s="1"/>
      <c r="C380" s="18" t="s">
        <v>370</v>
      </c>
      <c r="D380" s="52" t="s">
        <v>2616</v>
      </c>
      <c r="E380" s="52" t="s">
        <v>2617</v>
      </c>
      <c r="F380" s="53" t="s">
        <v>599</v>
      </c>
      <c r="G380" s="179" t="s">
        <v>1429</v>
      </c>
      <c r="H380" s="180" t="s">
        <v>370</v>
      </c>
      <c r="I380" s="55" t="s">
        <v>1429</v>
      </c>
      <c r="J380" s="55" t="s">
        <v>1429</v>
      </c>
      <c r="K380" s="56" t="s">
        <v>1429</v>
      </c>
      <c r="L380" s="54" t="s">
        <v>1429</v>
      </c>
      <c r="M380" s="55" t="s">
        <v>1580</v>
      </c>
      <c r="N380" s="55" t="s">
        <v>1429</v>
      </c>
      <c r="O380" s="55" t="s">
        <v>1429</v>
      </c>
      <c r="P380" s="56" t="s">
        <v>1429</v>
      </c>
      <c r="Q380" s="85"/>
      <c r="R380" s="85"/>
      <c r="S380" s="85"/>
      <c r="T380" s="85"/>
      <c r="U380" s="85"/>
      <c r="V380" s="146" t="s">
        <v>2618</v>
      </c>
      <c r="W380" s="51" t="s">
        <v>2611</v>
      </c>
      <c r="X380" s="130" t="s">
        <v>1429</v>
      </c>
      <c r="Y380" s="130" t="s">
        <v>1429</v>
      </c>
      <c r="Z380" s="51"/>
      <c r="AA380" s="51" t="s">
        <v>2612</v>
      </c>
      <c r="AB380" s="146"/>
      <c r="AC380" s="146" t="s">
        <v>1429</v>
      </c>
      <c r="AD380" s="98"/>
      <c r="AE380" s="83"/>
      <c r="AF380" s="83"/>
      <c r="AG380" s="83"/>
      <c r="AH380" s="86"/>
      <c r="AI380" s="86"/>
      <c r="AJ380" s="87"/>
      <c r="AK380" s="87"/>
      <c r="AL380" s="87"/>
      <c r="AM380" s="87"/>
      <c r="AN380" s="87"/>
      <c r="AO380" s="87"/>
      <c r="AP380" s="87"/>
      <c r="AQ380" s="229" t="s">
        <v>370</v>
      </c>
      <c r="AR380" s="5"/>
      <c r="AS380" s="5"/>
      <c r="AT380" s="5"/>
      <c r="AU380" s="5"/>
      <c r="AV380" s="5"/>
      <c r="AW380" s="5"/>
      <c r="AX380" s="284"/>
      <c r="AY380" s="5"/>
      <c r="AZ380" s="5"/>
      <c r="BA380" s="230"/>
      <c r="BB380" s="5"/>
      <c r="BC380" s="232" t="s">
        <v>3535</v>
      </c>
      <c r="BD380" s="257"/>
      <c r="BE380" s="249"/>
      <c r="BF380" s="249"/>
      <c r="BG380" s="249"/>
      <c r="BH380" s="249"/>
      <c r="BI380" s="249"/>
      <c r="BJ380" s="249"/>
      <c r="BK380" s="249"/>
      <c r="BL380" s="249"/>
      <c r="BM380" s="249"/>
      <c r="BN380" s="249"/>
      <c r="BO380" s="249"/>
      <c r="BP380" s="249"/>
      <c r="BQ380" s="249"/>
      <c r="BR380" s="249"/>
      <c r="BS380" s="249"/>
      <c r="BT380" s="249"/>
      <c r="BU380" s="249"/>
      <c r="BV380" s="249"/>
      <c r="BW380" s="249"/>
      <c r="BX380" s="249"/>
      <c r="BY380" s="249"/>
      <c r="BZ380" s="249"/>
      <c r="CA380" s="249"/>
      <c r="CB380" s="249"/>
      <c r="CC380" s="249"/>
      <c r="CD380" s="249"/>
      <c r="CE380" s="249"/>
    </row>
    <row r="381" spans="1:83" s="84" customFormat="1" ht="12.95" customHeight="1">
      <c r="A381" s="1"/>
      <c r="B381" s="1"/>
      <c r="C381" s="18" t="s">
        <v>371</v>
      </c>
      <c r="D381" s="52" t="s">
        <v>1859</v>
      </c>
      <c r="E381" s="52" t="s">
        <v>2619</v>
      </c>
      <c r="F381" s="53" t="s">
        <v>600</v>
      </c>
      <c r="G381" s="179" t="s">
        <v>1429</v>
      </c>
      <c r="H381" s="180" t="s">
        <v>371</v>
      </c>
      <c r="I381" s="55" t="s">
        <v>1429</v>
      </c>
      <c r="J381" s="55" t="s">
        <v>1429</v>
      </c>
      <c r="K381" s="56" t="s">
        <v>1429</v>
      </c>
      <c r="L381" s="54" t="s">
        <v>1429</v>
      </c>
      <c r="M381" s="55" t="s">
        <v>1580</v>
      </c>
      <c r="N381" s="55" t="s">
        <v>1429</v>
      </c>
      <c r="O381" s="55" t="s">
        <v>1429</v>
      </c>
      <c r="P381" s="56" t="s">
        <v>1429</v>
      </c>
      <c r="Q381" s="85"/>
      <c r="R381" s="85"/>
      <c r="S381" s="85"/>
      <c r="T381" s="85"/>
      <c r="U381" s="85"/>
      <c r="V381" s="146" t="s">
        <v>2620</v>
      </c>
      <c r="W381" s="51" t="s">
        <v>2611</v>
      </c>
      <c r="X381" s="130" t="s">
        <v>1429</v>
      </c>
      <c r="Y381" s="130" t="s">
        <v>1429</v>
      </c>
      <c r="Z381" s="51"/>
      <c r="AA381" s="51" t="s">
        <v>2612</v>
      </c>
      <c r="AB381" s="146"/>
      <c r="AC381" s="146" t="s">
        <v>1429</v>
      </c>
      <c r="AD381" s="98"/>
      <c r="AE381" s="83"/>
      <c r="AF381" s="83"/>
      <c r="AG381" s="83"/>
      <c r="AH381" s="86"/>
      <c r="AI381" s="86"/>
      <c r="AJ381" s="87"/>
      <c r="AK381" s="87"/>
      <c r="AL381" s="87"/>
      <c r="AM381" s="87"/>
      <c r="AN381" s="87"/>
      <c r="AO381" s="87"/>
      <c r="AP381" s="87"/>
      <c r="AQ381" s="229" t="s">
        <v>371</v>
      </c>
      <c r="AR381" s="5"/>
      <c r="AS381" s="5"/>
      <c r="AT381" s="5"/>
      <c r="AU381" s="5"/>
      <c r="AV381" s="5"/>
      <c r="AW381" s="5"/>
      <c r="AX381" s="284"/>
      <c r="AY381" s="5"/>
      <c r="AZ381" s="5"/>
      <c r="BA381" s="230"/>
      <c r="BB381" s="5"/>
      <c r="BC381" s="232" t="s">
        <v>3535</v>
      </c>
      <c r="BD381" s="257"/>
      <c r="BE381" s="249"/>
      <c r="BF381" s="249"/>
      <c r="BG381" s="249"/>
      <c r="BH381" s="249"/>
      <c r="BI381" s="249"/>
      <c r="BJ381" s="249"/>
      <c r="BK381" s="249"/>
      <c r="BL381" s="249"/>
      <c r="BM381" s="249"/>
      <c r="BN381" s="249"/>
      <c r="BO381" s="249"/>
      <c r="BP381" s="249"/>
      <c r="BQ381" s="249"/>
      <c r="BR381" s="249"/>
      <c r="BS381" s="249"/>
      <c r="BT381" s="249"/>
      <c r="BU381" s="249"/>
      <c r="BV381" s="249"/>
      <c r="BW381" s="249"/>
      <c r="BX381" s="249"/>
      <c r="BY381" s="249"/>
      <c r="BZ381" s="249"/>
      <c r="CA381" s="249"/>
      <c r="CB381" s="249"/>
      <c r="CC381" s="249"/>
      <c r="CD381" s="249"/>
      <c r="CE381" s="249"/>
    </row>
    <row r="382" spans="1:83" s="84" customFormat="1" ht="12.95" customHeight="1">
      <c r="A382" s="1"/>
      <c r="B382" s="1"/>
      <c r="C382" s="18" t="s">
        <v>372</v>
      </c>
      <c r="D382" s="52" t="s">
        <v>2621</v>
      </c>
      <c r="E382" s="52" t="s">
        <v>2622</v>
      </c>
      <c r="F382" s="53" t="s">
        <v>601</v>
      </c>
      <c r="G382" s="179" t="s">
        <v>1429</v>
      </c>
      <c r="H382" s="180" t="s">
        <v>372</v>
      </c>
      <c r="I382" s="55" t="s">
        <v>1429</v>
      </c>
      <c r="J382" s="55" t="s">
        <v>1429</v>
      </c>
      <c r="K382" s="56" t="s">
        <v>1429</v>
      </c>
      <c r="L382" s="54" t="s">
        <v>1429</v>
      </c>
      <c r="M382" s="55" t="s">
        <v>1580</v>
      </c>
      <c r="N382" s="55" t="s">
        <v>1429</v>
      </c>
      <c r="O382" s="55" t="s">
        <v>1429</v>
      </c>
      <c r="P382" s="56" t="s">
        <v>1429</v>
      </c>
      <c r="Q382" s="85"/>
      <c r="R382" s="85"/>
      <c r="S382" s="85"/>
      <c r="T382" s="85"/>
      <c r="U382" s="85"/>
      <c r="V382" s="146" t="s">
        <v>2623</v>
      </c>
      <c r="W382" s="51" t="s">
        <v>2611</v>
      </c>
      <c r="X382" s="130" t="s">
        <v>1429</v>
      </c>
      <c r="Y382" s="130" t="s">
        <v>1429</v>
      </c>
      <c r="Z382" s="51"/>
      <c r="AA382" s="51" t="s">
        <v>2612</v>
      </c>
      <c r="AB382" s="146"/>
      <c r="AC382" s="146" t="s">
        <v>1429</v>
      </c>
      <c r="AD382" s="98"/>
      <c r="AE382" s="83"/>
      <c r="AF382" s="83"/>
      <c r="AG382" s="83"/>
      <c r="AH382" s="86"/>
      <c r="AI382" s="86"/>
      <c r="AJ382" s="87"/>
      <c r="AK382" s="87"/>
      <c r="AL382" s="87"/>
      <c r="AM382" s="87"/>
      <c r="AN382" s="87"/>
      <c r="AO382" s="87"/>
      <c r="AP382" s="87"/>
      <c r="AQ382" s="229" t="s">
        <v>372</v>
      </c>
      <c r="AR382" s="5"/>
      <c r="AS382" s="5"/>
      <c r="AT382" s="5"/>
      <c r="AU382" s="5"/>
      <c r="AV382" s="5"/>
      <c r="AW382" s="5"/>
      <c r="AX382" s="284"/>
      <c r="AY382" s="5"/>
      <c r="AZ382" s="5"/>
      <c r="BA382" s="230"/>
      <c r="BB382" s="5"/>
      <c r="BC382" s="232" t="s">
        <v>3535</v>
      </c>
      <c r="BD382" s="257"/>
      <c r="BE382" s="249"/>
      <c r="BF382" s="249"/>
      <c r="BG382" s="249"/>
      <c r="BH382" s="249"/>
      <c r="BI382" s="249"/>
      <c r="BJ382" s="249"/>
      <c r="BK382" s="249"/>
      <c r="BL382" s="249"/>
      <c r="BM382" s="249"/>
      <c r="BN382" s="249"/>
      <c r="BO382" s="249"/>
      <c r="BP382" s="249"/>
      <c r="BQ382" s="249"/>
      <c r="BR382" s="249"/>
      <c r="BS382" s="249"/>
      <c r="BT382" s="249"/>
      <c r="BU382" s="249"/>
      <c r="BV382" s="249"/>
      <c r="BW382" s="249"/>
      <c r="BX382" s="249"/>
      <c r="BY382" s="249"/>
      <c r="BZ382" s="249"/>
      <c r="CA382" s="249"/>
      <c r="CB382" s="249"/>
      <c r="CC382" s="249"/>
      <c r="CD382" s="249"/>
      <c r="CE382" s="249"/>
    </row>
    <row r="383" spans="1:83" s="84" customFormat="1" ht="12.95" customHeight="1">
      <c r="A383" s="1"/>
      <c r="B383" s="1"/>
      <c r="C383" s="18" t="s">
        <v>373</v>
      </c>
      <c r="D383" s="52" t="s">
        <v>1861</v>
      </c>
      <c r="E383" s="52" t="s">
        <v>2624</v>
      </c>
      <c r="F383" s="53" t="s">
        <v>602</v>
      </c>
      <c r="G383" s="179" t="s">
        <v>1429</v>
      </c>
      <c r="H383" s="180" t="s">
        <v>373</v>
      </c>
      <c r="I383" s="55" t="s">
        <v>1429</v>
      </c>
      <c r="J383" s="55" t="s">
        <v>1429</v>
      </c>
      <c r="K383" s="56" t="s">
        <v>1429</v>
      </c>
      <c r="L383" s="54" t="s">
        <v>1429</v>
      </c>
      <c r="M383" s="55" t="s">
        <v>1580</v>
      </c>
      <c r="N383" s="55" t="s">
        <v>1429</v>
      </c>
      <c r="O383" s="55" t="s">
        <v>1429</v>
      </c>
      <c r="P383" s="56" t="s">
        <v>1429</v>
      </c>
      <c r="Q383" s="85"/>
      <c r="R383" s="85"/>
      <c r="S383" s="85"/>
      <c r="T383" s="85"/>
      <c r="U383" s="85"/>
      <c r="V383" s="146" t="s">
        <v>2625</v>
      </c>
      <c r="W383" s="51" t="s">
        <v>2611</v>
      </c>
      <c r="X383" s="130" t="s">
        <v>1429</v>
      </c>
      <c r="Y383" s="130" t="s">
        <v>1429</v>
      </c>
      <c r="Z383" s="51"/>
      <c r="AA383" s="51" t="s">
        <v>2612</v>
      </c>
      <c r="AB383" s="146"/>
      <c r="AC383" s="146" t="s">
        <v>1429</v>
      </c>
      <c r="AD383" s="98"/>
      <c r="AE383" s="83"/>
      <c r="AF383" s="83"/>
      <c r="AG383" s="83"/>
      <c r="AH383" s="86"/>
      <c r="AI383" s="86"/>
      <c r="AJ383" s="87"/>
      <c r="AK383" s="87"/>
      <c r="AL383" s="87"/>
      <c r="AM383" s="87"/>
      <c r="AN383" s="87"/>
      <c r="AO383" s="87"/>
      <c r="AP383" s="87"/>
      <c r="AQ383" s="229" t="s">
        <v>373</v>
      </c>
      <c r="AR383" s="5"/>
      <c r="AS383" s="5"/>
      <c r="AT383" s="5"/>
      <c r="AU383" s="5"/>
      <c r="AV383" s="5"/>
      <c r="AW383" s="5"/>
      <c r="AX383" s="284"/>
      <c r="AY383" s="5"/>
      <c r="AZ383" s="5"/>
      <c r="BA383" s="230"/>
      <c r="BB383" s="5"/>
      <c r="BC383" s="232" t="s">
        <v>3535</v>
      </c>
      <c r="BD383" s="257"/>
      <c r="BE383" s="249"/>
      <c r="BF383" s="249"/>
      <c r="BG383" s="249"/>
      <c r="BH383" s="249"/>
      <c r="BI383" s="249"/>
      <c r="BJ383" s="249"/>
      <c r="BK383" s="249"/>
      <c r="BL383" s="249"/>
      <c r="BM383" s="249"/>
      <c r="BN383" s="249"/>
      <c r="BO383" s="249"/>
      <c r="BP383" s="249"/>
      <c r="BQ383" s="249"/>
      <c r="BR383" s="249"/>
      <c r="BS383" s="249"/>
      <c r="BT383" s="249"/>
      <c r="BU383" s="249"/>
      <c r="BV383" s="249"/>
      <c r="BW383" s="249"/>
      <c r="BX383" s="249"/>
      <c r="BY383" s="249"/>
      <c r="BZ383" s="249"/>
      <c r="CA383" s="249"/>
      <c r="CB383" s="249"/>
      <c r="CC383" s="249"/>
      <c r="CD383" s="249"/>
      <c r="CE383" s="249"/>
    </row>
    <row r="384" spans="1:83" s="84" customFormat="1" ht="12.95" customHeight="1">
      <c r="A384" s="1"/>
      <c r="B384" s="1"/>
      <c r="C384" s="18" t="s">
        <v>374</v>
      </c>
      <c r="D384" s="52" t="s">
        <v>2626</v>
      </c>
      <c r="E384" s="52" t="s">
        <v>2627</v>
      </c>
      <c r="F384" s="53" t="s">
        <v>603</v>
      </c>
      <c r="G384" s="179" t="s">
        <v>1429</v>
      </c>
      <c r="H384" s="180" t="s">
        <v>374</v>
      </c>
      <c r="I384" s="55" t="s">
        <v>1429</v>
      </c>
      <c r="J384" s="55" t="s">
        <v>1429</v>
      </c>
      <c r="K384" s="56" t="s">
        <v>1429</v>
      </c>
      <c r="L384" s="54" t="s">
        <v>1429</v>
      </c>
      <c r="M384" s="55" t="s">
        <v>1580</v>
      </c>
      <c r="N384" s="55" t="s">
        <v>1429</v>
      </c>
      <c r="O384" s="55" t="s">
        <v>1429</v>
      </c>
      <c r="P384" s="56" t="s">
        <v>1429</v>
      </c>
      <c r="Q384" s="85"/>
      <c r="R384" s="85"/>
      <c r="S384" s="85"/>
      <c r="T384" s="85"/>
      <c r="U384" s="85"/>
      <c r="V384" s="146" t="s">
        <v>2628</v>
      </c>
      <c r="W384" s="51" t="s">
        <v>2611</v>
      </c>
      <c r="X384" s="130" t="s">
        <v>1429</v>
      </c>
      <c r="Y384" s="130" t="s">
        <v>1429</v>
      </c>
      <c r="Z384" s="51"/>
      <c r="AA384" s="51" t="s">
        <v>2612</v>
      </c>
      <c r="AB384" s="146"/>
      <c r="AC384" s="146" t="s">
        <v>1429</v>
      </c>
      <c r="AD384" s="98"/>
      <c r="AE384" s="83"/>
      <c r="AF384" s="83"/>
      <c r="AG384" s="83"/>
      <c r="AH384" s="86"/>
      <c r="AI384" s="86"/>
      <c r="AJ384" s="87"/>
      <c r="AK384" s="87"/>
      <c r="AL384" s="87"/>
      <c r="AM384" s="87"/>
      <c r="AN384" s="87"/>
      <c r="AO384" s="87"/>
      <c r="AP384" s="87"/>
      <c r="AQ384" s="229" t="s">
        <v>374</v>
      </c>
      <c r="AR384" s="5"/>
      <c r="AS384" s="5"/>
      <c r="AT384" s="5"/>
      <c r="AU384" s="5"/>
      <c r="AV384" s="5"/>
      <c r="AW384" s="5"/>
      <c r="AX384" s="284"/>
      <c r="AY384" s="5"/>
      <c r="AZ384" s="5"/>
      <c r="BA384" s="230"/>
      <c r="BB384" s="5"/>
      <c r="BC384" s="232" t="s">
        <v>3535</v>
      </c>
      <c r="BD384" s="257"/>
      <c r="BE384" s="249"/>
      <c r="BF384" s="249"/>
      <c r="BG384" s="249"/>
      <c r="BH384" s="249"/>
      <c r="BI384" s="249"/>
      <c r="BJ384" s="249"/>
      <c r="BK384" s="249"/>
      <c r="BL384" s="249"/>
      <c r="BM384" s="249"/>
      <c r="BN384" s="249"/>
      <c r="BO384" s="249"/>
      <c r="BP384" s="249"/>
      <c r="BQ384" s="249"/>
      <c r="BR384" s="249"/>
      <c r="BS384" s="249"/>
      <c r="BT384" s="249"/>
      <c r="BU384" s="249"/>
      <c r="BV384" s="249"/>
      <c r="BW384" s="249"/>
      <c r="BX384" s="249"/>
      <c r="BY384" s="249"/>
      <c r="BZ384" s="249"/>
      <c r="CA384" s="249"/>
      <c r="CB384" s="249"/>
      <c r="CC384" s="249"/>
      <c r="CD384" s="249"/>
      <c r="CE384" s="249"/>
    </row>
    <row r="385" spans="1:83" s="84" customFormat="1" ht="12.95" customHeight="1">
      <c r="A385" s="1"/>
      <c r="B385" s="1"/>
      <c r="C385" s="18" t="s">
        <v>375</v>
      </c>
      <c r="D385" s="52" t="s">
        <v>1862</v>
      </c>
      <c r="E385" s="52" t="s">
        <v>2629</v>
      </c>
      <c r="F385" s="53" t="s">
        <v>604</v>
      </c>
      <c r="G385" s="179" t="s">
        <v>1429</v>
      </c>
      <c r="H385" s="180" t="s">
        <v>375</v>
      </c>
      <c r="I385" s="55" t="s">
        <v>1429</v>
      </c>
      <c r="J385" s="55" t="s">
        <v>1429</v>
      </c>
      <c r="K385" s="56" t="s">
        <v>1429</v>
      </c>
      <c r="L385" s="54" t="s">
        <v>1429</v>
      </c>
      <c r="M385" s="55" t="s">
        <v>1580</v>
      </c>
      <c r="N385" s="55" t="s">
        <v>1429</v>
      </c>
      <c r="O385" s="55" t="s">
        <v>1429</v>
      </c>
      <c r="P385" s="56" t="s">
        <v>1429</v>
      </c>
      <c r="Q385" s="85"/>
      <c r="R385" s="85"/>
      <c r="S385" s="85"/>
      <c r="T385" s="85"/>
      <c r="U385" s="85"/>
      <c r="V385" s="146" t="s">
        <v>2630</v>
      </c>
      <c r="W385" s="51" t="s">
        <v>2611</v>
      </c>
      <c r="X385" s="130" t="s">
        <v>1429</v>
      </c>
      <c r="Y385" s="130" t="s">
        <v>1429</v>
      </c>
      <c r="Z385" s="51"/>
      <c r="AA385" s="51" t="s">
        <v>2612</v>
      </c>
      <c r="AB385" s="146"/>
      <c r="AC385" s="146" t="s">
        <v>1429</v>
      </c>
      <c r="AD385" s="98"/>
      <c r="AE385" s="83"/>
      <c r="AF385" s="83"/>
      <c r="AG385" s="83"/>
      <c r="AH385" s="86"/>
      <c r="AI385" s="86"/>
      <c r="AJ385" s="87"/>
      <c r="AK385" s="87"/>
      <c r="AL385" s="87"/>
      <c r="AM385" s="87"/>
      <c r="AN385" s="87"/>
      <c r="AO385" s="87"/>
      <c r="AP385" s="87"/>
      <c r="AQ385" s="229" t="s">
        <v>375</v>
      </c>
      <c r="AR385" s="5"/>
      <c r="AS385" s="5"/>
      <c r="AT385" s="5"/>
      <c r="AU385" s="5"/>
      <c r="AV385" s="5"/>
      <c r="AW385" s="5"/>
      <c r="AX385" s="284"/>
      <c r="AY385" s="5"/>
      <c r="AZ385" s="5"/>
      <c r="BA385" s="230"/>
      <c r="BB385" s="5"/>
      <c r="BC385" s="232" t="s">
        <v>3535</v>
      </c>
      <c r="BD385" s="257"/>
      <c r="BE385" s="249"/>
      <c r="BF385" s="249"/>
      <c r="BG385" s="249"/>
      <c r="BH385" s="249"/>
      <c r="BI385" s="249"/>
      <c r="BJ385" s="249"/>
      <c r="BK385" s="249"/>
      <c r="BL385" s="249"/>
      <c r="BM385" s="249"/>
      <c r="BN385" s="249"/>
      <c r="BO385" s="249"/>
      <c r="BP385" s="249"/>
      <c r="BQ385" s="249"/>
      <c r="BR385" s="249"/>
      <c r="BS385" s="249"/>
      <c r="BT385" s="249"/>
      <c r="BU385" s="249"/>
      <c r="BV385" s="249"/>
      <c r="BW385" s="249"/>
      <c r="BX385" s="249"/>
      <c r="BY385" s="249"/>
      <c r="BZ385" s="249"/>
      <c r="CA385" s="249"/>
      <c r="CB385" s="249"/>
      <c r="CC385" s="249"/>
      <c r="CD385" s="249"/>
      <c r="CE385" s="249"/>
    </row>
    <row r="386" spans="1:83" s="84" customFormat="1" ht="12.95" customHeight="1">
      <c r="A386" s="1"/>
      <c r="B386" s="1"/>
      <c r="C386" s="18" t="s">
        <v>376</v>
      </c>
      <c r="D386" s="52" t="s">
        <v>2631</v>
      </c>
      <c r="E386" s="52" t="s">
        <v>2632</v>
      </c>
      <c r="F386" s="53" t="s">
        <v>605</v>
      </c>
      <c r="G386" s="179" t="s">
        <v>1429</v>
      </c>
      <c r="H386" s="180" t="s">
        <v>376</v>
      </c>
      <c r="I386" s="55" t="s">
        <v>1429</v>
      </c>
      <c r="J386" s="55" t="s">
        <v>1429</v>
      </c>
      <c r="K386" s="56" t="s">
        <v>1429</v>
      </c>
      <c r="L386" s="54" t="s">
        <v>1429</v>
      </c>
      <c r="M386" s="55" t="s">
        <v>1580</v>
      </c>
      <c r="N386" s="55" t="s">
        <v>1429</v>
      </c>
      <c r="O386" s="55" t="s">
        <v>1429</v>
      </c>
      <c r="P386" s="56" t="s">
        <v>1429</v>
      </c>
      <c r="Q386" s="85"/>
      <c r="R386" s="85"/>
      <c r="S386" s="85"/>
      <c r="T386" s="85"/>
      <c r="U386" s="85"/>
      <c r="V386" s="146" t="s">
        <v>2633</v>
      </c>
      <c r="W386" s="51" t="s">
        <v>2611</v>
      </c>
      <c r="X386" s="130" t="s">
        <v>1429</v>
      </c>
      <c r="Y386" s="130" t="s">
        <v>1429</v>
      </c>
      <c r="Z386" s="51"/>
      <c r="AA386" s="51" t="s">
        <v>2612</v>
      </c>
      <c r="AB386" s="146"/>
      <c r="AC386" s="146" t="s">
        <v>1429</v>
      </c>
      <c r="AD386" s="98"/>
      <c r="AE386" s="83"/>
      <c r="AF386" s="83"/>
      <c r="AG386" s="83"/>
      <c r="AH386" s="86"/>
      <c r="AI386" s="86"/>
      <c r="AJ386" s="87"/>
      <c r="AK386" s="87"/>
      <c r="AL386" s="87"/>
      <c r="AM386" s="87"/>
      <c r="AN386" s="87"/>
      <c r="AO386" s="87"/>
      <c r="AP386" s="87"/>
      <c r="AQ386" s="229" t="s">
        <v>376</v>
      </c>
      <c r="AR386" s="5"/>
      <c r="AS386" s="5"/>
      <c r="AT386" s="5"/>
      <c r="AU386" s="5"/>
      <c r="AV386" s="5"/>
      <c r="AW386" s="5"/>
      <c r="AX386" s="284"/>
      <c r="AY386" s="5"/>
      <c r="AZ386" s="5"/>
      <c r="BA386" s="230"/>
      <c r="BB386" s="5"/>
      <c r="BC386" s="232" t="s">
        <v>3535</v>
      </c>
      <c r="BD386" s="257"/>
      <c r="BE386" s="249"/>
      <c r="BF386" s="249"/>
      <c r="BG386" s="249"/>
      <c r="BH386" s="249"/>
      <c r="BI386" s="249"/>
      <c r="BJ386" s="249"/>
      <c r="BK386" s="249"/>
      <c r="BL386" s="249"/>
      <c r="BM386" s="249"/>
      <c r="BN386" s="249"/>
      <c r="BO386" s="249"/>
      <c r="BP386" s="249"/>
      <c r="BQ386" s="249"/>
      <c r="BR386" s="249"/>
      <c r="BS386" s="249"/>
      <c r="BT386" s="249"/>
      <c r="BU386" s="249"/>
      <c r="BV386" s="249"/>
      <c r="BW386" s="249"/>
      <c r="BX386" s="249"/>
      <c r="BY386" s="249"/>
      <c r="BZ386" s="249"/>
      <c r="CA386" s="249"/>
      <c r="CB386" s="249"/>
      <c r="CC386" s="249"/>
      <c r="CD386" s="249"/>
      <c r="CE386" s="249"/>
    </row>
    <row r="387" spans="1:83" s="84" customFormat="1" ht="12.95" customHeight="1">
      <c r="A387" s="1"/>
      <c r="B387" s="1"/>
      <c r="C387" s="21" t="s">
        <v>377</v>
      </c>
      <c r="D387" s="52" t="s">
        <v>2634</v>
      </c>
      <c r="E387" s="52" t="s">
        <v>2635</v>
      </c>
      <c r="F387" s="53" t="s">
        <v>606</v>
      </c>
      <c r="G387" s="179" t="s">
        <v>1429</v>
      </c>
      <c r="H387" s="180" t="s">
        <v>377</v>
      </c>
      <c r="I387" s="55" t="s">
        <v>1429</v>
      </c>
      <c r="J387" s="55" t="s">
        <v>1429</v>
      </c>
      <c r="K387" s="56" t="s">
        <v>1429</v>
      </c>
      <c r="L387" s="54" t="s">
        <v>1429</v>
      </c>
      <c r="M387" s="55" t="s">
        <v>1580</v>
      </c>
      <c r="N387" s="55" t="s">
        <v>1429</v>
      </c>
      <c r="O387" s="55" t="s">
        <v>1429</v>
      </c>
      <c r="P387" s="56" t="s">
        <v>1429</v>
      </c>
      <c r="Q387" s="85"/>
      <c r="R387" s="85"/>
      <c r="S387" s="85"/>
      <c r="T387" s="85"/>
      <c r="U387" s="85"/>
      <c r="V387" s="146" t="s">
        <v>2636</v>
      </c>
      <c r="W387" s="51" t="s">
        <v>2611</v>
      </c>
      <c r="X387" s="130" t="s">
        <v>1429</v>
      </c>
      <c r="Y387" s="130" t="s">
        <v>1429</v>
      </c>
      <c r="Z387" s="51"/>
      <c r="AA387" s="51" t="s">
        <v>2612</v>
      </c>
      <c r="AB387" s="146"/>
      <c r="AC387" s="146" t="s">
        <v>1429</v>
      </c>
      <c r="AD387" s="98"/>
      <c r="AE387" s="83"/>
      <c r="AF387" s="83"/>
      <c r="AG387" s="83"/>
      <c r="AH387" s="86"/>
      <c r="AI387" s="86"/>
      <c r="AJ387" s="87"/>
      <c r="AK387" s="87"/>
      <c r="AL387" s="87"/>
      <c r="AM387" s="87"/>
      <c r="AN387" s="87"/>
      <c r="AO387" s="87"/>
      <c r="AP387" s="87"/>
      <c r="AQ387" s="229" t="s">
        <v>377</v>
      </c>
      <c r="AR387" s="5"/>
      <c r="AS387" s="5"/>
      <c r="AT387" s="5"/>
      <c r="AU387" s="5"/>
      <c r="AV387" s="5"/>
      <c r="AW387" s="5"/>
      <c r="AX387" s="284"/>
      <c r="AY387" s="5"/>
      <c r="AZ387" s="5"/>
      <c r="BA387" s="230"/>
      <c r="BB387" s="5"/>
      <c r="BC387" s="232" t="s">
        <v>3535</v>
      </c>
      <c r="BD387" s="257"/>
      <c r="BE387" s="249"/>
      <c r="BF387" s="249"/>
      <c r="BG387" s="249"/>
      <c r="BH387" s="249"/>
      <c r="BI387" s="249"/>
      <c r="BJ387" s="249"/>
      <c r="BK387" s="249"/>
      <c r="BL387" s="249"/>
      <c r="BM387" s="249"/>
      <c r="BN387" s="249"/>
      <c r="BO387" s="249"/>
      <c r="BP387" s="249"/>
      <c r="BQ387" s="249"/>
      <c r="BR387" s="249"/>
      <c r="BS387" s="249"/>
      <c r="BT387" s="249"/>
      <c r="BU387" s="249"/>
      <c r="BV387" s="249"/>
      <c r="BW387" s="249"/>
      <c r="BX387" s="249"/>
      <c r="BY387" s="249"/>
      <c r="BZ387" s="249"/>
      <c r="CA387" s="249"/>
      <c r="CB387" s="249"/>
      <c r="CC387" s="249"/>
      <c r="CD387" s="249"/>
      <c r="CE387" s="249"/>
    </row>
    <row r="388" spans="1:83" s="84" customFormat="1" ht="12.95" customHeight="1">
      <c r="A388" s="1"/>
      <c r="B388" s="1"/>
      <c r="C388" s="21" t="s">
        <v>378</v>
      </c>
      <c r="D388" s="52" t="s">
        <v>2637</v>
      </c>
      <c r="E388" s="52" t="s">
        <v>2638</v>
      </c>
      <c r="F388" s="53" t="s">
        <v>607</v>
      </c>
      <c r="G388" s="179" t="s">
        <v>1429</v>
      </c>
      <c r="H388" s="180" t="s">
        <v>378</v>
      </c>
      <c r="I388" s="55" t="s">
        <v>1429</v>
      </c>
      <c r="J388" s="55" t="s">
        <v>1429</v>
      </c>
      <c r="K388" s="56" t="s">
        <v>1429</v>
      </c>
      <c r="L388" s="54" t="s">
        <v>1429</v>
      </c>
      <c r="M388" s="55" t="s">
        <v>1580</v>
      </c>
      <c r="N388" s="55" t="s">
        <v>1429</v>
      </c>
      <c r="O388" s="55" t="s">
        <v>1429</v>
      </c>
      <c r="P388" s="56" t="s">
        <v>1429</v>
      </c>
      <c r="Q388" s="85"/>
      <c r="R388" s="85"/>
      <c r="S388" s="85"/>
      <c r="T388" s="85"/>
      <c r="U388" s="85"/>
      <c r="V388" s="146" t="s">
        <v>2639</v>
      </c>
      <c r="W388" s="51" t="s">
        <v>2611</v>
      </c>
      <c r="X388" s="130" t="s">
        <v>1429</v>
      </c>
      <c r="Y388" s="130" t="s">
        <v>1429</v>
      </c>
      <c r="Z388" s="51"/>
      <c r="AA388" s="51" t="s">
        <v>2612</v>
      </c>
      <c r="AB388" s="146"/>
      <c r="AC388" s="146" t="s">
        <v>1429</v>
      </c>
      <c r="AD388" s="98"/>
      <c r="AE388" s="83"/>
      <c r="AF388" s="83"/>
      <c r="AG388" s="83"/>
      <c r="AH388" s="86"/>
      <c r="AI388" s="86"/>
      <c r="AJ388" s="87"/>
      <c r="AK388" s="87"/>
      <c r="AL388" s="87"/>
      <c r="AM388" s="87"/>
      <c r="AN388" s="87"/>
      <c r="AO388" s="87"/>
      <c r="AP388" s="87"/>
      <c r="AQ388" s="229" t="s">
        <v>378</v>
      </c>
      <c r="AR388" s="5"/>
      <c r="AS388" s="5"/>
      <c r="AT388" s="5"/>
      <c r="AU388" s="5"/>
      <c r="AV388" s="5"/>
      <c r="AW388" s="5"/>
      <c r="AX388" s="284"/>
      <c r="AY388" s="5"/>
      <c r="AZ388" s="5"/>
      <c r="BA388" s="230"/>
      <c r="BB388" s="5"/>
      <c r="BC388" s="232" t="s">
        <v>3535</v>
      </c>
      <c r="BD388" s="257"/>
      <c r="BE388" s="249"/>
      <c r="BF388" s="249"/>
      <c r="BG388" s="249"/>
      <c r="BH388" s="249"/>
      <c r="BI388" s="249"/>
      <c r="BJ388" s="249"/>
      <c r="BK388" s="249"/>
      <c r="BL388" s="249"/>
      <c r="BM388" s="249"/>
      <c r="BN388" s="249"/>
      <c r="BO388" s="249"/>
      <c r="BP388" s="249"/>
      <c r="BQ388" s="249"/>
      <c r="BR388" s="249"/>
      <c r="BS388" s="249"/>
      <c r="BT388" s="249"/>
      <c r="BU388" s="249"/>
      <c r="BV388" s="249"/>
      <c r="BW388" s="249"/>
      <c r="BX388" s="249"/>
      <c r="BY388" s="249"/>
      <c r="BZ388" s="249"/>
      <c r="CA388" s="249"/>
      <c r="CB388" s="249"/>
      <c r="CC388" s="249"/>
      <c r="CD388" s="249"/>
      <c r="CE388" s="249"/>
    </row>
    <row r="389" spans="1:83" s="84" customFormat="1" ht="12.95" customHeight="1">
      <c r="A389" s="1"/>
      <c r="B389" s="1"/>
      <c r="C389" s="18" t="s">
        <v>379</v>
      </c>
      <c r="D389" s="52" t="s">
        <v>1860</v>
      </c>
      <c r="E389" s="52" t="s">
        <v>2640</v>
      </c>
      <c r="F389" s="53" t="s">
        <v>608</v>
      </c>
      <c r="G389" s="179" t="s">
        <v>1429</v>
      </c>
      <c r="H389" s="180" t="s">
        <v>379</v>
      </c>
      <c r="I389" s="55" t="s">
        <v>1429</v>
      </c>
      <c r="J389" s="55" t="s">
        <v>1429</v>
      </c>
      <c r="K389" s="56" t="s">
        <v>1429</v>
      </c>
      <c r="L389" s="54" t="s">
        <v>1429</v>
      </c>
      <c r="M389" s="55" t="s">
        <v>1580</v>
      </c>
      <c r="N389" s="55" t="s">
        <v>1429</v>
      </c>
      <c r="O389" s="55" t="s">
        <v>1429</v>
      </c>
      <c r="P389" s="56" t="s">
        <v>1429</v>
      </c>
      <c r="Q389" s="85"/>
      <c r="R389" s="85"/>
      <c r="S389" s="85"/>
      <c r="T389" s="85"/>
      <c r="U389" s="85"/>
      <c r="V389" s="146" t="s">
        <v>2641</v>
      </c>
      <c r="W389" s="51" t="s">
        <v>2611</v>
      </c>
      <c r="X389" s="130" t="s">
        <v>1429</v>
      </c>
      <c r="Y389" s="130" t="s">
        <v>1429</v>
      </c>
      <c r="Z389" s="51"/>
      <c r="AA389" s="51" t="s">
        <v>2612</v>
      </c>
      <c r="AB389" s="146"/>
      <c r="AC389" s="146" t="s">
        <v>1429</v>
      </c>
      <c r="AD389" s="98"/>
      <c r="AE389" s="83"/>
      <c r="AF389" s="83"/>
      <c r="AG389" s="83"/>
      <c r="AH389" s="86"/>
      <c r="AI389" s="86"/>
      <c r="AJ389" s="87"/>
      <c r="AK389" s="87"/>
      <c r="AL389" s="87"/>
      <c r="AM389" s="87"/>
      <c r="AN389" s="87"/>
      <c r="AO389" s="87"/>
      <c r="AP389" s="87"/>
      <c r="AQ389" s="229" t="s">
        <v>379</v>
      </c>
      <c r="AR389" s="5"/>
      <c r="AS389" s="5"/>
      <c r="AT389" s="5"/>
      <c r="AU389" s="5"/>
      <c r="AV389" s="5"/>
      <c r="AW389" s="5"/>
      <c r="AX389" s="284"/>
      <c r="AY389" s="5"/>
      <c r="AZ389" s="5"/>
      <c r="BA389" s="230"/>
      <c r="BB389" s="5"/>
      <c r="BC389" s="232" t="s">
        <v>3535</v>
      </c>
      <c r="BD389" s="257"/>
      <c r="BE389" s="249"/>
      <c r="BF389" s="249"/>
      <c r="BG389" s="249"/>
      <c r="BH389" s="249"/>
      <c r="BI389" s="249"/>
      <c r="BJ389" s="249"/>
      <c r="BK389" s="249"/>
      <c r="BL389" s="249"/>
      <c r="BM389" s="249"/>
      <c r="BN389" s="249"/>
      <c r="BO389" s="249"/>
      <c r="BP389" s="249"/>
      <c r="BQ389" s="249"/>
      <c r="BR389" s="249"/>
      <c r="BS389" s="249"/>
      <c r="BT389" s="249"/>
      <c r="BU389" s="249"/>
      <c r="BV389" s="249"/>
      <c r="BW389" s="249"/>
      <c r="BX389" s="249"/>
      <c r="BY389" s="249"/>
      <c r="BZ389" s="249"/>
      <c r="CA389" s="249"/>
      <c r="CB389" s="249"/>
      <c r="CC389" s="249"/>
      <c r="CD389" s="249"/>
      <c r="CE389" s="249"/>
    </row>
    <row r="390" spans="1:83" s="84" customFormat="1" ht="12.95" customHeight="1">
      <c r="A390" s="1"/>
      <c r="B390" s="1"/>
      <c r="C390" s="18" t="s">
        <v>380</v>
      </c>
      <c r="D390" s="52" t="s">
        <v>1855</v>
      </c>
      <c r="E390" s="52" t="s">
        <v>2642</v>
      </c>
      <c r="F390" s="53" t="s">
        <v>609</v>
      </c>
      <c r="G390" s="179" t="s">
        <v>1429</v>
      </c>
      <c r="H390" s="180" t="s">
        <v>380</v>
      </c>
      <c r="I390" s="55" t="s">
        <v>1429</v>
      </c>
      <c r="J390" s="55" t="s">
        <v>1429</v>
      </c>
      <c r="K390" s="56" t="s">
        <v>1429</v>
      </c>
      <c r="L390" s="54" t="s">
        <v>1429</v>
      </c>
      <c r="M390" s="55" t="s">
        <v>1580</v>
      </c>
      <c r="N390" s="55" t="s">
        <v>1429</v>
      </c>
      <c r="O390" s="55" t="s">
        <v>1429</v>
      </c>
      <c r="P390" s="56" t="s">
        <v>1429</v>
      </c>
      <c r="Q390" s="85"/>
      <c r="R390" s="85"/>
      <c r="S390" s="85"/>
      <c r="T390" s="85"/>
      <c r="U390" s="85"/>
      <c r="V390" s="146" t="s">
        <v>2643</v>
      </c>
      <c r="W390" s="51" t="s">
        <v>2611</v>
      </c>
      <c r="X390" s="130" t="s">
        <v>1429</v>
      </c>
      <c r="Y390" s="130" t="s">
        <v>1429</v>
      </c>
      <c r="Z390" s="51"/>
      <c r="AA390" s="51" t="s">
        <v>2612</v>
      </c>
      <c r="AB390" s="146"/>
      <c r="AC390" s="146" t="s">
        <v>1429</v>
      </c>
      <c r="AD390" s="98"/>
      <c r="AE390" s="83"/>
      <c r="AF390" s="83"/>
      <c r="AG390" s="83"/>
      <c r="AH390" s="86"/>
      <c r="AI390" s="86"/>
      <c r="AJ390" s="87"/>
      <c r="AK390" s="87"/>
      <c r="AL390" s="87"/>
      <c r="AM390" s="87"/>
      <c r="AN390" s="87"/>
      <c r="AO390" s="87"/>
      <c r="AP390" s="87"/>
      <c r="AQ390" s="229" t="s">
        <v>380</v>
      </c>
      <c r="AR390" s="5"/>
      <c r="AS390" s="5"/>
      <c r="AT390" s="5"/>
      <c r="AU390" s="5"/>
      <c r="AV390" s="5"/>
      <c r="AW390" s="5"/>
      <c r="AX390" s="284"/>
      <c r="AY390" s="5"/>
      <c r="AZ390" s="5"/>
      <c r="BA390" s="230"/>
      <c r="BB390" s="5"/>
      <c r="BC390" s="232" t="s">
        <v>3535</v>
      </c>
      <c r="BD390" s="257"/>
      <c r="BE390" s="249"/>
      <c r="BF390" s="249"/>
      <c r="BG390" s="249"/>
      <c r="BH390" s="249"/>
      <c r="BI390" s="249"/>
      <c r="BJ390" s="249"/>
      <c r="BK390" s="249"/>
      <c r="BL390" s="249"/>
      <c r="BM390" s="249"/>
      <c r="BN390" s="249"/>
      <c r="BO390" s="249"/>
      <c r="BP390" s="249"/>
      <c r="BQ390" s="249"/>
      <c r="BR390" s="249"/>
      <c r="BS390" s="249"/>
      <c r="BT390" s="249"/>
      <c r="BU390" s="249"/>
      <c r="BV390" s="249"/>
      <c r="BW390" s="249"/>
      <c r="BX390" s="249"/>
      <c r="BY390" s="249"/>
      <c r="BZ390" s="249"/>
      <c r="CA390" s="249"/>
      <c r="CB390" s="249"/>
      <c r="CC390" s="249"/>
      <c r="CD390" s="249"/>
      <c r="CE390" s="249"/>
    </row>
    <row r="391" spans="1:83" s="84" customFormat="1" ht="12.95" customHeight="1">
      <c r="A391" s="1"/>
      <c r="B391" s="1"/>
      <c r="C391" s="18" t="s">
        <v>381</v>
      </c>
      <c r="D391" s="52" t="s">
        <v>1854</v>
      </c>
      <c r="E391" s="52" t="s">
        <v>2644</v>
      </c>
      <c r="F391" s="53" t="s">
        <v>610</v>
      </c>
      <c r="G391" s="179" t="s">
        <v>1429</v>
      </c>
      <c r="H391" s="180" t="s">
        <v>381</v>
      </c>
      <c r="I391" s="55" t="s">
        <v>1429</v>
      </c>
      <c r="J391" s="55" t="s">
        <v>1429</v>
      </c>
      <c r="K391" s="56" t="s">
        <v>1429</v>
      </c>
      <c r="L391" s="54" t="s">
        <v>1429</v>
      </c>
      <c r="M391" s="55" t="s">
        <v>1580</v>
      </c>
      <c r="N391" s="55" t="s">
        <v>1429</v>
      </c>
      <c r="O391" s="55" t="s">
        <v>1429</v>
      </c>
      <c r="P391" s="56" t="s">
        <v>1429</v>
      </c>
      <c r="Q391" s="85"/>
      <c r="R391" s="85"/>
      <c r="S391" s="85"/>
      <c r="T391" s="85"/>
      <c r="U391" s="85"/>
      <c r="V391" s="146" t="s">
        <v>2645</v>
      </c>
      <c r="W391" s="51" t="s">
        <v>2611</v>
      </c>
      <c r="X391" s="130" t="s">
        <v>1429</v>
      </c>
      <c r="Y391" s="130" t="s">
        <v>1429</v>
      </c>
      <c r="Z391" s="51"/>
      <c r="AA391" s="51" t="s">
        <v>2612</v>
      </c>
      <c r="AB391" s="146"/>
      <c r="AC391" s="146" t="s">
        <v>1429</v>
      </c>
      <c r="AD391" s="98"/>
      <c r="AE391" s="83"/>
      <c r="AF391" s="83"/>
      <c r="AG391" s="83"/>
      <c r="AH391" s="86"/>
      <c r="AI391" s="86"/>
      <c r="AJ391" s="87"/>
      <c r="AK391" s="87"/>
      <c r="AL391" s="87"/>
      <c r="AM391" s="87"/>
      <c r="AN391" s="87"/>
      <c r="AO391" s="87"/>
      <c r="AP391" s="87"/>
      <c r="AQ391" s="229" t="s">
        <v>381</v>
      </c>
      <c r="AR391" s="5"/>
      <c r="AS391" s="5"/>
      <c r="AT391" s="5"/>
      <c r="AU391" s="5"/>
      <c r="AV391" s="5"/>
      <c r="AW391" s="5"/>
      <c r="AX391" s="284"/>
      <c r="AY391" s="5"/>
      <c r="AZ391" s="5"/>
      <c r="BA391" s="230"/>
      <c r="BB391" s="5"/>
      <c r="BC391" s="232" t="s">
        <v>3535</v>
      </c>
      <c r="BD391" s="257"/>
      <c r="BE391" s="249"/>
      <c r="BF391" s="249"/>
      <c r="BG391" s="249"/>
      <c r="BH391" s="249"/>
      <c r="BI391" s="249"/>
      <c r="BJ391" s="249"/>
      <c r="BK391" s="249"/>
      <c r="BL391" s="249"/>
      <c r="BM391" s="249"/>
      <c r="BN391" s="249"/>
      <c r="BO391" s="249"/>
      <c r="BP391" s="249"/>
      <c r="BQ391" s="249"/>
      <c r="BR391" s="249"/>
      <c r="BS391" s="249"/>
      <c r="BT391" s="249"/>
      <c r="BU391" s="249"/>
      <c r="BV391" s="249"/>
      <c r="BW391" s="249"/>
      <c r="BX391" s="249"/>
      <c r="BY391" s="249"/>
      <c r="BZ391" s="249"/>
      <c r="CA391" s="249"/>
      <c r="CB391" s="249"/>
      <c r="CC391" s="249"/>
      <c r="CD391" s="249"/>
      <c r="CE391" s="249"/>
    </row>
    <row r="392" spans="1:83" s="84" customFormat="1" ht="12.95" customHeight="1">
      <c r="A392" s="1"/>
      <c r="B392" s="1"/>
      <c r="C392" s="18" t="s">
        <v>382</v>
      </c>
      <c r="D392" s="52" t="s">
        <v>1856</v>
      </c>
      <c r="E392" s="52" t="s">
        <v>2646</v>
      </c>
      <c r="F392" s="53" t="s">
        <v>611</v>
      </c>
      <c r="G392" s="179" t="s">
        <v>1429</v>
      </c>
      <c r="H392" s="180" t="s">
        <v>382</v>
      </c>
      <c r="I392" s="55" t="s">
        <v>1429</v>
      </c>
      <c r="J392" s="55" t="s">
        <v>1429</v>
      </c>
      <c r="K392" s="56" t="s">
        <v>1429</v>
      </c>
      <c r="L392" s="54" t="s">
        <v>1429</v>
      </c>
      <c r="M392" s="55" t="s">
        <v>1580</v>
      </c>
      <c r="N392" s="55" t="s">
        <v>1429</v>
      </c>
      <c r="O392" s="55" t="s">
        <v>1429</v>
      </c>
      <c r="P392" s="56" t="s">
        <v>1429</v>
      </c>
      <c r="Q392" s="85"/>
      <c r="R392" s="85"/>
      <c r="S392" s="85"/>
      <c r="T392" s="85"/>
      <c r="U392" s="85"/>
      <c r="V392" s="146" t="s">
        <v>2647</v>
      </c>
      <c r="W392" s="51" t="s">
        <v>2611</v>
      </c>
      <c r="X392" s="130" t="s">
        <v>1429</v>
      </c>
      <c r="Y392" s="130" t="s">
        <v>1429</v>
      </c>
      <c r="Z392" s="51"/>
      <c r="AA392" s="51" t="s">
        <v>2612</v>
      </c>
      <c r="AB392" s="146"/>
      <c r="AC392" s="146" t="s">
        <v>1429</v>
      </c>
      <c r="AD392" s="98"/>
      <c r="AE392" s="83"/>
      <c r="AF392" s="83"/>
      <c r="AG392" s="83"/>
      <c r="AH392" s="86"/>
      <c r="AI392" s="86"/>
      <c r="AJ392" s="87"/>
      <c r="AK392" s="87"/>
      <c r="AL392" s="87"/>
      <c r="AM392" s="87"/>
      <c r="AN392" s="87"/>
      <c r="AO392" s="87"/>
      <c r="AP392" s="87"/>
      <c r="AQ392" s="229" t="s">
        <v>382</v>
      </c>
      <c r="AR392" s="5"/>
      <c r="AS392" s="5"/>
      <c r="AT392" s="5"/>
      <c r="AU392" s="5"/>
      <c r="AV392" s="5"/>
      <c r="AW392" s="5"/>
      <c r="AX392" s="284"/>
      <c r="AY392" s="5"/>
      <c r="AZ392" s="5"/>
      <c r="BA392" s="230"/>
      <c r="BB392" s="5"/>
      <c r="BC392" s="232" t="s">
        <v>3535</v>
      </c>
      <c r="BD392" s="257"/>
      <c r="BE392" s="249"/>
      <c r="BF392" s="249"/>
      <c r="BG392" s="249"/>
      <c r="BH392" s="249"/>
      <c r="BI392" s="249"/>
      <c r="BJ392" s="249"/>
      <c r="BK392" s="249"/>
      <c r="BL392" s="249"/>
      <c r="BM392" s="249"/>
      <c r="BN392" s="249"/>
      <c r="BO392" s="249"/>
      <c r="BP392" s="249"/>
      <c r="BQ392" s="249"/>
      <c r="BR392" s="249"/>
      <c r="BS392" s="249"/>
      <c r="BT392" s="249"/>
      <c r="BU392" s="249"/>
      <c r="BV392" s="249"/>
      <c r="BW392" s="249"/>
      <c r="BX392" s="249"/>
      <c r="BY392" s="249"/>
      <c r="BZ392" s="249"/>
      <c r="CA392" s="249"/>
      <c r="CB392" s="249"/>
      <c r="CC392" s="249"/>
      <c r="CD392" s="249"/>
      <c r="CE392" s="249"/>
    </row>
    <row r="393" spans="1:83" s="84" customFormat="1" ht="12.95" customHeight="1">
      <c r="A393" s="1"/>
      <c r="B393" s="1"/>
      <c r="C393" s="18" t="s">
        <v>383</v>
      </c>
      <c r="D393" s="52" t="s">
        <v>1857</v>
      </c>
      <c r="E393" s="52" t="s">
        <v>2648</v>
      </c>
      <c r="F393" s="53" t="s">
        <v>612</v>
      </c>
      <c r="G393" s="179" t="s">
        <v>1429</v>
      </c>
      <c r="H393" s="180" t="s">
        <v>383</v>
      </c>
      <c r="I393" s="55" t="s">
        <v>1429</v>
      </c>
      <c r="J393" s="55" t="s">
        <v>1429</v>
      </c>
      <c r="K393" s="56" t="s">
        <v>1429</v>
      </c>
      <c r="L393" s="54" t="s">
        <v>1429</v>
      </c>
      <c r="M393" s="55" t="s">
        <v>1580</v>
      </c>
      <c r="N393" s="55" t="s">
        <v>1429</v>
      </c>
      <c r="O393" s="55" t="s">
        <v>1429</v>
      </c>
      <c r="P393" s="56" t="s">
        <v>1429</v>
      </c>
      <c r="Q393" s="85"/>
      <c r="R393" s="85"/>
      <c r="S393" s="85"/>
      <c r="T393" s="85"/>
      <c r="U393" s="85"/>
      <c r="V393" s="146" t="s">
        <v>2649</v>
      </c>
      <c r="W393" s="51" t="s">
        <v>2611</v>
      </c>
      <c r="X393" s="130" t="s">
        <v>1429</v>
      </c>
      <c r="Y393" s="130" t="s">
        <v>1429</v>
      </c>
      <c r="Z393" s="51"/>
      <c r="AA393" s="51" t="s">
        <v>2612</v>
      </c>
      <c r="AB393" s="146"/>
      <c r="AC393" s="146" t="s">
        <v>1429</v>
      </c>
      <c r="AD393" s="98"/>
      <c r="AE393" s="83"/>
      <c r="AF393" s="83"/>
      <c r="AG393" s="83"/>
      <c r="AH393" s="86"/>
      <c r="AI393" s="86"/>
      <c r="AJ393" s="87"/>
      <c r="AK393" s="87"/>
      <c r="AL393" s="87"/>
      <c r="AM393" s="87"/>
      <c r="AN393" s="87"/>
      <c r="AO393" s="87"/>
      <c r="AP393" s="87"/>
      <c r="AQ393" s="229" t="s">
        <v>383</v>
      </c>
      <c r="AR393" s="5"/>
      <c r="AS393" s="5"/>
      <c r="AT393" s="5"/>
      <c r="AU393" s="5"/>
      <c r="AV393" s="5"/>
      <c r="AW393" s="5"/>
      <c r="AX393" s="284"/>
      <c r="AY393" s="5"/>
      <c r="AZ393" s="5"/>
      <c r="BA393" s="230"/>
      <c r="BB393" s="5"/>
      <c r="BC393" s="232" t="s">
        <v>3535</v>
      </c>
      <c r="BD393" s="257"/>
      <c r="BE393" s="249"/>
      <c r="BF393" s="249"/>
      <c r="BG393" s="249"/>
      <c r="BH393" s="249"/>
      <c r="BI393" s="249"/>
      <c r="BJ393" s="249"/>
      <c r="BK393" s="249"/>
      <c r="BL393" s="249"/>
      <c r="BM393" s="249"/>
      <c r="BN393" s="249"/>
      <c r="BO393" s="249"/>
      <c r="BP393" s="249"/>
      <c r="BQ393" s="249"/>
      <c r="BR393" s="249"/>
      <c r="BS393" s="249"/>
      <c r="BT393" s="249"/>
      <c r="BU393" s="249"/>
      <c r="BV393" s="249"/>
      <c r="BW393" s="249"/>
      <c r="BX393" s="249"/>
      <c r="BY393" s="249"/>
      <c r="BZ393" s="249"/>
      <c r="CA393" s="249"/>
      <c r="CB393" s="249"/>
      <c r="CC393" s="249"/>
      <c r="CD393" s="249"/>
      <c r="CE393" s="249"/>
    </row>
    <row r="394" spans="1:83" s="84" customFormat="1" ht="12.95" customHeight="1">
      <c r="A394" s="1"/>
      <c r="B394" s="1"/>
      <c r="C394" s="18" t="s">
        <v>384</v>
      </c>
      <c r="D394" s="52" t="s">
        <v>1852</v>
      </c>
      <c r="E394" s="52" t="s">
        <v>2650</v>
      </c>
      <c r="F394" s="53" t="s">
        <v>613</v>
      </c>
      <c r="G394" s="179" t="s">
        <v>1429</v>
      </c>
      <c r="H394" s="180" t="s">
        <v>384</v>
      </c>
      <c r="I394" s="55" t="s">
        <v>1429</v>
      </c>
      <c r="J394" s="55" t="s">
        <v>1429</v>
      </c>
      <c r="K394" s="56" t="s">
        <v>1429</v>
      </c>
      <c r="L394" s="54" t="s">
        <v>1429</v>
      </c>
      <c r="M394" s="55" t="s">
        <v>1580</v>
      </c>
      <c r="N394" s="55" t="s">
        <v>1429</v>
      </c>
      <c r="O394" s="55" t="s">
        <v>1429</v>
      </c>
      <c r="P394" s="56" t="s">
        <v>1429</v>
      </c>
      <c r="Q394" s="85"/>
      <c r="R394" s="85"/>
      <c r="S394" s="85"/>
      <c r="T394" s="85"/>
      <c r="U394" s="85"/>
      <c r="V394" s="146" t="s">
        <v>2651</v>
      </c>
      <c r="W394" s="51" t="s">
        <v>2611</v>
      </c>
      <c r="X394" s="130" t="s">
        <v>1429</v>
      </c>
      <c r="Y394" s="130" t="s">
        <v>1429</v>
      </c>
      <c r="Z394" s="51"/>
      <c r="AA394" s="51" t="s">
        <v>2612</v>
      </c>
      <c r="AB394" s="146"/>
      <c r="AC394" s="146" t="s">
        <v>1429</v>
      </c>
      <c r="AD394" s="98"/>
      <c r="AE394" s="83"/>
      <c r="AF394" s="83"/>
      <c r="AG394" s="83"/>
      <c r="AH394" s="86"/>
      <c r="AI394" s="86"/>
      <c r="AJ394" s="87"/>
      <c r="AK394" s="87"/>
      <c r="AL394" s="87"/>
      <c r="AM394" s="87"/>
      <c r="AN394" s="87"/>
      <c r="AO394" s="87"/>
      <c r="AP394" s="87"/>
      <c r="AQ394" s="229" t="s">
        <v>384</v>
      </c>
      <c r="AR394" s="5"/>
      <c r="AS394" s="5"/>
      <c r="AT394" s="5"/>
      <c r="AU394" s="5"/>
      <c r="AV394" s="5"/>
      <c r="AW394" s="5"/>
      <c r="AX394" s="284"/>
      <c r="AY394" s="5"/>
      <c r="AZ394" s="5"/>
      <c r="BA394" s="230"/>
      <c r="BB394" s="5"/>
      <c r="BC394" s="232" t="s">
        <v>3535</v>
      </c>
      <c r="BD394" s="257"/>
      <c r="BE394" s="249"/>
      <c r="BF394" s="249"/>
      <c r="BG394" s="249"/>
      <c r="BH394" s="249"/>
      <c r="BI394" s="249"/>
      <c r="BJ394" s="249"/>
      <c r="BK394" s="249"/>
      <c r="BL394" s="249"/>
      <c r="BM394" s="249"/>
      <c r="BN394" s="249"/>
      <c r="BO394" s="249"/>
      <c r="BP394" s="249"/>
      <c r="BQ394" s="249"/>
      <c r="BR394" s="249"/>
      <c r="BS394" s="249"/>
      <c r="BT394" s="249"/>
      <c r="BU394" s="249"/>
      <c r="BV394" s="249"/>
      <c r="BW394" s="249"/>
      <c r="BX394" s="249"/>
      <c r="BY394" s="249"/>
      <c r="BZ394" s="249"/>
      <c r="CA394" s="249"/>
      <c r="CB394" s="249"/>
      <c r="CC394" s="249"/>
      <c r="CD394" s="249"/>
      <c r="CE394" s="249"/>
    </row>
    <row r="395" spans="1:83" s="84" customFormat="1" ht="12.95" customHeight="1">
      <c r="A395" s="1"/>
      <c r="B395" s="1"/>
      <c r="C395" s="18" t="s">
        <v>385</v>
      </c>
      <c r="D395" s="52" t="s">
        <v>2652</v>
      </c>
      <c r="E395" s="52" t="s">
        <v>2653</v>
      </c>
      <c r="F395" s="53" t="s">
        <v>614</v>
      </c>
      <c r="G395" s="179" t="s">
        <v>1429</v>
      </c>
      <c r="H395" s="180" t="s">
        <v>385</v>
      </c>
      <c r="I395" s="55" t="s">
        <v>1429</v>
      </c>
      <c r="J395" s="55" t="s">
        <v>1429</v>
      </c>
      <c r="K395" s="56" t="s">
        <v>1429</v>
      </c>
      <c r="L395" s="54" t="s">
        <v>1429</v>
      </c>
      <c r="M395" s="55" t="s">
        <v>1580</v>
      </c>
      <c r="N395" s="55" t="s">
        <v>1429</v>
      </c>
      <c r="O395" s="55" t="s">
        <v>1429</v>
      </c>
      <c r="P395" s="56" t="s">
        <v>1429</v>
      </c>
      <c r="Q395" s="85"/>
      <c r="R395" s="85"/>
      <c r="S395" s="85"/>
      <c r="T395" s="85"/>
      <c r="U395" s="85"/>
      <c r="V395" s="146" t="s">
        <v>2654</v>
      </c>
      <c r="W395" s="51" t="s">
        <v>2611</v>
      </c>
      <c r="X395" s="130" t="s">
        <v>1429</v>
      </c>
      <c r="Y395" s="130" t="s">
        <v>1429</v>
      </c>
      <c r="Z395" s="51"/>
      <c r="AA395" s="51" t="s">
        <v>2612</v>
      </c>
      <c r="AB395" s="146"/>
      <c r="AC395" s="146" t="s">
        <v>1429</v>
      </c>
      <c r="AD395" s="98"/>
      <c r="AE395" s="83"/>
      <c r="AF395" s="83"/>
      <c r="AG395" s="83"/>
      <c r="AH395" s="86"/>
      <c r="AI395" s="86"/>
      <c r="AJ395" s="87"/>
      <c r="AK395" s="87"/>
      <c r="AL395" s="87"/>
      <c r="AM395" s="87"/>
      <c r="AN395" s="87"/>
      <c r="AO395" s="87"/>
      <c r="AP395" s="87"/>
      <c r="AQ395" s="229" t="s">
        <v>385</v>
      </c>
      <c r="AR395" s="5"/>
      <c r="AS395" s="5"/>
      <c r="AT395" s="5"/>
      <c r="AU395" s="5"/>
      <c r="AV395" s="5"/>
      <c r="AW395" s="5"/>
      <c r="AX395" s="284"/>
      <c r="AY395" s="5"/>
      <c r="AZ395" s="5"/>
      <c r="BA395" s="230"/>
      <c r="BB395" s="5"/>
      <c r="BC395" s="232" t="s">
        <v>3535</v>
      </c>
      <c r="BD395" s="257"/>
      <c r="BE395" s="249"/>
      <c r="BF395" s="249"/>
      <c r="BG395" s="249"/>
      <c r="BH395" s="249"/>
      <c r="BI395" s="249"/>
      <c r="BJ395" s="249"/>
      <c r="BK395" s="249"/>
      <c r="BL395" s="249"/>
      <c r="BM395" s="249"/>
      <c r="BN395" s="249"/>
      <c r="BO395" s="249"/>
      <c r="BP395" s="249"/>
      <c r="BQ395" s="249"/>
      <c r="BR395" s="249"/>
      <c r="BS395" s="249"/>
      <c r="BT395" s="249"/>
      <c r="BU395" s="249"/>
      <c r="BV395" s="249"/>
      <c r="BW395" s="249"/>
      <c r="BX395" s="249"/>
      <c r="BY395" s="249"/>
      <c r="BZ395" s="249"/>
      <c r="CA395" s="249"/>
      <c r="CB395" s="249"/>
      <c r="CC395" s="249"/>
      <c r="CD395" s="249"/>
      <c r="CE395" s="249"/>
    </row>
    <row r="396" spans="1:83" s="84" customFormat="1" ht="12.95" customHeight="1">
      <c r="A396" s="1"/>
      <c r="B396" s="1"/>
      <c r="C396" s="18" t="s">
        <v>386</v>
      </c>
      <c r="D396" s="52" t="s">
        <v>2655</v>
      </c>
      <c r="E396" s="52" t="s">
        <v>2656</v>
      </c>
      <c r="F396" s="53" t="s">
        <v>615</v>
      </c>
      <c r="G396" s="179" t="s">
        <v>1429</v>
      </c>
      <c r="H396" s="180" t="s">
        <v>386</v>
      </c>
      <c r="I396" s="55" t="s">
        <v>1429</v>
      </c>
      <c r="J396" s="55" t="s">
        <v>1429</v>
      </c>
      <c r="K396" s="56" t="s">
        <v>1429</v>
      </c>
      <c r="L396" s="54" t="s">
        <v>1429</v>
      </c>
      <c r="M396" s="55" t="s">
        <v>1580</v>
      </c>
      <c r="N396" s="55" t="s">
        <v>1429</v>
      </c>
      <c r="O396" s="55" t="s">
        <v>1429</v>
      </c>
      <c r="P396" s="56" t="s">
        <v>1429</v>
      </c>
      <c r="Q396" s="85"/>
      <c r="R396" s="85"/>
      <c r="S396" s="85"/>
      <c r="T396" s="85"/>
      <c r="U396" s="85"/>
      <c r="V396" s="146" t="s">
        <v>2657</v>
      </c>
      <c r="W396" s="51" t="s">
        <v>2611</v>
      </c>
      <c r="X396" s="130" t="s">
        <v>1429</v>
      </c>
      <c r="Y396" s="130" t="s">
        <v>1429</v>
      </c>
      <c r="Z396" s="51"/>
      <c r="AA396" s="51" t="s">
        <v>2612</v>
      </c>
      <c r="AB396" s="146"/>
      <c r="AC396" s="146" t="s">
        <v>1429</v>
      </c>
      <c r="AD396" s="98"/>
      <c r="AE396" s="83"/>
      <c r="AF396" s="83"/>
      <c r="AG396" s="83"/>
      <c r="AH396" s="86"/>
      <c r="AI396" s="86"/>
      <c r="AJ396" s="87"/>
      <c r="AK396" s="87"/>
      <c r="AL396" s="87"/>
      <c r="AM396" s="87"/>
      <c r="AN396" s="87"/>
      <c r="AO396" s="87"/>
      <c r="AP396" s="87"/>
      <c r="AQ396" s="229" t="s">
        <v>386</v>
      </c>
      <c r="AR396" s="5"/>
      <c r="AS396" s="5"/>
      <c r="AT396" s="5"/>
      <c r="AU396" s="5"/>
      <c r="AV396" s="5"/>
      <c r="AW396" s="5"/>
      <c r="AX396" s="284"/>
      <c r="AY396" s="5"/>
      <c r="AZ396" s="5"/>
      <c r="BA396" s="230"/>
      <c r="BB396" s="5"/>
      <c r="BC396" s="232" t="s">
        <v>3535</v>
      </c>
      <c r="BD396" s="257"/>
      <c r="BE396" s="249"/>
      <c r="BF396" s="249"/>
      <c r="BG396" s="249"/>
      <c r="BH396" s="249"/>
      <c r="BI396" s="249"/>
      <c r="BJ396" s="249"/>
      <c r="BK396" s="249"/>
      <c r="BL396" s="249"/>
      <c r="BM396" s="249"/>
      <c r="BN396" s="249"/>
      <c r="BO396" s="249"/>
      <c r="BP396" s="249"/>
      <c r="BQ396" s="249"/>
      <c r="BR396" s="249"/>
      <c r="BS396" s="249"/>
      <c r="BT396" s="249"/>
      <c r="BU396" s="249"/>
      <c r="BV396" s="249"/>
      <c r="BW396" s="249"/>
      <c r="BX396" s="249"/>
      <c r="BY396" s="249"/>
      <c r="BZ396" s="249"/>
      <c r="CA396" s="249"/>
      <c r="CB396" s="249"/>
      <c r="CC396" s="249"/>
      <c r="CD396" s="249"/>
      <c r="CE396" s="249"/>
    </row>
    <row r="397" spans="1:83" s="84" customFormat="1" ht="12.95" customHeight="1">
      <c r="A397" s="1"/>
      <c r="B397" s="1"/>
      <c r="C397" s="18" t="s">
        <v>387</v>
      </c>
      <c r="D397" s="52" t="s">
        <v>2658</v>
      </c>
      <c r="E397" s="52" t="s">
        <v>2659</v>
      </c>
      <c r="F397" s="53" t="s">
        <v>616</v>
      </c>
      <c r="G397" s="179" t="s">
        <v>1429</v>
      </c>
      <c r="H397" s="180" t="s">
        <v>387</v>
      </c>
      <c r="I397" s="55" t="s">
        <v>1429</v>
      </c>
      <c r="J397" s="55" t="s">
        <v>1429</v>
      </c>
      <c r="K397" s="56" t="s">
        <v>1429</v>
      </c>
      <c r="L397" s="54" t="s">
        <v>1429</v>
      </c>
      <c r="M397" s="55" t="s">
        <v>1580</v>
      </c>
      <c r="N397" s="55" t="s">
        <v>1429</v>
      </c>
      <c r="O397" s="55" t="s">
        <v>1429</v>
      </c>
      <c r="P397" s="56" t="s">
        <v>1429</v>
      </c>
      <c r="Q397" s="85"/>
      <c r="R397" s="85"/>
      <c r="S397" s="85"/>
      <c r="T397" s="85"/>
      <c r="U397" s="85"/>
      <c r="V397" s="146" t="s">
        <v>2660</v>
      </c>
      <c r="W397" s="51" t="s">
        <v>2611</v>
      </c>
      <c r="X397" s="130" t="s">
        <v>1429</v>
      </c>
      <c r="Y397" s="130" t="s">
        <v>1429</v>
      </c>
      <c r="Z397" s="51"/>
      <c r="AA397" s="51" t="s">
        <v>2612</v>
      </c>
      <c r="AB397" s="146"/>
      <c r="AC397" s="146" t="s">
        <v>1429</v>
      </c>
      <c r="AD397" s="98"/>
      <c r="AE397" s="83"/>
      <c r="AF397" s="83"/>
      <c r="AG397" s="83"/>
      <c r="AH397" s="86"/>
      <c r="AI397" s="86"/>
      <c r="AJ397" s="87"/>
      <c r="AK397" s="87"/>
      <c r="AL397" s="87"/>
      <c r="AM397" s="87"/>
      <c r="AN397" s="87"/>
      <c r="AO397" s="87"/>
      <c r="AP397" s="87"/>
      <c r="AQ397" s="229" t="s">
        <v>387</v>
      </c>
      <c r="AR397" s="5"/>
      <c r="AS397" s="5"/>
      <c r="AT397" s="5"/>
      <c r="AU397" s="5"/>
      <c r="AV397" s="5"/>
      <c r="AW397" s="5"/>
      <c r="AX397" s="284"/>
      <c r="AY397" s="5"/>
      <c r="AZ397" s="5"/>
      <c r="BA397" s="230"/>
      <c r="BB397" s="5"/>
      <c r="BC397" s="232" t="s">
        <v>3535</v>
      </c>
      <c r="BD397" s="257"/>
      <c r="BE397" s="249"/>
      <c r="BF397" s="249"/>
      <c r="BG397" s="249"/>
      <c r="BH397" s="249"/>
      <c r="BI397" s="249"/>
      <c r="BJ397" s="249"/>
      <c r="BK397" s="249"/>
      <c r="BL397" s="249"/>
      <c r="BM397" s="249"/>
      <c r="BN397" s="249"/>
      <c r="BO397" s="249"/>
      <c r="BP397" s="249"/>
      <c r="BQ397" s="249"/>
      <c r="BR397" s="249"/>
      <c r="BS397" s="249"/>
      <c r="BT397" s="249"/>
      <c r="BU397" s="249"/>
      <c r="BV397" s="249"/>
      <c r="BW397" s="249"/>
      <c r="BX397" s="249"/>
      <c r="BY397" s="249"/>
      <c r="BZ397" s="249"/>
      <c r="CA397" s="249"/>
      <c r="CB397" s="249"/>
      <c r="CC397" s="249"/>
      <c r="CD397" s="249"/>
      <c r="CE397" s="249"/>
    </row>
    <row r="398" spans="1:83" s="84" customFormat="1" ht="12.95" customHeight="1">
      <c r="A398" s="1"/>
      <c r="B398" s="1"/>
      <c r="C398" s="18" t="s">
        <v>388</v>
      </c>
      <c r="D398" s="52" t="s">
        <v>2661</v>
      </c>
      <c r="E398" s="52" t="s">
        <v>2662</v>
      </c>
      <c r="F398" s="53" t="s">
        <v>617</v>
      </c>
      <c r="G398" s="179" t="s">
        <v>1429</v>
      </c>
      <c r="H398" s="180" t="s">
        <v>388</v>
      </c>
      <c r="I398" s="55" t="s">
        <v>1429</v>
      </c>
      <c r="J398" s="55" t="s">
        <v>1429</v>
      </c>
      <c r="K398" s="56" t="s">
        <v>1429</v>
      </c>
      <c r="L398" s="54" t="s">
        <v>1429</v>
      </c>
      <c r="M398" s="55" t="s">
        <v>1580</v>
      </c>
      <c r="N398" s="55" t="s">
        <v>1429</v>
      </c>
      <c r="O398" s="55" t="s">
        <v>1429</v>
      </c>
      <c r="P398" s="56" t="s">
        <v>1429</v>
      </c>
      <c r="Q398" s="85"/>
      <c r="R398" s="85"/>
      <c r="S398" s="85"/>
      <c r="T398" s="85"/>
      <c r="U398" s="85"/>
      <c r="V398" s="146" t="s">
        <v>2663</v>
      </c>
      <c r="W398" s="51" t="s">
        <v>2611</v>
      </c>
      <c r="X398" s="130" t="s">
        <v>1429</v>
      </c>
      <c r="Y398" s="130" t="s">
        <v>1429</v>
      </c>
      <c r="Z398" s="51"/>
      <c r="AA398" s="51" t="s">
        <v>2612</v>
      </c>
      <c r="AB398" s="146"/>
      <c r="AC398" s="146" t="s">
        <v>1429</v>
      </c>
      <c r="AD398" s="98"/>
      <c r="AE398" s="83"/>
      <c r="AF398" s="83"/>
      <c r="AG398" s="83"/>
      <c r="AH398" s="86"/>
      <c r="AI398" s="86"/>
      <c r="AJ398" s="87"/>
      <c r="AK398" s="87"/>
      <c r="AL398" s="87"/>
      <c r="AM398" s="87"/>
      <c r="AN398" s="87"/>
      <c r="AO398" s="87"/>
      <c r="AP398" s="87"/>
      <c r="AQ398" s="229" t="s">
        <v>388</v>
      </c>
      <c r="AR398" s="5"/>
      <c r="AS398" s="5"/>
      <c r="AT398" s="5"/>
      <c r="AU398" s="5"/>
      <c r="AV398" s="5"/>
      <c r="AW398" s="5"/>
      <c r="AX398" s="284"/>
      <c r="AY398" s="5"/>
      <c r="AZ398" s="5"/>
      <c r="BA398" s="230"/>
      <c r="BB398" s="5"/>
      <c r="BC398" s="232" t="s">
        <v>3535</v>
      </c>
      <c r="BD398" s="257"/>
      <c r="BE398" s="249"/>
      <c r="BF398" s="249"/>
      <c r="BG398" s="249"/>
      <c r="BH398" s="249"/>
      <c r="BI398" s="249"/>
      <c r="BJ398" s="249"/>
      <c r="BK398" s="249"/>
      <c r="BL398" s="249"/>
      <c r="BM398" s="249"/>
      <c r="BN398" s="249"/>
      <c r="BO398" s="249"/>
      <c r="BP398" s="249"/>
      <c r="BQ398" s="249"/>
      <c r="BR398" s="249"/>
      <c r="BS398" s="249"/>
      <c r="BT398" s="249"/>
      <c r="BU398" s="249"/>
      <c r="BV398" s="249"/>
      <c r="BW398" s="249"/>
      <c r="BX398" s="249"/>
      <c r="BY398" s="249"/>
      <c r="BZ398" s="249"/>
      <c r="CA398" s="249"/>
      <c r="CB398" s="249"/>
      <c r="CC398" s="249"/>
      <c r="CD398" s="249"/>
      <c r="CE398" s="249"/>
    </row>
    <row r="399" spans="1:83" s="84" customFormat="1" ht="12.95" customHeight="1">
      <c r="A399" s="1"/>
      <c r="B399" s="1"/>
      <c r="C399" s="21" t="s">
        <v>389</v>
      </c>
      <c r="D399" s="52" t="s">
        <v>2664</v>
      </c>
      <c r="E399" s="52" t="s">
        <v>2665</v>
      </c>
      <c r="F399" s="53" t="s">
        <v>618</v>
      </c>
      <c r="G399" s="179" t="s">
        <v>1429</v>
      </c>
      <c r="H399" s="180" t="s">
        <v>389</v>
      </c>
      <c r="I399" s="55" t="s">
        <v>1429</v>
      </c>
      <c r="J399" s="55" t="s">
        <v>1429</v>
      </c>
      <c r="K399" s="56" t="s">
        <v>1429</v>
      </c>
      <c r="L399" s="54" t="s">
        <v>1429</v>
      </c>
      <c r="M399" s="55" t="s">
        <v>1580</v>
      </c>
      <c r="N399" s="55" t="s">
        <v>1429</v>
      </c>
      <c r="O399" s="55" t="s">
        <v>1429</v>
      </c>
      <c r="P399" s="56" t="s">
        <v>1429</v>
      </c>
      <c r="Q399" s="85"/>
      <c r="R399" s="85"/>
      <c r="S399" s="85"/>
      <c r="T399" s="85"/>
      <c r="U399" s="85"/>
      <c r="V399" s="146" t="s">
        <v>2666</v>
      </c>
      <c r="W399" s="51" t="s">
        <v>2611</v>
      </c>
      <c r="X399" s="130" t="s">
        <v>1429</v>
      </c>
      <c r="Y399" s="130" t="s">
        <v>1429</v>
      </c>
      <c r="Z399" s="51"/>
      <c r="AA399" s="51" t="s">
        <v>2612</v>
      </c>
      <c r="AB399" s="146"/>
      <c r="AC399" s="146" t="s">
        <v>1429</v>
      </c>
      <c r="AD399" s="98"/>
      <c r="AE399" s="83"/>
      <c r="AF399" s="83"/>
      <c r="AG399" s="83"/>
      <c r="AH399" s="86"/>
      <c r="AI399" s="86"/>
      <c r="AJ399" s="87"/>
      <c r="AK399" s="87"/>
      <c r="AL399" s="87"/>
      <c r="AM399" s="87"/>
      <c r="AN399" s="87"/>
      <c r="AO399" s="87"/>
      <c r="AP399" s="87"/>
      <c r="AQ399" s="229" t="s">
        <v>389</v>
      </c>
      <c r="AR399" s="5"/>
      <c r="AS399" s="5"/>
      <c r="AT399" s="5"/>
      <c r="AU399" s="5"/>
      <c r="AV399" s="5"/>
      <c r="AW399" s="5"/>
      <c r="AX399" s="284"/>
      <c r="AY399" s="5"/>
      <c r="AZ399" s="5"/>
      <c r="BA399" s="230"/>
      <c r="BB399" s="5"/>
      <c r="BC399" s="232" t="s">
        <v>3535</v>
      </c>
      <c r="BD399" s="257"/>
      <c r="BE399" s="249"/>
      <c r="BF399" s="249"/>
      <c r="BG399" s="249"/>
      <c r="BH399" s="249"/>
      <c r="BI399" s="249"/>
      <c r="BJ399" s="249"/>
      <c r="BK399" s="249"/>
      <c r="BL399" s="249"/>
      <c r="BM399" s="249"/>
      <c r="BN399" s="249"/>
      <c r="BO399" s="249"/>
      <c r="BP399" s="249"/>
      <c r="BQ399" s="249"/>
      <c r="BR399" s="249"/>
      <c r="BS399" s="249"/>
      <c r="BT399" s="249"/>
      <c r="BU399" s="249"/>
      <c r="BV399" s="249"/>
      <c r="BW399" s="249"/>
      <c r="BX399" s="249"/>
      <c r="BY399" s="249"/>
      <c r="BZ399" s="249"/>
      <c r="CA399" s="249"/>
      <c r="CB399" s="249"/>
      <c r="CC399" s="249"/>
      <c r="CD399" s="249"/>
      <c r="CE399" s="249"/>
    </row>
    <row r="400" spans="1:83" s="84" customFormat="1" ht="12.95" customHeight="1">
      <c r="A400" s="1"/>
      <c r="B400" s="1"/>
      <c r="C400" s="21" t="s">
        <v>390</v>
      </c>
      <c r="D400" s="52" t="s">
        <v>1858</v>
      </c>
      <c r="E400" s="52" t="s">
        <v>2667</v>
      </c>
      <c r="F400" s="53" t="s">
        <v>619</v>
      </c>
      <c r="G400" s="179" t="s">
        <v>1429</v>
      </c>
      <c r="H400" s="180" t="s">
        <v>390</v>
      </c>
      <c r="I400" s="55" t="s">
        <v>1429</v>
      </c>
      <c r="J400" s="55" t="s">
        <v>1429</v>
      </c>
      <c r="K400" s="56" t="s">
        <v>1429</v>
      </c>
      <c r="L400" s="54" t="s">
        <v>1429</v>
      </c>
      <c r="M400" s="55" t="s">
        <v>1580</v>
      </c>
      <c r="N400" s="55" t="s">
        <v>1429</v>
      </c>
      <c r="O400" s="55" t="s">
        <v>1429</v>
      </c>
      <c r="P400" s="56" t="s">
        <v>1429</v>
      </c>
      <c r="Q400" s="85"/>
      <c r="R400" s="85"/>
      <c r="S400" s="85"/>
      <c r="T400" s="85"/>
      <c r="U400" s="85"/>
      <c r="V400" s="146" t="s">
        <v>2668</v>
      </c>
      <c r="W400" s="51" t="s">
        <v>2611</v>
      </c>
      <c r="X400" s="130" t="s">
        <v>1429</v>
      </c>
      <c r="Y400" s="130" t="s">
        <v>1429</v>
      </c>
      <c r="Z400" s="51"/>
      <c r="AA400" s="51" t="s">
        <v>2612</v>
      </c>
      <c r="AB400" s="146"/>
      <c r="AC400" s="146" t="s">
        <v>1429</v>
      </c>
      <c r="AD400" s="98"/>
      <c r="AE400" s="83"/>
      <c r="AF400" s="83"/>
      <c r="AG400" s="83"/>
      <c r="AH400" s="86"/>
      <c r="AI400" s="86"/>
      <c r="AJ400" s="87"/>
      <c r="AK400" s="87"/>
      <c r="AL400" s="87"/>
      <c r="AM400" s="87"/>
      <c r="AN400" s="87"/>
      <c r="AO400" s="87"/>
      <c r="AP400" s="87"/>
      <c r="AQ400" s="229" t="s">
        <v>390</v>
      </c>
      <c r="AR400" s="5"/>
      <c r="AS400" s="5"/>
      <c r="AT400" s="5"/>
      <c r="AU400" s="5"/>
      <c r="AV400" s="5"/>
      <c r="AW400" s="5"/>
      <c r="AX400" s="284"/>
      <c r="AY400" s="5"/>
      <c r="AZ400" s="5"/>
      <c r="BA400" s="230"/>
      <c r="BB400" s="5"/>
      <c r="BC400" s="232" t="s">
        <v>3535</v>
      </c>
      <c r="BD400" s="257"/>
      <c r="BE400" s="249"/>
      <c r="BF400" s="249"/>
      <c r="BG400" s="249"/>
      <c r="BH400" s="249"/>
      <c r="BI400" s="249"/>
      <c r="BJ400" s="249"/>
      <c r="BK400" s="249"/>
      <c r="BL400" s="249"/>
      <c r="BM400" s="249"/>
      <c r="BN400" s="249"/>
      <c r="BO400" s="249"/>
      <c r="BP400" s="249"/>
      <c r="BQ400" s="249"/>
      <c r="BR400" s="249"/>
      <c r="BS400" s="249"/>
      <c r="BT400" s="249"/>
      <c r="BU400" s="249"/>
      <c r="BV400" s="249"/>
      <c r="BW400" s="249"/>
      <c r="BX400" s="249"/>
      <c r="BY400" s="249"/>
      <c r="BZ400" s="249"/>
      <c r="CA400" s="249"/>
      <c r="CB400" s="249"/>
      <c r="CC400" s="249"/>
      <c r="CD400" s="249"/>
      <c r="CE400" s="249"/>
    </row>
    <row r="401" spans="1:83" s="84" customFormat="1" ht="12.95" customHeight="1">
      <c r="A401" s="1"/>
      <c r="B401" s="1"/>
      <c r="C401" s="18" t="s">
        <v>391</v>
      </c>
      <c r="D401" s="52" t="s">
        <v>1853</v>
      </c>
      <c r="E401" s="52" t="s">
        <v>2669</v>
      </c>
      <c r="F401" s="53" t="s">
        <v>620</v>
      </c>
      <c r="G401" s="179" t="s">
        <v>1429</v>
      </c>
      <c r="H401" s="180" t="s">
        <v>391</v>
      </c>
      <c r="I401" s="55" t="s">
        <v>1429</v>
      </c>
      <c r="J401" s="55" t="s">
        <v>1429</v>
      </c>
      <c r="K401" s="56" t="s">
        <v>1429</v>
      </c>
      <c r="L401" s="54" t="s">
        <v>1429</v>
      </c>
      <c r="M401" s="55" t="s">
        <v>1580</v>
      </c>
      <c r="N401" s="55" t="s">
        <v>1429</v>
      </c>
      <c r="O401" s="55" t="s">
        <v>1429</v>
      </c>
      <c r="P401" s="56" t="s">
        <v>1429</v>
      </c>
      <c r="Q401" s="85"/>
      <c r="R401" s="85"/>
      <c r="S401" s="85"/>
      <c r="T401" s="85"/>
      <c r="U401" s="85"/>
      <c r="V401" s="146" t="s">
        <v>2670</v>
      </c>
      <c r="W401" s="51" t="s">
        <v>2611</v>
      </c>
      <c r="X401" s="130" t="s">
        <v>1429</v>
      </c>
      <c r="Y401" s="130" t="s">
        <v>1429</v>
      </c>
      <c r="Z401" s="51"/>
      <c r="AA401" s="51" t="s">
        <v>2612</v>
      </c>
      <c r="AB401" s="146"/>
      <c r="AC401" s="146" t="s">
        <v>1429</v>
      </c>
      <c r="AD401" s="98"/>
      <c r="AE401" s="83"/>
      <c r="AF401" s="83"/>
      <c r="AG401" s="83"/>
      <c r="AH401" s="86"/>
      <c r="AI401" s="86"/>
      <c r="AJ401" s="87"/>
      <c r="AK401" s="87"/>
      <c r="AL401" s="87"/>
      <c r="AM401" s="87"/>
      <c r="AN401" s="87"/>
      <c r="AO401" s="87"/>
      <c r="AP401" s="87"/>
      <c r="AQ401" s="229" t="s">
        <v>391</v>
      </c>
      <c r="AR401" s="5"/>
      <c r="AS401" s="5"/>
      <c r="AT401" s="5"/>
      <c r="AU401" s="5"/>
      <c r="AV401" s="5"/>
      <c r="AW401" s="5"/>
      <c r="AX401" s="284"/>
      <c r="AY401" s="5"/>
      <c r="AZ401" s="5"/>
      <c r="BA401" s="230"/>
      <c r="BB401" s="5"/>
      <c r="BC401" s="232" t="s">
        <v>3535</v>
      </c>
      <c r="BD401" s="257"/>
      <c r="BE401" s="249"/>
      <c r="BF401" s="249"/>
      <c r="BG401" s="249"/>
      <c r="BH401" s="249"/>
      <c r="BI401" s="249"/>
      <c r="BJ401" s="249"/>
      <c r="BK401" s="249"/>
      <c r="BL401" s="249"/>
      <c r="BM401" s="249"/>
      <c r="BN401" s="249"/>
      <c r="BO401" s="249"/>
      <c r="BP401" s="249"/>
      <c r="BQ401" s="249"/>
      <c r="BR401" s="249"/>
      <c r="BS401" s="249"/>
      <c r="BT401" s="249"/>
      <c r="BU401" s="249"/>
      <c r="BV401" s="249"/>
      <c r="BW401" s="249"/>
      <c r="BX401" s="249"/>
      <c r="BY401" s="249"/>
      <c r="BZ401" s="249"/>
      <c r="CA401" s="249"/>
      <c r="CB401" s="249"/>
      <c r="CC401" s="249"/>
      <c r="CD401" s="249"/>
      <c r="CE401" s="249"/>
    </row>
    <row r="402" spans="1:83" s="84" customFormat="1" ht="12.95" customHeight="1">
      <c r="A402" s="1"/>
      <c r="B402" s="1"/>
      <c r="C402" s="18" t="s">
        <v>392</v>
      </c>
      <c r="D402" s="52" t="s">
        <v>2627</v>
      </c>
      <c r="E402" s="52" t="s">
        <v>2671</v>
      </c>
      <c r="F402" s="53" t="s">
        <v>621</v>
      </c>
      <c r="G402" s="179" t="s">
        <v>1429</v>
      </c>
      <c r="H402" s="180" t="s">
        <v>392</v>
      </c>
      <c r="I402" s="55" t="s">
        <v>1429</v>
      </c>
      <c r="J402" s="55" t="s">
        <v>1429</v>
      </c>
      <c r="K402" s="56" t="s">
        <v>1429</v>
      </c>
      <c r="L402" s="54" t="s">
        <v>1429</v>
      </c>
      <c r="M402" s="55" t="s">
        <v>1580</v>
      </c>
      <c r="N402" s="55" t="s">
        <v>1429</v>
      </c>
      <c r="O402" s="55" t="s">
        <v>1429</v>
      </c>
      <c r="P402" s="56" t="s">
        <v>1429</v>
      </c>
      <c r="Q402" s="85"/>
      <c r="R402" s="85"/>
      <c r="S402" s="85"/>
      <c r="T402" s="85"/>
      <c r="U402" s="85"/>
      <c r="V402" s="146" t="s">
        <v>2672</v>
      </c>
      <c r="W402" s="51" t="s">
        <v>2611</v>
      </c>
      <c r="X402" s="130" t="s">
        <v>1429</v>
      </c>
      <c r="Y402" s="130" t="s">
        <v>1429</v>
      </c>
      <c r="Z402" s="51"/>
      <c r="AA402" s="51" t="s">
        <v>2612</v>
      </c>
      <c r="AB402" s="146"/>
      <c r="AC402" s="146" t="s">
        <v>1429</v>
      </c>
      <c r="AD402" s="98"/>
      <c r="AE402" s="83"/>
      <c r="AF402" s="83"/>
      <c r="AG402" s="83"/>
      <c r="AH402" s="86"/>
      <c r="AI402" s="86"/>
      <c r="AJ402" s="87"/>
      <c r="AK402" s="87"/>
      <c r="AL402" s="87"/>
      <c r="AM402" s="87"/>
      <c r="AN402" s="87"/>
      <c r="AO402" s="87"/>
      <c r="AP402" s="87"/>
      <c r="AQ402" s="229" t="s">
        <v>392</v>
      </c>
      <c r="AR402" s="5"/>
      <c r="AS402" s="5"/>
      <c r="AT402" s="5"/>
      <c r="AU402" s="5"/>
      <c r="AV402" s="5"/>
      <c r="AW402" s="5"/>
      <c r="AX402" s="284"/>
      <c r="AY402" s="5"/>
      <c r="AZ402" s="5"/>
      <c r="BA402" s="230"/>
      <c r="BB402" s="5"/>
      <c r="BC402" s="232" t="s">
        <v>3535</v>
      </c>
      <c r="BD402" s="257"/>
      <c r="BE402" s="249"/>
      <c r="BF402" s="249"/>
      <c r="BG402" s="249"/>
      <c r="BH402" s="249"/>
      <c r="BI402" s="249"/>
      <c r="BJ402" s="249"/>
      <c r="BK402" s="249"/>
      <c r="BL402" s="249"/>
      <c r="BM402" s="249"/>
      <c r="BN402" s="249"/>
      <c r="BO402" s="249"/>
      <c r="BP402" s="249"/>
      <c r="BQ402" s="249"/>
      <c r="BR402" s="249"/>
      <c r="BS402" s="249"/>
      <c r="BT402" s="249"/>
      <c r="BU402" s="249"/>
      <c r="BV402" s="249"/>
      <c r="BW402" s="249"/>
      <c r="BX402" s="249"/>
      <c r="BY402" s="249"/>
      <c r="BZ402" s="249"/>
      <c r="CA402" s="249"/>
      <c r="CB402" s="249"/>
      <c r="CC402" s="249"/>
      <c r="CD402" s="249"/>
      <c r="CE402" s="249"/>
    </row>
    <row r="403" spans="1:83" s="84" customFormat="1" ht="12.95" customHeight="1">
      <c r="A403" s="1"/>
      <c r="B403" s="1"/>
      <c r="C403" s="18" t="s">
        <v>393</v>
      </c>
      <c r="D403" s="52" t="s">
        <v>2617</v>
      </c>
      <c r="E403" s="52" t="s">
        <v>2673</v>
      </c>
      <c r="F403" s="53" t="s">
        <v>622</v>
      </c>
      <c r="G403" s="179" t="s">
        <v>1429</v>
      </c>
      <c r="H403" s="180" t="s">
        <v>393</v>
      </c>
      <c r="I403" s="55" t="s">
        <v>1429</v>
      </c>
      <c r="J403" s="55" t="s">
        <v>1429</v>
      </c>
      <c r="K403" s="56" t="s">
        <v>1429</v>
      </c>
      <c r="L403" s="54" t="s">
        <v>1429</v>
      </c>
      <c r="M403" s="55" t="s">
        <v>1580</v>
      </c>
      <c r="N403" s="55" t="s">
        <v>1429</v>
      </c>
      <c r="O403" s="55" t="s">
        <v>1429</v>
      </c>
      <c r="P403" s="56" t="s">
        <v>1429</v>
      </c>
      <c r="Q403" s="85"/>
      <c r="R403" s="85"/>
      <c r="S403" s="85"/>
      <c r="T403" s="85"/>
      <c r="U403" s="85"/>
      <c r="V403" s="146" t="s">
        <v>2674</v>
      </c>
      <c r="W403" s="51" t="s">
        <v>2611</v>
      </c>
      <c r="X403" s="130" t="s">
        <v>1429</v>
      </c>
      <c r="Y403" s="130" t="s">
        <v>1429</v>
      </c>
      <c r="Z403" s="51"/>
      <c r="AA403" s="51" t="s">
        <v>2612</v>
      </c>
      <c r="AB403" s="146"/>
      <c r="AC403" s="146" t="s">
        <v>1429</v>
      </c>
      <c r="AD403" s="98"/>
      <c r="AE403" s="83"/>
      <c r="AF403" s="83"/>
      <c r="AG403" s="83"/>
      <c r="AH403" s="86"/>
      <c r="AI403" s="86"/>
      <c r="AJ403" s="87"/>
      <c r="AK403" s="87"/>
      <c r="AL403" s="87"/>
      <c r="AM403" s="87"/>
      <c r="AN403" s="87"/>
      <c r="AO403" s="87"/>
      <c r="AP403" s="87"/>
      <c r="AQ403" s="229" t="s">
        <v>393</v>
      </c>
      <c r="AR403" s="5"/>
      <c r="AS403" s="5"/>
      <c r="AT403" s="5"/>
      <c r="AU403" s="5"/>
      <c r="AV403" s="5"/>
      <c r="AW403" s="5"/>
      <c r="AX403" s="284"/>
      <c r="AY403" s="5"/>
      <c r="AZ403" s="5"/>
      <c r="BA403" s="230"/>
      <c r="BB403" s="5"/>
      <c r="BC403" s="232" t="s">
        <v>3535</v>
      </c>
      <c r="BD403" s="257"/>
      <c r="BE403" s="249"/>
      <c r="BF403" s="249"/>
      <c r="BG403" s="249"/>
      <c r="BH403" s="249"/>
      <c r="BI403" s="249"/>
      <c r="BJ403" s="249"/>
      <c r="BK403" s="249"/>
      <c r="BL403" s="249"/>
      <c r="BM403" s="249"/>
      <c r="BN403" s="249"/>
      <c r="BO403" s="249"/>
      <c r="BP403" s="249"/>
      <c r="BQ403" s="249"/>
      <c r="BR403" s="249"/>
      <c r="BS403" s="249"/>
      <c r="BT403" s="249"/>
      <c r="BU403" s="249"/>
      <c r="BV403" s="249"/>
      <c r="BW403" s="249"/>
      <c r="BX403" s="249"/>
      <c r="BY403" s="249"/>
      <c r="BZ403" s="249"/>
      <c r="CA403" s="249"/>
      <c r="CB403" s="249"/>
      <c r="CC403" s="249"/>
      <c r="CD403" s="249"/>
      <c r="CE403" s="249"/>
    </row>
    <row r="404" spans="1:83" s="84" customFormat="1" ht="12.95" customHeight="1">
      <c r="A404" s="1"/>
      <c r="B404" s="1"/>
      <c r="C404" s="18" t="s">
        <v>394</v>
      </c>
      <c r="D404" s="52" t="s">
        <v>2624</v>
      </c>
      <c r="E404" s="52" t="s">
        <v>2675</v>
      </c>
      <c r="F404" s="53" t="s">
        <v>623</v>
      </c>
      <c r="G404" s="179" t="s">
        <v>1429</v>
      </c>
      <c r="H404" s="180" t="s">
        <v>394</v>
      </c>
      <c r="I404" s="55" t="s">
        <v>1429</v>
      </c>
      <c r="J404" s="55" t="s">
        <v>1429</v>
      </c>
      <c r="K404" s="56" t="s">
        <v>1429</v>
      </c>
      <c r="L404" s="54" t="s">
        <v>1429</v>
      </c>
      <c r="M404" s="55" t="s">
        <v>1580</v>
      </c>
      <c r="N404" s="55" t="s">
        <v>1429</v>
      </c>
      <c r="O404" s="55" t="s">
        <v>1429</v>
      </c>
      <c r="P404" s="56" t="s">
        <v>1429</v>
      </c>
      <c r="Q404" s="85"/>
      <c r="R404" s="85"/>
      <c r="S404" s="85"/>
      <c r="T404" s="85"/>
      <c r="U404" s="85"/>
      <c r="V404" s="146" t="s">
        <v>2676</v>
      </c>
      <c r="W404" s="51" t="s">
        <v>2611</v>
      </c>
      <c r="X404" s="130" t="s">
        <v>1429</v>
      </c>
      <c r="Y404" s="130" t="s">
        <v>1429</v>
      </c>
      <c r="Z404" s="51"/>
      <c r="AA404" s="51" t="s">
        <v>2612</v>
      </c>
      <c r="AB404" s="146"/>
      <c r="AC404" s="146" t="s">
        <v>1429</v>
      </c>
      <c r="AD404" s="98"/>
      <c r="AE404" s="83"/>
      <c r="AF404" s="83"/>
      <c r="AG404" s="83"/>
      <c r="AH404" s="86"/>
      <c r="AI404" s="86"/>
      <c r="AJ404" s="87"/>
      <c r="AK404" s="87"/>
      <c r="AL404" s="87"/>
      <c r="AM404" s="87"/>
      <c r="AN404" s="87"/>
      <c r="AO404" s="87"/>
      <c r="AP404" s="87"/>
      <c r="AQ404" s="229" t="s">
        <v>394</v>
      </c>
      <c r="AR404" s="5"/>
      <c r="AS404" s="5"/>
      <c r="AT404" s="5"/>
      <c r="AU404" s="5"/>
      <c r="AV404" s="5"/>
      <c r="AW404" s="5"/>
      <c r="AX404" s="284"/>
      <c r="AY404" s="5"/>
      <c r="AZ404" s="5"/>
      <c r="BA404" s="230"/>
      <c r="BB404" s="5"/>
      <c r="BC404" s="232" t="s">
        <v>3535</v>
      </c>
      <c r="BD404" s="257"/>
      <c r="BE404" s="249"/>
      <c r="BF404" s="249"/>
      <c r="BG404" s="249"/>
      <c r="BH404" s="249"/>
      <c r="BI404" s="249"/>
      <c r="BJ404" s="249"/>
      <c r="BK404" s="249"/>
      <c r="BL404" s="249"/>
      <c r="BM404" s="249"/>
      <c r="BN404" s="249"/>
      <c r="BO404" s="249"/>
      <c r="BP404" s="249"/>
      <c r="BQ404" s="249"/>
      <c r="BR404" s="249"/>
      <c r="BS404" s="249"/>
      <c r="BT404" s="249"/>
      <c r="BU404" s="249"/>
      <c r="BV404" s="249"/>
      <c r="BW404" s="249"/>
      <c r="BX404" s="249"/>
      <c r="BY404" s="249"/>
      <c r="BZ404" s="249"/>
      <c r="CA404" s="249"/>
      <c r="CB404" s="249"/>
      <c r="CC404" s="249"/>
      <c r="CD404" s="249"/>
      <c r="CE404" s="249"/>
    </row>
    <row r="405" spans="1:83" s="84" customFormat="1" ht="12.95" customHeight="1">
      <c r="A405" s="1"/>
      <c r="B405" s="1"/>
      <c r="C405" s="18" t="s">
        <v>395</v>
      </c>
      <c r="D405" s="52" t="s">
        <v>2619</v>
      </c>
      <c r="E405" s="52" t="s">
        <v>2677</v>
      </c>
      <c r="F405" s="53" t="s">
        <v>624</v>
      </c>
      <c r="G405" s="179" t="s">
        <v>1429</v>
      </c>
      <c r="H405" s="180" t="s">
        <v>395</v>
      </c>
      <c r="I405" s="55" t="s">
        <v>1429</v>
      </c>
      <c r="J405" s="55" t="s">
        <v>1429</v>
      </c>
      <c r="K405" s="56" t="s">
        <v>1429</v>
      </c>
      <c r="L405" s="54" t="s">
        <v>1429</v>
      </c>
      <c r="M405" s="55" t="s">
        <v>1580</v>
      </c>
      <c r="N405" s="55" t="s">
        <v>1429</v>
      </c>
      <c r="O405" s="55" t="s">
        <v>1429</v>
      </c>
      <c r="P405" s="56" t="s">
        <v>1429</v>
      </c>
      <c r="Q405" s="85"/>
      <c r="R405" s="85"/>
      <c r="S405" s="85"/>
      <c r="T405" s="85"/>
      <c r="U405" s="85"/>
      <c r="V405" s="146" t="s">
        <v>2678</v>
      </c>
      <c r="W405" s="51" t="s">
        <v>2611</v>
      </c>
      <c r="X405" s="130" t="s">
        <v>1429</v>
      </c>
      <c r="Y405" s="130" t="s">
        <v>1429</v>
      </c>
      <c r="Z405" s="51"/>
      <c r="AA405" s="51" t="s">
        <v>2612</v>
      </c>
      <c r="AB405" s="146"/>
      <c r="AC405" s="146" t="s">
        <v>1429</v>
      </c>
      <c r="AD405" s="98"/>
      <c r="AE405" s="83"/>
      <c r="AF405" s="83"/>
      <c r="AG405" s="83"/>
      <c r="AH405" s="86"/>
      <c r="AI405" s="86"/>
      <c r="AJ405" s="87"/>
      <c r="AK405" s="87"/>
      <c r="AL405" s="87"/>
      <c r="AM405" s="87"/>
      <c r="AN405" s="87"/>
      <c r="AO405" s="87"/>
      <c r="AP405" s="87"/>
      <c r="AQ405" s="229" t="s">
        <v>395</v>
      </c>
      <c r="AR405" s="5"/>
      <c r="AS405" s="5"/>
      <c r="AT405" s="5"/>
      <c r="AU405" s="5"/>
      <c r="AV405" s="5"/>
      <c r="AW405" s="5"/>
      <c r="AX405" s="284"/>
      <c r="AY405" s="5"/>
      <c r="AZ405" s="5"/>
      <c r="BA405" s="230"/>
      <c r="BB405" s="5"/>
      <c r="BC405" s="232" t="s">
        <v>3535</v>
      </c>
      <c r="BD405" s="257"/>
      <c r="BE405" s="249"/>
      <c r="BF405" s="249"/>
      <c r="BG405" s="249"/>
      <c r="BH405" s="249"/>
      <c r="BI405" s="249"/>
      <c r="BJ405" s="249"/>
      <c r="BK405" s="249"/>
      <c r="BL405" s="249"/>
      <c r="BM405" s="249"/>
      <c r="BN405" s="249"/>
      <c r="BO405" s="249"/>
      <c r="BP405" s="249"/>
      <c r="BQ405" s="249"/>
      <c r="BR405" s="249"/>
      <c r="BS405" s="249"/>
      <c r="BT405" s="249"/>
      <c r="BU405" s="249"/>
      <c r="BV405" s="249"/>
      <c r="BW405" s="249"/>
      <c r="BX405" s="249"/>
      <c r="BY405" s="249"/>
      <c r="BZ405" s="249"/>
      <c r="CA405" s="249"/>
      <c r="CB405" s="249"/>
      <c r="CC405" s="249"/>
      <c r="CD405" s="249"/>
      <c r="CE405" s="249"/>
    </row>
    <row r="406" spans="1:83" s="84" customFormat="1" ht="12.95" customHeight="1">
      <c r="A406" s="1"/>
      <c r="B406" s="1"/>
      <c r="C406" s="18" t="s">
        <v>396</v>
      </c>
      <c r="D406" s="52" t="s">
        <v>2622</v>
      </c>
      <c r="E406" s="52" t="s">
        <v>2679</v>
      </c>
      <c r="F406" s="53" t="s">
        <v>625</v>
      </c>
      <c r="G406" s="179" t="s">
        <v>1429</v>
      </c>
      <c r="H406" s="180" t="s">
        <v>396</v>
      </c>
      <c r="I406" s="55" t="s">
        <v>1429</v>
      </c>
      <c r="J406" s="55" t="s">
        <v>1429</v>
      </c>
      <c r="K406" s="56" t="s">
        <v>1429</v>
      </c>
      <c r="L406" s="54" t="s">
        <v>1429</v>
      </c>
      <c r="M406" s="55" t="s">
        <v>1580</v>
      </c>
      <c r="N406" s="55" t="s">
        <v>1429</v>
      </c>
      <c r="O406" s="55" t="s">
        <v>1429</v>
      </c>
      <c r="P406" s="56" t="s">
        <v>1429</v>
      </c>
      <c r="Q406" s="85"/>
      <c r="R406" s="85"/>
      <c r="S406" s="85"/>
      <c r="T406" s="85"/>
      <c r="U406" s="85"/>
      <c r="V406" s="146" t="s">
        <v>2680</v>
      </c>
      <c r="W406" s="51" t="s">
        <v>2611</v>
      </c>
      <c r="X406" s="130" t="s">
        <v>1429</v>
      </c>
      <c r="Y406" s="130" t="s">
        <v>1429</v>
      </c>
      <c r="Z406" s="51"/>
      <c r="AA406" s="51" t="s">
        <v>2612</v>
      </c>
      <c r="AB406" s="146"/>
      <c r="AC406" s="146" t="s">
        <v>1429</v>
      </c>
      <c r="AD406" s="98"/>
      <c r="AE406" s="83"/>
      <c r="AF406" s="83"/>
      <c r="AG406" s="83"/>
      <c r="AH406" s="86"/>
      <c r="AI406" s="86"/>
      <c r="AJ406" s="87"/>
      <c r="AK406" s="87"/>
      <c r="AL406" s="87"/>
      <c r="AM406" s="87"/>
      <c r="AN406" s="87"/>
      <c r="AO406" s="87"/>
      <c r="AP406" s="87"/>
      <c r="AQ406" s="229" t="s">
        <v>396</v>
      </c>
      <c r="AR406" s="5"/>
      <c r="AS406" s="5"/>
      <c r="AT406" s="5"/>
      <c r="AU406" s="5"/>
      <c r="AV406" s="5"/>
      <c r="AW406" s="5"/>
      <c r="AX406" s="284"/>
      <c r="AY406" s="5"/>
      <c r="AZ406" s="5"/>
      <c r="BA406" s="230"/>
      <c r="BB406" s="5"/>
      <c r="BC406" s="232" t="s">
        <v>3535</v>
      </c>
      <c r="BD406" s="257"/>
      <c r="BE406" s="249"/>
      <c r="BF406" s="249"/>
      <c r="BG406" s="249"/>
      <c r="BH406" s="249"/>
      <c r="BI406" s="249"/>
      <c r="BJ406" s="249"/>
      <c r="BK406" s="249"/>
      <c r="BL406" s="249"/>
      <c r="BM406" s="249"/>
      <c r="BN406" s="249"/>
      <c r="BO406" s="249"/>
      <c r="BP406" s="249"/>
      <c r="BQ406" s="249"/>
      <c r="BR406" s="249"/>
      <c r="BS406" s="249"/>
      <c r="BT406" s="249"/>
      <c r="BU406" s="249"/>
      <c r="BV406" s="249"/>
      <c r="BW406" s="249"/>
      <c r="BX406" s="249"/>
      <c r="BY406" s="249"/>
      <c r="BZ406" s="249"/>
      <c r="CA406" s="249"/>
      <c r="CB406" s="249"/>
      <c r="CC406" s="249"/>
      <c r="CD406" s="249"/>
      <c r="CE406" s="249"/>
    </row>
    <row r="407" spans="1:83" s="84" customFormat="1" ht="12.95" customHeight="1">
      <c r="A407" s="1"/>
      <c r="B407" s="1"/>
      <c r="C407" s="18" t="s">
        <v>397</v>
      </c>
      <c r="D407" s="52" t="s">
        <v>2614</v>
      </c>
      <c r="E407" s="52" t="s">
        <v>2681</v>
      </c>
      <c r="F407" s="53" t="s">
        <v>626</v>
      </c>
      <c r="G407" s="179" t="s">
        <v>1429</v>
      </c>
      <c r="H407" s="180" t="s">
        <v>397</v>
      </c>
      <c r="I407" s="55" t="s">
        <v>1429</v>
      </c>
      <c r="J407" s="55" t="s">
        <v>1429</v>
      </c>
      <c r="K407" s="56" t="s">
        <v>1429</v>
      </c>
      <c r="L407" s="54" t="s">
        <v>1429</v>
      </c>
      <c r="M407" s="55" t="s">
        <v>1580</v>
      </c>
      <c r="N407" s="55" t="s">
        <v>1429</v>
      </c>
      <c r="O407" s="55" t="s">
        <v>1429</v>
      </c>
      <c r="P407" s="56" t="s">
        <v>1429</v>
      </c>
      <c r="Q407" s="85"/>
      <c r="R407" s="85"/>
      <c r="S407" s="85"/>
      <c r="T407" s="85"/>
      <c r="U407" s="85"/>
      <c r="V407" s="146" t="s">
        <v>2682</v>
      </c>
      <c r="W407" s="51" t="s">
        <v>2611</v>
      </c>
      <c r="X407" s="130" t="s">
        <v>1429</v>
      </c>
      <c r="Y407" s="130" t="s">
        <v>1429</v>
      </c>
      <c r="Z407" s="51"/>
      <c r="AA407" s="51" t="s">
        <v>2612</v>
      </c>
      <c r="AB407" s="146"/>
      <c r="AC407" s="146" t="s">
        <v>1429</v>
      </c>
      <c r="AD407" s="98"/>
      <c r="AE407" s="83"/>
      <c r="AF407" s="83"/>
      <c r="AG407" s="83"/>
      <c r="AH407" s="86"/>
      <c r="AI407" s="86"/>
      <c r="AJ407" s="87"/>
      <c r="AK407" s="87"/>
      <c r="AL407" s="87"/>
      <c r="AM407" s="87"/>
      <c r="AN407" s="87"/>
      <c r="AO407" s="87"/>
      <c r="AP407" s="87"/>
      <c r="AQ407" s="229" t="s">
        <v>397</v>
      </c>
      <c r="AR407" s="5"/>
      <c r="AS407" s="5"/>
      <c r="AT407" s="5"/>
      <c r="AU407" s="5"/>
      <c r="AV407" s="5"/>
      <c r="AW407" s="5"/>
      <c r="AX407" s="284"/>
      <c r="AY407" s="5"/>
      <c r="AZ407" s="5"/>
      <c r="BA407" s="230"/>
      <c r="BB407" s="5"/>
      <c r="BC407" s="232" t="s">
        <v>3535</v>
      </c>
      <c r="BD407" s="257"/>
      <c r="BE407" s="249"/>
      <c r="BF407" s="249"/>
      <c r="BG407" s="249"/>
      <c r="BH407" s="249"/>
      <c r="BI407" s="249"/>
      <c r="BJ407" s="249"/>
      <c r="BK407" s="249"/>
      <c r="BL407" s="249"/>
      <c r="BM407" s="249"/>
      <c r="BN407" s="249"/>
      <c r="BO407" s="249"/>
      <c r="BP407" s="249"/>
      <c r="BQ407" s="249"/>
      <c r="BR407" s="249"/>
      <c r="BS407" s="249"/>
      <c r="BT407" s="249"/>
      <c r="BU407" s="249"/>
      <c r="BV407" s="249"/>
      <c r="BW407" s="249"/>
      <c r="BX407" s="249"/>
      <c r="BY407" s="249"/>
      <c r="BZ407" s="249"/>
      <c r="CA407" s="249"/>
      <c r="CB407" s="249"/>
      <c r="CC407" s="249"/>
      <c r="CD407" s="249"/>
      <c r="CE407" s="249"/>
    </row>
    <row r="408" spans="1:83" s="84" customFormat="1" ht="12.95" customHeight="1">
      <c r="A408" s="1"/>
      <c r="B408" s="1"/>
      <c r="C408" s="18" t="s">
        <v>398</v>
      </c>
      <c r="D408" s="52" t="s">
        <v>2683</v>
      </c>
      <c r="E408" s="52" t="s">
        <v>2684</v>
      </c>
      <c r="F408" s="53" t="s">
        <v>627</v>
      </c>
      <c r="G408" s="179" t="s">
        <v>1429</v>
      </c>
      <c r="H408" s="180" t="s">
        <v>398</v>
      </c>
      <c r="I408" s="55" t="s">
        <v>1429</v>
      </c>
      <c r="J408" s="55" t="s">
        <v>1429</v>
      </c>
      <c r="K408" s="56" t="s">
        <v>1429</v>
      </c>
      <c r="L408" s="54" t="s">
        <v>1429</v>
      </c>
      <c r="M408" s="55" t="s">
        <v>1580</v>
      </c>
      <c r="N408" s="55" t="s">
        <v>1429</v>
      </c>
      <c r="O408" s="55" t="s">
        <v>1429</v>
      </c>
      <c r="P408" s="56" t="s">
        <v>1429</v>
      </c>
      <c r="Q408" s="85"/>
      <c r="R408" s="85"/>
      <c r="S408" s="85"/>
      <c r="T408" s="85"/>
      <c r="U408" s="85"/>
      <c r="V408" s="146" t="s">
        <v>2685</v>
      </c>
      <c r="W408" s="51" t="s">
        <v>2611</v>
      </c>
      <c r="X408" s="130" t="s">
        <v>1429</v>
      </c>
      <c r="Y408" s="130" t="s">
        <v>1429</v>
      </c>
      <c r="Z408" s="51"/>
      <c r="AA408" s="51" t="s">
        <v>2612</v>
      </c>
      <c r="AB408" s="146"/>
      <c r="AC408" s="146" t="s">
        <v>1429</v>
      </c>
      <c r="AD408" s="98"/>
      <c r="AE408" s="83"/>
      <c r="AF408" s="83"/>
      <c r="AG408" s="83"/>
      <c r="AH408" s="86"/>
      <c r="AI408" s="86"/>
      <c r="AJ408" s="87"/>
      <c r="AK408" s="87"/>
      <c r="AL408" s="87"/>
      <c r="AM408" s="87"/>
      <c r="AN408" s="87"/>
      <c r="AO408" s="87"/>
      <c r="AP408" s="87"/>
      <c r="AQ408" s="229" t="s">
        <v>398</v>
      </c>
      <c r="AR408" s="5"/>
      <c r="AS408" s="5"/>
      <c r="AT408" s="5"/>
      <c r="AU408" s="5"/>
      <c r="AV408" s="5"/>
      <c r="AW408" s="5"/>
      <c r="AX408" s="284"/>
      <c r="AY408" s="5"/>
      <c r="AZ408" s="5"/>
      <c r="BA408" s="230"/>
      <c r="BB408" s="5"/>
      <c r="BC408" s="232" t="s">
        <v>3535</v>
      </c>
      <c r="BD408" s="257"/>
      <c r="BE408" s="249"/>
      <c r="BF408" s="249"/>
      <c r="BG408" s="249"/>
      <c r="BH408" s="249"/>
      <c r="BI408" s="249"/>
      <c r="BJ408" s="249"/>
      <c r="BK408" s="249"/>
      <c r="BL408" s="249"/>
      <c r="BM408" s="249"/>
      <c r="BN408" s="249"/>
      <c r="BO408" s="249"/>
      <c r="BP408" s="249"/>
      <c r="BQ408" s="249"/>
      <c r="BR408" s="249"/>
      <c r="BS408" s="249"/>
      <c r="BT408" s="249"/>
      <c r="BU408" s="249"/>
      <c r="BV408" s="249"/>
      <c r="BW408" s="249"/>
      <c r="BX408" s="249"/>
      <c r="BY408" s="249"/>
      <c r="BZ408" s="249"/>
      <c r="CA408" s="249"/>
      <c r="CB408" s="249"/>
      <c r="CC408" s="249"/>
      <c r="CD408" s="249"/>
      <c r="CE408" s="249"/>
    </row>
    <row r="409" spans="1:83" s="84" customFormat="1" ht="12.95" customHeight="1">
      <c r="A409" s="1"/>
      <c r="B409" s="1"/>
      <c r="C409" s="18" t="s">
        <v>399</v>
      </c>
      <c r="D409" s="52" t="s">
        <v>2686</v>
      </c>
      <c r="E409" s="52" t="s">
        <v>2687</v>
      </c>
      <c r="F409" s="53" t="s">
        <v>628</v>
      </c>
      <c r="G409" s="179" t="s">
        <v>1429</v>
      </c>
      <c r="H409" s="180" t="s">
        <v>399</v>
      </c>
      <c r="I409" s="55" t="s">
        <v>1429</v>
      </c>
      <c r="J409" s="55" t="s">
        <v>1429</v>
      </c>
      <c r="K409" s="56" t="s">
        <v>1429</v>
      </c>
      <c r="L409" s="54" t="s">
        <v>1429</v>
      </c>
      <c r="M409" s="55" t="s">
        <v>1580</v>
      </c>
      <c r="N409" s="55" t="s">
        <v>1429</v>
      </c>
      <c r="O409" s="55" t="s">
        <v>1429</v>
      </c>
      <c r="P409" s="56" t="s">
        <v>1429</v>
      </c>
      <c r="Q409" s="85"/>
      <c r="R409" s="85"/>
      <c r="S409" s="85"/>
      <c r="T409" s="85"/>
      <c r="U409" s="85"/>
      <c r="V409" s="146" t="s">
        <v>2688</v>
      </c>
      <c r="W409" s="51" t="s">
        <v>2611</v>
      </c>
      <c r="X409" s="130" t="s">
        <v>1429</v>
      </c>
      <c r="Y409" s="130" t="s">
        <v>1429</v>
      </c>
      <c r="Z409" s="51"/>
      <c r="AA409" s="51" t="s">
        <v>2612</v>
      </c>
      <c r="AB409" s="146"/>
      <c r="AC409" s="146" t="s">
        <v>1429</v>
      </c>
      <c r="AD409" s="98"/>
      <c r="AE409" s="83"/>
      <c r="AF409" s="83"/>
      <c r="AG409" s="83"/>
      <c r="AH409" s="86"/>
      <c r="AI409" s="86"/>
      <c r="AJ409" s="87"/>
      <c r="AK409" s="87"/>
      <c r="AL409" s="87"/>
      <c r="AM409" s="87"/>
      <c r="AN409" s="87"/>
      <c r="AO409" s="87"/>
      <c r="AP409" s="87"/>
      <c r="AQ409" s="229" t="s">
        <v>399</v>
      </c>
      <c r="AR409" s="5"/>
      <c r="AS409" s="5"/>
      <c r="AT409" s="5"/>
      <c r="AU409" s="5"/>
      <c r="AV409" s="5"/>
      <c r="AW409" s="5"/>
      <c r="AX409" s="284"/>
      <c r="AY409" s="5"/>
      <c r="AZ409" s="5"/>
      <c r="BA409" s="230"/>
      <c r="BB409" s="5"/>
      <c r="BC409" s="232" t="s">
        <v>3535</v>
      </c>
      <c r="BD409" s="257"/>
      <c r="BE409" s="249"/>
      <c r="BF409" s="249"/>
      <c r="BG409" s="249"/>
      <c r="BH409" s="249"/>
      <c r="BI409" s="249"/>
      <c r="BJ409" s="249"/>
      <c r="BK409" s="249"/>
      <c r="BL409" s="249"/>
      <c r="BM409" s="249"/>
      <c r="BN409" s="249"/>
      <c r="BO409" s="249"/>
      <c r="BP409" s="249"/>
      <c r="BQ409" s="249"/>
      <c r="BR409" s="249"/>
      <c r="BS409" s="249"/>
      <c r="BT409" s="249"/>
      <c r="BU409" s="249"/>
      <c r="BV409" s="249"/>
      <c r="BW409" s="249"/>
      <c r="BX409" s="249"/>
      <c r="BY409" s="249"/>
      <c r="BZ409" s="249"/>
      <c r="CA409" s="249"/>
      <c r="CB409" s="249"/>
      <c r="CC409" s="249"/>
      <c r="CD409" s="249"/>
      <c r="CE409" s="249"/>
    </row>
    <row r="410" spans="1:83" s="84" customFormat="1" ht="12.95" customHeight="1">
      <c r="A410" s="1"/>
      <c r="B410" s="1"/>
      <c r="C410" s="18" t="s">
        <v>400</v>
      </c>
      <c r="D410" s="52" t="s">
        <v>2640</v>
      </c>
      <c r="E410" s="52" t="s">
        <v>2689</v>
      </c>
      <c r="F410" s="53" t="s">
        <v>629</v>
      </c>
      <c r="G410" s="179" t="s">
        <v>1429</v>
      </c>
      <c r="H410" s="180" t="s">
        <v>400</v>
      </c>
      <c r="I410" s="55" t="s">
        <v>1429</v>
      </c>
      <c r="J410" s="55" t="s">
        <v>1429</v>
      </c>
      <c r="K410" s="56" t="s">
        <v>1429</v>
      </c>
      <c r="L410" s="54" t="s">
        <v>1429</v>
      </c>
      <c r="M410" s="55" t="s">
        <v>1580</v>
      </c>
      <c r="N410" s="55" t="s">
        <v>1429</v>
      </c>
      <c r="O410" s="55" t="s">
        <v>1429</v>
      </c>
      <c r="P410" s="56" t="s">
        <v>1429</v>
      </c>
      <c r="Q410" s="85"/>
      <c r="R410" s="85"/>
      <c r="S410" s="85"/>
      <c r="T410" s="85"/>
      <c r="U410" s="85"/>
      <c r="V410" s="146" t="s">
        <v>2690</v>
      </c>
      <c r="W410" s="51" t="s">
        <v>2611</v>
      </c>
      <c r="X410" s="130" t="s">
        <v>1429</v>
      </c>
      <c r="Y410" s="130" t="s">
        <v>1429</v>
      </c>
      <c r="Z410" s="51"/>
      <c r="AA410" s="51" t="s">
        <v>2612</v>
      </c>
      <c r="AB410" s="146"/>
      <c r="AC410" s="146" t="s">
        <v>1429</v>
      </c>
      <c r="AD410" s="98"/>
      <c r="AE410" s="83"/>
      <c r="AF410" s="83"/>
      <c r="AG410" s="83"/>
      <c r="AH410" s="86"/>
      <c r="AI410" s="86"/>
      <c r="AJ410" s="87"/>
      <c r="AK410" s="87"/>
      <c r="AL410" s="87"/>
      <c r="AM410" s="87"/>
      <c r="AN410" s="87"/>
      <c r="AO410" s="87"/>
      <c r="AP410" s="87"/>
      <c r="AQ410" s="229" t="s">
        <v>400</v>
      </c>
      <c r="AR410" s="5"/>
      <c r="AS410" s="5"/>
      <c r="AT410" s="5"/>
      <c r="AU410" s="5"/>
      <c r="AV410" s="5"/>
      <c r="AW410" s="5"/>
      <c r="AX410" s="284"/>
      <c r="AY410" s="5"/>
      <c r="AZ410" s="5"/>
      <c r="BA410" s="230"/>
      <c r="BB410" s="5"/>
      <c r="BC410" s="232" t="s">
        <v>3535</v>
      </c>
      <c r="BD410" s="257"/>
      <c r="BE410" s="249"/>
      <c r="BF410" s="249"/>
      <c r="BG410" s="249"/>
      <c r="BH410" s="249"/>
      <c r="BI410" s="249"/>
      <c r="BJ410" s="249"/>
      <c r="BK410" s="249"/>
      <c r="BL410" s="249"/>
      <c r="BM410" s="249"/>
      <c r="BN410" s="249"/>
      <c r="BO410" s="249"/>
      <c r="BP410" s="249"/>
      <c r="BQ410" s="249"/>
      <c r="BR410" s="249"/>
      <c r="BS410" s="249"/>
      <c r="BT410" s="249"/>
      <c r="BU410" s="249"/>
      <c r="BV410" s="249"/>
      <c r="BW410" s="249"/>
      <c r="BX410" s="249"/>
      <c r="BY410" s="249"/>
      <c r="BZ410" s="249"/>
      <c r="CA410" s="249"/>
      <c r="CB410" s="249"/>
      <c r="CC410" s="249"/>
      <c r="CD410" s="249"/>
      <c r="CE410" s="249"/>
    </row>
    <row r="411" spans="1:83" s="84" customFormat="1" ht="12.95" customHeight="1">
      <c r="A411" s="1"/>
      <c r="B411" s="1"/>
      <c r="C411" s="21" t="s">
        <v>401</v>
      </c>
      <c r="D411" s="52" t="s">
        <v>2638</v>
      </c>
      <c r="E411" s="52" t="s">
        <v>2691</v>
      </c>
      <c r="F411" s="53" t="s">
        <v>630</v>
      </c>
      <c r="G411" s="179" t="s">
        <v>1429</v>
      </c>
      <c r="H411" s="180" t="s">
        <v>401</v>
      </c>
      <c r="I411" s="55" t="s">
        <v>1429</v>
      </c>
      <c r="J411" s="55" t="s">
        <v>1429</v>
      </c>
      <c r="K411" s="56" t="s">
        <v>1429</v>
      </c>
      <c r="L411" s="54" t="s">
        <v>1429</v>
      </c>
      <c r="M411" s="55" t="s">
        <v>1580</v>
      </c>
      <c r="N411" s="55" t="s">
        <v>1429</v>
      </c>
      <c r="O411" s="55" t="s">
        <v>1429</v>
      </c>
      <c r="P411" s="56" t="s">
        <v>1429</v>
      </c>
      <c r="Q411" s="85"/>
      <c r="R411" s="85"/>
      <c r="S411" s="85"/>
      <c r="T411" s="85"/>
      <c r="U411" s="85"/>
      <c r="V411" s="146" t="s">
        <v>2692</v>
      </c>
      <c r="W411" s="51" t="s">
        <v>2611</v>
      </c>
      <c r="X411" s="130" t="s">
        <v>1429</v>
      </c>
      <c r="Y411" s="130" t="s">
        <v>1429</v>
      </c>
      <c r="Z411" s="51"/>
      <c r="AA411" s="51" t="s">
        <v>2612</v>
      </c>
      <c r="AB411" s="146"/>
      <c r="AC411" s="146" t="s">
        <v>1429</v>
      </c>
      <c r="AD411" s="98"/>
      <c r="AE411" s="83"/>
      <c r="AF411" s="83"/>
      <c r="AG411" s="83"/>
      <c r="AH411" s="86"/>
      <c r="AI411" s="86"/>
      <c r="AJ411" s="87"/>
      <c r="AK411" s="87"/>
      <c r="AL411" s="87"/>
      <c r="AM411" s="87"/>
      <c r="AN411" s="87"/>
      <c r="AO411" s="87"/>
      <c r="AP411" s="87"/>
      <c r="AQ411" s="229" t="s">
        <v>401</v>
      </c>
      <c r="AR411" s="5"/>
      <c r="AS411" s="5"/>
      <c r="AT411" s="5"/>
      <c r="AU411" s="5"/>
      <c r="AV411" s="5"/>
      <c r="AW411" s="5"/>
      <c r="AX411" s="284"/>
      <c r="AY411" s="5"/>
      <c r="AZ411" s="5"/>
      <c r="BA411" s="230"/>
      <c r="BB411" s="5"/>
      <c r="BC411" s="232" t="s">
        <v>3535</v>
      </c>
      <c r="BD411" s="257"/>
      <c r="BE411" s="249"/>
      <c r="BF411" s="249"/>
      <c r="BG411" s="249"/>
      <c r="BH411" s="249"/>
      <c r="BI411" s="249"/>
      <c r="BJ411" s="249"/>
      <c r="BK411" s="249"/>
      <c r="BL411" s="249"/>
      <c r="BM411" s="249"/>
      <c r="BN411" s="249"/>
      <c r="BO411" s="249"/>
      <c r="BP411" s="249"/>
      <c r="BQ411" s="249"/>
      <c r="BR411" s="249"/>
      <c r="BS411" s="249"/>
      <c r="BT411" s="249"/>
      <c r="BU411" s="249"/>
      <c r="BV411" s="249"/>
      <c r="BW411" s="249"/>
      <c r="BX411" s="249"/>
      <c r="BY411" s="249"/>
      <c r="BZ411" s="249"/>
      <c r="CA411" s="249"/>
      <c r="CB411" s="249"/>
      <c r="CC411" s="249"/>
      <c r="CD411" s="249"/>
      <c r="CE411" s="249"/>
    </row>
    <row r="412" spans="1:83" s="84" customFormat="1" ht="12.95" customHeight="1">
      <c r="A412" s="1"/>
      <c r="B412" s="1"/>
      <c r="C412" s="21" t="s">
        <v>402</v>
      </c>
      <c r="D412" s="52" t="s">
        <v>2635</v>
      </c>
      <c r="E412" s="52" t="s">
        <v>2693</v>
      </c>
      <c r="F412" s="53" t="s">
        <v>631</v>
      </c>
      <c r="G412" s="179" t="s">
        <v>1429</v>
      </c>
      <c r="H412" s="180" t="s">
        <v>402</v>
      </c>
      <c r="I412" s="55" t="s">
        <v>1429</v>
      </c>
      <c r="J412" s="55" t="s">
        <v>1429</v>
      </c>
      <c r="K412" s="56" t="s">
        <v>1429</v>
      </c>
      <c r="L412" s="54" t="s">
        <v>1429</v>
      </c>
      <c r="M412" s="55" t="s">
        <v>1580</v>
      </c>
      <c r="N412" s="55" t="s">
        <v>1429</v>
      </c>
      <c r="O412" s="55" t="s">
        <v>1429</v>
      </c>
      <c r="P412" s="56" t="s">
        <v>1429</v>
      </c>
      <c r="Q412" s="85"/>
      <c r="R412" s="85"/>
      <c r="S412" s="85"/>
      <c r="T412" s="85"/>
      <c r="U412" s="85"/>
      <c r="V412" s="146" t="s">
        <v>2694</v>
      </c>
      <c r="W412" s="51" t="s">
        <v>2611</v>
      </c>
      <c r="X412" s="130" t="s">
        <v>1429</v>
      </c>
      <c r="Y412" s="130" t="s">
        <v>1429</v>
      </c>
      <c r="Z412" s="51"/>
      <c r="AA412" s="51" t="s">
        <v>2612</v>
      </c>
      <c r="AB412" s="146"/>
      <c r="AC412" s="146" t="s">
        <v>1429</v>
      </c>
      <c r="AD412" s="98"/>
      <c r="AE412" s="83"/>
      <c r="AF412" s="83"/>
      <c r="AG412" s="83"/>
      <c r="AH412" s="86"/>
      <c r="AI412" s="86"/>
      <c r="AJ412" s="87"/>
      <c r="AK412" s="87"/>
      <c r="AL412" s="87"/>
      <c r="AM412" s="87"/>
      <c r="AN412" s="87"/>
      <c r="AO412" s="87"/>
      <c r="AP412" s="87"/>
      <c r="AQ412" s="229" t="s">
        <v>402</v>
      </c>
      <c r="AR412" s="5"/>
      <c r="AS412" s="5"/>
      <c r="AT412" s="5"/>
      <c r="AU412" s="5"/>
      <c r="AV412" s="5"/>
      <c r="AW412" s="5"/>
      <c r="AX412" s="284"/>
      <c r="AY412" s="5"/>
      <c r="AZ412" s="5"/>
      <c r="BA412" s="230"/>
      <c r="BB412" s="5"/>
      <c r="BC412" s="232" t="s">
        <v>3535</v>
      </c>
      <c r="BD412" s="257"/>
      <c r="BE412" s="249"/>
      <c r="BF412" s="249"/>
      <c r="BG412" s="249"/>
      <c r="BH412" s="249"/>
      <c r="BI412" s="249"/>
      <c r="BJ412" s="249"/>
      <c r="BK412" s="249"/>
      <c r="BL412" s="249"/>
      <c r="BM412" s="249"/>
      <c r="BN412" s="249"/>
      <c r="BO412" s="249"/>
      <c r="BP412" s="249"/>
      <c r="BQ412" s="249"/>
      <c r="BR412" s="249"/>
      <c r="BS412" s="249"/>
      <c r="BT412" s="249"/>
      <c r="BU412" s="249"/>
      <c r="BV412" s="249"/>
      <c r="BW412" s="249"/>
      <c r="BX412" s="249"/>
      <c r="BY412" s="249"/>
      <c r="BZ412" s="249"/>
      <c r="CA412" s="249"/>
      <c r="CB412" s="249"/>
      <c r="CC412" s="249"/>
      <c r="CD412" s="249"/>
      <c r="CE412" s="249"/>
    </row>
    <row r="413" spans="1:83" s="84" customFormat="1" ht="12.95" customHeight="1">
      <c r="A413" s="1"/>
      <c r="B413" s="1"/>
      <c r="C413" s="18" t="s">
        <v>403</v>
      </c>
      <c r="D413" s="52" t="s">
        <v>2609</v>
      </c>
      <c r="E413" s="52" t="s">
        <v>2695</v>
      </c>
      <c r="F413" s="53" t="s">
        <v>632</v>
      </c>
      <c r="G413" s="179" t="s">
        <v>1429</v>
      </c>
      <c r="H413" s="180" t="s">
        <v>403</v>
      </c>
      <c r="I413" s="55" t="s">
        <v>1429</v>
      </c>
      <c r="J413" s="55" t="s">
        <v>1429</v>
      </c>
      <c r="K413" s="56" t="s">
        <v>1429</v>
      </c>
      <c r="L413" s="54" t="s">
        <v>1429</v>
      </c>
      <c r="M413" s="55" t="s">
        <v>1580</v>
      </c>
      <c r="N413" s="55" t="s">
        <v>1429</v>
      </c>
      <c r="O413" s="55" t="s">
        <v>1429</v>
      </c>
      <c r="P413" s="56" t="s">
        <v>1429</v>
      </c>
      <c r="Q413" s="85"/>
      <c r="R413" s="85"/>
      <c r="S413" s="85"/>
      <c r="T413" s="85"/>
      <c r="U413" s="85"/>
      <c r="V413" s="146" t="s">
        <v>2696</v>
      </c>
      <c r="W413" s="51" t="s">
        <v>2611</v>
      </c>
      <c r="X413" s="130" t="s">
        <v>1429</v>
      </c>
      <c r="Y413" s="130" t="s">
        <v>1429</v>
      </c>
      <c r="Z413" s="51"/>
      <c r="AA413" s="51" t="s">
        <v>2612</v>
      </c>
      <c r="AB413" s="146"/>
      <c r="AC413" s="146" t="s">
        <v>1429</v>
      </c>
      <c r="AD413" s="98"/>
      <c r="AE413" s="83"/>
      <c r="AF413" s="83"/>
      <c r="AG413" s="83"/>
      <c r="AH413" s="86"/>
      <c r="AI413" s="86"/>
      <c r="AJ413" s="87"/>
      <c r="AK413" s="87"/>
      <c r="AL413" s="87"/>
      <c r="AM413" s="87"/>
      <c r="AN413" s="87"/>
      <c r="AO413" s="87"/>
      <c r="AP413" s="87"/>
      <c r="AQ413" s="229" t="s">
        <v>403</v>
      </c>
      <c r="AR413" s="5"/>
      <c r="AS413" s="5"/>
      <c r="AT413" s="5"/>
      <c r="AU413" s="5"/>
      <c r="AV413" s="5"/>
      <c r="AW413" s="5"/>
      <c r="AX413" s="284"/>
      <c r="AY413" s="5"/>
      <c r="AZ413" s="5"/>
      <c r="BA413" s="230"/>
      <c r="BB413" s="5"/>
      <c r="BC413" s="232" t="s">
        <v>3535</v>
      </c>
      <c r="BD413" s="257"/>
      <c r="BE413" s="249"/>
      <c r="BF413" s="249"/>
      <c r="BG413" s="249"/>
      <c r="BH413" s="249"/>
      <c r="BI413" s="249"/>
      <c r="BJ413" s="249"/>
      <c r="BK413" s="249"/>
      <c r="BL413" s="249"/>
      <c r="BM413" s="249"/>
      <c r="BN413" s="249"/>
      <c r="BO413" s="249"/>
      <c r="BP413" s="249"/>
      <c r="BQ413" s="249"/>
      <c r="BR413" s="249"/>
      <c r="BS413" s="249"/>
      <c r="BT413" s="249"/>
      <c r="BU413" s="249"/>
      <c r="BV413" s="249"/>
      <c r="BW413" s="249"/>
      <c r="BX413" s="249"/>
      <c r="BY413" s="249"/>
      <c r="BZ413" s="249"/>
      <c r="CA413" s="249"/>
      <c r="CB413" s="249"/>
      <c r="CC413" s="249"/>
      <c r="CD413" s="249"/>
      <c r="CE413" s="249"/>
    </row>
    <row r="414" spans="1:83" s="84" customFormat="1" ht="12.95" customHeight="1">
      <c r="A414" s="1"/>
      <c r="B414" s="1"/>
      <c r="C414" s="18" t="s">
        <v>404</v>
      </c>
      <c r="D414" s="52" t="s">
        <v>2642</v>
      </c>
      <c r="E414" s="52" t="s">
        <v>2697</v>
      </c>
      <c r="F414" s="53" t="s">
        <v>633</v>
      </c>
      <c r="G414" s="179" t="s">
        <v>1429</v>
      </c>
      <c r="H414" s="180" t="s">
        <v>404</v>
      </c>
      <c r="I414" s="55" t="s">
        <v>1429</v>
      </c>
      <c r="J414" s="55" t="s">
        <v>1429</v>
      </c>
      <c r="K414" s="56" t="s">
        <v>1429</v>
      </c>
      <c r="L414" s="54" t="s">
        <v>1429</v>
      </c>
      <c r="M414" s="55" t="s">
        <v>1580</v>
      </c>
      <c r="N414" s="55" t="s">
        <v>1429</v>
      </c>
      <c r="O414" s="55" t="s">
        <v>1429</v>
      </c>
      <c r="P414" s="56" t="s">
        <v>1429</v>
      </c>
      <c r="Q414" s="85"/>
      <c r="R414" s="85"/>
      <c r="S414" s="85"/>
      <c r="T414" s="85"/>
      <c r="U414" s="85"/>
      <c r="V414" s="146" t="s">
        <v>2698</v>
      </c>
      <c r="W414" s="51" t="s">
        <v>2611</v>
      </c>
      <c r="X414" s="130" t="s">
        <v>1429</v>
      </c>
      <c r="Y414" s="130" t="s">
        <v>1429</v>
      </c>
      <c r="Z414" s="51"/>
      <c r="AA414" s="51" t="s">
        <v>2612</v>
      </c>
      <c r="AB414" s="146"/>
      <c r="AC414" s="146" t="s">
        <v>1429</v>
      </c>
      <c r="AD414" s="98"/>
      <c r="AE414" s="83"/>
      <c r="AF414" s="83"/>
      <c r="AG414" s="83"/>
      <c r="AH414" s="86"/>
      <c r="AI414" s="86"/>
      <c r="AJ414" s="87"/>
      <c r="AK414" s="87"/>
      <c r="AL414" s="87"/>
      <c r="AM414" s="87"/>
      <c r="AN414" s="87"/>
      <c r="AO414" s="87"/>
      <c r="AP414" s="87"/>
      <c r="AQ414" s="229" t="s">
        <v>404</v>
      </c>
      <c r="AR414" s="5"/>
      <c r="AS414" s="5"/>
      <c r="AT414" s="5"/>
      <c r="AU414" s="5"/>
      <c r="AV414" s="5"/>
      <c r="AW414" s="5"/>
      <c r="AX414" s="284"/>
      <c r="AY414" s="5"/>
      <c r="AZ414" s="5"/>
      <c r="BA414" s="230"/>
      <c r="BB414" s="5"/>
      <c r="BC414" s="232" t="s">
        <v>3535</v>
      </c>
      <c r="BD414" s="257"/>
      <c r="BE414" s="249"/>
      <c r="BF414" s="249"/>
      <c r="BG414" s="249"/>
      <c r="BH414" s="249"/>
      <c r="BI414" s="249"/>
      <c r="BJ414" s="249"/>
      <c r="BK414" s="249"/>
      <c r="BL414" s="249"/>
      <c r="BM414" s="249"/>
      <c r="BN414" s="249"/>
      <c r="BO414" s="249"/>
      <c r="BP414" s="249"/>
      <c r="BQ414" s="249"/>
      <c r="BR414" s="249"/>
      <c r="BS414" s="249"/>
      <c r="BT414" s="249"/>
      <c r="BU414" s="249"/>
      <c r="BV414" s="249"/>
      <c r="BW414" s="249"/>
      <c r="BX414" s="249"/>
      <c r="BY414" s="249"/>
      <c r="BZ414" s="249"/>
      <c r="CA414" s="249"/>
      <c r="CB414" s="249"/>
      <c r="CC414" s="249"/>
      <c r="CD414" s="249"/>
      <c r="CE414" s="249"/>
    </row>
    <row r="415" spans="1:83" s="84" customFormat="1" ht="12.95" customHeight="1">
      <c r="A415" s="1"/>
      <c r="B415" s="1"/>
      <c r="C415" s="18" t="s">
        <v>405</v>
      </c>
      <c r="D415" s="52" t="s">
        <v>2699</v>
      </c>
      <c r="E415" s="52" t="s">
        <v>2700</v>
      </c>
      <c r="F415" s="53" t="s">
        <v>634</v>
      </c>
      <c r="G415" s="179" t="s">
        <v>1429</v>
      </c>
      <c r="H415" s="180" t="s">
        <v>405</v>
      </c>
      <c r="I415" s="55" t="s">
        <v>1429</v>
      </c>
      <c r="J415" s="55" t="s">
        <v>1429</v>
      </c>
      <c r="K415" s="56" t="s">
        <v>1429</v>
      </c>
      <c r="L415" s="54" t="s">
        <v>1429</v>
      </c>
      <c r="M415" s="55" t="s">
        <v>1580</v>
      </c>
      <c r="N415" s="55" t="s">
        <v>1429</v>
      </c>
      <c r="O415" s="55" t="s">
        <v>1429</v>
      </c>
      <c r="P415" s="56" t="s">
        <v>1429</v>
      </c>
      <c r="Q415" s="85"/>
      <c r="R415" s="85"/>
      <c r="S415" s="85"/>
      <c r="T415" s="85"/>
      <c r="U415" s="85"/>
      <c r="V415" s="146" t="s">
        <v>2701</v>
      </c>
      <c r="W415" s="51" t="s">
        <v>2611</v>
      </c>
      <c r="X415" s="130" t="s">
        <v>1429</v>
      </c>
      <c r="Y415" s="130" t="s">
        <v>1429</v>
      </c>
      <c r="Z415" s="51"/>
      <c r="AA415" s="51" t="s">
        <v>2612</v>
      </c>
      <c r="AB415" s="146"/>
      <c r="AC415" s="146" t="s">
        <v>1429</v>
      </c>
      <c r="AD415" s="98"/>
      <c r="AE415" s="83"/>
      <c r="AF415" s="83"/>
      <c r="AG415" s="83"/>
      <c r="AH415" s="86"/>
      <c r="AI415" s="86"/>
      <c r="AJ415" s="87"/>
      <c r="AK415" s="87"/>
      <c r="AL415" s="87"/>
      <c r="AM415" s="87"/>
      <c r="AN415" s="87"/>
      <c r="AO415" s="87"/>
      <c r="AP415" s="87"/>
      <c r="AQ415" s="229" t="s">
        <v>405</v>
      </c>
      <c r="AR415" s="5"/>
      <c r="AS415" s="5"/>
      <c r="AT415" s="5"/>
      <c r="AU415" s="5"/>
      <c r="AV415" s="5"/>
      <c r="AW415" s="5"/>
      <c r="AX415" s="284"/>
      <c r="AY415" s="5"/>
      <c r="AZ415" s="5"/>
      <c r="BA415" s="230"/>
      <c r="BB415" s="5"/>
      <c r="BC415" s="232" t="s">
        <v>3535</v>
      </c>
      <c r="BD415" s="257"/>
      <c r="BE415" s="249"/>
      <c r="BF415" s="249"/>
      <c r="BG415" s="249"/>
      <c r="BH415" s="249"/>
      <c r="BI415" s="249"/>
      <c r="BJ415" s="249"/>
      <c r="BK415" s="249"/>
      <c r="BL415" s="249"/>
      <c r="BM415" s="249"/>
      <c r="BN415" s="249"/>
      <c r="BO415" s="249"/>
      <c r="BP415" s="249"/>
      <c r="BQ415" s="249"/>
      <c r="BR415" s="249"/>
      <c r="BS415" s="249"/>
      <c r="BT415" s="249"/>
      <c r="BU415" s="249"/>
      <c r="BV415" s="249"/>
      <c r="BW415" s="249"/>
      <c r="BX415" s="249"/>
      <c r="BY415" s="249"/>
      <c r="BZ415" s="249"/>
      <c r="CA415" s="249"/>
      <c r="CB415" s="249"/>
      <c r="CC415" s="249"/>
      <c r="CD415" s="249"/>
      <c r="CE415" s="249"/>
    </row>
    <row r="416" spans="1:83" s="84" customFormat="1" ht="12.95" customHeight="1">
      <c r="A416" s="1"/>
      <c r="B416" s="1"/>
      <c r="C416" s="18" t="s">
        <v>406</v>
      </c>
      <c r="D416" s="52" t="s">
        <v>2693</v>
      </c>
      <c r="E416" s="52" t="s">
        <v>2702</v>
      </c>
      <c r="F416" s="53" t="s">
        <v>635</v>
      </c>
      <c r="G416" s="179" t="s">
        <v>1429</v>
      </c>
      <c r="H416" s="180" t="s">
        <v>406</v>
      </c>
      <c r="I416" s="55" t="s">
        <v>1429</v>
      </c>
      <c r="J416" s="55" t="s">
        <v>1429</v>
      </c>
      <c r="K416" s="56" t="s">
        <v>1429</v>
      </c>
      <c r="L416" s="54" t="s">
        <v>1429</v>
      </c>
      <c r="M416" s="55" t="s">
        <v>1580</v>
      </c>
      <c r="N416" s="55" t="s">
        <v>1429</v>
      </c>
      <c r="O416" s="55" t="s">
        <v>1429</v>
      </c>
      <c r="P416" s="56" t="s">
        <v>1429</v>
      </c>
      <c r="Q416" s="85"/>
      <c r="R416" s="85"/>
      <c r="S416" s="85"/>
      <c r="T416" s="85"/>
      <c r="U416" s="85"/>
      <c r="V416" s="146" t="s">
        <v>2703</v>
      </c>
      <c r="W416" s="51" t="s">
        <v>2611</v>
      </c>
      <c r="X416" s="130" t="s">
        <v>1429</v>
      </c>
      <c r="Y416" s="130" t="s">
        <v>1429</v>
      </c>
      <c r="Z416" s="51"/>
      <c r="AA416" s="51" t="s">
        <v>2612</v>
      </c>
      <c r="AB416" s="146"/>
      <c r="AC416" s="146" t="s">
        <v>1429</v>
      </c>
      <c r="AD416" s="98"/>
      <c r="AE416" s="83"/>
      <c r="AF416" s="83"/>
      <c r="AG416" s="83"/>
      <c r="AH416" s="86"/>
      <c r="AI416" s="86"/>
      <c r="AJ416" s="87"/>
      <c r="AK416" s="87"/>
      <c r="AL416" s="87"/>
      <c r="AM416" s="87"/>
      <c r="AN416" s="87"/>
      <c r="AO416" s="87"/>
      <c r="AP416" s="87"/>
      <c r="AQ416" s="229" t="s">
        <v>406</v>
      </c>
      <c r="AR416" s="5"/>
      <c r="AS416" s="5"/>
      <c r="AT416" s="5"/>
      <c r="AU416" s="5"/>
      <c r="AV416" s="5"/>
      <c r="AW416" s="5"/>
      <c r="AX416" s="284"/>
      <c r="AY416" s="5"/>
      <c r="AZ416" s="5"/>
      <c r="BA416" s="230"/>
      <c r="BB416" s="5"/>
      <c r="BC416" s="232" t="s">
        <v>3535</v>
      </c>
      <c r="BD416" s="257"/>
      <c r="BE416" s="249"/>
      <c r="BF416" s="249"/>
      <c r="BG416" s="249"/>
      <c r="BH416" s="249"/>
      <c r="BI416" s="249"/>
      <c r="BJ416" s="249"/>
      <c r="BK416" s="249"/>
      <c r="BL416" s="249"/>
      <c r="BM416" s="249"/>
      <c r="BN416" s="249"/>
      <c r="BO416" s="249"/>
      <c r="BP416" s="249"/>
      <c r="BQ416" s="249"/>
      <c r="BR416" s="249"/>
      <c r="BS416" s="249"/>
      <c r="BT416" s="249"/>
      <c r="BU416" s="249"/>
      <c r="BV416" s="249"/>
      <c r="BW416" s="249"/>
      <c r="BX416" s="249"/>
      <c r="BY416" s="249"/>
      <c r="BZ416" s="249"/>
      <c r="CA416" s="249"/>
      <c r="CB416" s="249"/>
      <c r="CC416" s="249"/>
      <c r="CD416" s="249"/>
      <c r="CE416" s="249"/>
    </row>
    <row r="417" spans="1:83" s="84" customFormat="1" ht="12.95" customHeight="1">
      <c r="A417" s="1"/>
      <c r="B417" s="1"/>
      <c r="C417" s="18" t="s">
        <v>407</v>
      </c>
      <c r="D417" s="52" t="s">
        <v>2662</v>
      </c>
      <c r="E417" s="52" t="s">
        <v>2704</v>
      </c>
      <c r="F417" s="53" t="s">
        <v>636</v>
      </c>
      <c r="G417" s="179" t="s">
        <v>1429</v>
      </c>
      <c r="H417" s="180" t="s">
        <v>407</v>
      </c>
      <c r="I417" s="55" t="s">
        <v>1429</v>
      </c>
      <c r="J417" s="55" t="s">
        <v>1429</v>
      </c>
      <c r="K417" s="56" t="s">
        <v>1429</v>
      </c>
      <c r="L417" s="54" t="s">
        <v>1429</v>
      </c>
      <c r="M417" s="55" t="s">
        <v>1580</v>
      </c>
      <c r="N417" s="55" t="s">
        <v>1429</v>
      </c>
      <c r="O417" s="55" t="s">
        <v>1429</v>
      </c>
      <c r="P417" s="56" t="s">
        <v>1429</v>
      </c>
      <c r="Q417" s="85"/>
      <c r="R417" s="85"/>
      <c r="S417" s="85"/>
      <c r="T417" s="85"/>
      <c r="U417" s="85"/>
      <c r="V417" s="146" t="s">
        <v>2705</v>
      </c>
      <c r="W417" s="51" t="s">
        <v>2611</v>
      </c>
      <c r="X417" s="130" t="s">
        <v>1429</v>
      </c>
      <c r="Y417" s="130" t="s">
        <v>1429</v>
      </c>
      <c r="Z417" s="51"/>
      <c r="AA417" s="51" t="s">
        <v>2612</v>
      </c>
      <c r="AB417" s="146"/>
      <c r="AC417" s="146" t="s">
        <v>1429</v>
      </c>
      <c r="AD417" s="98"/>
      <c r="AE417" s="83"/>
      <c r="AF417" s="83"/>
      <c r="AG417" s="83"/>
      <c r="AH417" s="86"/>
      <c r="AI417" s="86"/>
      <c r="AJ417" s="87"/>
      <c r="AK417" s="87"/>
      <c r="AL417" s="87"/>
      <c r="AM417" s="87"/>
      <c r="AN417" s="87"/>
      <c r="AO417" s="87"/>
      <c r="AP417" s="87"/>
      <c r="AQ417" s="229" t="s">
        <v>407</v>
      </c>
      <c r="AR417" s="5"/>
      <c r="AS417" s="5"/>
      <c r="AT417" s="5"/>
      <c r="AU417" s="5"/>
      <c r="AV417" s="5"/>
      <c r="AW417" s="5"/>
      <c r="AX417" s="284"/>
      <c r="AY417" s="5"/>
      <c r="AZ417" s="5"/>
      <c r="BA417" s="230"/>
      <c r="BB417" s="5"/>
      <c r="BC417" s="232" t="s">
        <v>3535</v>
      </c>
      <c r="BD417" s="257"/>
      <c r="BE417" s="249"/>
      <c r="BF417" s="249"/>
      <c r="BG417" s="249"/>
      <c r="BH417" s="249"/>
      <c r="BI417" s="249"/>
      <c r="BJ417" s="249"/>
      <c r="BK417" s="249"/>
      <c r="BL417" s="249"/>
      <c r="BM417" s="249"/>
      <c r="BN417" s="249"/>
      <c r="BO417" s="249"/>
      <c r="BP417" s="249"/>
      <c r="BQ417" s="249"/>
      <c r="BR417" s="249"/>
      <c r="BS417" s="249"/>
      <c r="BT417" s="249"/>
      <c r="BU417" s="249"/>
      <c r="BV417" s="249"/>
      <c r="BW417" s="249"/>
      <c r="BX417" s="249"/>
      <c r="BY417" s="249"/>
      <c r="BZ417" s="249"/>
      <c r="CA417" s="249"/>
      <c r="CB417" s="249"/>
      <c r="CC417" s="249"/>
      <c r="CD417" s="249"/>
      <c r="CE417" s="249"/>
    </row>
    <row r="418" spans="1:83" s="84" customFormat="1" ht="12.95" customHeight="1">
      <c r="A418" s="1"/>
      <c r="B418" s="1"/>
      <c r="C418" s="18" t="s">
        <v>408</v>
      </c>
      <c r="D418" s="52" t="s">
        <v>2648</v>
      </c>
      <c r="E418" s="52" t="s">
        <v>2706</v>
      </c>
      <c r="F418" s="53" t="s">
        <v>637</v>
      </c>
      <c r="G418" s="179" t="s">
        <v>1429</v>
      </c>
      <c r="H418" s="180" t="s">
        <v>408</v>
      </c>
      <c r="I418" s="55" t="s">
        <v>1429</v>
      </c>
      <c r="J418" s="55" t="s">
        <v>1429</v>
      </c>
      <c r="K418" s="56" t="s">
        <v>1429</v>
      </c>
      <c r="L418" s="54" t="s">
        <v>1429</v>
      </c>
      <c r="M418" s="55" t="s">
        <v>1580</v>
      </c>
      <c r="N418" s="55" t="s">
        <v>1429</v>
      </c>
      <c r="O418" s="55" t="s">
        <v>1429</v>
      </c>
      <c r="P418" s="56" t="s">
        <v>1429</v>
      </c>
      <c r="Q418" s="85"/>
      <c r="R418" s="85"/>
      <c r="S418" s="85"/>
      <c r="T418" s="85"/>
      <c r="U418" s="85"/>
      <c r="V418" s="146" t="s">
        <v>2707</v>
      </c>
      <c r="W418" s="51" t="s">
        <v>2611</v>
      </c>
      <c r="X418" s="130" t="s">
        <v>1429</v>
      </c>
      <c r="Y418" s="130" t="s">
        <v>1429</v>
      </c>
      <c r="Z418" s="51"/>
      <c r="AA418" s="51" t="s">
        <v>2612</v>
      </c>
      <c r="AB418" s="146"/>
      <c r="AC418" s="146" t="s">
        <v>1429</v>
      </c>
      <c r="AD418" s="98"/>
      <c r="AE418" s="83"/>
      <c r="AF418" s="83"/>
      <c r="AG418" s="83"/>
      <c r="AH418" s="86"/>
      <c r="AI418" s="86"/>
      <c r="AJ418" s="87"/>
      <c r="AK418" s="87"/>
      <c r="AL418" s="87"/>
      <c r="AM418" s="87"/>
      <c r="AN418" s="87"/>
      <c r="AO418" s="87"/>
      <c r="AP418" s="87"/>
      <c r="AQ418" s="229" t="s">
        <v>408</v>
      </c>
      <c r="AR418" s="5"/>
      <c r="AS418" s="5"/>
      <c r="AT418" s="5"/>
      <c r="AU418" s="5"/>
      <c r="AV418" s="5"/>
      <c r="AW418" s="5"/>
      <c r="AX418" s="284"/>
      <c r="AY418" s="5"/>
      <c r="AZ418" s="5"/>
      <c r="BA418" s="230"/>
      <c r="BB418" s="5"/>
      <c r="BC418" s="232" t="s">
        <v>3535</v>
      </c>
      <c r="BD418" s="257"/>
      <c r="BE418" s="249"/>
      <c r="BF418" s="249"/>
      <c r="BG418" s="249"/>
      <c r="BH418" s="249"/>
      <c r="BI418" s="249"/>
      <c r="BJ418" s="249"/>
      <c r="BK418" s="249"/>
      <c r="BL418" s="249"/>
      <c r="BM418" s="249"/>
      <c r="BN418" s="249"/>
      <c r="BO418" s="249"/>
      <c r="BP418" s="249"/>
      <c r="BQ418" s="249"/>
      <c r="BR418" s="249"/>
      <c r="BS418" s="249"/>
      <c r="BT418" s="249"/>
      <c r="BU418" s="249"/>
      <c r="BV418" s="249"/>
      <c r="BW418" s="249"/>
      <c r="BX418" s="249"/>
      <c r="BY418" s="249"/>
      <c r="BZ418" s="249"/>
      <c r="CA418" s="249"/>
      <c r="CB418" s="249"/>
      <c r="CC418" s="249"/>
      <c r="CD418" s="249"/>
      <c r="CE418" s="249"/>
    </row>
    <row r="419" spans="1:83" s="84" customFormat="1" ht="12.95" customHeight="1">
      <c r="A419" s="1"/>
      <c r="B419" s="1"/>
      <c r="C419" s="18" t="s">
        <v>409</v>
      </c>
      <c r="D419" s="52" t="s">
        <v>2667</v>
      </c>
      <c r="E419" s="52" t="s">
        <v>2708</v>
      </c>
      <c r="F419" s="53" t="s">
        <v>638</v>
      </c>
      <c r="G419" s="179" t="s">
        <v>1429</v>
      </c>
      <c r="H419" s="180" t="s">
        <v>409</v>
      </c>
      <c r="I419" s="55" t="s">
        <v>1429</v>
      </c>
      <c r="J419" s="55" t="s">
        <v>1429</v>
      </c>
      <c r="K419" s="56" t="s">
        <v>1429</v>
      </c>
      <c r="L419" s="54" t="s">
        <v>1429</v>
      </c>
      <c r="M419" s="55" t="s">
        <v>1580</v>
      </c>
      <c r="N419" s="55" t="s">
        <v>1429</v>
      </c>
      <c r="O419" s="55" t="s">
        <v>1429</v>
      </c>
      <c r="P419" s="56" t="s">
        <v>1429</v>
      </c>
      <c r="Q419" s="85"/>
      <c r="R419" s="85"/>
      <c r="S419" s="85"/>
      <c r="T419" s="85"/>
      <c r="U419" s="85"/>
      <c r="V419" s="146" t="s">
        <v>2709</v>
      </c>
      <c r="W419" s="51" t="s">
        <v>2611</v>
      </c>
      <c r="X419" s="130" t="s">
        <v>1429</v>
      </c>
      <c r="Y419" s="130" t="s">
        <v>1429</v>
      </c>
      <c r="Z419" s="51"/>
      <c r="AA419" s="51" t="s">
        <v>2612</v>
      </c>
      <c r="AB419" s="146"/>
      <c r="AC419" s="146" t="s">
        <v>1429</v>
      </c>
      <c r="AD419" s="98"/>
      <c r="AE419" s="83"/>
      <c r="AF419" s="83"/>
      <c r="AG419" s="83"/>
      <c r="AH419" s="86"/>
      <c r="AI419" s="86"/>
      <c r="AJ419" s="87"/>
      <c r="AK419" s="87"/>
      <c r="AL419" s="87"/>
      <c r="AM419" s="87"/>
      <c r="AN419" s="87"/>
      <c r="AO419" s="87"/>
      <c r="AP419" s="87"/>
      <c r="AQ419" s="229" t="s">
        <v>409</v>
      </c>
      <c r="AR419" s="5"/>
      <c r="AS419" s="5"/>
      <c r="AT419" s="5"/>
      <c r="AU419" s="5"/>
      <c r="AV419" s="5"/>
      <c r="AW419" s="5"/>
      <c r="AX419" s="284"/>
      <c r="AY419" s="5"/>
      <c r="AZ419" s="5"/>
      <c r="BA419" s="230"/>
      <c r="BB419" s="5"/>
      <c r="BC419" s="232" t="s">
        <v>3535</v>
      </c>
      <c r="BD419" s="257"/>
      <c r="BE419" s="249"/>
      <c r="BF419" s="249"/>
      <c r="BG419" s="249"/>
      <c r="BH419" s="249"/>
      <c r="BI419" s="249"/>
      <c r="BJ419" s="249"/>
      <c r="BK419" s="249"/>
      <c r="BL419" s="249"/>
      <c r="BM419" s="249"/>
      <c r="BN419" s="249"/>
      <c r="BO419" s="249"/>
      <c r="BP419" s="249"/>
      <c r="BQ419" s="249"/>
      <c r="BR419" s="249"/>
      <c r="BS419" s="249"/>
      <c r="BT419" s="249"/>
      <c r="BU419" s="249"/>
      <c r="BV419" s="249"/>
      <c r="BW419" s="249"/>
      <c r="BX419" s="249"/>
      <c r="BY419" s="249"/>
      <c r="BZ419" s="249"/>
      <c r="CA419" s="249"/>
      <c r="CB419" s="249"/>
      <c r="CC419" s="249"/>
      <c r="CD419" s="249"/>
      <c r="CE419" s="249"/>
    </row>
    <row r="420" spans="1:83" s="84" customFormat="1" ht="12.95" customHeight="1">
      <c r="A420" s="1"/>
      <c r="B420" s="1"/>
      <c r="C420" s="18" t="s">
        <v>410</v>
      </c>
      <c r="D420" s="52" t="s">
        <v>2710</v>
      </c>
      <c r="E420" s="52" t="s">
        <v>2711</v>
      </c>
      <c r="F420" s="53" t="s">
        <v>639</v>
      </c>
      <c r="G420" s="179" t="s">
        <v>1429</v>
      </c>
      <c r="H420" s="180" t="s">
        <v>410</v>
      </c>
      <c r="I420" s="55" t="s">
        <v>1429</v>
      </c>
      <c r="J420" s="55" t="s">
        <v>1429</v>
      </c>
      <c r="K420" s="56" t="s">
        <v>1429</v>
      </c>
      <c r="L420" s="54" t="s">
        <v>1429</v>
      </c>
      <c r="M420" s="55" t="s">
        <v>1580</v>
      </c>
      <c r="N420" s="55" t="s">
        <v>1429</v>
      </c>
      <c r="O420" s="55" t="s">
        <v>1429</v>
      </c>
      <c r="P420" s="56" t="s">
        <v>1429</v>
      </c>
      <c r="Q420" s="85"/>
      <c r="R420" s="85"/>
      <c r="S420" s="85"/>
      <c r="T420" s="85"/>
      <c r="U420" s="85"/>
      <c r="V420" s="146" t="s">
        <v>2712</v>
      </c>
      <c r="W420" s="51" t="s">
        <v>2611</v>
      </c>
      <c r="X420" s="130" t="s">
        <v>1429</v>
      </c>
      <c r="Y420" s="130" t="s">
        <v>1429</v>
      </c>
      <c r="Z420" s="51"/>
      <c r="AA420" s="51" t="s">
        <v>2612</v>
      </c>
      <c r="AB420" s="146"/>
      <c r="AC420" s="146" t="s">
        <v>1429</v>
      </c>
      <c r="AD420" s="98"/>
      <c r="AE420" s="83"/>
      <c r="AF420" s="83"/>
      <c r="AG420" s="83"/>
      <c r="AH420" s="86"/>
      <c r="AI420" s="86"/>
      <c r="AJ420" s="87"/>
      <c r="AK420" s="87"/>
      <c r="AL420" s="87"/>
      <c r="AM420" s="87"/>
      <c r="AN420" s="87"/>
      <c r="AO420" s="87"/>
      <c r="AP420" s="87"/>
      <c r="AQ420" s="229" t="s">
        <v>410</v>
      </c>
      <c r="AR420" s="5"/>
      <c r="AS420" s="5"/>
      <c r="AT420" s="5"/>
      <c r="AU420" s="5"/>
      <c r="AV420" s="5"/>
      <c r="AW420" s="5"/>
      <c r="AX420" s="284"/>
      <c r="AY420" s="5"/>
      <c r="AZ420" s="5"/>
      <c r="BA420" s="230"/>
      <c r="BB420" s="5"/>
      <c r="BC420" s="232" t="s">
        <v>3535</v>
      </c>
      <c r="BD420" s="257"/>
      <c r="BE420" s="249"/>
      <c r="BF420" s="249"/>
      <c r="BG420" s="249"/>
      <c r="BH420" s="249"/>
      <c r="BI420" s="249"/>
      <c r="BJ420" s="249"/>
      <c r="BK420" s="249"/>
      <c r="BL420" s="249"/>
      <c r="BM420" s="249"/>
      <c r="BN420" s="249"/>
      <c r="BO420" s="249"/>
      <c r="BP420" s="249"/>
      <c r="BQ420" s="249"/>
      <c r="BR420" s="249"/>
      <c r="BS420" s="249"/>
      <c r="BT420" s="249"/>
      <c r="BU420" s="249"/>
      <c r="BV420" s="249"/>
      <c r="BW420" s="249"/>
      <c r="BX420" s="249"/>
      <c r="BY420" s="249"/>
      <c r="BZ420" s="249"/>
      <c r="CA420" s="249"/>
      <c r="CB420" s="249"/>
      <c r="CC420" s="249"/>
      <c r="CD420" s="249"/>
      <c r="CE420" s="249"/>
    </row>
    <row r="421" spans="1:83" s="84" customFormat="1" ht="12.95" customHeight="1">
      <c r="A421" s="1"/>
      <c r="B421" s="1"/>
      <c r="C421" s="18" t="s">
        <v>411</v>
      </c>
      <c r="D421" s="52" t="s">
        <v>2659</v>
      </c>
      <c r="E421" s="52" t="s">
        <v>2713</v>
      </c>
      <c r="F421" s="53" t="s">
        <v>640</v>
      </c>
      <c r="G421" s="179" t="s">
        <v>1429</v>
      </c>
      <c r="H421" s="180" t="s">
        <v>411</v>
      </c>
      <c r="I421" s="55" t="s">
        <v>1429</v>
      </c>
      <c r="J421" s="55" t="s">
        <v>1429</v>
      </c>
      <c r="K421" s="56" t="s">
        <v>1429</v>
      </c>
      <c r="L421" s="54" t="s">
        <v>1429</v>
      </c>
      <c r="M421" s="55" t="s">
        <v>1580</v>
      </c>
      <c r="N421" s="55" t="s">
        <v>1429</v>
      </c>
      <c r="O421" s="55" t="s">
        <v>1429</v>
      </c>
      <c r="P421" s="56" t="s">
        <v>1429</v>
      </c>
      <c r="Q421" s="85"/>
      <c r="R421" s="85"/>
      <c r="S421" s="85"/>
      <c r="T421" s="85"/>
      <c r="U421" s="85"/>
      <c r="V421" s="146" t="s">
        <v>2714</v>
      </c>
      <c r="W421" s="51" t="s">
        <v>2611</v>
      </c>
      <c r="X421" s="130" t="s">
        <v>1429</v>
      </c>
      <c r="Y421" s="130" t="s">
        <v>1429</v>
      </c>
      <c r="Z421" s="51"/>
      <c r="AA421" s="51" t="s">
        <v>2612</v>
      </c>
      <c r="AB421" s="146"/>
      <c r="AC421" s="146" t="s">
        <v>1429</v>
      </c>
      <c r="AD421" s="98"/>
      <c r="AE421" s="83"/>
      <c r="AF421" s="83"/>
      <c r="AG421" s="83"/>
      <c r="AH421" s="86"/>
      <c r="AI421" s="86"/>
      <c r="AJ421" s="87"/>
      <c r="AK421" s="87"/>
      <c r="AL421" s="87"/>
      <c r="AM421" s="87"/>
      <c r="AN421" s="87"/>
      <c r="AO421" s="87"/>
      <c r="AP421" s="87"/>
      <c r="AQ421" s="229" t="s">
        <v>411</v>
      </c>
      <c r="AR421" s="5"/>
      <c r="AS421" s="5"/>
      <c r="AT421" s="5"/>
      <c r="AU421" s="5"/>
      <c r="AV421" s="5"/>
      <c r="AW421" s="5"/>
      <c r="AX421" s="284"/>
      <c r="AY421" s="5"/>
      <c r="AZ421" s="5"/>
      <c r="BA421" s="230"/>
      <c r="BB421" s="5"/>
      <c r="BC421" s="232" t="s">
        <v>3535</v>
      </c>
      <c r="BD421" s="257"/>
      <c r="BE421" s="249"/>
      <c r="BF421" s="249"/>
      <c r="BG421" s="249"/>
      <c r="BH421" s="249"/>
      <c r="BI421" s="249"/>
      <c r="BJ421" s="249"/>
      <c r="BK421" s="249"/>
      <c r="BL421" s="249"/>
      <c r="BM421" s="249"/>
      <c r="BN421" s="249"/>
      <c r="BO421" s="249"/>
      <c r="BP421" s="249"/>
      <c r="BQ421" s="249"/>
      <c r="BR421" s="249"/>
      <c r="BS421" s="249"/>
      <c r="BT421" s="249"/>
      <c r="BU421" s="249"/>
      <c r="BV421" s="249"/>
      <c r="BW421" s="249"/>
      <c r="BX421" s="249"/>
      <c r="BY421" s="249"/>
      <c r="BZ421" s="249"/>
      <c r="CA421" s="249"/>
      <c r="CB421" s="249"/>
      <c r="CC421" s="249"/>
      <c r="CD421" s="249"/>
      <c r="CE421" s="249"/>
    </row>
    <row r="422" spans="1:83" s="84" customFormat="1" ht="12.95" customHeight="1">
      <c r="A422" s="1"/>
      <c r="B422" s="1"/>
      <c r="C422" s="18" t="s">
        <v>412</v>
      </c>
      <c r="D422" s="52" t="s">
        <v>2650</v>
      </c>
      <c r="E422" s="52" t="s">
        <v>2715</v>
      </c>
      <c r="F422" s="53" t="s">
        <v>641</v>
      </c>
      <c r="G422" s="179" t="s">
        <v>1429</v>
      </c>
      <c r="H422" s="180" t="s">
        <v>412</v>
      </c>
      <c r="I422" s="55" t="s">
        <v>1429</v>
      </c>
      <c r="J422" s="55" t="s">
        <v>1429</v>
      </c>
      <c r="K422" s="56" t="s">
        <v>1429</v>
      </c>
      <c r="L422" s="54" t="s">
        <v>1429</v>
      </c>
      <c r="M422" s="55" t="s">
        <v>1580</v>
      </c>
      <c r="N422" s="55" t="s">
        <v>1429</v>
      </c>
      <c r="O422" s="55" t="s">
        <v>1429</v>
      </c>
      <c r="P422" s="56" t="s">
        <v>1429</v>
      </c>
      <c r="Q422" s="85"/>
      <c r="R422" s="85"/>
      <c r="S422" s="85"/>
      <c r="T422" s="85"/>
      <c r="U422" s="85"/>
      <c r="V422" s="146" t="s">
        <v>2716</v>
      </c>
      <c r="W422" s="51" t="s">
        <v>2611</v>
      </c>
      <c r="X422" s="130" t="s">
        <v>1429</v>
      </c>
      <c r="Y422" s="130" t="s">
        <v>1429</v>
      </c>
      <c r="Z422" s="51"/>
      <c r="AA422" s="51" t="s">
        <v>2612</v>
      </c>
      <c r="AB422" s="146"/>
      <c r="AC422" s="146" t="s">
        <v>1429</v>
      </c>
      <c r="AD422" s="98"/>
      <c r="AE422" s="83"/>
      <c r="AF422" s="83"/>
      <c r="AG422" s="83"/>
      <c r="AH422" s="86"/>
      <c r="AI422" s="86"/>
      <c r="AJ422" s="87"/>
      <c r="AK422" s="87"/>
      <c r="AL422" s="87"/>
      <c r="AM422" s="87"/>
      <c r="AN422" s="87"/>
      <c r="AO422" s="87"/>
      <c r="AP422" s="87"/>
      <c r="AQ422" s="229" t="s">
        <v>412</v>
      </c>
      <c r="AR422" s="5"/>
      <c r="AS422" s="5"/>
      <c r="AT422" s="5"/>
      <c r="AU422" s="5"/>
      <c r="AV422" s="5"/>
      <c r="AW422" s="5"/>
      <c r="AX422" s="284"/>
      <c r="AY422" s="5"/>
      <c r="AZ422" s="5"/>
      <c r="BA422" s="230"/>
      <c r="BB422" s="5"/>
      <c r="BC422" s="232" t="s">
        <v>3535</v>
      </c>
      <c r="BD422" s="257"/>
      <c r="BE422" s="249"/>
      <c r="BF422" s="249"/>
      <c r="BG422" s="249"/>
      <c r="BH422" s="249"/>
      <c r="BI422" s="249"/>
      <c r="BJ422" s="249"/>
      <c r="BK422" s="249"/>
      <c r="BL422" s="249"/>
      <c r="BM422" s="249"/>
      <c r="BN422" s="249"/>
      <c r="BO422" s="249"/>
      <c r="BP422" s="249"/>
      <c r="BQ422" s="249"/>
      <c r="BR422" s="249"/>
      <c r="BS422" s="249"/>
      <c r="BT422" s="249"/>
      <c r="BU422" s="249"/>
      <c r="BV422" s="249"/>
      <c r="BW422" s="249"/>
      <c r="BX422" s="249"/>
      <c r="BY422" s="249"/>
      <c r="BZ422" s="249"/>
      <c r="CA422" s="249"/>
      <c r="CB422" s="249"/>
      <c r="CC422" s="249"/>
      <c r="CD422" s="249"/>
      <c r="CE422" s="249"/>
    </row>
    <row r="423" spans="1:83" s="84" customFormat="1" ht="12.95" customHeight="1">
      <c r="A423" s="1"/>
      <c r="B423" s="1"/>
      <c r="C423" s="21" t="s">
        <v>413</v>
      </c>
      <c r="D423" s="52" t="s">
        <v>2646</v>
      </c>
      <c r="E423" s="52" t="s">
        <v>2717</v>
      </c>
      <c r="F423" s="53" t="s">
        <v>642</v>
      </c>
      <c r="G423" s="179" t="s">
        <v>1429</v>
      </c>
      <c r="H423" s="180" t="s">
        <v>413</v>
      </c>
      <c r="I423" s="55" t="s">
        <v>1429</v>
      </c>
      <c r="J423" s="55" t="s">
        <v>1429</v>
      </c>
      <c r="K423" s="56" t="s">
        <v>1429</v>
      </c>
      <c r="L423" s="54" t="s">
        <v>1429</v>
      </c>
      <c r="M423" s="55" t="s">
        <v>1580</v>
      </c>
      <c r="N423" s="55" t="s">
        <v>1429</v>
      </c>
      <c r="O423" s="55" t="s">
        <v>1429</v>
      </c>
      <c r="P423" s="56" t="s">
        <v>1429</v>
      </c>
      <c r="Q423" s="85"/>
      <c r="R423" s="85"/>
      <c r="S423" s="85"/>
      <c r="T423" s="85"/>
      <c r="U423" s="85"/>
      <c r="V423" s="146" t="s">
        <v>2718</v>
      </c>
      <c r="W423" s="51" t="s">
        <v>2611</v>
      </c>
      <c r="X423" s="130" t="s">
        <v>1429</v>
      </c>
      <c r="Y423" s="130" t="s">
        <v>1429</v>
      </c>
      <c r="Z423" s="51"/>
      <c r="AA423" s="51" t="s">
        <v>2612</v>
      </c>
      <c r="AB423" s="146"/>
      <c r="AC423" s="146" t="s">
        <v>1429</v>
      </c>
      <c r="AD423" s="98"/>
      <c r="AE423" s="83"/>
      <c r="AF423" s="83"/>
      <c r="AG423" s="83"/>
      <c r="AH423" s="86"/>
      <c r="AI423" s="86"/>
      <c r="AJ423" s="87"/>
      <c r="AK423" s="87"/>
      <c r="AL423" s="87"/>
      <c r="AM423" s="87"/>
      <c r="AN423" s="87"/>
      <c r="AO423" s="87"/>
      <c r="AP423" s="87"/>
      <c r="AQ423" s="229" t="s">
        <v>413</v>
      </c>
      <c r="AR423" s="5"/>
      <c r="AS423" s="5"/>
      <c r="AT423" s="5"/>
      <c r="AU423" s="5"/>
      <c r="AV423" s="5"/>
      <c r="AW423" s="5"/>
      <c r="AX423" s="284"/>
      <c r="AY423" s="5"/>
      <c r="AZ423" s="5"/>
      <c r="BA423" s="230"/>
      <c r="BB423" s="5"/>
      <c r="BC423" s="232" t="s">
        <v>3535</v>
      </c>
      <c r="BD423" s="257"/>
      <c r="BE423" s="249"/>
      <c r="BF423" s="249"/>
      <c r="BG423" s="249"/>
      <c r="BH423" s="249"/>
      <c r="BI423" s="249"/>
      <c r="BJ423" s="249"/>
      <c r="BK423" s="249"/>
      <c r="BL423" s="249"/>
      <c r="BM423" s="249"/>
      <c r="BN423" s="249"/>
      <c r="BO423" s="249"/>
      <c r="BP423" s="249"/>
      <c r="BQ423" s="249"/>
      <c r="BR423" s="249"/>
      <c r="BS423" s="249"/>
      <c r="BT423" s="249"/>
      <c r="BU423" s="249"/>
      <c r="BV423" s="249"/>
      <c r="BW423" s="249"/>
      <c r="BX423" s="249"/>
      <c r="BY423" s="249"/>
      <c r="BZ423" s="249"/>
      <c r="CA423" s="249"/>
      <c r="CB423" s="249"/>
      <c r="CC423" s="249"/>
      <c r="CD423" s="249"/>
      <c r="CE423" s="249"/>
    </row>
    <row r="424" spans="1:83" s="84" customFormat="1" ht="12.95" customHeight="1">
      <c r="A424" s="1"/>
      <c r="B424" s="1"/>
      <c r="C424" s="21" t="s">
        <v>414</v>
      </c>
      <c r="D424" s="52" t="s">
        <v>2644</v>
      </c>
      <c r="E424" s="52" t="s">
        <v>2719</v>
      </c>
      <c r="F424" s="53" t="s">
        <v>643</v>
      </c>
      <c r="G424" s="179" t="s">
        <v>1429</v>
      </c>
      <c r="H424" s="180" t="s">
        <v>414</v>
      </c>
      <c r="I424" s="55" t="s">
        <v>1429</v>
      </c>
      <c r="J424" s="55" t="s">
        <v>1429</v>
      </c>
      <c r="K424" s="56" t="s">
        <v>1429</v>
      </c>
      <c r="L424" s="54" t="s">
        <v>1429</v>
      </c>
      <c r="M424" s="55" t="s">
        <v>1580</v>
      </c>
      <c r="N424" s="55" t="s">
        <v>1429</v>
      </c>
      <c r="O424" s="55" t="s">
        <v>1429</v>
      </c>
      <c r="P424" s="56" t="s">
        <v>1429</v>
      </c>
      <c r="Q424" s="85"/>
      <c r="R424" s="85"/>
      <c r="S424" s="85"/>
      <c r="T424" s="85"/>
      <c r="U424" s="85"/>
      <c r="V424" s="146" t="s">
        <v>2720</v>
      </c>
      <c r="W424" s="51" t="s">
        <v>2611</v>
      </c>
      <c r="X424" s="130" t="s">
        <v>1429</v>
      </c>
      <c r="Y424" s="130" t="s">
        <v>1429</v>
      </c>
      <c r="Z424" s="51"/>
      <c r="AA424" s="51" t="s">
        <v>2612</v>
      </c>
      <c r="AB424" s="146"/>
      <c r="AC424" s="146" t="s">
        <v>1429</v>
      </c>
      <c r="AD424" s="98"/>
      <c r="AE424" s="83"/>
      <c r="AF424" s="83"/>
      <c r="AG424" s="83"/>
      <c r="AH424" s="86"/>
      <c r="AI424" s="86"/>
      <c r="AJ424" s="87"/>
      <c r="AK424" s="87"/>
      <c r="AL424" s="87"/>
      <c r="AM424" s="87"/>
      <c r="AN424" s="87"/>
      <c r="AO424" s="87"/>
      <c r="AP424" s="87"/>
      <c r="AQ424" s="229" t="s">
        <v>414</v>
      </c>
      <c r="AR424" s="5"/>
      <c r="AS424" s="5"/>
      <c r="AT424" s="5"/>
      <c r="AU424" s="5"/>
      <c r="AV424" s="5"/>
      <c r="AW424" s="5"/>
      <c r="AX424" s="284"/>
      <c r="AY424" s="5"/>
      <c r="AZ424" s="5"/>
      <c r="BA424" s="230"/>
      <c r="BB424" s="5"/>
      <c r="BC424" s="232" t="s">
        <v>3535</v>
      </c>
      <c r="BD424" s="257"/>
      <c r="BE424" s="249"/>
      <c r="BF424" s="249"/>
      <c r="BG424" s="249"/>
      <c r="BH424" s="249"/>
      <c r="BI424" s="249"/>
      <c r="BJ424" s="249"/>
      <c r="BK424" s="249"/>
      <c r="BL424" s="249"/>
      <c r="BM424" s="249"/>
      <c r="BN424" s="249"/>
      <c r="BO424" s="249"/>
      <c r="BP424" s="249"/>
      <c r="BQ424" s="249"/>
      <c r="BR424" s="249"/>
      <c r="BS424" s="249"/>
      <c r="BT424" s="249"/>
      <c r="BU424" s="249"/>
      <c r="BV424" s="249"/>
      <c r="BW424" s="249"/>
      <c r="BX424" s="249"/>
      <c r="BY424" s="249"/>
      <c r="BZ424" s="249"/>
      <c r="CA424" s="249"/>
      <c r="CB424" s="249"/>
      <c r="CC424" s="249"/>
      <c r="CD424" s="249"/>
      <c r="CE424" s="249"/>
    </row>
    <row r="425" spans="1:83" s="84" customFormat="1" ht="12.95" customHeight="1">
      <c r="A425" s="1"/>
      <c r="B425" s="1"/>
      <c r="C425" s="18" t="s">
        <v>415</v>
      </c>
      <c r="D425" s="52" t="s">
        <v>2665</v>
      </c>
      <c r="E425" s="52" t="s">
        <v>2721</v>
      </c>
      <c r="F425" s="53" t="s">
        <v>644</v>
      </c>
      <c r="G425" s="179" t="s">
        <v>1429</v>
      </c>
      <c r="H425" s="180" t="s">
        <v>415</v>
      </c>
      <c r="I425" s="55" t="s">
        <v>1429</v>
      </c>
      <c r="J425" s="55" t="s">
        <v>1429</v>
      </c>
      <c r="K425" s="56" t="s">
        <v>1429</v>
      </c>
      <c r="L425" s="54" t="s">
        <v>1429</v>
      </c>
      <c r="M425" s="55" t="s">
        <v>1580</v>
      </c>
      <c r="N425" s="55" t="s">
        <v>1429</v>
      </c>
      <c r="O425" s="55" t="s">
        <v>1429</v>
      </c>
      <c r="P425" s="56" t="s">
        <v>1429</v>
      </c>
      <c r="Q425" s="85"/>
      <c r="R425" s="85"/>
      <c r="S425" s="85"/>
      <c r="T425" s="85"/>
      <c r="U425" s="85"/>
      <c r="V425" s="146" t="s">
        <v>2722</v>
      </c>
      <c r="W425" s="51" t="s">
        <v>2611</v>
      </c>
      <c r="X425" s="130" t="s">
        <v>1429</v>
      </c>
      <c r="Y425" s="130" t="s">
        <v>1429</v>
      </c>
      <c r="Z425" s="51"/>
      <c r="AA425" s="51" t="s">
        <v>2612</v>
      </c>
      <c r="AB425" s="146"/>
      <c r="AC425" s="146" t="s">
        <v>1429</v>
      </c>
      <c r="AD425" s="98"/>
      <c r="AE425" s="83"/>
      <c r="AF425" s="83"/>
      <c r="AG425" s="83"/>
      <c r="AH425" s="86"/>
      <c r="AI425" s="86"/>
      <c r="AJ425" s="87"/>
      <c r="AK425" s="87"/>
      <c r="AL425" s="87"/>
      <c r="AM425" s="87"/>
      <c r="AN425" s="87"/>
      <c r="AO425" s="87"/>
      <c r="AP425" s="87"/>
      <c r="AQ425" s="229" t="s">
        <v>415</v>
      </c>
      <c r="AR425" s="5"/>
      <c r="AS425" s="5"/>
      <c r="AT425" s="5"/>
      <c r="AU425" s="5"/>
      <c r="AV425" s="5"/>
      <c r="AW425" s="5"/>
      <c r="AX425" s="284"/>
      <c r="AY425" s="5"/>
      <c r="AZ425" s="5"/>
      <c r="BA425" s="230"/>
      <c r="BB425" s="5"/>
      <c r="BC425" s="232" t="s">
        <v>3535</v>
      </c>
      <c r="BD425" s="257"/>
      <c r="BE425" s="249"/>
      <c r="BF425" s="249"/>
      <c r="BG425" s="249"/>
      <c r="BH425" s="249"/>
      <c r="BI425" s="249"/>
      <c r="BJ425" s="249"/>
      <c r="BK425" s="249"/>
      <c r="BL425" s="249"/>
      <c r="BM425" s="249"/>
      <c r="BN425" s="249"/>
      <c r="BO425" s="249"/>
      <c r="BP425" s="249"/>
      <c r="BQ425" s="249"/>
      <c r="BR425" s="249"/>
      <c r="BS425" s="249"/>
      <c r="BT425" s="249"/>
      <c r="BU425" s="249"/>
      <c r="BV425" s="249"/>
      <c r="BW425" s="249"/>
      <c r="BX425" s="249"/>
      <c r="BY425" s="249"/>
      <c r="BZ425" s="249"/>
      <c r="CA425" s="249"/>
      <c r="CB425" s="249"/>
      <c r="CC425" s="249"/>
      <c r="CD425" s="249"/>
      <c r="CE425" s="249"/>
    </row>
    <row r="426" spans="1:83" s="84" customFormat="1" ht="12.95" customHeight="1">
      <c r="A426" s="1"/>
      <c r="B426" s="1"/>
      <c r="C426" s="18" t="s">
        <v>416</v>
      </c>
      <c r="D426" s="52" t="s">
        <v>2684</v>
      </c>
      <c r="E426" s="52" t="s">
        <v>2723</v>
      </c>
      <c r="F426" s="53" t="s">
        <v>645</v>
      </c>
      <c r="G426" s="179" t="s">
        <v>1429</v>
      </c>
      <c r="H426" s="180" t="s">
        <v>416</v>
      </c>
      <c r="I426" s="55" t="s">
        <v>1429</v>
      </c>
      <c r="J426" s="55" t="s">
        <v>1429</v>
      </c>
      <c r="K426" s="56" t="s">
        <v>1429</v>
      </c>
      <c r="L426" s="54" t="s">
        <v>1429</v>
      </c>
      <c r="M426" s="55" t="s">
        <v>1580</v>
      </c>
      <c r="N426" s="55" t="s">
        <v>1429</v>
      </c>
      <c r="O426" s="55" t="s">
        <v>1429</v>
      </c>
      <c r="P426" s="56" t="s">
        <v>1429</v>
      </c>
      <c r="Q426" s="85"/>
      <c r="R426" s="85"/>
      <c r="S426" s="85"/>
      <c r="T426" s="85"/>
      <c r="U426" s="85"/>
      <c r="V426" s="146" t="s">
        <v>2724</v>
      </c>
      <c r="W426" s="51" t="s">
        <v>2611</v>
      </c>
      <c r="X426" s="130" t="s">
        <v>1429</v>
      </c>
      <c r="Y426" s="130" t="s">
        <v>1429</v>
      </c>
      <c r="Z426" s="51"/>
      <c r="AA426" s="51" t="s">
        <v>2612</v>
      </c>
      <c r="AB426" s="146"/>
      <c r="AC426" s="146" t="s">
        <v>1429</v>
      </c>
      <c r="AD426" s="98"/>
      <c r="AE426" s="83"/>
      <c r="AF426" s="83"/>
      <c r="AG426" s="83"/>
      <c r="AH426" s="86"/>
      <c r="AI426" s="86"/>
      <c r="AJ426" s="87"/>
      <c r="AK426" s="87"/>
      <c r="AL426" s="87"/>
      <c r="AM426" s="87"/>
      <c r="AN426" s="87"/>
      <c r="AO426" s="87"/>
      <c r="AP426" s="87"/>
      <c r="AQ426" s="229" t="s">
        <v>416</v>
      </c>
      <c r="AR426" s="5"/>
      <c r="AS426" s="5"/>
      <c r="AT426" s="5"/>
      <c r="AU426" s="5"/>
      <c r="AV426" s="5"/>
      <c r="AW426" s="5"/>
      <c r="AX426" s="284"/>
      <c r="AY426" s="5"/>
      <c r="AZ426" s="5"/>
      <c r="BA426" s="230"/>
      <c r="BB426" s="5"/>
      <c r="BC426" s="232" t="s">
        <v>3535</v>
      </c>
      <c r="BD426" s="257"/>
      <c r="BE426" s="249"/>
      <c r="BF426" s="249"/>
      <c r="BG426" s="249"/>
      <c r="BH426" s="249"/>
      <c r="BI426" s="249"/>
      <c r="BJ426" s="249"/>
      <c r="BK426" s="249"/>
      <c r="BL426" s="249"/>
      <c r="BM426" s="249"/>
      <c r="BN426" s="249"/>
      <c r="BO426" s="249"/>
      <c r="BP426" s="249"/>
      <c r="BQ426" s="249"/>
      <c r="BR426" s="249"/>
      <c r="BS426" s="249"/>
      <c r="BT426" s="249"/>
      <c r="BU426" s="249"/>
      <c r="BV426" s="249"/>
      <c r="BW426" s="249"/>
      <c r="BX426" s="249"/>
      <c r="BY426" s="249"/>
      <c r="BZ426" s="249"/>
      <c r="CA426" s="249"/>
      <c r="CB426" s="249"/>
      <c r="CC426" s="249"/>
      <c r="CD426" s="249"/>
      <c r="CE426" s="249"/>
    </row>
    <row r="427" spans="1:83" s="84" customFormat="1" ht="12.95" customHeight="1">
      <c r="A427" s="1"/>
      <c r="B427" s="1"/>
      <c r="C427" s="18" t="s">
        <v>417</v>
      </c>
      <c r="D427" s="52" t="s">
        <v>2697</v>
      </c>
      <c r="E427" s="52" t="s">
        <v>2725</v>
      </c>
      <c r="F427" s="53" t="s">
        <v>646</v>
      </c>
      <c r="G427" s="179" t="s">
        <v>1429</v>
      </c>
      <c r="H427" s="180" t="s">
        <v>417</v>
      </c>
      <c r="I427" s="55" t="s">
        <v>1429</v>
      </c>
      <c r="J427" s="55" t="s">
        <v>1429</v>
      </c>
      <c r="K427" s="56" t="s">
        <v>1429</v>
      </c>
      <c r="L427" s="54" t="s">
        <v>1429</v>
      </c>
      <c r="M427" s="55" t="s">
        <v>1580</v>
      </c>
      <c r="N427" s="55" t="s">
        <v>1429</v>
      </c>
      <c r="O427" s="55" t="s">
        <v>1429</v>
      </c>
      <c r="P427" s="56" t="s">
        <v>1429</v>
      </c>
      <c r="Q427" s="85"/>
      <c r="R427" s="85"/>
      <c r="S427" s="85"/>
      <c r="T427" s="85"/>
      <c r="U427" s="85"/>
      <c r="V427" s="146" t="s">
        <v>2726</v>
      </c>
      <c r="W427" s="51" t="s">
        <v>2611</v>
      </c>
      <c r="X427" s="130" t="s">
        <v>1429</v>
      </c>
      <c r="Y427" s="130" t="s">
        <v>1429</v>
      </c>
      <c r="Z427" s="51"/>
      <c r="AA427" s="51" t="s">
        <v>2612</v>
      </c>
      <c r="AB427" s="146"/>
      <c r="AC427" s="146" t="s">
        <v>1429</v>
      </c>
      <c r="AD427" s="98"/>
      <c r="AE427" s="83"/>
      <c r="AF427" s="83"/>
      <c r="AG427" s="83"/>
      <c r="AH427" s="86"/>
      <c r="AI427" s="86"/>
      <c r="AJ427" s="87"/>
      <c r="AK427" s="87"/>
      <c r="AL427" s="87"/>
      <c r="AM427" s="87"/>
      <c r="AN427" s="87"/>
      <c r="AO427" s="87"/>
      <c r="AP427" s="87"/>
      <c r="AQ427" s="229" t="s">
        <v>417</v>
      </c>
      <c r="AR427" s="5"/>
      <c r="AS427" s="5"/>
      <c r="AT427" s="5"/>
      <c r="AU427" s="5"/>
      <c r="AV427" s="5"/>
      <c r="AW427" s="5"/>
      <c r="AX427" s="284"/>
      <c r="AY427" s="5"/>
      <c r="AZ427" s="5"/>
      <c r="BA427" s="230"/>
      <c r="BB427" s="5"/>
      <c r="BC427" s="232" t="s">
        <v>3535</v>
      </c>
      <c r="BD427" s="257"/>
      <c r="BE427" s="249"/>
      <c r="BF427" s="249"/>
      <c r="BG427" s="249"/>
      <c r="BH427" s="249"/>
      <c r="BI427" s="249"/>
      <c r="BJ427" s="249"/>
      <c r="BK427" s="249"/>
      <c r="BL427" s="249"/>
      <c r="BM427" s="249"/>
      <c r="BN427" s="249"/>
      <c r="BO427" s="249"/>
      <c r="BP427" s="249"/>
      <c r="BQ427" s="249"/>
      <c r="BR427" s="249"/>
      <c r="BS427" s="249"/>
      <c r="BT427" s="249"/>
      <c r="BU427" s="249"/>
      <c r="BV427" s="249"/>
      <c r="BW427" s="249"/>
      <c r="BX427" s="249"/>
      <c r="BY427" s="249"/>
      <c r="BZ427" s="249"/>
      <c r="CA427" s="249"/>
      <c r="CB427" s="249"/>
      <c r="CC427" s="249"/>
      <c r="CD427" s="249"/>
      <c r="CE427" s="249"/>
    </row>
    <row r="428" spans="1:83" s="84" customFormat="1" ht="12.95" customHeight="1">
      <c r="A428" s="1"/>
      <c r="B428" s="1"/>
      <c r="C428" s="18" t="s">
        <v>418</v>
      </c>
      <c r="D428" s="52" t="s">
        <v>2721</v>
      </c>
      <c r="E428" s="52" t="s">
        <v>2727</v>
      </c>
      <c r="F428" s="53" t="s">
        <v>647</v>
      </c>
      <c r="G428" s="179" t="s">
        <v>1429</v>
      </c>
      <c r="H428" s="180" t="s">
        <v>418</v>
      </c>
      <c r="I428" s="55" t="s">
        <v>1429</v>
      </c>
      <c r="J428" s="55" t="s">
        <v>1429</v>
      </c>
      <c r="K428" s="56" t="s">
        <v>1429</v>
      </c>
      <c r="L428" s="54" t="s">
        <v>1429</v>
      </c>
      <c r="M428" s="55" t="s">
        <v>1580</v>
      </c>
      <c r="N428" s="55" t="s">
        <v>1429</v>
      </c>
      <c r="O428" s="55" t="s">
        <v>1429</v>
      </c>
      <c r="P428" s="56" t="s">
        <v>1429</v>
      </c>
      <c r="Q428" s="85"/>
      <c r="R428" s="85"/>
      <c r="S428" s="85"/>
      <c r="T428" s="85"/>
      <c r="U428" s="85"/>
      <c r="V428" s="146" t="s">
        <v>2728</v>
      </c>
      <c r="W428" s="51" t="s">
        <v>2611</v>
      </c>
      <c r="X428" s="130" t="s">
        <v>1429</v>
      </c>
      <c r="Y428" s="130" t="s">
        <v>1429</v>
      </c>
      <c r="Z428" s="51"/>
      <c r="AA428" s="51" t="s">
        <v>2612</v>
      </c>
      <c r="AB428" s="146"/>
      <c r="AC428" s="146" t="s">
        <v>1429</v>
      </c>
      <c r="AD428" s="98"/>
      <c r="AE428" s="83"/>
      <c r="AF428" s="83"/>
      <c r="AG428" s="83"/>
      <c r="AH428" s="86"/>
      <c r="AI428" s="86"/>
      <c r="AJ428" s="87"/>
      <c r="AK428" s="87"/>
      <c r="AL428" s="87"/>
      <c r="AM428" s="87"/>
      <c r="AN428" s="87"/>
      <c r="AO428" s="87"/>
      <c r="AP428" s="87"/>
      <c r="AQ428" s="229" t="s">
        <v>418</v>
      </c>
      <c r="AR428" s="5"/>
      <c r="AS428" s="5"/>
      <c r="AT428" s="5"/>
      <c r="AU428" s="5"/>
      <c r="AV428" s="5"/>
      <c r="AW428" s="5"/>
      <c r="AX428" s="284"/>
      <c r="AY428" s="5"/>
      <c r="AZ428" s="5"/>
      <c r="BA428" s="230"/>
      <c r="BB428" s="5"/>
      <c r="BC428" s="232" t="s">
        <v>3535</v>
      </c>
      <c r="BD428" s="257"/>
      <c r="BE428" s="249"/>
      <c r="BF428" s="249"/>
      <c r="BG428" s="249"/>
      <c r="BH428" s="249"/>
      <c r="BI428" s="249"/>
      <c r="BJ428" s="249"/>
      <c r="BK428" s="249"/>
      <c r="BL428" s="249"/>
      <c r="BM428" s="249"/>
      <c r="BN428" s="249"/>
      <c r="BO428" s="249"/>
      <c r="BP428" s="249"/>
      <c r="BQ428" s="249"/>
      <c r="BR428" s="249"/>
      <c r="BS428" s="249"/>
      <c r="BT428" s="249"/>
      <c r="BU428" s="249"/>
      <c r="BV428" s="249"/>
      <c r="BW428" s="249"/>
      <c r="BX428" s="249"/>
      <c r="BY428" s="249"/>
      <c r="BZ428" s="249"/>
      <c r="CA428" s="249"/>
      <c r="CB428" s="249"/>
      <c r="CC428" s="249"/>
      <c r="CD428" s="249"/>
      <c r="CE428" s="249"/>
    </row>
    <row r="429" spans="1:83" s="84" customFormat="1" ht="12.95" customHeight="1">
      <c r="A429" s="1"/>
      <c r="B429" s="1"/>
      <c r="C429" s="18" t="s">
        <v>419</v>
      </c>
      <c r="D429" s="52" t="s">
        <v>2691</v>
      </c>
      <c r="E429" s="52" t="s">
        <v>2729</v>
      </c>
      <c r="F429" s="53" t="s">
        <v>648</v>
      </c>
      <c r="G429" s="179" t="s">
        <v>1429</v>
      </c>
      <c r="H429" s="180" t="s">
        <v>419</v>
      </c>
      <c r="I429" s="55" t="s">
        <v>1429</v>
      </c>
      <c r="J429" s="55" t="s">
        <v>1429</v>
      </c>
      <c r="K429" s="56" t="s">
        <v>1429</v>
      </c>
      <c r="L429" s="54" t="s">
        <v>1429</v>
      </c>
      <c r="M429" s="55" t="s">
        <v>1580</v>
      </c>
      <c r="N429" s="55" t="s">
        <v>1429</v>
      </c>
      <c r="O429" s="55" t="s">
        <v>1429</v>
      </c>
      <c r="P429" s="56" t="s">
        <v>1429</v>
      </c>
      <c r="Q429" s="85"/>
      <c r="R429" s="85"/>
      <c r="S429" s="85"/>
      <c r="T429" s="85"/>
      <c r="U429" s="85"/>
      <c r="V429" s="146" t="s">
        <v>2730</v>
      </c>
      <c r="W429" s="51" t="s">
        <v>2611</v>
      </c>
      <c r="X429" s="130" t="s">
        <v>1429</v>
      </c>
      <c r="Y429" s="130" t="s">
        <v>1429</v>
      </c>
      <c r="Z429" s="51"/>
      <c r="AA429" s="51" t="s">
        <v>2612</v>
      </c>
      <c r="AB429" s="146"/>
      <c r="AC429" s="146" t="s">
        <v>1429</v>
      </c>
      <c r="AD429" s="98"/>
      <c r="AE429" s="83"/>
      <c r="AF429" s="83"/>
      <c r="AG429" s="83"/>
      <c r="AH429" s="86"/>
      <c r="AI429" s="86"/>
      <c r="AJ429" s="87"/>
      <c r="AK429" s="87"/>
      <c r="AL429" s="87"/>
      <c r="AM429" s="87"/>
      <c r="AN429" s="87"/>
      <c r="AO429" s="87"/>
      <c r="AP429" s="87"/>
      <c r="AQ429" s="229" t="s">
        <v>419</v>
      </c>
      <c r="AR429" s="5"/>
      <c r="AS429" s="5"/>
      <c r="AT429" s="5"/>
      <c r="AU429" s="5"/>
      <c r="AV429" s="5"/>
      <c r="AW429" s="5"/>
      <c r="AX429" s="284"/>
      <c r="AY429" s="5"/>
      <c r="AZ429" s="5"/>
      <c r="BA429" s="230"/>
      <c r="BB429" s="5"/>
      <c r="BC429" s="232" t="s">
        <v>3535</v>
      </c>
      <c r="BD429" s="257"/>
      <c r="BE429" s="249"/>
      <c r="BF429" s="249"/>
      <c r="BG429" s="249"/>
      <c r="BH429" s="249"/>
      <c r="BI429" s="249"/>
      <c r="BJ429" s="249"/>
      <c r="BK429" s="249"/>
      <c r="BL429" s="249"/>
      <c r="BM429" s="249"/>
      <c r="BN429" s="249"/>
      <c r="BO429" s="249"/>
      <c r="BP429" s="249"/>
      <c r="BQ429" s="249"/>
      <c r="BR429" s="249"/>
      <c r="BS429" s="249"/>
      <c r="BT429" s="249"/>
      <c r="BU429" s="249"/>
      <c r="BV429" s="249"/>
      <c r="BW429" s="249"/>
      <c r="BX429" s="249"/>
      <c r="BY429" s="249"/>
      <c r="BZ429" s="249"/>
      <c r="CA429" s="249"/>
      <c r="CB429" s="249"/>
      <c r="CC429" s="249"/>
      <c r="CD429" s="249"/>
      <c r="CE429" s="249"/>
    </row>
    <row r="430" spans="1:83" s="84" customFormat="1" ht="12.95" customHeight="1">
      <c r="A430" s="1"/>
      <c r="B430" s="1"/>
      <c r="C430" s="18" t="s">
        <v>420</v>
      </c>
      <c r="D430" s="52" t="s">
        <v>2731</v>
      </c>
      <c r="E430" s="52" t="s">
        <v>2732</v>
      </c>
      <c r="F430" s="53" t="s">
        <v>649</v>
      </c>
      <c r="G430" s="179" t="s">
        <v>1429</v>
      </c>
      <c r="H430" s="180" t="s">
        <v>420</v>
      </c>
      <c r="I430" s="55" t="s">
        <v>1429</v>
      </c>
      <c r="J430" s="55" t="s">
        <v>1429</v>
      </c>
      <c r="K430" s="56" t="s">
        <v>1429</v>
      </c>
      <c r="L430" s="54" t="s">
        <v>1429</v>
      </c>
      <c r="M430" s="55" t="s">
        <v>1580</v>
      </c>
      <c r="N430" s="55" t="s">
        <v>1429</v>
      </c>
      <c r="O430" s="55" t="s">
        <v>1429</v>
      </c>
      <c r="P430" s="56" t="s">
        <v>1429</v>
      </c>
      <c r="Q430" s="85"/>
      <c r="R430" s="85"/>
      <c r="S430" s="85"/>
      <c r="T430" s="85"/>
      <c r="U430" s="85"/>
      <c r="V430" s="146" t="s">
        <v>2733</v>
      </c>
      <c r="W430" s="51" t="s">
        <v>2611</v>
      </c>
      <c r="X430" s="130" t="s">
        <v>1429</v>
      </c>
      <c r="Y430" s="130" t="s">
        <v>1429</v>
      </c>
      <c r="Z430" s="51"/>
      <c r="AA430" s="51" t="s">
        <v>2612</v>
      </c>
      <c r="AB430" s="146"/>
      <c r="AC430" s="146" t="s">
        <v>1429</v>
      </c>
      <c r="AD430" s="98"/>
      <c r="AE430" s="83"/>
      <c r="AF430" s="83"/>
      <c r="AG430" s="83"/>
      <c r="AH430" s="86"/>
      <c r="AI430" s="86"/>
      <c r="AJ430" s="87"/>
      <c r="AK430" s="87"/>
      <c r="AL430" s="87"/>
      <c r="AM430" s="87"/>
      <c r="AN430" s="87"/>
      <c r="AO430" s="87"/>
      <c r="AP430" s="87"/>
      <c r="AQ430" s="229" t="s">
        <v>420</v>
      </c>
      <c r="AR430" s="5"/>
      <c r="AS430" s="5"/>
      <c r="AT430" s="5"/>
      <c r="AU430" s="5"/>
      <c r="AV430" s="5"/>
      <c r="AW430" s="5"/>
      <c r="AX430" s="284"/>
      <c r="AY430" s="5"/>
      <c r="AZ430" s="5"/>
      <c r="BA430" s="230"/>
      <c r="BB430" s="5"/>
      <c r="BC430" s="232" t="s">
        <v>3535</v>
      </c>
      <c r="BD430" s="257"/>
      <c r="BE430" s="249"/>
      <c r="BF430" s="249"/>
      <c r="BG430" s="249"/>
      <c r="BH430" s="249"/>
      <c r="BI430" s="249"/>
      <c r="BJ430" s="249"/>
      <c r="BK430" s="249"/>
      <c r="BL430" s="249"/>
      <c r="BM430" s="249"/>
      <c r="BN430" s="249"/>
      <c r="BO430" s="249"/>
      <c r="BP430" s="249"/>
      <c r="BQ430" s="249"/>
      <c r="BR430" s="249"/>
      <c r="BS430" s="249"/>
      <c r="BT430" s="249"/>
      <c r="BU430" s="249"/>
      <c r="BV430" s="249"/>
      <c r="BW430" s="249"/>
      <c r="BX430" s="249"/>
      <c r="BY430" s="249"/>
      <c r="BZ430" s="249"/>
      <c r="CA430" s="249"/>
      <c r="CB430" s="249"/>
      <c r="CC430" s="249"/>
      <c r="CD430" s="249"/>
      <c r="CE430" s="249"/>
    </row>
    <row r="431" spans="1:83" s="84" customFormat="1" ht="12.95" customHeight="1">
      <c r="A431" s="1"/>
      <c r="B431" s="1"/>
      <c r="C431" s="18" t="s">
        <v>421</v>
      </c>
      <c r="D431" s="52" t="s">
        <v>2734</v>
      </c>
      <c r="E431" s="52" t="s">
        <v>2735</v>
      </c>
      <c r="F431" s="53" t="s">
        <v>650</v>
      </c>
      <c r="G431" s="179" t="s">
        <v>1429</v>
      </c>
      <c r="H431" s="180" t="s">
        <v>421</v>
      </c>
      <c r="I431" s="55" t="s">
        <v>1429</v>
      </c>
      <c r="J431" s="55" t="s">
        <v>1429</v>
      </c>
      <c r="K431" s="56" t="s">
        <v>1429</v>
      </c>
      <c r="L431" s="54" t="s">
        <v>1429</v>
      </c>
      <c r="M431" s="55" t="s">
        <v>1580</v>
      </c>
      <c r="N431" s="55" t="s">
        <v>1429</v>
      </c>
      <c r="O431" s="55" t="s">
        <v>1429</v>
      </c>
      <c r="P431" s="56" t="s">
        <v>1429</v>
      </c>
      <c r="Q431" s="85"/>
      <c r="R431" s="85"/>
      <c r="S431" s="85"/>
      <c r="T431" s="85"/>
      <c r="U431" s="85"/>
      <c r="V431" s="146" t="s">
        <v>2736</v>
      </c>
      <c r="W431" s="51" t="s">
        <v>2611</v>
      </c>
      <c r="X431" s="130" t="s">
        <v>1429</v>
      </c>
      <c r="Y431" s="130" t="s">
        <v>1429</v>
      </c>
      <c r="Z431" s="51"/>
      <c r="AA431" s="51" t="s">
        <v>2612</v>
      </c>
      <c r="AB431" s="146"/>
      <c r="AC431" s="146" t="s">
        <v>1429</v>
      </c>
      <c r="AD431" s="98"/>
      <c r="AE431" s="83"/>
      <c r="AF431" s="83"/>
      <c r="AG431" s="83"/>
      <c r="AH431" s="86"/>
      <c r="AI431" s="86"/>
      <c r="AJ431" s="87"/>
      <c r="AK431" s="87"/>
      <c r="AL431" s="87"/>
      <c r="AM431" s="87"/>
      <c r="AN431" s="87"/>
      <c r="AO431" s="87"/>
      <c r="AP431" s="87"/>
      <c r="AQ431" s="229" t="s">
        <v>421</v>
      </c>
      <c r="AR431" s="5"/>
      <c r="AS431" s="5"/>
      <c r="AT431" s="5"/>
      <c r="AU431" s="5"/>
      <c r="AV431" s="5"/>
      <c r="AW431" s="5"/>
      <c r="AX431" s="284"/>
      <c r="AY431" s="5"/>
      <c r="AZ431" s="5"/>
      <c r="BA431" s="230"/>
      <c r="BB431" s="5"/>
      <c r="BC431" s="232" t="s">
        <v>3535</v>
      </c>
      <c r="BD431" s="257"/>
      <c r="BE431" s="249"/>
      <c r="BF431" s="249"/>
      <c r="BG431" s="249"/>
      <c r="BH431" s="249"/>
      <c r="BI431" s="249"/>
      <c r="BJ431" s="249"/>
      <c r="BK431" s="249"/>
      <c r="BL431" s="249"/>
      <c r="BM431" s="249"/>
      <c r="BN431" s="249"/>
      <c r="BO431" s="249"/>
      <c r="BP431" s="249"/>
      <c r="BQ431" s="249"/>
      <c r="BR431" s="249"/>
      <c r="BS431" s="249"/>
      <c r="BT431" s="249"/>
      <c r="BU431" s="249"/>
      <c r="BV431" s="249"/>
      <c r="BW431" s="249"/>
      <c r="BX431" s="249"/>
      <c r="BY431" s="249"/>
      <c r="BZ431" s="249"/>
      <c r="CA431" s="249"/>
      <c r="CB431" s="249"/>
      <c r="CC431" s="249"/>
      <c r="CD431" s="249"/>
      <c r="CE431" s="249"/>
    </row>
    <row r="432" spans="1:83" s="84" customFormat="1" ht="12.95" customHeight="1">
      <c r="A432" s="1"/>
      <c r="B432" s="1"/>
      <c r="C432" s="18" t="s">
        <v>422</v>
      </c>
      <c r="D432" s="52" t="s">
        <v>2681</v>
      </c>
      <c r="E432" s="52" t="s">
        <v>2737</v>
      </c>
      <c r="F432" s="53" t="s">
        <v>651</v>
      </c>
      <c r="G432" s="179" t="s">
        <v>1429</v>
      </c>
      <c r="H432" s="180" t="s">
        <v>422</v>
      </c>
      <c r="I432" s="55" t="s">
        <v>1429</v>
      </c>
      <c r="J432" s="55" t="s">
        <v>1429</v>
      </c>
      <c r="K432" s="56" t="s">
        <v>1429</v>
      </c>
      <c r="L432" s="54" t="s">
        <v>1429</v>
      </c>
      <c r="M432" s="55" t="s">
        <v>1580</v>
      </c>
      <c r="N432" s="55" t="s">
        <v>1429</v>
      </c>
      <c r="O432" s="55" t="s">
        <v>1429</v>
      </c>
      <c r="P432" s="56" t="s">
        <v>1429</v>
      </c>
      <c r="Q432" s="85"/>
      <c r="R432" s="85"/>
      <c r="S432" s="85"/>
      <c r="T432" s="85"/>
      <c r="U432" s="85"/>
      <c r="V432" s="146" t="s">
        <v>2738</v>
      </c>
      <c r="W432" s="51" t="s">
        <v>2611</v>
      </c>
      <c r="X432" s="130" t="s">
        <v>1429</v>
      </c>
      <c r="Y432" s="130" t="s">
        <v>1429</v>
      </c>
      <c r="Z432" s="51"/>
      <c r="AA432" s="51" t="s">
        <v>2612</v>
      </c>
      <c r="AB432" s="146"/>
      <c r="AC432" s="146" t="s">
        <v>1429</v>
      </c>
      <c r="AD432" s="98"/>
      <c r="AE432" s="83"/>
      <c r="AF432" s="83"/>
      <c r="AG432" s="83"/>
      <c r="AH432" s="86"/>
      <c r="AI432" s="86"/>
      <c r="AJ432" s="87"/>
      <c r="AK432" s="87"/>
      <c r="AL432" s="87"/>
      <c r="AM432" s="87"/>
      <c r="AN432" s="87"/>
      <c r="AO432" s="87"/>
      <c r="AP432" s="87"/>
      <c r="AQ432" s="229" t="s">
        <v>422</v>
      </c>
      <c r="AR432" s="5"/>
      <c r="AS432" s="5"/>
      <c r="AT432" s="5"/>
      <c r="AU432" s="5"/>
      <c r="AV432" s="5"/>
      <c r="AW432" s="5"/>
      <c r="AX432" s="284"/>
      <c r="AY432" s="5"/>
      <c r="AZ432" s="5"/>
      <c r="BA432" s="230"/>
      <c r="BB432" s="5"/>
      <c r="BC432" s="232" t="s">
        <v>3535</v>
      </c>
      <c r="BD432" s="257"/>
      <c r="BE432" s="249"/>
      <c r="BF432" s="249"/>
      <c r="BG432" s="249"/>
      <c r="BH432" s="249"/>
      <c r="BI432" s="249"/>
      <c r="BJ432" s="249"/>
      <c r="BK432" s="249"/>
      <c r="BL432" s="249"/>
      <c r="BM432" s="249"/>
      <c r="BN432" s="249"/>
      <c r="BO432" s="249"/>
      <c r="BP432" s="249"/>
      <c r="BQ432" s="249"/>
      <c r="BR432" s="249"/>
      <c r="BS432" s="249"/>
      <c r="BT432" s="249"/>
      <c r="BU432" s="249"/>
      <c r="BV432" s="249"/>
      <c r="BW432" s="249"/>
      <c r="BX432" s="249"/>
      <c r="BY432" s="249"/>
      <c r="BZ432" s="249"/>
      <c r="CA432" s="249"/>
      <c r="CB432" s="249"/>
      <c r="CC432" s="249"/>
      <c r="CD432" s="249"/>
      <c r="CE432" s="249"/>
    </row>
    <row r="433" spans="1:83" s="84" customFormat="1" ht="12.95" customHeight="1">
      <c r="A433" s="1"/>
      <c r="B433" s="1"/>
      <c r="C433" s="18" t="s">
        <v>423</v>
      </c>
      <c r="D433" s="52" t="s">
        <v>2711</v>
      </c>
      <c r="E433" s="52" t="s">
        <v>2739</v>
      </c>
      <c r="F433" s="53" t="s">
        <v>652</v>
      </c>
      <c r="G433" s="179" t="s">
        <v>1429</v>
      </c>
      <c r="H433" s="180" t="s">
        <v>423</v>
      </c>
      <c r="I433" s="55" t="s">
        <v>1429</v>
      </c>
      <c r="J433" s="55" t="s">
        <v>1429</v>
      </c>
      <c r="K433" s="56" t="s">
        <v>1429</v>
      </c>
      <c r="L433" s="54" t="s">
        <v>1429</v>
      </c>
      <c r="M433" s="55" t="s">
        <v>1580</v>
      </c>
      <c r="N433" s="55" t="s">
        <v>1429</v>
      </c>
      <c r="O433" s="55" t="s">
        <v>1429</v>
      </c>
      <c r="P433" s="56" t="s">
        <v>1429</v>
      </c>
      <c r="Q433" s="85"/>
      <c r="R433" s="85"/>
      <c r="S433" s="85"/>
      <c r="T433" s="85"/>
      <c r="U433" s="85"/>
      <c r="V433" s="146" t="s">
        <v>2740</v>
      </c>
      <c r="W433" s="51" t="s">
        <v>2611</v>
      </c>
      <c r="X433" s="130" t="s">
        <v>1429</v>
      </c>
      <c r="Y433" s="130" t="s">
        <v>1429</v>
      </c>
      <c r="Z433" s="51"/>
      <c r="AA433" s="51" t="s">
        <v>2612</v>
      </c>
      <c r="AB433" s="146"/>
      <c r="AC433" s="146" t="s">
        <v>1429</v>
      </c>
      <c r="AD433" s="98"/>
      <c r="AE433" s="83"/>
      <c r="AF433" s="83"/>
      <c r="AG433" s="83"/>
      <c r="AH433" s="86"/>
      <c r="AI433" s="86"/>
      <c r="AJ433" s="87"/>
      <c r="AK433" s="87"/>
      <c r="AL433" s="87"/>
      <c r="AM433" s="87"/>
      <c r="AN433" s="87"/>
      <c r="AO433" s="87"/>
      <c r="AP433" s="87"/>
      <c r="AQ433" s="229" t="s">
        <v>423</v>
      </c>
      <c r="AR433" s="5"/>
      <c r="AS433" s="5"/>
      <c r="AT433" s="5"/>
      <c r="AU433" s="5"/>
      <c r="AV433" s="5"/>
      <c r="AW433" s="5"/>
      <c r="AX433" s="284"/>
      <c r="AY433" s="5"/>
      <c r="AZ433" s="5"/>
      <c r="BA433" s="230"/>
      <c r="BB433" s="5"/>
      <c r="BC433" s="232" t="s">
        <v>3535</v>
      </c>
      <c r="BD433" s="257"/>
      <c r="BE433" s="249"/>
      <c r="BF433" s="249"/>
      <c r="BG433" s="249"/>
      <c r="BH433" s="249"/>
      <c r="BI433" s="249"/>
      <c r="BJ433" s="249"/>
      <c r="BK433" s="249"/>
      <c r="BL433" s="249"/>
      <c r="BM433" s="249"/>
      <c r="BN433" s="249"/>
      <c r="BO433" s="249"/>
      <c r="BP433" s="249"/>
      <c r="BQ433" s="249"/>
      <c r="BR433" s="249"/>
      <c r="BS433" s="249"/>
      <c r="BT433" s="249"/>
      <c r="BU433" s="249"/>
      <c r="BV433" s="249"/>
      <c r="BW433" s="249"/>
      <c r="BX433" s="249"/>
      <c r="BY433" s="249"/>
      <c r="BZ433" s="249"/>
      <c r="CA433" s="249"/>
      <c r="CB433" s="249"/>
      <c r="CC433" s="249"/>
      <c r="CD433" s="249"/>
      <c r="CE433" s="249"/>
    </row>
    <row r="434" spans="1:83" s="84" customFormat="1" ht="12.95" customHeight="1">
      <c r="A434" s="1"/>
      <c r="B434" s="1"/>
      <c r="C434" s="18" t="s">
        <v>424</v>
      </c>
      <c r="D434" s="52" t="s">
        <v>2713</v>
      </c>
      <c r="E434" s="52" t="s">
        <v>2741</v>
      </c>
      <c r="F434" s="53" t="s">
        <v>653</v>
      </c>
      <c r="G434" s="179" t="s">
        <v>1429</v>
      </c>
      <c r="H434" s="180" t="s">
        <v>424</v>
      </c>
      <c r="I434" s="55" t="s">
        <v>1429</v>
      </c>
      <c r="J434" s="55" t="s">
        <v>1429</v>
      </c>
      <c r="K434" s="56" t="s">
        <v>1429</v>
      </c>
      <c r="L434" s="54" t="s">
        <v>1429</v>
      </c>
      <c r="M434" s="55" t="s">
        <v>1580</v>
      </c>
      <c r="N434" s="55" t="s">
        <v>1429</v>
      </c>
      <c r="O434" s="55" t="s">
        <v>1429</v>
      </c>
      <c r="P434" s="56" t="s">
        <v>1429</v>
      </c>
      <c r="Q434" s="85"/>
      <c r="R434" s="85"/>
      <c r="S434" s="85"/>
      <c r="T434" s="85"/>
      <c r="U434" s="85"/>
      <c r="V434" s="146" t="s">
        <v>2742</v>
      </c>
      <c r="W434" s="51" t="s">
        <v>2611</v>
      </c>
      <c r="X434" s="130" t="s">
        <v>1429</v>
      </c>
      <c r="Y434" s="130" t="s">
        <v>1429</v>
      </c>
      <c r="Z434" s="51"/>
      <c r="AA434" s="51" t="s">
        <v>2612</v>
      </c>
      <c r="AB434" s="146"/>
      <c r="AC434" s="146" t="s">
        <v>1429</v>
      </c>
      <c r="AD434" s="98"/>
      <c r="AE434" s="83"/>
      <c r="AF434" s="83"/>
      <c r="AG434" s="83"/>
      <c r="AH434" s="86"/>
      <c r="AI434" s="86"/>
      <c r="AJ434" s="87"/>
      <c r="AK434" s="87"/>
      <c r="AL434" s="87"/>
      <c r="AM434" s="87"/>
      <c r="AN434" s="87"/>
      <c r="AO434" s="87"/>
      <c r="AP434" s="87"/>
      <c r="AQ434" s="229" t="s">
        <v>424</v>
      </c>
      <c r="AR434" s="5"/>
      <c r="AS434" s="5"/>
      <c r="AT434" s="5"/>
      <c r="AU434" s="5"/>
      <c r="AV434" s="5"/>
      <c r="AW434" s="5"/>
      <c r="AX434" s="284"/>
      <c r="AY434" s="5"/>
      <c r="AZ434" s="5"/>
      <c r="BA434" s="230"/>
      <c r="BB434" s="5"/>
      <c r="BC434" s="232" t="s">
        <v>3535</v>
      </c>
      <c r="BD434" s="257"/>
      <c r="BE434" s="249"/>
      <c r="BF434" s="249"/>
      <c r="BG434" s="249"/>
      <c r="BH434" s="249"/>
      <c r="BI434" s="249"/>
      <c r="BJ434" s="249"/>
      <c r="BK434" s="249"/>
      <c r="BL434" s="249"/>
      <c r="BM434" s="249"/>
      <c r="BN434" s="249"/>
      <c r="BO434" s="249"/>
      <c r="BP434" s="249"/>
      <c r="BQ434" s="249"/>
      <c r="BR434" s="249"/>
      <c r="BS434" s="249"/>
      <c r="BT434" s="249"/>
      <c r="BU434" s="249"/>
      <c r="BV434" s="249"/>
      <c r="BW434" s="249"/>
      <c r="BX434" s="249"/>
      <c r="BY434" s="249"/>
      <c r="BZ434" s="249"/>
      <c r="CA434" s="249"/>
      <c r="CB434" s="249"/>
      <c r="CC434" s="249"/>
      <c r="CD434" s="249"/>
      <c r="CE434" s="249"/>
    </row>
    <row r="435" spans="1:83" s="84" customFormat="1" ht="12.95" customHeight="1">
      <c r="A435" s="1"/>
      <c r="B435" s="1"/>
      <c r="C435" s="21" t="s">
        <v>425</v>
      </c>
      <c r="D435" s="52" t="s">
        <v>2708</v>
      </c>
      <c r="E435" s="52" t="s">
        <v>2743</v>
      </c>
      <c r="F435" s="53" t="s">
        <v>654</v>
      </c>
      <c r="G435" s="179" t="s">
        <v>1429</v>
      </c>
      <c r="H435" s="180" t="s">
        <v>425</v>
      </c>
      <c r="I435" s="55" t="s">
        <v>1429</v>
      </c>
      <c r="J435" s="55" t="s">
        <v>1429</v>
      </c>
      <c r="K435" s="56" t="s">
        <v>1429</v>
      </c>
      <c r="L435" s="54" t="s">
        <v>1429</v>
      </c>
      <c r="M435" s="55" t="s">
        <v>1580</v>
      </c>
      <c r="N435" s="55" t="s">
        <v>1429</v>
      </c>
      <c r="O435" s="55" t="s">
        <v>1429</v>
      </c>
      <c r="P435" s="56" t="s">
        <v>1429</v>
      </c>
      <c r="Q435" s="85"/>
      <c r="R435" s="85"/>
      <c r="S435" s="85"/>
      <c r="T435" s="85"/>
      <c r="U435" s="85"/>
      <c r="V435" s="146" t="s">
        <v>2744</v>
      </c>
      <c r="W435" s="51" t="s">
        <v>2611</v>
      </c>
      <c r="X435" s="130" t="s">
        <v>1429</v>
      </c>
      <c r="Y435" s="130" t="s">
        <v>1429</v>
      </c>
      <c r="Z435" s="51"/>
      <c r="AA435" s="51" t="s">
        <v>2612</v>
      </c>
      <c r="AB435" s="146"/>
      <c r="AC435" s="146" t="s">
        <v>1429</v>
      </c>
      <c r="AD435" s="98"/>
      <c r="AE435" s="83"/>
      <c r="AF435" s="83"/>
      <c r="AG435" s="83"/>
      <c r="AH435" s="86"/>
      <c r="AI435" s="86"/>
      <c r="AJ435" s="87"/>
      <c r="AK435" s="87"/>
      <c r="AL435" s="87"/>
      <c r="AM435" s="87"/>
      <c r="AN435" s="87"/>
      <c r="AO435" s="87"/>
      <c r="AP435" s="87"/>
      <c r="AQ435" s="229" t="s">
        <v>425</v>
      </c>
      <c r="AR435" s="5"/>
      <c r="AS435" s="5"/>
      <c r="AT435" s="5"/>
      <c r="AU435" s="5"/>
      <c r="AV435" s="5"/>
      <c r="AW435" s="5"/>
      <c r="AX435" s="284"/>
      <c r="AY435" s="5"/>
      <c r="AZ435" s="5"/>
      <c r="BA435" s="230"/>
      <c r="BB435" s="5"/>
      <c r="BC435" s="232" t="s">
        <v>3535</v>
      </c>
      <c r="BD435" s="257"/>
      <c r="BE435" s="249"/>
      <c r="BF435" s="249"/>
      <c r="BG435" s="249"/>
      <c r="BH435" s="249"/>
      <c r="BI435" s="249"/>
      <c r="BJ435" s="249"/>
      <c r="BK435" s="249"/>
      <c r="BL435" s="249"/>
      <c r="BM435" s="249"/>
      <c r="BN435" s="249"/>
      <c r="BO435" s="249"/>
      <c r="BP435" s="249"/>
      <c r="BQ435" s="249"/>
      <c r="BR435" s="249"/>
      <c r="BS435" s="249"/>
      <c r="BT435" s="249"/>
      <c r="BU435" s="249"/>
      <c r="BV435" s="249"/>
      <c r="BW435" s="249"/>
      <c r="BX435" s="249"/>
      <c r="BY435" s="249"/>
      <c r="BZ435" s="249"/>
      <c r="CA435" s="249"/>
      <c r="CB435" s="249"/>
      <c r="CC435" s="249"/>
      <c r="CD435" s="249"/>
      <c r="CE435" s="249"/>
    </row>
    <row r="436" spans="1:83" s="84" customFormat="1" ht="12.95" customHeight="1">
      <c r="A436" s="1"/>
      <c r="B436" s="1"/>
      <c r="C436" s="21" t="s">
        <v>426</v>
      </c>
      <c r="D436" s="52" t="s">
        <v>2700</v>
      </c>
      <c r="E436" s="52" t="s">
        <v>2745</v>
      </c>
      <c r="F436" s="53" t="s">
        <v>655</v>
      </c>
      <c r="G436" s="179" t="s">
        <v>1429</v>
      </c>
      <c r="H436" s="180" t="s">
        <v>426</v>
      </c>
      <c r="I436" s="55" t="s">
        <v>1429</v>
      </c>
      <c r="J436" s="55" t="s">
        <v>1429</v>
      </c>
      <c r="K436" s="56" t="s">
        <v>1429</v>
      </c>
      <c r="L436" s="54" t="s">
        <v>1429</v>
      </c>
      <c r="M436" s="55" t="s">
        <v>1580</v>
      </c>
      <c r="N436" s="55" t="s">
        <v>1429</v>
      </c>
      <c r="O436" s="55" t="s">
        <v>1429</v>
      </c>
      <c r="P436" s="56" t="s">
        <v>1429</v>
      </c>
      <c r="Q436" s="85"/>
      <c r="R436" s="85"/>
      <c r="S436" s="85"/>
      <c r="T436" s="85"/>
      <c r="U436" s="85"/>
      <c r="V436" s="146" t="s">
        <v>2746</v>
      </c>
      <c r="W436" s="51" t="s">
        <v>2611</v>
      </c>
      <c r="X436" s="130" t="s">
        <v>1429</v>
      </c>
      <c r="Y436" s="130" t="s">
        <v>1429</v>
      </c>
      <c r="Z436" s="51"/>
      <c r="AA436" s="51" t="s">
        <v>2612</v>
      </c>
      <c r="AB436" s="146"/>
      <c r="AC436" s="146" t="s">
        <v>1429</v>
      </c>
      <c r="AD436" s="98"/>
      <c r="AE436" s="83"/>
      <c r="AF436" s="83"/>
      <c r="AG436" s="83"/>
      <c r="AH436" s="86"/>
      <c r="AI436" s="86"/>
      <c r="AJ436" s="87"/>
      <c r="AK436" s="87"/>
      <c r="AL436" s="87"/>
      <c r="AM436" s="87"/>
      <c r="AN436" s="87"/>
      <c r="AO436" s="87"/>
      <c r="AP436" s="87"/>
      <c r="AQ436" s="229" t="s">
        <v>426</v>
      </c>
      <c r="AR436" s="5"/>
      <c r="AS436" s="5"/>
      <c r="AT436" s="5"/>
      <c r="AU436" s="5"/>
      <c r="AV436" s="5"/>
      <c r="AW436" s="5"/>
      <c r="AX436" s="284"/>
      <c r="AY436" s="5"/>
      <c r="AZ436" s="5"/>
      <c r="BA436" s="230"/>
      <c r="BB436" s="5"/>
      <c r="BC436" s="232" t="s">
        <v>3535</v>
      </c>
      <c r="BD436" s="257"/>
      <c r="BE436" s="249"/>
      <c r="BF436" s="249"/>
      <c r="BG436" s="249"/>
      <c r="BH436" s="249"/>
      <c r="BI436" s="249"/>
      <c r="BJ436" s="249"/>
      <c r="BK436" s="249"/>
      <c r="BL436" s="249"/>
      <c r="BM436" s="249"/>
      <c r="BN436" s="249"/>
      <c r="BO436" s="249"/>
      <c r="BP436" s="249"/>
      <c r="BQ436" s="249"/>
      <c r="BR436" s="249"/>
      <c r="BS436" s="249"/>
      <c r="BT436" s="249"/>
      <c r="BU436" s="249"/>
      <c r="BV436" s="249"/>
      <c r="BW436" s="249"/>
      <c r="BX436" s="249"/>
      <c r="BY436" s="249"/>
      <c r="BZ436" s="249"/>
      <c r="CA436" s="249"/>
      <c r="CB436" s="249"/>
      <c r="CC436" s="249"/>
      <c r="CD436" s="249"/>
      <c r="CE436" s="249"/>
    </row>
    <row r="437" spans="1:83" s="84" customFormat="1" ht="12.95" customHeight="1">
      <c r="A437" s="1"/>
      <c r="B437" s="1"/>
      <c r="C437" s="18" t="s">
        <v>427</v>
      </c>
      <c r="D437" s="52" t="s">
        <v>2679</v>
      </c>
      <c r="E437" s="52" t="s">
        <v>2747</v>
      </c>
      <c r="F437" s="53" t="s">
        <v>656</v>
      </c>
      <c r="G437" s="179" t="s">
        <v>1429</v>
      </c>
      <c r="H437" s="180" t="s">
        <v>427</v>
      </c>
      <c r="I437" s="55" t="s">
        <v>1429</v>
      </c>
      <c r="J437" s="55" t="s">
        <v>1429</v>
      </c>
      <c r="K437" s="56" t="s">
        <v>1429</v>
      </c>
      <c r="L437" s="54" t="s">
        <v>1429</v>
      </c>
      <c r="M437" s="55" t="s">
        <v>1580</v>
      </c>
      <c r="N437" s="55" t="s">
        <v>1429</v>
      </c>
      <c r="O437" s="55" t="s">
        <v>1429</v>
      </c>
      <c r="P437" s="56" t="s">
        <v>1429</v>
      </c>
      <c r="Q437" s="85"/>
      <c r="R437" s="85"/>
      <c r="S437" s="85"/>
      <c r="T437" s="85"/>
      <c r="U437" s="85"/>
      <c r="V437" s="146" t="s">
        <v>2748</v>
      </c>
      <c r="W437" s="51" t="s">
        <v>2611</v>
      </c>
      <c r="X437" s="130" t="s">
        <v>1429</v>
      </c>
      <c r="Y437" s="130" t="s">
        <v>1429</v>
      </c>
      <c r="Z437" s="51"/>
      <c r="AA437" s="51" t="s">
        <v>2612</v>
      </c>
      <c r="AB437" s="146"/>
      <c r="AC437" s="146" t="s">
        <v>1429</v>
      </c>
      <c r="AD437" s="98"/>
      <c r="AE437" s="83"/>
      <c r="AF437" s="83"/>
      <c r="AG437" s="83"/>
      <c r="AH437" s="86"/>
      <c r="AI437" s="86"/>
      <c r="AJ437" s="87"/>
      <c r="AK437" s="87"/>
      <c r="AL437" s="87"/>
      <c r="AM437" s="87"/>
      <c r="AN437" s="87"/>
      <c r="AO437" s="87"/>
      <c r="AP437" s="87"/>
      <c r="AQ437" s="229" t="s">
        <v>427</v>
      </c>
      <c r="AR437" s="5"/>
      <c r="AS437" s="5"/>
      <c r="AT437" s="5"/>
      <c r="AU437" s="5"/>
      <c r="AV437" s="5"/>
      <c r="AW437" s="5"/>
      <c r="AX437" s="284"/>
      <c r="AY437" s="5"/>
      <c r="AZ437" s="5"/>
      <c r="BA437" s="230"/>
      <c r="BB437" s="5"/>
      <c r="BC437" s="232" t="s">
        <v>3535</v>
      </c>
      <c r="BD437" s="257"/>
      <c r="BE437" s="249"/>
      <c r="BF437" s="249"/>
      <c r="BG437" s="249"/>
      <c r="BH437" s="249"/>
      <c r="BI437" s="249"/>
      <c r="BJ437" s="249"/>
      <c r="BK437" s="249"/>
      <c r="BL437" s="249"/>
      <c r="BM437" s="249"/>
      <c r="BN437" s="249"/>
      <c r="BO437" s="249"/>
      <c r="BP437" s="249"/>
      <c r="BQ437" s="249"/>
      <c r="BR437" s="249"/>
      <c r="BS437" s="249"/>
      <c r="BT437" s="249"/>
      <c r="BU437" s="249"/>
      <c r="BV437" s="249"/>
      <c r="BW437" s="249"/>
      <c r="BX437" s="249"/>
      <c r="BY437" s="249"/>
      <c r="BZ437" s="249"/>
      <c r="CA437" s="249"/>
      <c r="CB437" s="249"/>
      <c r="CC437" s="249"/>
      <c r="CD437" s="249"/>
      <c r="CE437" s="249"/>
    </row>
    <row r="438" spans="1:83" s="84" customFormat="1" ht="12.95" customHeight="1">
      <c r="A438" s="1"/>
      <c r="B438" s="1"/>
      <c r="C438" s="18" t="s">
        <v>428</v>
      </c>
      <c r="D438" s="52" t="s">
        <v>2725</v>
      </c>
      <c r="E438" s="52" t="s">
        <v>2749</v>
      </c>
      <c r="F438" s="53" t="s">
        <v>657</v>
      </c>
      <c r="G438" s="179" t="s">
        <v>1429</v>
      </c>
      <c r="H438" s="180" t="s">
        <v>428</v>
      </c>
      <c r="I438" s="55" t="s">
        <v>1429</v>
      </c>
      <c r="J438" s="55" t="s">
        <v>1429</v>
      </c>
      <c r="K438" s="56" t="s">
        <v>1429</v>
      </c>
      <c r="L438" s="54" t="s">
        <v>1429</v>
      </c>
      <c r="M438" s="55" t="s">
        <v>1580</v>
      </c>
      <c r="N438" s="55" t="s">
        <v>1429</v>
      </c>
      <c r="O438" s="55" t="s">
        <v>1429</v>
      </c>
      <c r="P438" s="56" t="s">
        <v>1429</v>
      </c>
      <c r="Q438" s="85"/>
      <c r="R438" s="85"/>
      <c r="S438" s="85"/>
      <c r="T438" s="85"/>
      <c r="U438" s="85"/>
      <c r="V438" s="146" t="s">
        <v>2750</v>
      </c>
      <c r="W438" s="51" t="s">
        <v>2611</v>
      </c>
      <c r="X438" s="130" t="s">
        <v>1429</v>
      </c>
      <c r="Y438" s="130" t="s">
        <v>1429</v>
      </c>
      <c r="Z438" s="51"/>
      <c r="AA438" s="51" t="s">
        <v>2612</v>
      </c>
      <c r="AB438" s="146"/>
      <c r="AC438" s="146" t="s">
        <v>1429</v>
      </c>
      <c r="AD438" s="98"/>
      <c r="AE438" s="83"/>
      <c r="AF438" s="83"/>
      <c r="AG438" s="83"/>
      <c r="AH438" s="86"/>
      <c r="AI438" s="86"/>
      <c r="AJ438" s="87"/>
      <c r="AK438" s="87"/>
      <c r="AL438" s="87"/>
      <c r="AM438" s="87"/>
      <c r="AN438" s="87"/>
      <c r="AO438" s="87"/>
      <c r="AP438" s="87"/>
      <c r="AQ438" s="229" t="s">
        <v>428</v>
      </c>
      <c r="AR438" s="5"/>
      <c r="AS438" s="5"/>
      <c r="AT438" s="5"/>
      <c r="AU438" s="5"/>
      <c r="AV438" s="5"/>
      <c r="AW438" s="5"/>
      <c r="AX438" s="284"/>
      <c r="AY438" s="5"/>
      <c r="AZ438" s="5"/>
      <c r="BA438" s="230"/>
      <c r="BB438" s="5"/>
      <c r="BC438" s="232" t="s">
        <v>3535</v>
      </c>
      <c r="BD438" s="257"/>
      <c r="BE438" s="249"/>
      <c r="BF438" s="249"/>
      <c r="BG438" s="249"/>
      <c r="BH438" s="249"/>
      <c r="BI438" s="249"/>
      <c r="BJ438" s="249"/>
      <c r="BK438" s="249"/>
      <c r="BL438" s="249"/>
      <c r="BM438" s="249"/>
      <c r="BN438" s="249"/>
      <c r="BO438" s="249"/>
      <c r="BP438" s="249"/>
      <c r="BQ438" s="249"/>
      <c r="BR438" s="249"/>
      <c r="BS438" s="249"/>
      <c r="BT438" s="249"/>
      <c r="BU438" s="249"/>
      <c r="BV438" s="249"/>
      <c r="BW438" s="249"/>
      <c r="BX438" s="249"/>
      <c r="BY438" s="249"/>
      <c r="BZ438" s="249"/>
      <c r="CA438" s="249"/>
      <c r="CB438" s="249"/>
      <c r="CC438" s="249"/>
      <c r="CD438" s="249"/>
      <c r="CE438" s="249"/>
    </row>
    <row r="439" spans="1:83" s="84" customFormat="1" ht="12.95" customHeight="1">
      <c r="A439" s="1"/>
      <c r="B439" s="1"/>
      <c r="C439" s="18" t="s">
        <v>429</v>
      </c>
      <c r="D439" s="52" t="s">
        <v>2737</v>
      </c>
      <c r="E439" s="52" t="s">
        <v>2751</v>
      </c>
      <c r="F439" s="53" t="s">
        <v>658</v>
      </c>
      <c r="G439" s="179" t="s">
        <v>1429</v>
      </c>
      <c r="H439" s="180" t="s">
        <v>429</v>
      </c>
      <c r="I439" s="55" t="s">
        <v>1429</v>
      </c>
      <c r="J439" s="55" t="s">
        <v>1429</v>
      </c>
      <c r="K439" s="56" t="s">
        <v>1429</v>
      </c>
      <c r="L439" s="54" t="s">
        <v>1429</v>
      </c>
      <c r="M439" s="55" t="s">
        <v>1580</v>
      </c>
      <c r="N439" s="55" t="s">
        <v>1429</v>
      </c>
      <c r="O439" s="55" t="s">
        <v>1429</v>
      </c>
      <c r="P439" s="56" t="s">
        <v>1429</v>
      </c>
      <c r="Q439" s="85"/>
      <c r="R439" s="85"/>
      <c r="S439" s="85"/>
      <c r="T439" s="85"/>
      <c r="U439" s="85"/>
      <c r="V439" s="146" t="s">
        <v>2752</v>
      </c>
      <c r="W439" s="51" t="s">
        <v>2611</v>
      </c>
      <c r="X439" s="130" t="s">
        <v>1429</v>
      </c>
      <c r="Y439" s="130" t="s">
        <v>1429</v>
      </c>
      <c r="Z439" s="51"/>
      <c r="AA439" s="51" t="s">
        <v>2612</v>
      </c>
      <c r="AB439" s="146"/>
      <c r="AC439" s="146" t="s">
        <v>1429</v>
      </c>
      <c r="AD439" s="98"/>
      <c r="AE439" s="83"/>
      <c r="AF439" s="83"/>
      <c r="AG439" s="83"/>
      <c r="AH439" s="86"/>
      <c r="AI439" s="86"/>
      <c r="AJ439" s="87"/>
      <c r="AK439" s="87"/>
      <c r="AL439" s="87"/>
      <c r="AM439" s="87"/>
      <c r="AN439" s="87"/>
      <c r="AO439" s="87"/>
      <c r="AP439" s="87"/>
      <c r="AQ439" s="229" t="s">
        <v>429</v>
      </c>
      <c r="AR439" s="5"/>
      <c r="AS439" s="5"/>
      <c r="AT439" s="5"/>
      <c r="AU439" s="5"/>
      <c r="AV439" s="5"/>
      <c r="AW439" s="5"/>
      <c r="AX439" s="284"/>
      <c r="AY439" s="5"/>
      <c r="AZ439" s="5"/>
      <c r="BA439" s="230"/>
      <c r="BB439" s="5"/>
      <c r="BC439" s="232" t="s">
        <v>3535</v>
      </c>
      <c r="BD439" s="257"/>
      <c r="BE439" s="249"/>
      <c r="BF439" s="249"/>
      <c r="BG439" s="249"/>
      <c r="BH439" s="249"/>
      <c r="BI439" s="249"/>
      <c r="BJ439" s="249"/>
      <c r="BK439" s="249"/>
      <c r="BL439" s="249"/>
      <c r="BM439" s="249"/>
      <c r="BN439" s="249"/>
      <c r="BO439" s="249"/>
      <c r="BP439" s="249"/>
      <c r="BQ439" s="249"/>
      <c r="BR439" s="249"/>
      <c r="BS439" s="249"/>
      <c r="BT439" s="249"/>
      <c r="BU439" s="249"/>
      <c r="BV439" s="249"/>
      <c r="BW439" s="249"/>
      <c r="BX439" s="249"/>
      <c r="BY439" s="249"/>
      <c r="BZ439" s="249"/>
      <c r="CA439" s="249"/>
      <c r="CB439" s="249"/>
      <c r="CC439" s="249"/>
      <c r="CD439" s="249"/>
      <c r="CE439" s="249"/>
    </row>
    <row r="440" spans="1:83" s="84" customFormat="1" ht="12.95" customHeight="1">
      <c r="A440" s="1"/>
      <c r="B440" s="1"/>
      <c r="C440" s="18" t="s">
        <v>430</v>
      </c>
      <c r="D440" s="52" t="s">
        <v>2735</v>
      </c>
      <c r="E440" s="52" t="s">
        <v>2753</v>
      </c>
      <c r="F440" s="53" t="s">
        <v>659</v>
      </c>
      <c r="G440" s="179" t="s">
        <v>1429</v>
      </c>
      <c r="H440" s="180" t="s">
        <v>430</v>
      </c>
      <c r="I440" s="55" t="s">
        <v>1429</v>
      </c>
      <c r="J440" s="55" t="s">
        <v>1429</v>
      </c>
      <c r="K440" s="56" t="s">
        <v>1429</v>
      </c>
      <c r="L440" s="54" t="s">
        <v>1429</v>
      </c>
      <c r="M440" s="55" t="s">
        <v>1580</v>
      </c>
      <c r="N440" s="55" t="s">
        <v>1429</v>
      </c>
      <c r="O440" s="55" t="s">
        <v>1429</v>
      </c>
      <c r="P440" s="56" t="s">
        <v>1429</v>
      </c>
      <c r="Q440" s="85"/>
      <c r="R440" s="85"/>
      <c r="S440" s="85"/>
      <c r="T440" s="85"/>
      <c r="U440" s="85"/>
      <c r="V440" s="146" t="s">
        <v>2754</v>
      </c>
      <c r="W440" s="51" t="s">
        <v>2611</v>
      </c>
      <c r="X440" s="130" t="s">
        <v>1429</v>
      </c>
      <c r="Y440" s="130" t="s">
        <v>1429</v>
      </c>
      <c r="Z440" s="51"/>
      <c r="AA440" s="51" t="s">
        <v>2612</v>
      </c>
      <c r="AB440" s="146"/>
      <c r="AC440" s="146" t="s">
        <v>1429</v>
      </c>
      <c r="AD440" s="98"/>
      <c r="AE440" s="83"/>
      <c r="AF440" s="83"/>
      <c r="AG440" s="83"/>
      <c r="AH440" s="86"/>
      <c r="AI440" s="86"/>
      <c r="AJ440" s="87"/>
      <c r="AK440" s="87"/>
      <c r="AL440" s="87"/>
      <c r="AM440" s="87"/>
      <c r="AN440" s="87"/>
      <c r="AO440" s="87"/>
      <c r="AP440" s="87"/>
      <c r="AQ440" s="229" t="s">
        <v>430</v>
      </c>
      <c r="AR440" s="5"/>
      <c r="AS440" s="5"/>
      <c r="AT440" s="5"/>
      <c r="AU440" s="5"/>
      <c r="AV440" s="5"/>
      <c r="AW440" s="5"/>
      <c r="AX440" s="284"/>
      <c r="AY440" s="5"/>
      <c r="AZ440" s="5"/>
      <c r="BA440" s="230"/>
      <c r="BB440" s="5"/>
      <c r="BC440" s="232" t="s">
        <v>3535</v>
      </c>
      <c r="BD440" s="257"/>
      <c r="BE440" s="249"/>
      <c r="BF440" s="249"/>
      <c r="BG440" s="249"/>
      <c r="BH440" s="249"/>
      <c r="BI440" s="249"/>
      <c r="BJ440" s="249"/>
      <c r="BK440" s="249"/>
      <c r="BL440" s="249"/>
      <c r="BM440" s="249"/>
      <c r="BN440" s="249"/>
      <c r="BO440" s="249"/>
      <c r="BP440" s="249"/>
      <c r="BQ440" s="249"/>
      <c r="BR440" s="249"/>
      <c r="BS440" s="249"/>
      <c r="BT440" s="249"/>
      <c r="BU440" s="249"/>
      <c r="BV440" s="249"/>
      <c r="BW440" s="249"/>
      <c r="BX440" s="249"/>
      <c r="BY440" s="249"/>
      <c r="BZ440" s="249"/>
      <c r="CA440" s="249"/>
      <c r="CB440" s="249"/>
      <c r="CC440" s="249"/>
      <c r="CD440" s="249"/>
      <c r="CE440" s="249"/>
    </row>
    <row r="441" spans="1:83" s="84" customFormat="1" ht="12.95" customHeight="1">
      <c r="A441" s="1"/>
      <c r="B441" s="1"/>
      <c r="C441" s="18" t="s">
        <v>431</v>
      </c>
      <c r="D441" s="52" t="s">
        <v>2729</v>
      </c>
      <c r="E441" s="52" t="s">
        <v>2755</v>
      </c>
      <c r="F441" s="53" t="s">
        <v>660</v>
      </c>
      <c r="G441" s="179" t="s">
        <v>1429</v>
      </c>
      <c r="H441" s="180" t="s">
        <v>431</v>
      </c>
      <c r="I441" s="55" t="s">
        <v>1429</v>
      </c>
      <c r="J441" s="55" t="s">
        <v>1429</v>
      </c>
      <c r="K441" s="56" t="s">
        <v>1429</v>
      </c>
      <c r="L441" s="54" t="s">
        <v>1429</v>
      </c>
      <c r="M441" s="55" t="s">
        <v>1580</v>
      </c>
      <c r="N441" s="55" t="s">
        <v>1429</v>
      </c>
      <c r="O441" s="55" t="s">
        <v>1429</v>
      </c>
      <c r="P441" s="56" t="s">
        <v>1429</v>
      </c>
      <c r="Q441" s="85"/>
      <c r="R441" s="85"/>
      <c r="S441" s="85"/>
      <c r="T441" s="85"/>
      <c r="U441" s="85"/>
      <c r="V441" s="146" t="s">
        <v>2756</v>
      </c>
      <c r="W441" s="51" t="s">
        <v>2611</v>
      </c>
      <c r="X441" s="130" t="s">
        <v>1429</v>
      </c>
      <c r="Y441" s="130" t="s">
        <v>1429</v>
      </c>
      <c r="Z441" s="51"/>
      <c r="AA441" s="51" t="s">
        <v>2612</v>
      </c>
      <c r="AB441" s="146"/>
      <c r="AC441" s="146" t="s">
        <v>1429</v>
      </c>
      <c r="AD441" s="98"/>
      <c r="AE441" s="83"/>
      <c r="AF441" s="83"/>
      <c r="AG441" s="83"/>
      <c r="AH441" s="86"/>
      <c r="AI441" s="86"/>
      <c r="AJ441" s="87"/>
      <c r="AK441" s="87"/>
      <c r="AL441" s="87"/>
      <c r="AM441" s="87"/>
      <c r="AN441" s="87"/>
      <c r="AO441" s="87"/>
      <c r="AP441" s="87"/>
      <c r="AQ441" s="229" t="s">
        <v>431</v>
      </c>
      <c r="AR441" s="5"/>
      <c r="AS441" s="5"/>
      <c r="AT441" s="5"/>
      <c r="AU441" s="5"/>
      <c r="AV441" s="5"/>
      <c r="AW441" s="5"/>
      <c r="AX441" s="284"/>
      <c r="AY441" s="5"/>
      <c r="AZ441" s="5"/>
      <c r="BA441" s="230"/>
      <c r="BB441" s="5"/>
      <c r="BC441" s="232" t="s">
        <v>3535</v>
      </c>
      <c r="BD441" s="257"/>
      <c r="BE441" s="249"/>
      <c r="BF441" s="249"/>
      <c r="BG441" s="249"/>
      <c r="BH441" s="249"/>
      <c r="BI441" s="249"/>
      <c r="BJ441" s="249"/>
      <c r="BK441" s="249"/>
      <c r="BL441" s="249"/>
      <c r="BM441" s="249"/>
      <c r="BN441" s="249"/>
      <c r="BO441" s="249"/>
      <c r="BP441" s="249"/>
      <c r="BQ441" s="249"/>
      <c r="BR441" s="249"/>
      <c r="BS441" s="249"/>
      <c r="BT441" s="249"/>
      <c r="BU441" s="249"/>
      <c r="BV441" s="249"/>
      <c r="BW441" s="249"/>
      <c r="BX441" s="249"/>
      <c r="BY441" s="249"/>
      <c r="BZ441" s="249"/>
      <c r="CA441" s="249"/>
      <c r="CB441" s="249"/>
      <c r="CC441" s="249"/>
      <c r="CD441" s="249"/>
      <c r="CE441" s="249"/>
    </row>
    <row r="442" spans="1:83" s="84" customFormat="1" ht="12.95" customHeight="1">
      <c r="A442" s="1"/>
      <c r="B442" s="1"/>
      <c r="C442" s="18" t="s">
        <v>432</v>
      </c>
      <c r="D442" s="52" t="s">
        <v>2757</v>
      </c>
      <c r="E442" s="52" t="s">
        <v>2758</v>
      </c>
      <c r="F442" s="53" t="s">
        <v>661</v>
      </c>
      <c r="G442" s="179" t="s">
        <v>1429</v>
      </c>
      <c r="H442" s="180" t="s">
        <v>432</v>
      </c>
      <c r="I442" s="55" t="s">
        <v>1429</v>
      </c>
      <c r="J442" s="55" t="s">
        <v>1429</v>
      </c>
      <c r="K442" s="56" t="s">
        <v>1429</v>
      </c>
      <c r="L442" s="54" t="s">
        <v>1429</v>
      </c>
      <c r="M442" s="55" t="s">
        <v>1580</v>
      </c>
      <c r="N442" s="55" t="s">
        <v>1429</v>
      </c>
      <c r="O442" s="55" t="s">
        <v>1429</v>
      </c>
      <c r="P442" s="56" t="s">
        <v>1429</v>
      </c>
      <c r="Q442" s="85"/>
      <c r="R442" s="85"/>
      <c r="S442" s="85"/>
      <c r="T442" s="85"/>
      <c r="U442" s="85"/>
      <c r="V442" s="146" t="s">
        <v>2759</v>
      </c>
      <c r="W442" s="51" t="s">
        <v>2611</v>
      </c>
      <c r="X442" s="130" t="s">
        <v>1429</v>
      </c>
      <c r="Y442" s="130" t="s">
        <v>1429</v>
      </c>
      <c r="Z442" s="51"/>
      <c r="AA442" s="51" t="s">
        <v>2612</v>
      </c>
      <c r="AB442" s="146"/>
      <c r="AC442" s="146" t="s">
        <v>1429</v>
      </c>
      <c r="AD442" s="98"/>
      <c r="AE442" s="83"/>
      <c r="AF442" s="83"/>
      <c r="AG442" s="83"/>
      <c r="AH442" s="86"/>
      <c r="AI442" s="86"/>
      <c r="AJ442" s="87"/>
      <c r="AK442" s="87"/>
      <c r="AL442" s="87"/>
      <c r="AM442" s="87"/>
      <c r="AN442" s="87"/>
      <c r="AO442" s="87"/>
      <c r="AP442" s="87"/>
      <c r="AQ442" s="229" t="s">
        <v>432</v>
      </c>
      <c r="AR442" s="5"/>
      <c r="AS442" s="5"/>
      <c r="AT442" s="5"/>
      <c r="AU442" s="5"/>
      <c r="AV442" s="5"/>
      <c r="AW442" s="5"/>
      <c r="AX442" s="284"/>
      <c r="AY442" s="5"/>
      <c r="AZ442" s="5"/>
      <c r="BA442" s="230"/>
      <c r="BB442" s="5"/>
      <c r="BC442" s="232" t="s">
        <v>3535</v>
      </c>
      <c r="BD442" s="257"/>
      <c r="BE442" s="249"/>
      <c r="BF442" s="249"/>
      <c r="BG442" s="249"/>
      <c r="BH442" s="249"/>
      <c r="BI442" s="249"/>
      <c r="BJ442" s="249"/>
      <c r="BK442" s="249"/>
      <c r="BL442" s="249"/>
      <c r="BM442" s="249"/>
      <c r="BN442" s="249"/>
      <c r="BO442" s="249"/>
      <c r="BP442" s="249"/>
      <c r="BQ442" s="249"/>
      <c r="BR442" s="249"/>
      <c r="BS442" s="249"/>
      <c r="BT442" s="249"/>
      <c r="BU442" s="249"/>
      <c r="BV442" s="249"/>
      <c r="BW442" s="249"/>
      <c r="BX442" s="249"/>
      <c r="BY442" s="249"/>
      <c r="BZ442" s="249"/>
      <c r="CA442" s="249"/>
      <c r="CB442" s="249"/>
      <c r="CC442" s="249"/>
      <c r="CD442" s="249"/>
      <c r="CE442" s="249"/>
    </row>
    <row r="443" spans="1:83" s="84" customFormat="1" ht="12.95" customHeight="1">
      <c r="A443" s="1"/>
      <c r="B443" s="1"/>
      <c r="C443" s="18" t="s">
        <v>433</v>
      </c>
      <c r="D443" s="52" t="s">
        <v>2760</v>
      </c>
      <c r="E443" s="52" t="s">
        <v>2761</v>
      </c>
      <c r="F443" s="53" t="s">
        <v>662</v>
      </c>
      <c r="G443" s="179" t="s">
        <v>1429</v>
      </c>
      <c r="H443" s="180" t="s">
        <v>433</v>
      </c>
      <c r="I443" s="55" t="s">
        <v>1429</v>
      </c>
      <c r="J443" s="55" t="s">
        <v>1429</v>
      </c>
      <c r="K443" s="56" t="s">
        <v>1429</v>
      </c>
      <c r="L443" s="54" t="s">
        <v>1429</v>
      </c>
      <c r="M443" s="55" t="s">
        <v>1580</v>
      </c>
      <c r="N443" s="55" t="s">
        <v>1429</v>
      </c>
      <c r="O443" s="55" t="s">
        <v>1429</v>
      </c>
      <c r="P443" s="56" t="s">
        <v>1429</v>
      </c>
      <c r="Q443" s="85"/>
      <c r="R443" s="85"/>
      <c r="S443" s="85"/>
      <c r="T443" s="85"/>
      <c r="U443" s="85"/>
      <c r="V443" s="146" t="s">
        <v>2762</v>
      </c>
      <c r="W443" s="51" t="s">
        <v>2611</v>
      </c>
      <c r="X443" s="130" t="s">
        <v>1429</v>
      </c>
      <c r="Y443" s="130" t="s">
        <v>1429</v>
      </c>
      <c r="Z443" s="51"/>
      <c r="AA443" s="51" t="s">
        <v>2612</v>
      </c>
      <c r="AB443" s="146"/>
      <c r="AC443" s="146" t="s">
        <v>1429</v>
      </c>
      <c r="AD443" s="98"/>
      <c r="AE443" s="83"/>
      <c r="AF443" s="83"/>
      <c r="AG443" s="83"/>
      <c r="AH443" s="86"/>
      <c r="AI443" s="86"/>
      <c r="AJ443" s="87"/>
      <c r="AK443" s="87"/>
      <c r="AL443" s="87"/>
      <c r="AM443" s="87"/>
      <c r="AN443" s="87"/>
      <c r="AO443" s="87"/>
      <c r="AP443" s="87"/>
      <c r="AQ443" s="229" t="s">
        <v>433</v>
      </c>
      <c r="AR443" s="5"/>
      <c r="AS443" s="5"/>
      <c r="AT443" s="5"/>
      <c r="AU443" s="5"/>
      <c r="AV443" s="5"/>
      <c r="AW443" s="5"/>
      <c r="AX443" s="284"/>
      <c r="AY443" s="5"/>
      <c r="AZ443" s="5"/>
      <c r="BA443" s="230"/>
      <c r="BB443" s="5"/>
      <c r="BC443" s="232" t="s">
        <v>3535</v>
      </c>
      <c r="BD443" s="257"/>
      <c r="BE443" s="249"/>
      <c r="BF443" s="249"/>
      <c r="BG443" s="249"/>
      <c r="BH443" s="249"/>
      <c r="BI443" s="249"/>
      <c r="BJ443" s="249"/>
      <c r="BK443" s="249"/>
      <c r="BL443" s="249"/>
      <c r="BM443" s="249"/>
      <c r="BN443" s="249"/>
      <c r="BO443" s="249"/>
      <c r="BP443" s="249"/>
      <c r="BQ443" s="249"/>
      <c r="BR443" s="249"/>
      <c r="BS443" s="249"/>
      <c r="BT443" s="249"/>
      <c r="BU443" s="249"/>
      <c r="BV443" s="249"/>
      <c r="BW443" s="249"/>
      <c r="BX443" s="249"/>
      <c r="BY443" s="249"/>
      <c r="BZ443" s="249"/>
      <c r="CA443" s="249"/>
      <c r="CB443" s="249"/>
      <c r="CC443" s="249"/>
      <c r="CD443" s="249"/>
      <c r="CE443" s="249"/>
    </row>
    <row r="444" spans="1:83" s="84" customFormat="1" ht="12.95" customHeight="1">
      <c r="A444" s="1"/>
      <c r="B444" s="1"/>
      <c r="C444" s="18" t="s">
        <v>434</v>
      </c>
      <c r="D444" s="52" t="s">
        <v>2727</v>
      </c>
      <c r="E444" s="52" t="s">
        <v>2763</v>
      </c>
      <c r="F444" s="53" t="s">
        <v>663</v>
      </c>
      <c r="G444" s="179" t="s">
        <v>1429</v>
      </c>
      <c r="H444" s="180" t="s">
        <v>434</v>
      </c>
      <c r="I444" s="55" t="s">
        <v>1429</v>
      </c>
      <c r="J444" s="55" t="s">
        <v>1429</v>
      </c>
      <c r="K444" s="56" t="s">
        <v>1429</v>
      </c>
      <c r="L444" s="54" t="s">
        <v>1429</v>
      </c>
      <c r="M444" s="55" t="s">
        <v>1580</v>
      </c>
      <c r="N444" s="55" t="s">
        <v>1429</v>
      </c>
      <c r="O444" s="55" t="s">
        <v>1429</v>
      </c>
      <c r="P444" s="56" t="s">
        <v>1429</v>
      </c>
      <c r="Q444" s="85"/>
      <c r="R444" s="85"/>
      <c r="S444" s="85"/>
      <c r="T444" s="85"/>
      <c r="U444" s="85"/>
      <c r="V444" s="146" t="s">
        <v>2764</v>
      </c>
      <c r="W444" s="51" t="s">
        <v>2611</v>
      </c>
      <c r="X444" s="130" t="s">
        <v>1429</v>
      </c>
      <c r="Y444" s="130" t="s">
        <v>1429</v>
      </c>
      <c r="Z444" s="51"/>
      <c r="AA444" s="51" t="s">
        <v>2612</v>
      </c>
      <c r="AB444" s="146"/>
      <c r="AC444" s="146" t="s">
        <v>1429</v>
      </c>
      <c r="AD444" s="98"/>
      <c r="AE444" s="83"/>
      <c r="AF444" s="83"/>
      <c r="AG444" s="83"/>
      <c r="AH444" s="86"/>
      <c r="AI444" s="86"/>
      <c r="AJ444" s="87"/>
      <c r="AK444" s="87"/>
      <c r="AL444" s="87"/>
      <c r="AM444" s="87"/>
      <c r="AN444" s="87"/>
      <c r="AO444" s="87"/>
      <c r="AP444" s="87"/>
      <c r="AQ444" s="229" t="s">
        <v>434</v>
      </c>
      <c r="AR444" s="5"/>
      <c r="AS444" s="5"/>
      <c r="AT444" s="5"/>
      <c r="AU444" s="5"/>
      <c r="AV444" s="5"/>
      <c r="AW444" s="5"/>
      <c r="AX444" s="284"/>
      <c r="AY444" s="5"/>
      <c r="AZ444" s="5"/>
      <c r="BA444" s="230"/>
      <c r="BB444" s="5"/>
      <c r="BC444" s="232" t="s">
        <v>3535</v>
      </c>
      <c r="BD444" s="257"/>
      <c r="BE444" s="249"/>
      <c r="BF444" s="249"/>
      <c r="BG444" s="249"/>
      <c r="BH444" s="249"/>
      <c r="BI444" s="249"/>
      <c r="BJ444" s="249"/>
      <c r="BK444" s="249"/>
      <c r="BL444" s="249"/>
      <c r="BM444" s="249"/>
      <c r="BN444" s="249"/>
      <c r="BO444" s="249"/>
      <c r="BP444" s="249"/>
      <c r="BQ444" s="249"/>
      <c r="BR444" s="249"/>
      <c r="BS444" s="249"/>
      <c r="BT444" s="249"/>
      <c r="BU444" s="249"/>
      <c r="BV444" s="249"/>
      <c r="BW444" s="249"/>
      <c r="BX444" s="249"/>
      <c r="BY444" s="249"/>
      <c r="BZ444" s="249"/>
      <c r="CA444" s="249"/>
      <c r="CB444" s="249"/>
      <c r="CC444" s="249"/>
      <c r="CD444" s="249"/>
      <c r="CE444" s="249"/>
    </row>
    <row r="445" spans="1:83" s="84" customFormat="1" ht="12.95" customHeight="1">
      <c r="A445" s="1"/>
      <c r="B445" s="1"/>
      <c r="C445" s="18" t="s">
        <v>435</v>
      </c>
      <c r="D445" s="52" t="s">
        <v>2739</v>
      </c>
      <c r="E445" s="52" t="s">
        <v>2765</v>
      </c>
      <c r="F445" s="53" t="s">
        <v>664</v>
      </c>
      <c r="G445" s="179" t="s">
        <v>1429</v>
      </c>
      <c r="H445" s="180" t="s">
        <v>435</v>
      </c>
      <c r="I445" s="55" t="s">
        <v>1429</v>
      </c>
      <c r="J445" s="55" t="s">
        <v>1429</v>
      </c>
      <c r="K445" s="56" t="s">
        <v>1429</v>
      </c>
      <c r="L445" s="54" t="s">
        <v>1429</v>
      </c>
      <c r="M445" s="55" t="s">
        <v>1580</v>
      </c>
      <c r="N445" s="55" t="s">
        <v>1429</v>
      </c>
      <c r="O445" s="55" t="s">
        <v>1429</v>
      </c>
      <c r="P445" s="56" t="s">
        <v>1429</v>
      </c>
      <c r="Q445" s="85"/>
      <c r="R445" s="85"/>
      <c r="S445" s="85"/>
      <c r="T445" s="85"/>
      <c r="U445" s="85"/>
      <c r="V445" s="146" t="s">
        <v>2766</v>
      </c>
      <c r="W445" s="51" t="s">
        <v>2611</v>
      </c>
      <c r="X445" s="130" t="s">
        <v>1429</v>
      </c>
      <c r="Y445" s="130" t="s">
        <v>1429</v>
      </c>
      <c r="Z445" s="51"/>
      <c r="AA445" s="51" t="s">
        <v>2612</v>
      </c>
      <c r="AB445" s="146"/>
      <c r="AC445" s="146" t="s">
        <v>1429</v>
      </c>
      <c r="AD445" s="98"/>
      <c r="AE445" s="83"/>
      <c r="AF445" s="83"/>
      <c r="AG445" s="83"/>
      <c r="AH445" s="86"/>
      <c r="AI445" s="86"/>
      <c r="AJ445" s="87"/>
      <c r="AK445" s="87"/>
      <c r="AL445" s="87"/>
      <c r="AM445" s="87"/>
      <c r="AN445" s="87"/>
      <c r="AO445" s="87"/>
      <c r="AP445" s="87"/>
      <c r="AQ445" s="229" t="s">
        <v>435</v>
      </c>
      <c r="AR445" s="5"/>
      <c r="AS445" s="5"/>
      <c r="AT445" s="5"/>
      <c r="AU445" s="5"/>
      <c r="AV445" s="5"/>
      <c r="AW445" s="5"/>
      <c r="AX445" s="284"/>
      <c r="AY445" s="5"/>
      <c r="AZ445" s="5"/>
      <c r="BA445" s="230"/>
      <c r="BB445" s="5"/>
      <c r="BC445" s="232" t="s">
        <v>3535</v>
      </c>
      <c r="BD445" s="257"/>
      <c r="BE445" s="249"/>
      <c r="BF445" s="249"/>
      <c r="BG445" s="249"/>
      <c r="BH445" s="249"/>
      <c r="BI445" s="249"/>
      <c r="BJ445" s="249"/>
      <c r="BK445" s="249"/>
      <c r="BL445" s="249"/>
      <c r="BM445" s="249"/>
      <c r="BN445" s="249"/>
      <c r="BO445" s="249"/>
      <c r="BP445" s="249"/>
      <c r="BQ445" s="249"/>
      <c r="BR445" s="249"/>
      <c r="BS445" s="249"/>
      <c r="BT445" s="249"/>
      <c r="BU445" s="249"/>
      <c r="BV445" s="249"/>
      <c r="BW445" s="249"/>
      <c r="BX445" s="249"/>
      <c r="BY445" s="249"/>
      <c r="BZ445" s="249"/>
      <c r="CA445" s="249"/>
      <c r="CB445" s="249"/>
      <c r="CC445" s="249"/>
      <c r="CD445" s="249"/>
      <c r="CE445" s="249"/>
    </row>
    <row r="446" spans="1:83" s="84" customFormat="1" ht="12.95" customHeight="1">
      <c r="A446" s="1"/>
      <c r="B446" s="1"/>
      <c r="C446" s="18" t="s">
        <v>436</v>
      </c>
      <c r="D446" s="52" t="s">
        <v>2719</v>
      </c>
      <c r="E446" s="52" t="s">
        <v>2767</v>
      </c>
      <c r="F446" s="53" t="s">
        <v>665</v>
      </c>
      <c r="G446" s="179" t="s">
        <v>1429</v>
      </c>
      <c r="H446" s="180" t="s">
        <v>436</v>
      </c>
      <c r="I446" s="55" t="s">
        <v>1429</v>
      </c>
      <c r="J446" s="55" t="s">
        <v>1429</v>
      </c>
      <c r="K446" s="56" t="s">
        <v>1429</v>
      </c>
      <c r="L446" s="54" t="s">
        <v>1429</v>
      </c>
      <c r="M446" s="55" t="s">
        <v>1580</v>
      </c>
      <c r="N446" s="55" t="s">
        <v>1429</v>
      </c>
      <c r="O446" s="55" t="s">
        <v>1429</v>
      </c>
      <c r="P446" s="56" t="s">
        <v>1429</v>
      </c>
      <c r="Q446" s="85"/>
      <c r="R446" s="85"/>
      <c r="S446" s="85"/>
      <c r="T446" s="85"/>
      <c r="U446" s="85"/>
      <c r="V446" s="146" t="s">
        <v>2768</v>
      </c>
      <c r="W446" s="51" t="s">
        <v>2611</v>
      </c>
      <c r="X446" s="130" t="s">
        <v>1429</v>
      </c>
      <c r="Y446" s="130" t="s">
        <v>1429</v>
      </c>
      <c r="Z446" s="51"/>
      <c r="AA446" s="51" t="s">
        <v>2612</v>
      </c>
      <c r="AB446" s="146"/>
      <c r="AC446" s="146" t="s">
        <v>1429</v>
      </c>
      <c r="AD446" s="98"/>
      <c r="AE446" s="83"/>
      <c r="AF446" s="83"/>
      <c r="AG446" s="83"/>
      <c r="AH446" s="86"/>
      <c r="AI446" s="86"/>
      <c r="AJ446" s="87"/>
      <c r="AK446" s="87"/>
      <c r="AL446" s="87"/>
      <c r="AM446" s="87"/>
      <c r="AN446" s="87"/>
      <c r="AO446" s="87"/>
      <c r="AP446" s="87"/>
      <c r="AQ446" s="229" t="s">
        <v>436</v>
      </c>
      <c r="AR446" s="5"/>
      <c r="AS446" s="5"/>
      <c r="AT446" s="5"/>
      <c r="AU446" s="5"/>
      <c r="AV446" s="5"/>
      <c r="AW446" s="5"/>
      <c r="AX446" s="284"/>
      <c r="AY446" s="5"/>
      <c r="AZ446" s="5"/>
      <c r="BA446" s="230"/>
      <c r="BB446" s="5"/>
      <c r="BC446" s="232" t="s">
        <v>3535</v>
      </c>
      <c r="BD446" s="257"/>
      <c r="BE446" s="249"/>
      <c r="BF446" s="249"/>
      <c r="BG446" s="249"/>
      <c r="BH446" s="249"/>
      <c r="BI446" s="249"/>
      <c r="BJ446" s="249"/>
      <c r="BK446" s="249"/>
      <c r="BL446" s="249"/>
      <c r="BM446" s="249"/>
      <c r="BN446" s="249"/>
      <c r="BO446" s="249"/>
      <c r="BP446" s="249"/>
      <c r="BQ446" s="249"/>
      <c r="BR446" s="249"/>
      <c r="BS446" s="249"/>
      <c r="BT446" s="249"/>
      <c r="BU446" s="249"/>
      <c r="BV446" s="249"/>
      <c r="BW446" s="249"/>
      <c r="BX446" s="249"/>
      <c r="BY446" s="249"/>
      <c r="BZ446" s="249"/>
      <c r="CA446" s="249"/>
      <c r="CB446" s="249"/>
      <c r="CC446" s="249"/>
      <c r="CD446" s="249"/>
      <c r="CE446" s="249"/>
    </row>
    <row r="447" spans="1:83" s="84" customFormat="1" ht="12.95" customHeight="1">
      <c r="A447" s="1"/>
      <c r="B447" s="1"/>
      <c r="C447" s="21" t="s">
        <v>437</v>
      </c>
      <c r="D447" s="52" t="s">
        <v>2717</v>
      </c>
      <c r="E447" s="52" t="s">
        <v>2769</v>
      </c>
      <c r="F447" s="53" t="s">
        <v>666</v>
      </c>
      <c r="G447" s="179" t="s">
        <v>1429</v>
      </c>
      <c r="H447" s="180" t="s">
        <v>437</v>
      </c>
      <c r="I447" s="55" t="s">
        <v>1429</v>
      </c>
      <c r="J447" s="55" t="s">
        <v>1429</v>
      </c>
      <c r="K447" s="56" t="s">
        <v>1429</v>
      </c>
      <c r="L447" s="54" t="s">
        <v>1429</v>
      </c>
      <c r="M447" s="55" t="s">
        <v>1580</v>
      </c>
      <c r="N447" s="55" t="s">
        <v>1429</v>
      </c>
      <c r="O447" s="55" t="s">
        <v>1429</v>
      </c>
      <c r="P447" s="56" t="s">
        <v>1429</v>
      </c>
      <c r="Q447" s="85"/>
      <c r="R447" s="85"/>
      <c r="S447" s="85"/>
      <c r="T447" s="85"/>
      <c r="U447" s="85"/>
      <c r="V447" s="146" t="s">
        <v>2770</v>
      </c>
      <c r="W447" s="51" t="s">
        <v>2611</v>
      </c>
      <c r="X447" s="130" t="s">
        <v>1429</v>
      </c>
      <c r="Y447" s="130" t="s">
        <v>1429</v>
      </c>
      <c r="Z447" s="51"/>
      <c r="AA447" s="51" t="s">
        <v>2612</v>
      </c>
      <c r="AB447" s="146"/>
      <c r="AC447" s="146" t="s">
        <v>1429</v>
      </c>
      <c r="AD447" s="98"/>
      <c r="AE447" s="83"/>
      <c r="AF447" s="83"/>
      <c r="AG447" s="83"/>
      <c r="AH447" s="86"/>
      <c r="AI447" s="86"/>
      <c r="AJ447" s="87"/>
      <c r="AK447" s="87"/>
      <c r="AL447" s="87"/>
      <c r="AM447" s="87"/>
      <c r="AN447" s="87"/>
      <c r="AO447" s="87"/>
      <c r="AP447" s="87"/>
      <c r="AQ447" s="229" t="s">
        <v>437</v>
      </c>
      <c r="AR447" s="5"/>
      <c r="AS447" s="5"/>
      <c r="AT447" s="5"/>
      <c r="AU447" s="5"/>
      <c r="AV447" s="5"/>
      <c r="AW447" s="5"/>
      <c r="AX447" s="284"/>
      <c r="AY447" s="5"/>
      <c r="AZ447" s="5"/>
      <c r="BA447" s="230"/>
      <c r="BB447" s="5"/>
      <c r="BC447" s="232" t="s">
        <v>3535</v>
      </c>
      <c r="BD447" s="257"/>
      <c r="BE447" s="249"/>
      <c r="BF447" s="249"/>
      <c r="BG447" s="249"/>
      <c r="BH447" s="249"/>
      <c r="BI447" s="249"/>
      <c r="BJ447" s="249"/>
      <c r="BK447" s="249"/>
      <c r="BL447" s="249"/>
      <c r="BM447" s="249"/>
      <c r="BN447" s="249"/>
      <c r="BO447" s="249"/>
      <c r="BP447" s="249"/>
      <c r="BQ447" s="249"/>
      <c r="BR447" s="249"/>
      <c r="BS447" s="249"/>
      <c r="BT447" s="249"/>
      <c r="BU447" s="249"/>
      <c r="BV447" s="249"/>
      <c r="BW447" s="249"/>
      <c r="BX447" s="249"/>
      <c r="BY447" s="249"/>
      <c r="BZ447" s="249"/>
      <c r="CA447" s="249"/>
      <c r="CB447" s="249"/>
      <c r="CC447" s="249"/>
      <c r="CD447" s="249"/>
      <c r="CE447" s="249"/>
    </row>
    <row r="448" spans="1:83" s="84" customFormat="1" ht="12.95" customHeight="1">
      <c r="A448" s="1"/>
      <c r="B448" s="1"/>
      <c r="C448" s="21" t="s">
        <v>438</v>
      </c>
      <c r="D448" s="52" t="s">
        <v>2706</v>
      </c>
      <c r="E448" s="52" t="s">
        <v>2771</v>
      </c>
      <c r="F448" s="53" t="s">
        <v>667</v>
      </c>
      <c r="G448" s="179" t="s">
        <v>1429</v>
      </c>
      <c r="H448" s="180" t="s">
        <v>438</v>
      </c>
      <c r="I448" s="55" t="s">
        <v>1429</v>
      </c>
      <c r="J448" s="55" t="s">
        <v>1429</v>
      </c>
      <c r="K448" s="56" t="s">
        <v>1429</v>
      </c>
      <c r="L448" s="54" t="s">
        <v>1429</v>
      </c>
      <c r="M448" s="55" t="s">
        <v>1580</v>
      </c>
      <c r="N448" s="55" t="s">
        <v>1429</v>
      </c>
      <c r="O448" s="55" t="s">
        <v>1429</v>
      </c>
      <c r="P448" s="56" t="s">
        <v>1429</v>
      </c>
      <c r="Q448" s="85"/>
      <c r="R448" s="85"/>
      <c r="S448" s="85"/>
      <c r="T448" s="85"/>
      <c r="U448" s="85"/>
      <c r="V448" s="146" t="s">
        <v>2772</v>
      </c>
      <c r="W448" s="51" t="s">
        <v>2611</v>
      </c>
      <c r="X448" s="130" t="s">
        <v>1429</v>
      </c>
      <c r="Y448" s="130" t="s">
        <v>1429</v>
      </c>
      <c r="Z448" s="51"/>
      <c r="AA448" s="51" t="s">
        <v>2612</v>
      </c>
      <c r="AB448" s="146"/>
      <c r="AC448" s="146" t="s">
        <v>1429</v>
      </c>
      <c r="AD448" s="98"/>
      <c r="AE448" s="83"/>
      <c r="AF448" s="83"/>
      <c r="AG448" s="83"/>
      <c r="AH448" s="86"/>
      <c r="AI448" s="86"/>
      <c r="AJ448" s="87"/>
      <c r="AK448" s="87"/>
      <c r="AL448" s="87"/>
      <c r="AM448" s="87"/>
      <c r="AN448" s="87"/>
      <c r="AO448" s="87"/>
      <c r="AP448" s="87"/>
      <c r="AQ448" s="229" t="s">
        <v>438</v>
      </c>
      <c r="AR448" s="5"/>
      <c r="AS448" s="5"/>
      <c r="AT448" s="5"/>
      <c r="AU448" s="5"/>
      <c r="AV448" s="5"/>
      <c r="AW448" s="5"/>
      <c r="AX448" s="284"/>
      <c r="AY448" s="5"/>
      <c r="AZ448" s="5"/>
      <c r="BA448" s="230"/>
      <c r="BB448" s="5"/>
      <c r="BC448" s="232" t="s">
        <v>3535</v>
      </c>
      <c r="BD448" s="257"/>
      <c r="BE448" s="249"/>
      <c r="BF448" s="249"/>
      <c r="BG448" s="249"/>
      <c r="BH448" s="249"/>
      <c r="BI448" s="249"/>
      <c r="BJ448" s="249"/>
      <c r="BK448" s="249"/>
      <c r="BL448" s="249"/>
      <c r="BM448" s="249"/>
      <c r="BN448" s="249"/>
      <c r="BO448" s="249"/>
      <c r="BP448" s="249"/>
      <c r="BQ448" s="249"/>
      <c r="BR448" s="249"/>
      <c r="BS448" s="249"/>
      <c r="BT448" s="249"/>
      <c r="BU448" s="249"/>
      <c r="BV448" s="249"/>
      <c r="BW448" s="249"/>
      <c r="BX448" s="249"/>
      <c r="BY448" s="249"/>
      <c r="BZ448" s="249"/>
      <c r="CA448" s="249"/>
      <c r="CB448" s="249"/>
      <c r="CC448" s="249"/>
      <c r="CD448" s="249"/>
      <c r="CE448" s="249"/>
    </row>
    <row r="449" spans="1:83" s="84" customFormat="1" ht="12.95" customHeight="1">
      <c r="A449" s="1"/>
      <c r="B449" s="1"/>
      <c r="C449" s="18" t="s">
        <v>439</v>
      </c>
      <c r="D449" s="52" t="s">
        <v>2723</v>
      </c>
      <c r="E449" s="52" t="s">
        <v>2773</v>
      </c>
      <c r="F449" s="53" t="s">
        <v>668</v>
      </c>
      <c r="G449" s="179" t="s">
        <v>1429</v>
      </c>
      <c r="H449" s="180" t="s">
        <v>439</v>
      </c>
      <c r="I449" s="55" t="s">
        <v>1429</v>
      </c>
      <c r="J449" s="55" t="s">
        <v>1429</v>
      </c>
      <c r="K449" s="56" t="s">
        <v>1429</v>
      </c>
      <c r="L449" s="54" t="s">
        <v>1429</v>
      </c>
      <c r="M449" s="55" t="s">
        <v>1580</v>
      </c>
      <c r="N449" s="55" t="s">
        <v>1429</v>
      </c>
      <c r="O449" s="55" t="s">
        <v>1429</v>
      </c>
      <c r="P449" s="56" t="s">
        <v>1429</v>
      </c>
      <c r="Q449" s="85"/>
      <c r="R449" s="85"/>
      <c r="S449" s="85"/>
      <c r="T449" s="85"/>
      <c r="U449" s="85"/>
      <c r="V449" s="146" t="s">
        <v>2774</v>
      </c>
      <c r="W449" s="51" t="s">
        <v>2611</v>
      </c>
      <c r="X449" s="130" t="s">
        <v>1429</v>
      </c>
      <c r="Y449" s="130" t="s">
        <v>1429</v>
      </c>
      <c r="Z449" s="51"/>
      <c r="AA449" s="51" t="s">
        <v>2612</v>
      </c>
      <c r="AB449" s="146"/>
      <c r="AC449" s="146" t="s">
        <v>1429</v>
      </c>
      <c r="AD449" s="98"/>
      <c r="AE449" s="83"/>
      <c r="AF449" s="83"/>
      <c r="AG449" s="83"/>
      <c r="AH449" s="86"/>
      <c r="AI449" s="86"/>
      <c r="AJ449" s="87"/>
      <c r="AK449" s="87"/>
      <c r="AL449" s="87"/>
      <c r="AM449" s="87"/>
      <c r="AN449" s="87"/>
      <c r="AO449" s="87"/>
      <c r="AP449" s="87"/>
      <c r="AQ449" s="229" t="s">
        <v>439</v>
      </c>
      <c r="AR449" s="5"/>
      <c r="AS449" s="5"/>
      <c r="AT449" s="5"/>
      <c r="AU449" s="5"/>
      <c r="AV449" s="5"/>
      <c r="AW449" s="5"/>
      <c r="AX449" s="284"/>
      <c r="AY449" s="5"/>
      <c r="AZ449" s="5"/>
      <c r="BA449" s="230"/>
      <c r="BB449" s="5"/>
      <c r="BC449" s="232" t="s">
        <v>3535</v>
      </c>
      <c r="BD449" s="257"/>
      <c r="BE449" s="249"/>
      <c r="BF449" s="249"/>
      <c r="BG449" s="249"/>
      <c r="BH449" s="249"/>
      <c r="BI449" s="249"/>
      <c r="BJ449" s="249"/>
      <c r="BK449" s="249"/>
      <c r="BL449" s="249"/>
      <c r="BM449" s="249"/>
      <c r="BN449" s="249"/>
      <c r="BO449" s="249"/>
      <c r="BP449" s="249"/>
      <c r="BQ449" s="249"/>
      <c r="BR449" s="249"/>
      <c r="BS449" s="249"/>
      <c r="BT449" s="249"/>
      <c r="BU449" s="249"/>
      <c r="BV449" s="249"/>
      <c r="BW449" s="249"/>
      <c r="BX449" s="249"/>
      <c r="BY449" s="249"/>
      <c r="BZ449" s="249"/>
      <c r="CA449" s="249"/>
      <c r="CB449" s="249"/>
      <c r="CC449" s="249"/>
      <c r="CD449" s="249"/>
      <c r="CE449" s="249"/>
    </row>
    <row r="450" spans="1:83" s="84" customFormat="1" ht="12.95" customHeight="1">
      <c r="A450" s="1"/>
      <c r="B450" s="1"/>
      <c r="C450" s="18" t="s">
        <v>440</v>
      </c>
      <c r="D450" s="52" t="s">
        <v>2775</v>
      </c>
      <c r="E450" s="52" t="s">
        <v>2776</v>
      </c>
      <c r="F450" s="53" t="s">
        <v>669</v>
      </c>
      <c r="G450" s="179" t="s">
        <v>1429</v>
      </c>
      <c r="H450" s="180" t="s">
        <v>440</v>
      </c>
      <c r="I450" s="55" t="s">
        <v>1429</v>
      </c>
      <c r="J450" s="55" t="s">
        <v>1429</v>
      </c>
      <c r="K450" s="56" t="s">
        <v>1429</v>
      </c>
      <c r="L450" s="54" t="s">
        <v>1429</v>
      </c>
      <c r="M450" s="55" t="s">
        <v>1580</v>
      </c>
      <c r="N450" s="55" t="s">
        <v>1429</v>
      </c>
      <c r="O450" s="55" t="s">
        <v>1429</v>
      </c>
      <c r="P450" s="56" t="s">
        <v>1429</v>
      </c>
      <c r="Q450" s="85"/>
      <c r="R450" s="85"/>
      <c r="S450" s="85"/>
      <c r="T450" s="85"/>
      <c r="U450" s="85"/>
      <c r="V450" s="146" t="s">
        <v>2777</v>
      </c>
      <c r="W450" s="51" t="s">
        <v>2611</v>
      </c>
      <c r="X450" s="130" t="s">
        <v>1429</v>
      </c>
      <c r="Y450" s="130" t="s">
        <v>1429</v>
      </c>
      <c r="Z450" s="51"/>
      <c r="AA450" s="51" t="s">
        <v>2612</v>
      </c>
      <c r="AB450" s="146"/>
      <c r="AC450" s="146" t="s">
        <v>1429</v>
      </c>
      <c r="AD450" s="98"/>
      <c r="AE450" s="83"/>
      <c r="AF450" s="83"/>
      <c r="AG450" s="83"/>
      <c r="AH450" s="86"/>
      <c r="AI450" s="86"/>
      <c r="AJ450" s="87"/>
      <c r="AK450" s="87"/>
      <c r="AL450" s="87"/>
      <c r="AM450" s="87"/>
      <c r="AN450" s="87"/>
      <c r="AO450" s="87"/>
      <c r="AP450" s="87"/>
      <c r="AQ450" s="229" t="s">
        <v>440</v>
      </c>
      <c r="AR450" s="5"/>
      <c r="AS450" s="5"/>
      <c r="AT450" s="5"/>
      <c r="AU450" s="5"/>
      <c r="AV450" s="5"/>
      <c r="AW450" s="5"/>
      <c r="AX450" s="284"/>
      <c r="AY450" s="5"/>
      <c r="AZ450" s="5"/>
      <c r="BA450" s="230"/>
      <c r="BB450" s="5"/>
      <c r="BC450" s="232" t="s">
        <v>3535</v>
      </c>
      <c r="BD450" s="257"/>
      <c r="BE450" s="249"/>
      <c r="BF450" s="249"/>
      <c r="BG450" s="249"/>
      <c r="BH450" s="249"/>
      <c r="BI450" s="249"/>
      <c r="BJ450" s="249"/>
      <c r="BK450" s="249"/>
      <c r="BL450" s="249"/>
      <c r="BM450" s="249"/>
      <c r="BN450" s="249"/>
      <c r="BO450" s="249"/>
      <c r="BP450" s="249"/>
      <c r="BQ450" s="249"/>
      <c r="BR450" s="249"/>
      <c r="BS450" s="249"/>
      <c r="BT450" s="249"/>
      <c r="BU450" s="249"/>
      <c r="BV450" s="249"/>
      <c r="BW450" s="249"/>
      <c r="BX450" s="249"/>
      <c r="BY450" s="249"/>
      <c r="BZ450" s="249"/>
      <c r="CA450" s="249"/>
      <c r="CB450" s="249"/>
      <c r="CC450" s="249"/>
      <c r="CD450" s="249"/>
      <c r="CE450" s="249"/>
    </row>
    <row r="451" spans="1:83" s="84" customFormat="1" ht="12.95" customHeight="1">
      <c r="A451" s="1"/>
      <c r="B451" s="1"/>
      <c r="C451" s="18" t="s">
        <v>441</v>
      </c>
      <c r="D451" s="52" t="s">
        <v>2771</v>
      </c>
      <c r="E451" s="52" t="s">
        <v>2778</v>
      </c>
      <c r="F451" s="53" t="s">
        <v>670</v>
      </c>
      <c r="G451" s="179" t="s">
        <v>1429</v>
      </c>
      <c r="H451" s="180" t="s">
        <v>441</v>
      </c>
      <c r="I451" s="55" t="s">
        <v>1429</v>
      </c>
      <c r="J451" s="55" t="s">
        <v>1429</v>
      </c>
      <c r="K451" s="56" t="s">
        <v>1429</v>
      </c>
      <c r="L451" s="54" t="s">
        <v>1429</v>
      </c>
      <c r="M451" s="55" t="s">
        <v>1580</v>
      </c>
      <c r="N451" s="55" t="s">
        <v>1429</v>
      </c>
      <c r="O451" s="55" t="s">
        <v>1429</v>
      </c>
      <c r="P451" s="56" t="s">
        <v>1429</v>
      </c>
      <c r="Q451" s="85"/>
      <c r="R451" s="85"/>
      <c r="S451" s="85"/>
      <c r="T451" s="85"/>
      <c r="U451" s="85"/>
      <c r="V451" s="146" t="s">
        <v>2779</v>
      </c>
      <c r="W451" s="51" t="s">
        <v>2611</v>
      </c>
      <c r="X451" s="130" t="s">
        <v>1429</v>
      </c>
      <c r="Y451" s="130" t="s">
        <v>1429</v>
      </c>
      <c r="Z451" s="51"/>
      <c r="AA451" s="51" t="s">
        <v>2612</v>
      </c>
      <c r="AB451" s="146"/>
      <c r="AC451" s="146" t="s">
        <v>1429</v>
      </c>
      <c r="AD451" s="98"/>
      <c r="AE451" s="83"/>
      <c r="AF451" s="83"/>
      <c r="AG451" s="83"/>
      <c r="AH451" s="86"/>
      <c r="AI451" s="86"/>
      <c r="AJ451" s="87"/>
      <c r="AK451" s="87"/>
      <c r="AL451" s="87"/>
      <c r="AM451" s="87"/>
      <c r="AN451" s="87"/>
      <c r="AO451" s="87"/>
      <c r="AP451" s="87"/>
      <c r="AQ451" s="229" t="s">
        <v>441</v>
      </c>
      <c r="AR451" s="5"/>
      <c r="AS451" s="5"/>
      <c r="AT451" s="5"/>
      <c r="AU451" s="5"/>
      <c r="AV451" s="5"/>
      <c r="AW451" s="5"/>
      <c r="AX451" s="284"/>
      <c r="AY451" s="5"/>
      <c r="AZ451" s="5"/>
      <c r="BA451" s="230"/>
      <c r="BB451" s="5"/>
      <c r="BC451" s="232" t="s">
        <v>3535</v>
      </c>
      <c r="BD451" s="257"/>
      <c r="BE451" s="249"/>
      <c r="BF451" s="249"/>
      <c r="BG451" s="249"/>
      <c r="BH451" s="249"/>
      <c r="BI451" s="249"/>
      <c r="BJ451" s="249"/>
      <c r="BK451" s="249"/>
      <c r="BL451" s="249"/>
      <c r="BM451" s="249"/>
      <c r="BN451" s="249"/>
      <c r="BO451" s="249"/>
      <c r="BP451" s="249"/>
      <c r="BQ451" s="249"/>
      <c r="BR451" s="249"/>
      <c r="BS451" s="249"/>
      <c r="BT451" s="249"/>
      <c r="BU451" s="249"/>
      <c r="BV451" s="249"/>
      <c r="BW451" s="249"/>
      <c r="BX451" s="249"/>
      <c r="BY451" s="249"/>
      <c r="BZ451" s="249"/>
      <c r="CA451" s="249"/>
      <c r="CB451" s="249"/>
      <c r="CC451" s="249"/>
      <c r="CD451" s="249"/>
      <c r="CE451" s="249"/>
    </row>
    <row r="452" spans="1:83" s="84" customFormat="1" ht="12.95" customHeight="1">
      <c r="A452" s="1"/>
      <c r="B452" s="1"/>
      <c r="C452" s="18" t="s">
        <v>442</v>
      </c>
      <c r="D452" s="52" t="s">
        <v>2753</v>
      </c>
      <c r="E452" s="52" t="s">
        <v>2780</v>
      </c>
      <c r="F452" s="53" t="s">
        <v>671</v>
      </c>
      <c r="G452" s="179" t="s">
        <v>1429</v>
      </c>
      <c r="H452" s="180" t="s">
        <v>442</v>
      </c>
      <c r="I452" s="55" t="s">
        <v>1429</v>
      </c>
      <c r="J452" s="55" t="s">
        <v>1429</v>
      </c>
      <c r="K452" s="56" t="s">
        <v>1429</v>
      </c>
      <c r="L452" s="54" t="s">
        <v>1429</v>
      </c>
      <c r="M452" s="55" t="s">
        <v>1580</v>
      </c>
      <c r="N452" s="55" t="s">
        <v>1429</v>
      </c>
      <c r="O452" s="55" t="s">
        <v>1429</v>
      </c>
      <c r="P452" s="56" t="s">
        <v>1429</v>
      </c>
      <c r="Q452" s="85"/>
      <c r="R452" s="85"/>
      <c r="S452" s="85"/>
      <c r="T452" s="85"/>
      <c r="U452" s="85"/>
      <c r="V452" s="146" t="s">
        <v>2781</v>
      </c>
      <c r="W452" s="51" t="s">
        <v>2611</v>
      </c>
      <c r="X452" s="130" t="s">
        <v>1429</v>
      </c>
      <c r="Y452" s="130" t="s">
        <v>1429</v>
      </c>
      <c r="Z452" s="51"/>
      <c r="AA452" s="51" t="s">
        <v>2612</v>
      </c>
      <c r="AB452" s="146"/>
      <c r="AC452" s="146" t="s">
        <v>1429</v>
      </c>
      <c r="AD452" s="98"/>
      <c r="AE452" s="83"/>
      <c r="AF452" s="83"/>
      <c r="AG452" s="83"/>
      <c r="AH452" s="86"/>
      <c r="AI452" s="86"/>
      <c r="AJ452" s="87"/>
      <c r="AK452" s="87"/>
      <c r="AL452" s="87"/>
      <c r="AM452" s="87"/>
      <c r="AN452" s="87"/>
      <c r="AO452" s="87"/>
      <c r="AP452" s="87"/>
      <c r="AQ452" s="229" t="s">
        <v>442</v>
      </c>
      <c r="AR452" s="5"/>
      <c r="AS452" s="5"/>
      <c r="AT452" s="5"/>
      <c r="AU452" s="5"/>
      <c r="AV452" s="5"/>
      <c r="AW452" s="5"/>
      <c r="AX452" s="284"/>
      <c r="AY452" s="5"/>
      <c r="AZ452" s="5"/>
      <c r="BA452" s="230"/>
      <c r="BB452" s="5"/>
      <c r="BC452" s="232" t="s">
        <v>3535</v>
      </c>
      <c r="BD452" s="257"/>
      <c r="BE452" s="249"/>
      <c r="BF452" s="249"/>
      <c r="BG452" s="249"/>
      <c r="BH452" s="249"/>
      <c r="BI452" s="249"/>
      <c r="BJ452" s="249"/>
      <c r="BK452" s="249"/>
      <c r="BL452" s="249"/>
      <c r="BM452" s="249"/>
      <c r="BN452" s="249"/>
      <c r="BO452" s="249"/>
      <c r="BP452" s="249"/>
      <c r="BQ452" s="249"/>
      <c r="BR452" s="249"/>
      <c r="BS452" s="249"/>
      <c r="BT452" s="249"/>
      <c r="BU452" s="249"/>
      <c r="BV452" s="249"/>
      <c r="BW452" s="249"/>
      <c r="BX452" s="249"/>
      <c r="BY452" s="249"/>
      <c r="BZ452" s="249"/>
      <c r="CA452" s="249"/>
      <c r="CB452" s="249"/>
      <c r="CC452" s="249"/>
      <c r="CD452" s="249"/>
      <c r="CE452" s="249"/>
    </row>
    <row r="453" spans="1:83" s="84" customFormat="1" ht="12.95" customHeight="1">
      <c r="A453" s="1"/>
      <c r="B453" s="1"/>
      <c r="C453" s="18" t="s">
        <v>443</v>
      </c>
      <c r="D453" s="52" t="s">
        <v>2765</v>
      </c>
      <c r="E453" s="52" t="s">
        <v>2782</v>
      </c>
      <c r="F453" s="53" t="s">
        <v>672</v>
      </c>
      <c r="G453" s="179" t="s">
        <v>1429</v>
      </c>
      <c r="H453" s="180" t="s">
        <v>443</v>
      </c>
      <c r="I453" s="55" t="s">
        <v>1429</v>
      </c>
      <c r="J453" s="55" t="s">
        <v>1429</v>
      </c>
      <c r="K453" s="56" t="s">
        <v>1429</v>
      </c>
      <c r="L453" s="54" t="s">
        <v>1429</v>
      </c>
      <c r="M453" s="55" t="s">
        <v>1580</v>
      </c>
      <c r="N453" s="55" t="s">
        <v>1429</v>
      </c>
      <c r="O453" s="55" t="s">
        <v>1429</v>
      </c>
      <c r="P453" s="56" t="s">
        <v>1429</v>
      </c>
      <c r="Q453" s="85"/>
      <c r="R453" s="85"/>
      <c r="S453" s="85"/>
      <c r="T453" s="85"/>
      <c r="U453" s="85"/>
      <c r="V453" s="146" t="s">
        <v>2783</v>
      </c>
      <c r="W453" s="51" t="s">
        <v>2611</v>
      </c>
      <c r="X453" s="130" t="s">
        <v>1429</v>
      </c>
      <c r="Y453" s="130" t="s">
        <v>1429</v>
      </c>
      <c r="Z453" s="51"/>
      <c r="AA453" s="51" t="s">
        <v>2612</v>
      </c>
      <c r="AB453" s="146"/>
      <c r="AC453" s="146" t="s">
        <v>1429</v>
      </c>
      <c r="AD453" s="98"/>
      <c r="AE453" s="83"/>
      <c r="AF453" s="83"/>
      <c r="AG453" s="83"/>
      <c r="AH453" s="86"/>
      <c r="AI453" s="86"/>
      <c r="AJ453" s="87"/>
      <c r="AK453" s="87"/>
      <c r="AL453" s="87"/>
      <c r="AM453" s="87"/>
      <c r="AN453" s="87"/>
      <c r="AO453" s="87"/>
      <c r="AP453" s="87"/>
      <c r="AQ453" s="229" t="s">
        <v>443</v>
      </c>
      <c r="AR453" s="5"/>
      <c r="AS453" s="5"/>
      <c r="AT453" s="5"/>
      <c r="AU453" s="5"/>
      <c r="AV453" s="5"/>
      <c r="AW453" s="5"/>
      <c r="AX453" s="284"/>
      <c r="AY453" s="5"/>
      <c r="AZ453" s="5"/>
      <c r="BA453" s="230"/>
      <c r="BB453" s="5"/>
      <c r="BC453" s="232" t="s">
        <v>3535</v>
      </c>
      <c r="BD453" s="257"/>
      <c r="BE453" s="249"/>
      <c r="BF453" s="249"/>
      <c r="BG453" s="249"/>
      <c r="BH453" s="249"/>
      <c r="BI453" s="249"/>
      <c r="BJ453" s="249"/>
      <c r="BK453" s="249"/>
      <c r="BL453" s="249"/>
      <c r="BM453" s="249"/>
      <c r="BN453" s="249"/>
      <c r="BO453" s="249"/>
      <c r="BP453" s="249"/>
      <c r="BQ453" s="249"/>
      <c r="BR453" s="249"/>
      <c r="BS453" s="249"/>
      <c r="BT453" s="249"/>
      <c r="BU453" s="249"/>
      <c r="BV453" s="249"/>
      <c r="BW453" s="249"/>
      <c r="BX453" s="249"/>
      <c r="BY453" s="249"/>
      <c r="BZ453" s="249"/>
      <c r="CA453" s="249"/>
      <c r="CB453" s="249"/>
      <c r="CC453" s="249"/>
      <c r="CD453" s="249"/>
      <c r="CE453" s="249"/>
    </row>
    <row r="454" spans="1:83" s="84" customFormat="1" ht="12.95" customHeight="1">
      <c r="A454" s="1"/>
      <c r="B454" s="1"/>
      <c r="C454" s="18" t="s">
        <v>444</v>
      </c>
      <c r="D454" s="52" t="s">
        <v>2769</v>
      </c>
      <c r="E454" s="52" t="s">
        <v>2784</v>
      </c>
      <c r="F454" s="53" t="s">
        <v>673</v>
      </c>
      <c r="G454" s="179" t="s">
        <v>1429</v>
      </c>
      <c r="H454" s="180" t="s">
        <v>444</v>
      </c>
      <c r="I454" s="55" t="s">
        <v>1429</v>
      </c>
      <c r="J454" s="55" t="s">
        <v>1429</v>
      </c>
      <c r="K454" s="56" t="s">
        <v>1429</v>
      </c>
      <c r="L454" s="54" t="s">
        <v>1429</v>
      </c>
      <c r="M454" s="55" t="s">
        <v>1580</v>
      </c>
      <c r="N454" s="55" t="s">
        <v>1429</v>
      </c>
      <c r="O454" s="55" t="s">
        <v>1429</v>
      </c>
      <c r="P454" s="56" t="s">
        <v>1429</v>
      </c>
      <c r="Q454" s="85"/>
      <c r="R454" s="85"/>
      <c r="S454" s="85"/>
      <c r="T454" s="85"/>
      <c r="U454" s="85"/>
      <c r="V454" s="146" t="s">
        <v>2785</v>
      </c>
      <c r="W454" s="51" t="s">
        <v>2611</v>
      </c>
      <c r="X454" s="130" t="s">
        <v>1429</v>
      </c>
      <c r="Y454" s="130" t="s">
        <v>1429</v>
      </c>
      <c r="Z454" s="51"/>
      <c r="AA454" s="51" t="s">
        <v>2612</v>
      </c>
      <c r="AB454" s="146"/>
      <c r="AC454" s="146" t="s">
        <v>1429</v>
      </c>
      <c r="AD454" s="98"/>
      <c r="AE454" s="83"/>
      <c r="AF454" s="83"/>
      <c r="AG454" s="83"/>
      <c r="AH454" s="86"/>
      <c r="AI454" s="86"/>
      <c r="AJ454" s="87"/>
      <c r="AK454" s="87"/>
      <c r="AL454" s="87"/>
      <c r="AM454" s="87"/>
      <c r="AN454" s="87"/>
      <c r="AO454" s="87"/>
      <c r="AP454" s="87"/>
      <c r="AQ454" s="229" t="s">
        <v>444</v>
      </c>
      <c r="AR454" s="5"/>
      <c r="AS454" s="5"/>
      <c r="AT454" s="5"/>
      <c r="AU454" s="5"/>
      <c r="AV454" s="5"/>
      <c r="AW454" s="5"/>
      <c r="AX454" s="284"/>
      <c r="AY454" s="5"/>
      <c r="AZ454" s="5"/>
      <c r="BA454" s="230"/>
      <c r="BB454" s="5"/>
      <c r="BC454" s="232" t="s">
        <v>3535</v>
      </c>
      <c r="BD454" s="257"/>
      <c r="BE454" s="249"/>
      <c r="BF454" s="249"/>
      <c r="BG454" s="249"/>
      <c r="BH454" s="249"/>
      <c r="BI454" s="249"/>
      <c r="BJ454" s="249"/>
      <c r="BK454" s="249"/>
      <c r="BL454" s="249"/>
      <c r="BM454" s="249"/>
      <c r="BN454" s="249"/>
      <c r="BO454" s="249"/>
      <c r="BP454" s="249"/>
      <c r="BQ454" s="249"/>
      <c r="BR454" s="249"/>
      <c r="BS454" s="249"/>
      <c r="BT454" s="249"/>
      <c r="BU454" s="249"/>
      <c r="BV454" s="249"/>
      <c r="BW454" s="249"/>
      <c r="BX454" s="249"/>
      <c r="BY454" s="249"/>
      <c r="BZ454" s="249"/>
      <c r="CA454" s="249"/>
      <c r="CB454" s="249"/>
      <c r="CC454" s="249"/>
      <c r="CD454" s="249"/>
      <c r="CE454" s="249"/>
    </row>
    <row r="455" spans="1:83" s="84" customFormat="1" ht="12.95" customHeight="1">
      <c r="A455" s="1"/>
      <c r="B455" s="1"/>
      <c r="C455" s="18" t="s">
        <v>445</v>
      </c>
      <c r="D455" s="52" t="s">
        <v>2755</v>
      </c>
      <c r="E455" s="52" t="s">
        <v>2786</v>
      </c>
      <c r="F455" s="53" t="s">
        <v>674</v>
      </c>
      <c r="G455" s="179" t="s">
        <v>1429</v>
      </c>
      <c r="H455" s="180" t="s">
        <v>445</v>
      </c>
      <c r="I455" s="55" t="s">
        <v>1429</v>
      </c>
      <c r="J455" s="55" t="s">
        <v>1429</v>
      </c>
      <c r="K455" s="56" t="s">
        <v>1429</v>
      </c>
      <c r="L455" s="54" t="s">
        <v>1429</v>
      </c>
      <c r="M455" s="55" t="s">
        <v>1580</v>
      </c>
      <c r="N455" s="55" t="s">
        <v>1429</v>
      </c>
      <c r="O455" s="55" t="s">
        <v>1429</v>
      </c>
      <c r="P455" s="56" t="s">
        <v>1429</v>
      </c>
      <c r="Q455" s="85"/>
      <c r="R455" s="85"/>
      <c r="S455" s="85"/>
      <c r="T455" s="85"/>
      <c r="U455" s="85"/>
      <c r="V455" s="146" t="s">
        <v>2787</v>
      </c>
      <c r="W455" s="51" t="s">
        <v>2611</v>
      </c>
      <c r="X455" s="130" t="s">
        <v>1429</v>
      </c>
      <c r="Y455" s="130" t="s">
        <v>1429</v>
      </c>
      <c r="Z455" s="51"/>
      <c r="AA455" s="51" t="s">
        <v>2612</v>
      </c>
      <c r="AB455" s="146"/>
      <c r="AC455" s="146" t="s">
        <v>1429</v>
      </c>
      <c r="AD455" s="98"/>
      <c r="AE455" s="83"/>
      <c r="AF455" s="83"/>
      <c r="AG455" s="83"/>
      <c r="AH455" s="86"/>
      <c r="AI455" s="86"/>
      <c r="AJ455" s="87"/>
      <c r="AK455" s="87"/>
      <c r="AL455" s="87"/>
      <c r="AM455" s="87"/>
      <c r="AN455" s="87"/>
      <c r="AO455" s="87"/>
      <c r="AP455" s="87"/>
      <c r="AQ455" s="229" t="s">
        <v>445</v>
      </c>
      <c r="AR455" s="5"/>
      <c r="AS455" s="5"/>
      <c r="AT455" s="5"/>
      <c r="AU455" s="5"/>
      <c r="AV455" s="5"/>
      <c r="AW455" s="5"/>
      <c r="AX455" s="284"/>
      <c r="AY455" s="5"/>
      <c r="AZ455" s="5"/>
      <c r="BA455" s="230"/>
      <c r="BB455" s="5"/>
      <c r="BC455" s="232" t="s">
        <v>3535</v>
      </c>
      <c r="BD455" s="257"/>
      <c r="BE455" s="249"/>
      <c r="BF455" s="249"/>
      <c r="BG455" s="249"/>
      <c r="BH455" s="249"/>
      <c r="BI455" s="249"/>
      <c r="BJ455" s="249"/>
      <c r="BK455" s="249"/>
      <c r="BL455" s="249"/>
      <c r="BM455" s="249"/>
      <c r="BN455" s="249"/>
      <c r="BO455" s="249"/>
      <c r="BP455" s="249"/>
      <c r="BQ455" s="249"/>
      <c r="BR455" s="249"/>
      <c r="BS455" s="249"/>
      <c r="BT455" s="249"/>
      <c r="BU455" s="249"/>
      <c r="BV455" s="249"/>
      <c r="BW455" s="249"/>
      <c r="BX455" s="249"/>
      <c r="BY455" s="249"/>
      <c r="BZ455" s="249"/>
      <c r="CA455" s="249"/>
      <c r="CB455" s="249"/>
      <c r="CC455" s="249"/>
      <c r="CD455" s="249"/>
      <c r="CE455" s="249"/>
    </row>
    <row r="456" spans="1:83" s="84" customFormat="1" ht="12.95" customHeight="1">
      <c r="A456" s="1"/>
      <c r="B456" s="1"/>
      <c r="C456" s="18" t="s">
        <v>446</v>
      </c>
      <c r="D456" s="52" t="s">
        <v>2776</v>
      </c>
      <c r="E456" s="52" t="s">
        <v>2788</v>
      </c>
      <c r="F456" s="53" t="s">
        <v>675</v>
      </c>
      <c r="G456" s="179" t="s">
        <v>1429</v>
      </c>
      <c r="H456" s="180" t="s">
        <v>446</v>
      </c>
      <c r="I456" s="55" t="s">
        <v>1429</v>
      </c>
      <c r="J456" s="55" t="s">
        <v>1429</v>
      </c>
      <c r="K456" s="56" t="s">
        <v>1429</v>
      </c>
      <c r="L456" s="54" t="s">
        <v>1429</v>
      </c>
      <c r="M456" s="55" t="s">
        <v>1580</v>
      </c>
      <c r="N456" s="55" t="s">
        <v>1429</v>
      </c>
      <c r="O456" s="55" t="s">
        <v>1429</v>
      </c>
      <c r="P456" s="56" t="s">
        <v>1429</v>
      </c>
      <c r="Q456" s="85"/>
      <c r="R456" s="85"/>
      <c r="S456" s="85"/>
      <c r="T456" s="85"/>
      <c r="U456" s="85"/>
      <c r="V456" s="146" t="s">
        <v>2789</v>
      </c>
      <c r="W456" s="51" t="s">
        <v>2611</v>
      </c>
      <c r="X456" s="130" t="s">
        <v>1429</v>
      </c>
      <c r="Y456" s="130" t="s">
        <v>1429</v>
      </c>
      <c r="Z456" s="51"/>
      <c r="AA456" s="51" t="s">
        <v>2612</v>
      </c>
      <c r="AB456" s="146"/>
      <c r="AC456" s="146" t="s">
        <v>1429</v>
      </c>
      <c r="AD456" s="98"/>
      <c r="AE456" s="83"/>
      <c r="AF456" s="83"/>
      <c r="AG456" s="83"/>
      <c r="AH456" s="86"/>
      <c r="AI456" s="86"/>
      <c r="AJ456" s="87"/>
      <c r="AK456" s="87"/>
      <c r="AL456" s="87"/>
      <c r="AM456" s="87"/>
      <c r="AN456" s="87"/>
      <c r="AO456" s="87"/>
      <c r="AP456" s="87"/>
      <c r="AQ456" s="229" t="s">
        <v>446</v>
      </c>
      <c r="AR456" s="5"/>
      <c r="AS456" s="5"/>
      <c r="AT456" s="5"/>
      <c r="AU456" s="5"/>
      <c r="AV456" s="5"/>
      <c r="AW456" s="5"/>
      <c r="AX456" s="284"/>
      <c r="AY456" s="5"/>
      <c r="AZ456" s="5"/>
      <c r="BA456" s="230"/>
      <c r="BB456" s="5"/>
      <c r="BC456" s="232" t="s">
        <v>3535</v>
      </c>
      <c r="BD456" s="257"/>
      <c r="BE456" s="249"/>
      <c r="BF456" s="249"/>
      <c r="BG456" s="249"/>
      <c r="BH456" s="249"/>
      <c r="BI456" s="249"/>
      <c r="BJ456" s="249"/>
      <c r="BK456" s="249"/>
      <c r="BL456" s="249"/>
      <c r="BM456" s="249"/>
      <c r="BN456" s="249"/>
      <c r="BO456" s="249"/>
      <c r="BP456" s="249"/>
      <c r="BQ456" s="249"/>
      <c r="BR456" s="249"/>
      <c r="BS456" s="249"/>
      <c r="BT456" s="249"/>
      <c r="BU456" s="249"/>
      <c r="BV456" s="249"/>
      <c r="BW456" s="249"/>
      <c r="BX456" s="249"/>
      <c r="BY456" s="249"/>
      <c r="BZ456" s="249"/>
      <c r="CA456" s="249"/>
      <c r="CB456" s="249"/>
      <c r="CC456" s="249"/>
      <c r="CD456" s="249"/>
      <c r="CE456" s="249"/>
    </row>
    <row r="457" spans="1:83" s="84" customFormat="1" ht="12.95" customHeight="1">
      <c r="A457" s="1"/>
      <c r="B457" s="1"/>
      <c r="C457" s="18" t="s">
        <v>447</v>
      </c>
      <c r="D457" s="52" t="s">
        <v>2782</v>
      </c>
      <c r="E457" s="52" t="s">
        <v>2790</v>
      </c>
      <c r="F457" s="53" t="s">
        <v>676</v>
      </c>
      <c r="G457" s="179" t="s">
        <v>1429</v>
      </c>
      <c r="H457" s="180" t="s">
        <v>447</v>
      </c>
      <c r="I457" s="55" t="s">
        <v>1429</v>
      </c>
      <c r="J457" s="55" t="s">
        <v>1429</v>
      </c>
      <c r="K457" s="56" t="s">
        <v>1429</v>
      </c>
      <c r="L457" s="54" t="s">
        <v>1429</v>
      </c>
      <c r="M457" s="55" t="s">
        <v>1580</v>
      </c>
      <c r="N457" s="55" t="s">
        <v>1429</v>
      </c>
      <c r="O457" s="55" t="s">
        <v>1429</v>
      </c>
      <c r="P457" s="56" t="s">
        <v>1429</v>
      </c>
      <c r="Q457" s="85"/>
      <c r="R457" s="85"/>
      <c r="S457" s="85"/>
      <c r="T457" s="85"/>
      <c r="U457" s="85"/>
      <c r="V457" s="146" t="s">
        <v>2791</v>
      </c>
      <c r="W457" s="51" t="s">
        <v>2611</v>
      </c>
      <c r="X457" s="130" t="s">
        <v>1429</v>
      </c>
      <c r="Y457" s="130" t="s">
        <v>1429</v>
      </c>
      <c r="Z457" s="51"/>
      <c r="AA457" s="51" t="s">
        <v>2612</v>
      </c>
      <c r="AB457" s="146"/>
      <c r="AC457" s="146" t="s">
        <v>1429</v>
      </c>
      <c r="AD457" s="98"/>
      <c r="AE457" s="83"/>
      <c r="AF457" s="83"/>
      <c r="AG457" s="83"/>
      <c r="AH457" s="86"/>
      <c r="AI457" s="86"/>
      <c r="AJ457" s="87"/>
      <c r="AK457" s="87"/>
      <c r="AL457" s="87"/>
      <c r="AM457" s="87"/>
      <c r="AN457" s="87"/>
      <c r="AO457" s="87"/>
      <c r="AP457" s="87"/>
      <c r="AQ457" s="229" t="s">
        <v>447</v>
      </c>
      <c r="AR457" s="5"/>
      <c r="AS457" s="5"/>
      <c r="AT457" s="5"/>
      <c r="AU457" s="5"/>
      <c r="AV457" s="5"/>
      <c r="AW457" s="5"/>
      <c r="AX457" s="284"/>
      <c r="AY457" s="5"/>
      <c r="AZ457" s="5"/>
      <c r="BA457" s="230"/>
      <c r="BB457" s="5"/>
      <c r="BC457" s="232" t="s">
        <v>3535</v>
      </c>
      <c r="BD457" s="257"/>
      <c r="BE457" s="249"/>
      <c r="BF457" s="249"/>
      <c r="BG457" s="249"/>
      <c r="BH457" s="249"/>
      <c r="BI457" s="249"/>
      <c r="BJ457" s="249"/>
      <c r="BK457" s="249"/>
      <c r="BL457" s="249"/>
      <c r="BM457" s="249"/>
      <c r="BN457" s="249"/>
      <c r="BO457" s="249"/>
      <c r="BP457" s="249"/>
      <c r="BQ457" s="249"/>
      <c r="BR457" s="249"/>
      <c r="BS457" s="249"/>
      <c r="BT457" s="249"/>
      <c r="BU457" s="249"/>
      <c r="BV457" s="249"/>
      <c r="BW457" s="249"/>
      <c r="BX457" s="249"/>
      <c r="BY457" s="249"/>
      <c r="BZ457" s="249"/>
      <c r="CA457" s="249"/>
      <c r="CB457" s="249"/>
      <c r="CC457" s="249"/>
      <c r="CD457" s="249"/>
      <c r="CE457" s="249"/>
    </row>
    <row r="458" spans="1:83" s="84" customFormat="1" ht="12.95" customHeight="1">
      <c r="A458" s="1"/>
      <c r="B458" s="1"/>
      <c r="C458" s="18" t="s">
        <v>448</v>
      </c>
      <c r="D458" s="52" t="s">
        <v>2758</v>
      </c>
      <c r="E458" s="52" t="s">
        <v>2792</v>
      </c>
      <c r="F458" s="53" t="s">
        <v>677</v>
      </c>
      <c r="G458" s="179" t="s">
        <v>1429</v>
      </c>
      <c r="H458" s="180" t="s">
        <v>448</v>
      </c>
      <c r="I458" s="55" t="s">
        <v>1429</v>
      </c>
      <c r="J458" s="55" t="s">
        <v>1429</v>
      </c>
      <c r="K458" s="56" t="s">
        <v>1429</v>
      </c>
      <c r="L458" s="54" t="s">
        <v>1429</v>
      </c>
      <c r="M458" s="55" t="s">
        <v>1580</v>
      </c>
      <c r="N458" s="55" t="s">
        <v>1429</v>
      </c>
      <c r="O458" s="55" t="s">
        <v>1429</v>
      </c>
      <c r="P458" s="56" t="s">
        <v>1429</v>
      </c>
      <c r="Q458" s="85"/>
      <c r="R458" s="85"/>
      <c r="S458" s="85"/>
      <c r="T458" s="85"/>
      <c r="U458" s="85"/>
      <c r="V458" s="146" t="s">
        <v>2793</v>
      </c>
      <c r="W458" s="51" t="s">
        <v>2611</v>
      </c>
      <c r="X458" s="130" t="s">
        <v>1429</v>
      </c>
      <c r="Y458" s="130" t="s">
        <v>1429</v>
      </c>
      <c r="Z458" s="51"/>
      <c r="AA458" s="51" t="s">
        <v>2612</v>
      </c>
      <c r="AB458" s="146"/>
      <c r="AC458" s="146" t="s">
        <v>1429</v>
      </c>
      <c r="AD458" s="98"/>
      <c r="AE458" s="83"/>
      <c r="AF458" s="83"/>
      <c r="AG458" s="83"/>
      <c r="AH458" s="86"/>
      <c r="AI458" s="86"/>
      <c r="AJ458" s="87"/>
      <c r="AK458" s="87"/>
      <c r="AL458" s="87"/>
      <c r="AM458" s="87"/>
      <c r="AN458" s="87"/>
      <c r="AO458" s="87"/>
      <c r="AP458" s="87"/>
      <c r="AQ458" s="229" t="s">
        <v>448</v>
      </c>
      <c r="AR458" s="5"/>
      <c r="AS458" s="5"/>
      <c r="AT458" s="5"/>
      <c r="AU458" s="5"/>
      <c r="AV458" s="5"/>
      <c r="AW458" s="5"/>
      <c r="AX458" s="284"/>
      <c r="AY458" s="5"/>
      <c r="AZ458" s="5"/>
      <c r="BA458" s="230"/>
      <c r="BB458" s="5"/>
      <c r="BC458" s="232" t="s">
        <v>3535</v>
      </c>
      <c r="BD458" s="257"/>
      <c r="BE458" s="249"/>
      <c r="BF458" s="249"/>
      <c r="BG458" s="249"/>
      <c r="BH458" s="249"/>
      <c r="BI458" s="249"/>
      <c r="BJ458" s="249"/>
      <c r="BK458" s="249"/>
      <c r="BL458" s="249"/>
      <c r="BM458" s="249"/>
      <c r="BN458" s="249"/>
      <c r="BO458" s="249"/>
      <c r="BP458" s="249"/>
      <c r="BQ458" s="249"/>
      <c r="BR458" s="249"/>
      <c r="BS458" s="249"/>
      <c r="BT458" s="249"/>
      <c r="BU458" s="249"/>
      <c r="BV458" s="249"/>
      <c r="BW458" s="249"/>
      <c r="BX458" s="249"/>
      <c r="BY458" s="249"/>
      <c r="BZ458" s="249"/>
      <c r="CA458" s="249"/>
      <c r="CB458" s="249"/>
      <c r="CC458" s="249"/>
      <c r="CD458" s="249"/>
      <c r="CE458" s="249"/>
    </row>
    <row r="459" spans="1:83" s="84" customFormat="1" ht="12.95" customHeight="1">
      <c r="A459" s="1"/>
      <c r="B459" s="1"/>
      <c r="C459" s="21" t="s">
        <v>449</v>
      </c>
      <c r="D459" s="52" t="s">
        <v>2794</v>
      </c>
      <c r="E459" s="52" t="s">
        <v>2795</v>
      </c>
      <c r="F459" s="53" t="s">
        <v>678</v>
      </c>
      <c r="G459" s="179" t="s">
        <v>1429</v>
      </c>
      <c r="H459" s="180" t="s">
        <v>449</v>
      </c>
      <c r="I459" s="55" t="s">
        <v>1429</v>
      </c>
      <c r="J459" s="55" t="s">
        <v>1429</v>
      </c>
      <c r="K459" s="56" t="s">
        <v>1429</v>
      </c>
      <c r="L459" s="54" t="s">
        <v>1429</v>
      </c>
      <c r="M459" s="55" t="s">
        <v>1580</v>
      </c>
      <c r="N459" s="55" t="s">
        <v>1429</v>
      </c>
      <c r="O459" s="55" t="s">
        <v>1429</v>
      </c>
      <c r="P459" s="56" t="s">
        <v>1429</v>
      </c>
      <c r="Q459" s="85"/>
      <c r="R459" s="85"/>
      <c r="S459" s="85"/>
      <c r="T459" s="85"/>
      <c r="U459" s="85"/>
      <c r="V459" s="146" t="s">
        <v>2796</v>
      </c>
      <c r="W459" s="51" t="s">
        <v>2611</v>
      </c>
      <c r="X459" s="130" t="s">
        <v>1429</v>
      </c>
      <c r="Y459" s="130" t="s">
        <v>1429</v>
      </c>
      <c r="Z459" s="51"/>
      <c r="AA459" s="51" t="s">
        <v>2612</v>
      </c>
      <c r="AB459" s="146"/>
      <c r="AC459" s="146" t="s">
        <v>1429</v>
      </c>
      <c r="AD459" s="98"/>
      <c r="AE459" s="83"/>
      <c r="AF459" s="83"/>
      <c r="AG459" s="83"/>
      <c r="AH459" s="86"/>
      <c r="AI459" s="86"/>
      <c r="AJ459" s="87"/>
      <c r="AK459" s="87"/>
      <c r="AL459" s="87"/>
      <c r="AM459" s="87"/>
      <c r="AN459" s="87"/>
      <c r="AO459" s="87"/>
      <c r="AP459" s="87"/>
      <c r="AQ459" s="229" t="s">
        <v>449</v>
      </c>
      <c r="AR459" s="5"/>
      <c r="AS459" s="5"/>
      <c r="AT459" s="5"/>
      <c r="AU459" s="5"/>
      <c r="AV459" s="5"/>
      <c r="AW459" s="5"/>
      <c r="AX459" s="284"/>
      <c r="AY459" s="5"/>
      <c r="AZ459" s="5"/>
      <c r="BA459" s="230"/>
      <c r="BB459" s="5"/>
      <c r="BC459" s="232" t="s">
        <v>3535</v>
      </c>
      <c r="BD459" s="257"/>
      <c r="BE459" s="249"/>
      <c r="BF459" s="249"/>
      <c r="BG459" s="249"/>
      <c r="BH459" s="249"/>
      <c r="BI459" s="249"/>
      <c r="BJ459" s="249"/>
      <c r="BK459" s="249"/>
      <c r="BL459" s="249"/>
      <c r="BM459" s="249"/>
      <c r="BN459" s="249"/>
      <c r="BO459" s="249"/>
      <c r="BP459" s="249"/>
      <c r="BQ459" s="249"/>
      <c r="BR459" s="249"/>
      <c r="BS459" s="249"/>
      <c r="BT459" s="249"/>
      <c r="BU459" s="249"/>
      <c r="BV459" s="249"/>
      <c r="BW459" s="249"/>
      <c r="BX459" s="249"/>
      <c r="BY459" s="249"/>
      <c r="BZ459" s="249"/>
      <c r="CA459" s="249"/>
      <c r="CB459" s="249"/>
      <c r="CC459" s="249"/>
      <c r="CD459" s="249"/>
      <c r="CE459" s="249"/>
    </row>
    <row r="460" spans="1:83" s="84" customFormat="1" ht="12.95" customHeight="1">
      <c r="A460" s="1"/>
      <c r="B460" s="1"/>
      <c r="C460" s="21" t="s">
        <v>450</v>
      </c>
      <c r="D460" s="52" t="s">
        <v>2767</v>
      </c>
      <c r="E460" s="52" t="s">
        <v>2797</v>
      </c>
      <c r="F460" s="53" t="s">
        <v>679</v>
      </c>
      <c r="G460" s="179" t="s">
        <v>1429</v>
      </c>
      <c r="H460" s="180" t="s">
        <v>450</v>
      </c>
      <c r="I460" s="55" t="s">
        <v>1429</v>
      </c>
      <c r="J460" s="55" t="s">
        <v>1429</v>
      </c>
      <c r="K460" s="56" t="s">
        <v>1429</v>
      </c>
      <c r="L460" s="54" t="s">
        <v>1429</v>
      </c>
      <c r="M460" s="55" t="s">
        <v>1580</v>
      </c>
      <c r="N460" s="55" t="s">
        <v>1429</v>
      </c>
      <c r="O460" s="55" t="s">
        <v>1429</v>
      </c>
      <c r="P460" s="56" t="s">
        <v>1429</v>
      </c>
      <c r="Q460" s="85"/>
      <c r="R460" s="85"/>
      <c r="S460" s="85"/>
      <c r="T460" s="85"/>
      <c r="U460" s="85"/>
      <c r="V460" s="146" t="s">
        <v>2798</v>
      </c>
      <c r="W460" s="51" t="s">
        <v>2611</v>
      </c>
      <c r="X460" s="130" t="s">
        <v>1429</v>
      </c>
      <c r="Y460" s="130" t="s">
        <v>1429</v>
      </c>
      <c r="Z460" s="51"/>
      <c r="AA460" s="51" t="s">
        <v>2612</v>
      </c>
      <c r="AB460" s="146"/>
      <c r="AC460" s="146" t="s">
        <v>1429</v>
      </c>
      <c r="AD460" s="98"/>
      <c r="AE460" s="83"/>
      <c r="AF460" s="83"/>
      <c r="AG460" s="83"/>
      <c r="AH460" s="86"/>
      <c r="AI460" s="86"/>
      <c r="AJ460" s="87"/>
      <c r="AK460" s="87"/>
      <c r="AL460" s="87"/>
      <c r="AM460" s="87"/>
      <c r="AN460" s="87"/>
      <c r="AO460" s="87"/>
      <c r="AP460" s="87"/>
      <c r="AQ460" s="229" t="s">
        <v>450</v>
      </c>
      <c r="AR460" s="5"/>
      <c r="AS460" s="5"/>
      <c r="AT460" s="5"/>
      <c r="AU460" s="5"/>
      <c r="AV460" s="5"/>
      <c r="AW460" s="5"/>
      <c r="AX460" s="284"/>
      <c r="AY460" s="5"/>
      <c r="AZ460" s="5"/>
      <c r="BA460" s="230"/>
      <c r="BB460" s="5"/>
      <c r="BC460" s="232" t="s">
        <v>3535</v>
      </c>
      <c r="BD460" s="257"/>
      <c r="BE460" s="249"/>
      <c r="BF460" s="249"/>
      <c r="BG460" s="249"/>
      <c r="BH460" s="249"/>
      <c r="BI460" s="249"/>
      <c r="BJ460" s="249"/>
      <c r="BK460" s="249"/>
      <c r="BL460" s="249"/>
      <c r="BM460" s="249"/>
      <c r="BN460" s="249"/>
      <c r="BO460" s="249"/>
      <c r="BP460" s="249"/>
      <c r="BQ460" s="249"/>
      <c r="BR460" s="249"/>
      <c r="BS460" s="249"/>
      <c r="BT460" s="249"/>
      <c r="BU460" s="249"/>
      <c r="BV460" s="249"/>
      <c r="BW460" s="249"/>
      <c r="BX460" s="249"/>
      <c r="BY460" s="249"/>
      <c r="BZ460" s="249"/>
      <c r="CA460" s="249"/>
      <c r="CB460" s="249"/>
      <c r="CC460" s="249"/>
      <c r="CD460" s="249"/>
      <c r="CE460" s="249"/>
    </row>
    <row r="461" spans="1:83" s="84" customFormat="1" ht="12.75" customHeight="1">
      <c r="A461" s="1"/>
      <c r="B461" s="1"/>
      <c r="C461" s="18" t="s">
        <v>451</v>
      </c>
      <c r="D461" s="52" t="s">
        <v>2799</v>
      </c>
      <c r="E461" s="52" t="s">
        <v>2799</v>
      </c>
      <c r="F461" s="53" t="s">
        <v>680</v>
      </c>
      <c r="G461" s="179" t="s">
        <v>1429</v>
      </c>
      <c r="H461" s="180" t="s">
        <v>451</v>
      </c>
      <c r="I461" s="55" t="s">
        <v>1429</v>
      </c>
      <c r="J461" s="55" t="s">
        <v>1429</v>
      </c>
      <c r="K461" s="56" t="s">
        <v>1429</v>
      </c>
      <c r="L461" s="54" t="s">
        <v>1429</v>
      </c>
      <c r="M461" s="55" t="s">
        <v>1580</v>
      </c>
      <c r="N461" s="55" t="s">
        <v>1429</v>
      </c>
      <c r="O461" s="55" t="s">
        <v>1429</v>
      </c>
      <c r="P461" s="56" t="s">
        <v>1429</v>
      </c>
      <c r="Q461" s="85"/>
      <c r="R461" s="85"/>
      <c r="S461" s="85"/>
      <c r="T461" s="85"/>
      <c r="U461" s="85"/>
      <c r="V461" s="146" t="s">
        <v>2800</v>
      </c>
      <c r="W461" s="51" t="s">
        <v>2611</v>
      </c>
      <c r="X461" s="130" t="s">
        <v>1429</v>
      </c>
      <c r="Y461" s="130" t="s">
        <v>1429</v>
      </c>
      <c r="Z461" s="51"/>
      <c r="AA461" s="51" t="s">
        <v>2612</v>
      </c>
      <c r="AB461" s="146"/>
      <c r="AC461" s="146" t="s">
        <v>1429</v>
      </c>
      <c r="AD461" s="98"/>
      <c r="AE461" s="83"/>
      <c r="AF461" s="83"/>
      <c r="AG461" s="83"/>
      <c r="AH461" s="86"/>
      <c r="AI461" s="86"/>
      <c r="AJ461" s="87"/>
      <c r="AK461" s="87"/>
      <c r="AL461" s="87"/>
      <c r="AM461" s="87"/>
      <c r="AN461" s="87"/>
      <c r="AO461" s="87"/>
      <c r="AP461" s="87"/>
      <c r="AQ461" s="229" t="s">
        <v>451</v>
      </c>
      <c r="AR461" s="5"/>
      <c r="AS461" s="5"/>
      <c r="AT461" s="5"/>
      <c r="AU461" s="5"/>
      <c r="AV461" s="5"/>
      <c r="AW461" s="5"/>
      <c r="AX461" s="284"/>
      <c r="AY461" s="5"/>
      <c r="AZ461" s="5"/>
      <c r="BA461" s="230"/>
      <c r="BB461" s="5"/>
      <c r="BC461" s="232" t="s">
        <v>3535</v>
      </c>
      <c r="BD461" s="257"/>
      <c r="BE461" s="249"/>
      <c r="BF461" s="249"/>
      <c r="BG461" s="249"/>
      <c r="BH461" s="249"/>
      <c r="BI461" s="249"/>
      <c r="BJ461" s="249"/>
      <c r="BK461" s="249"/>
      <c r="BL461" s="249"/>
      <c r="BM461" s="249"/>
      <c r="BN461" s="249"/>
      <c r="BO461" s="249"/>
      <c r="BP461" s="249"/>
      <c r="BQ461" s="249"/>
      <c r="BR461" s="249"/>
      <c r="BS461" s="249"/>
      <c r="BT461" s="249"/>
      <c r="BU461" s="249"/>
      <c r="BV461" s="249"/>
      <c r="BW461" s="249"/>
      <c r="BX461" s="249"/>
      <c r="BY461" s="249"/>
      <c r="BZ461" s="249"/>
      <c r="CA461" s="249"/>
      <c r="CB461" s="249"/>
      <c r="CC461" s="249"/>
      <c r="CD461" s="249"/>
      <c r="CE461" s="249"/>
    </row>
    <row r="462" spans="1:83" s="84" customFormat="1" ht="12.95" customHeight="1">
      <c r="A462" s="1"/>
      <c r="B462" s="1"/>
      <c r="C462" s="18" t="s">
        <v>452</v>
      </c>
      <c r="D462" s="52" t="s">
        <v>2797</v>
      </c>
      <c r="E462" s="52" t="s">
        <v>2801</v>
      </c>
      <c r="F462" s="53" t="s">
        <v>681</v>
      </c>
      <c r="G462" s="179" t="s">
        <v>1429</v>
      </c>
      <c r="H462" s="180" t="s">
        <v>452</v>
      </c>
      <c r="I462" s="55" t="s">
        <v>1429</v>
      </c>
      <c r="J462" s="55" t="s">
        <v>1429</v>
      </c>
      <c r="K462" s="56" t="s">
        <v>1429</v>
      </c>
      <c r="L462" s="54" t="s">
        <v>1429</v>
      </c>
      <c r="M462" s="55" t="s">
        <v>1580</v>
      </c>
      <c r="N462" s="55" t="s">
        <v>1429</v>
      </c>
      <c r="O462" s="55" t="s">
        <v>1429</v>
      </c>
      <c r="P462" s="56" t="s">
        <v>1429</v>
      </c>
      <c r="Q462" s="85"/>
      <c r="R462" s="85"/>
      <c r="S462" s="85"/>
      <c r="T462" s="85"/>
      <c r="U462" s="85"/>
      <c r="V462" s="146" t="s">
        <v>2802</v>
      </c>
      <c r="W462" s="51" t="s">
        <v>2611</v>
      </c>
      <c r="X462" s="130" t="s">
        <v>1429</v>
      </c>
      <c r="Y462" s="130" t="s">
        <v>1429</v>
      </c>
      <c r="Z462" s="51"/>
      <c r="AA462" s="51" t="s">
        <v>2612</v>
      </c>
      <c r="AB462" s="146"/>
      <c r="AC462" s="146" t="s">
        <v>1429</v>
      </c>
      <c r="AD462" s="98"/>
      <c r="AE462" s="83"/>
      <c r="AF462" s="83"/>
      <c r="AG462" s="83"/>
      <c r="AH462" s="86"/>
      <c r="AI462" s="86"/>
      <c r="AJ462" s="87"/>
      <c r="AK462" s="87"/>
      <c r="AL462" s="87"/>
      <c r="AM462" s="87"/>
      <c r="AN462" s="87"/>
      <c r="AO462" s="87"/>
      <c r="AP462" s="87"/>
      <c r="AQ462" s="229" t="s">
        <v>452</v>
      </c>
      <c r="AR462" s="5"/>
      <c r="AS462" s="5"/>
      <c r="AT462" s="5"/>
      <c r="AU462" s="5"/>
      <c r="AV462" s="5"/>
      <c r="AW462" s="5"/>
      <c r="AX462" s="284"/>
      <c r="AY462" s="5"/>
      <c r="AZ462" s="5"/>
      <c r="BA462" s="230"/>
      <c r="BB462" s="5"/>
      <c r="BC462" s="232" t="s">
        <v>3535</v>
      </c>
      <c r="BD462" s="257"/>
      <c r="BE462" s="249"/>
      <c r="BF462" s="249"/>
      <c r="BG462" s="249"/>
      <c r="BH462" s="249"/>
      <c r="BI462" s="249"/>
      <c r="BJ462" s="249"/>
      <c r="BK462" s="249"/>
      <c r="BL462" s="249"/>
      <c r="BM462" s="249"/>
      <c r="BN462" s="249"/>
      <c r="BO462" s="249"/>
      <c r="BP462" s="249"/>
      <c r="BQ462" s="249"/>
      <c r="BR462" s="249"/>
      <c r="BS462" s="249"/>
      <c r="BT462" s="249"/>
      <c r="BU462" s="249"/>
      <c r="BV462" s="249"/>
      <c r="BW462" s="249"/>
      <c r="BX462" s="249"/>
      <c r="BY462" s="249"/>
      <c r="BZ462" s="249"/>
      <c r="CA462" s="249"/>
      <c r="CB462" s="249"/>
      <c r="CC462" s="249"/>
      <c r="CD462" s="249"/>
      <c r="CE462" s="249"/>
    </row>
    <row r="463" spans="1:83" s="84" customFormat="1" ht="12.95" customHeight="1">
      <c r="A463" s="1"/>
      <c r="B463" s="1"/>
      <c r="C463" s="18" t="s">
        <v>453</v>
      </c>
      <c r="D463" s="52" t="s">
        <v>2778</v>
      </c>
      <c r="E463" s="52" t="s">
        <v>2803</v>
      </c>
      <c r="F463" s="53" t="s">
        <v>682</v>
      </c>
      <c r="G463" s="179" t="s">
        <v>1429</v>
      </c>
      <c r="H463" s="180" t="s">
        <v>453</v>
      </c>
      <c r="I463" s="55" t="s">
        <v>1429</v>
      </c>
      <c r="J463" s="55" t="s">
        <v>1429</v>
      </c>
      <c r="K463" s="56" t="s">
        <v>1429</v>
      </c>
      <c r="L463" s="54" t="s">
        <v>1429</v>
      </c>
      <c r="M463" s="55" t="s">
        <v>1580</v>
      </c>
      <c r="N463" s="55" t="s">
        <v>1429</v>
      </c>
      <c r="O463" s="55" t="s">
        <v>1429</v>
      </c>
      <c r="P463" s="56" t="s">
        <v>1429</v>
      </c>
      <c r="Q463" s="85"/>
      <c r="R463" s="85"/>
      <c r="S463" s="85"/>
      <c r="T463" s="85"/>
      <c r="U463" s="85"/>
      <c r="V463" s="146" t="s">
        <v>2804</v>
      </c>
      <c r="W463" s="51" t="s">
        <v>2611</v>
      </c>
      <c r="X463" s="130" t="s">
        <v>1429</v>
      </c>
      <c r="Y463" s="130" t="s">
        <v>1429</v>
      </c>
      <c r="Z463" s="51"/>
      <c r="AA463" s="51" t="s">
        <v>2612</v>
      </c>
      <c r="AB463" s="146"/>
      <c r="AC463" s="146" t="s">
        <v>1429</v>
      </c>
      <c r="AD463" s="98"/>
      <c r="AE463" s="83"/>
      <c r="AF463" s="83"/>
      <c r="AG463" s="83"/>
      <c r="AH463" s="86"/>
      <c r="AI463" s="86"/>
      <c r="AJ463" s="87"/>
      <c r="AK463" s="87"/>
      <c r="AL463" s="87"/>
      <c r="AM463" s="87"/>
      <c r="AN463" s="87"/>
      <c r="AO463" s="87"/>
      <c r="AP463" s="87"/>
      <c r="AQ463" s="229" t="s">
        <v>453</v>
      </c>
      <c r="AR463" s="5"/>
      <c r="AS463" s="5"/>
      <c r="AT463" s="5"/>
      <c r="AU463" s="5"/>
      <c r="AV463" s="5"/>
      <c r="AW463" s="5"/>
      <c r="AX463" s="284"/>
      <c r="AY463" s="5"/>
      <c r="AZ463" s="5"/>
      <c r="BA463" s="230"/>
      <c r="BB463" s="5"/>
      <c r="BC463" s="232" t="s">
        <v>3535</v>
      </c>
      <c r="BD463" s="257"/>
      <c r="BE463" s="249"/>
      <c r="BF463" s="249"/>
      <c r="BG463" s="249"/>
      <c r="BH463" s="249"/>
      <c r="BI463" s="249"/>
      <c r="BJ463" s="249"/>
      <c r="BK463" s="249"/>
      <c r="BL463" s="249"/>
      <c r="BM463" s="249"/>
      <c r="BN463" s="249"/>
      <c r="BO463" s="249"/>
      <c r="BP463" s="249"/>
      <c r="BQ463" s="249"/>
      <c r="BR463" s="249"/>
      <c r="BS463" s="249"/>
      <c r="BT463" s="249"/>
      <c r="BU463" s="249"/>
      <c r="BV463" s="249"/>
      <c r="BW463" s="249"/>
      <c r="BX463" s="249"/>
      <c r="BY463" s="249"/>
      <c r="BZ463" s="249"/>
      <c r="CA463" s="249"/>
      <c r="CB463" s="249"/>
      <c r="CC463" s="249"/>
      <c r="CD463" s="249"/>
      <c r="CE463" s="249"/>
    </row>
    <row r="464" spans="1:83" s="84" customFormat="1" ht="12.95" customHeight="1">
      <c r="A464" s="1"/>
      <c r="B464" s="1"/>
      <c r="C464" s="18" t="s">
        <v>454</v>
      </c>
      <c r="D464" s="52" t="s">
        <v>2780</v>
      </c>
      <c r="E464" s="52" t="s">
        <v>2805</v>
      </c>
      <c r="F464" s="53" t="s">
        <v>683</v>
      </c>
      <c r="G464" s="179" t="s">
        <v>1429</v>
      </c>
      <c r="H464" s="180" t="s">
        <v>454</v>
      </c>
      <c r="I464" s="55" t="s">
        <v>1429</v>
      </c>
      <c r="J464" s="55" t="s">
        <v>1429</v>
      </c>
      <c r="K464" s="56" t="s">
        <v>1429</v>
      </c>
      <c r="L464" s="54" t="s">
        <v>1429</v>
      </c>
      <c r="M464" s="55" t="s">
        <v>1580</v>
      </c>
      <c r="N464" s="55" t="s">
        <v>1429</v>
      </c>
      <c r="O464" s="55" t="s">
        <v>1429</v>
      </c>
      <c r="P464" s="56" t="s">
        <v>1429</v>
      </c>
      <c r="Q464" s="85"/>
      <c r="R464" s="85"/>
      <c r="S464" s="85"/>
      <c r="T464" s="85"/>
      <c r="U464" s="85"/>
      <c r="V464" s="146" t="s">
        <v>2806</v>
      </c>
      <c r="W464" s="51" t="s">
        <v>2611</v>
      </c>
      <c r="X464" s="130" t="s">
        <v>1429</v>
      </c>
      <c r="Y464" s="130" t="s">
        <v>1429</v>
      </c>
      <c r="Z464" s="51"/>
      <c r="AA464" s="51" t="s">
        <v>2612</v>
      </c>
      <c r="AB464" s="146"/>
      <c r="AC464" s="146" t="s">
        <v>1429</v>
      </c>
      <c r="AD464" s="98"/>
      <c r="AE464" s="83"/>
      <c r="AF464" s="83"/>
      <c r="AG464" s="83"/>
      <c r="AH464" s="86"/>
      <c r="AI464" s="86"/>
      <c r="AJ464" s="87"/>
      <c r="AK464" s="87"/>
      <c r="AL464" s="87"/>
      <c r="AM464" s="87"/>
      <c r="AN464" s="87"/>
      <c r="AO464" s="87"/>
      <c r="AP464" s="87"/>
      <c r="AQ464" s="229" t="s">
        <v>454</v>
      </c>
      <c r="AR464" s="5"/>
      <c r="AS464" s="5"/>
      <c r="AT464" s="5"/>
      <c r="AU464" s="5"/>
      <c r="AV464" s="5"/>
      <c r="AW464" s="5"/>
      <c r="AX464" s="284"/>
      <c r="AY464" s="5"/>
      <c r="AZ464" s="5"/>
      <c r="BA464" s="230"/>
      <c r="BB464" s="5"/>
      <c r="BC464" s="232" t="s">
        <v>3535</v>
      </c>
      <c r="BD464" s="257"/>
      <c r="BE464" s="249"/>
      <c r="BF464" s="249"/>
      <c r="BG464" s="249"/>
      <c r="BH464" s="249"/>
      <c r="BI464" s="249"/>
      <c r="BJ464" s="249"/>
      <c r="BK464" s="249"/>
      <c r="BL464" s="249"/>
      <c r="BM464" s="249"/>
      <c r="BN464" s="249"/>
      <c r="BO464" s="249"/>
      <c r="BP464" s="249"/>
      <c r="BQ464" s="249"/>
      <c r="BR464" s="249"/>
      <c r="BS464" s="249"/>
      <c r="BT464" s="249"/>
      <c r="BU464" s="249"/>
      <c r="BV464" s="249"/>
      <c r="BW464" s="249"/>
      <c r="BX464" s="249"/>
      <c r="BY464" s="249"/>
      <c r="BZ464" s="249"/>
      <c r="CA464" s="249"/>
      <c r="CB464" s="249"/>
      <c r="CC464" s="249"/>
      <c r="CD464" s="249"/>
      <c r="CE464" s="249"/>
    </row>
    <row r="465" spans="1:83" s="84" customFormat="1" ht="12.95" customHeight="1">
      <c r="A465" s="1"/>
      <c r="B465" s="1"/>
      <c r="C465" s="18" t="s">
        <v>455</v>
      </c>
      <c r="D465" s="52" t="s">
        <v>2786</v>
      </c>
      <c r="E465" s="52" t="s">
        <v>2807</v>
      </c>
      <c r="F465" s="53" t="s">
        <v>684</v>
      </c>
      <c r="G465" s="179" t="s">
        <v>1429</v>
      </c>
      <c r="H465" s="180" t="s">
        <v>455</v>
      </c>
      <c r="I465" s="55" t="s">
        <v>1429</v>
      </c>
      <c r="J465" s="55" t="s">
        <v>1429</v>
      </c>
      <c r="K465" s="56" t="s">
        <v>1429</v>
      </c>
      <c r="L465" s="54" t="s">
        <v>1429</v>
      </c>
      <c r="M465" s="55" t="s">
        <v>1580</v>
      </c>
      <c r="N465" s="55" t="s">
        <v>1429</v>
      </c>
      <c r="O465" s="55" t="s">
        <v>1429</v>
      </c>
      <c r="P465" s="56" t="s">
        <v>1429</v>
      </c>
      <c r="Q465" s="85"/>
      <c r="R465" s="85"/>
      <c r="S465" s="85"/>
      <c r="T465" s="85"/>
      <c r="U465" s="85"/>
      <c r="V465" s="146" t="s">
        <v>2808</v>
      </c>
      <c r="W465" s="51" t="s">
        <v>2611</v>
      </c>
      <c r="X465" s="130" t="s">
        <v>1429</v>
      </c>
      <c r="Y465" s="130" t="s">
        <v>1429</v>
      </c>
      <c r="Z465" s="51"/>
      <c r="AA465" s="51" t="s">
        <v>2612</v>
      </c>
      <c r="AB465" s="146"/>
      <c r="AC465" s="146" t="s">
        <v>1429</v>
      </c>
      <c r="AD465" s="98"/>
      <c r="AE465" s="83"/>
      <c r="AF465" s="83"/>
      <c r="AG465" s="83"/>
      <c r="AH465" s="86"/>
      <c r="AI465" s="86"/>
      <c r="AJ465" s="87"/>
      <c r="AK465" s="87"/>
      <c r="AL465" s="87"/>
      <c r="AM465" s="87"/>
      <c r="AN465" s="87"/>
      <c r="AO465" s="87"/>
      <c r="AP465" s="87"/>
      <c r="AQ465" s="229" t="s">
        <v>455</v>
      </c>
      <c r="AR465" s="5"/>
      <c r="AS465" s="5"/>
      <c r="AT465" s="5"/>
      <c r="AU465" s="5"/>
      <c r="AV465" s="5"/>
      <c r="AW465" s="5"/>
      <c r="AX465" s="284"/>
      <c r="AY465" s="5"/>
      <c r="AZ465" s="5"/>
      <c r="BA465" s="230"/>
      <c r="BB465" s="5"/>
      <c r="BC465" s="232" t="s">
        <v>3535</v>
      </c>
      <c r="BD465" s="257"/>
      <c r="BE465" s="249"/>
      <c r="BF465" s="249"/>
      <c r="BG465" s="249"/>
      <c r="BH465" s="249"/>
      <c r="BI465" s="249"/>
      <c r="BJ465" s="249"/>
      <c r="BK465" s="249"/>
      <c r="BL465" s="249"/>
      <c r="BM465" s="249"/>
      <c r="BN465" s="249"/>
      <c r="BO465" s="249"/>
      <c r="BP465" s="249"/>
      <c r="BQ465" s="249"/>
      <c r="BR465" s="249"/>
      <c r="BS465" s="249"/>
      <c r="BT465" s="249"/>
      <c r="BU465" s="249"/>
      <c r="BV465" s="249"/>
      <c r="BW465" s="249"/>
      <c r="BX465" s="249"/>
      <c r="BY465" s="249"/>
      <c r="BZ465" s="249"/>
      <c r="CA465" s="249"/>
      <c r="CB465" s="249"/>
      <c r="CC465" s="249"/>
      <c r="CD465" s="249"/>
      <c r="CE465" s="249"/>
    </row>
    <row r="466" spans="1:83" s="84" customFormat="1" ht="12.95" customHeight="1">
      <c r="A466" s="1"/>
      <c r="B466" s="1"/>
      <c r="C466" s="18" t="s">
        <v>456</v>
      </c>
      <c r="D466" s="52" t="s">
        <v>2788</v>
      </c>
      <c r="E466" s="52" t="s">
        <v>2809</v>
      </c>
      <c r="F466" s="53" t="s">
        <v>685</v>
      </c>
      <c r="G466" s="179" t="s">
        <v>1429</v>
      </c>
      <c r="H466" s="180" t="s">
        <v>456</v>
      </c>
      <c r="I466" s="55" t="s">
        <v>1429</v>
      </c>
      <c r="J466" s="55" t="s">
        <v>1429</v>
      </c>
      <c r="K466" s="56" t="s">
        <v>1429</v>
      </c>
      <c r="L466" s="54" t="s">
        <v>1429</v>
      </c>
      <c r="M466" s="55" t="s">
        <v>1580</v>
      </c>
      <c r="N466" s="55" t="s">
        <v>1429</v>
      </c>
      <c r="O466" s="55" t="s">
        <v>1429</v>
      </c>
      <c r="P466" s="56" t="s">
        <v>1429</v>
      </c>
      <c r="Q466" s="85"/>
      <c r="R466" s="85"/>
      <c r="S466" s="85"/>
      <c r="T466" s="85"/>
      <c r="U466" s="85"/>
      <c r="V466" s="146" t="s">
        <v>2810</v>
      </c>
      <c r="W466" s="51" t="s">
        <v>2611</v>
      </c>
      <c r="X466" s="130" t="s">
        <v>1429</v>
      </c>
      <c r="Y466" s="130" t="s">
        <v>1429</v>
      </c>
      <c r="Z466" s="51"/>
      <c r="AA466" s="51" t="s">
        <v>2612</v>
      </c>
      <c r="AB466" s="146"/>
      <c r="AC466" s="146" t="s">
        <v>1429</v>
      </c>
      <c r="AD466" s="98"/>
      <c r="AE466" s="83"/>
      <c r="AF466" s="83"/>
      <c r="AG466" s="83"/>
      <c r="AH466" s="86"/>
      <c r="AI466" s="86"/>
      <c r="AJ466" s="87"/>
      <c r="AK466" s="87"/>
      <c r="AL466" s="87"/>
      <c r="AM466" s="87"/>
      <c r="AN466" s="87"/>
      <c r="AO466" s="87"/>
      <c r="AP466" s="87"/>
      <c r="AQ466" s="229" t="s">
        <v>456</v>
      </c>
      <c r="AR466" s="5"/>
      <c r="AS466" s="5"/>
      <c r="AT466" s="5"/>
      <c r="AU466" s="5"/>
      <c r="AV466" s="5"/>
      <c r="AW466" s="5"/>
      <c r="AX466" s="284"/>
      <c r="AY466" s="5"/>
      <c r="AZ466" s="5"/>
      <c r="BA466" s="230"/>
      <c r="BB466" s="5"/>
      <c r="BC466" s="232" t="s">
        <v>3535</v>
      </c>
      <c r="BD466" s="257"/>
      <c r="BE466" s="249"/>
      <c r="BF466" s="249"/>
      <c r="BG466" s="249"/>
      <c r="BH466" s="249"/>
      <c r="BI466" s="249"/>
      <c r="BJ466" s="249"/>
      <c r="BK466" s="249"/>
      <c r="BL466" s="249"/>
      <c r="BM466" s="249"/>
      <c r="BN466" s="249"/>
      <c r="BO466" s="249"/>
      <c r="BP466" s="249"/>
      <c r="BQ466" s="249"/>
      <c r="BR466" s="249"/>
      <c r="BS466" s="249"/>
      <c r="BT466" s="249"/>
      <c r="BU466" s="249"/>
      <c r="BV466" s="249"/>
      <c r="BW466" s="249"/>
      <c r="BX466" s="249"/>
      <c r="BY466" s="249"/>
      <c r="BZ466" s="249"/>
      <c r="CA466" s="249"/>
      <c r="CB466" s="249"/>
      <c r="CC466" s="249"/>
      <c r="CD466" s="249"/>
      <c r="CE466" s="249"/>
    </row>
    <row r="467" spans="1:83" s="84" customFormat="1" ht="12.95" customHeight="1">
      <c r="A467" s="1"/>
      <c r="B467" s="1"/>
      <c r="C467" s="18" t="s">
        <v>457</v>
      </c>
      <c r="D467" s="52" t="s">
        <v>2790</v>
      </c>
      <c r="E467" s="52" t="s">
        <v>2811</v>
      </c>
      <c r="F467" s="53" t="s">
        <v>686</v>
      </c>
      <c r="G467" s="179" t="s">
        <v>1429</v>
      </c>
      <c r="H467" s="180" t="s">
        <v>457</v>
      </c>
      <c r="I467" s="55" t="s">
        <v>1429</v>
      </c>
      <c r="J467" s="55" t="s">
        <v>1429</v>
      </c>
      <c r="K467" s="56" t="s">
        <v>1429</v>
      </c>
      <c r="L467" s="54" t="s">
        <v>1429</v>
      </c>
      <c r="M467" s="55" t="s">
        <v>1580</v>
      </c>
      <c r="N467" s="55" t="s">
        <v>1429</v>
      </c>
      <c r="O467" s="55" t="s">
        <v>1429</v>
      </c>
      <c r="P467" s="56" t="s">
        <v>1429</v>
      </c>
      <c r="Q467" s="85"/>
      <c r="R467" s="85"/>
      <c r="S467" s="85"/>
      <c r="T467" s="85"/>
      <c r="U467" s="85"/>
      <c r="V467" s="146" t="s">
        <v>2812</v>
      </c>
      <c r="W467" s="51" t="s">
        <v>2611</v>
      </c>
      <c r="X467" s="130" t="s">
        <v>1429</v>
      </c>
      <c r="Y467" s="130" t="s">
        <v>1429</v>
      </c>
      <c r="Z467" s="51"/>
      <c r="AA467" s="51" t="s">
        <v>2612</v>
      </c>
      <c r="AB467" s="146"/>
      <c r="AC467" s="146" t="s">
        <v>1429</v>
      </c>
      <c r="AD467" s="98"/>
      <c r="AE467" s="83"/>
      <c r="AF467" s="83"/>
      <c r="AG467" s="83"/>
      <c r="AH467" s="86"/>
      <c r="AI467" s="86"/>
      <c r="AJ467" s="87"/>
      <c r="AK467" s="87"/>
      <c r="AL467" s="87"/>
      <c r="AM467" s="87"/>
      <c r="AN467" s="87"/>
      <c r="AO467" s="87"/>
      <c r="AP467" s="87"/>
      <c r="AQ467" s="229" t="s">
        <v>457</v>
      </c>
      <c r="AR467" s="5"/>
      <c r="AS467" s="5"/>
      <c r="AT467" s="5"/>
      <c r="AU467" s="5"/>
      <c r="AV467" s="5"/>
      <c r="AW467" s="5"/>
      <c r="AX467" s="284"/>
      <c r="AY467" s="5"/>
      <c r="AZ467" s="5"/>
      <c r="BA467" s="230"/>
      <c r="BB467" s="5"/>
      <c r="BC467" s="232" t="s">
        <v>3535</v>
      </c>
      <c r="BD467" s="257"/>
      <c r="BE467" s="249"/>
      <c r="BF467" s="249"/>
      <c r="BG467" s="249"/>
      <c r="BH467" s="249"/>
      <c r="BI467" s="249"/>
      <c r="BJ467" s="249"/>
      <c r="BK467" s="249"/>
      <c r="BL467" s="249"/>
      <c r="BM467" s="249"/>
      <c r="BN467" s="249"/>
      <c r="BO467" s="249"/>
      <c r="BP467" s="249"/>
      <c r="BQ467" s="249"/>
      <c r="BR467" s="249"/>
      <c r="BS467" s="249"/>
      <c r="BT467" s="249"/>
      <c r="BU467" s="249"/>
      <c r="BV467" s="249"/>
      <c r="BW467" s="249"/>
      <c r="BX467" s="249"/>
      <c r="BY467" s="249"/>
      <c r="BZ467" s="249"/>
      <c r="CA467" s="249"/>
      <c r="CB467" s="249"/>
      <c r="CC467" s="249"/>
      <c r="CD467" s="249"/>
      <c r="CE467" s="249"/>
    </row>
    <row r="468" spans="1:83" s="84" customFormat="1" ht="12.95" customHeight="1">
      <c r="A468" s="1"/>
      <c r="B468" s="1"/>
      <c r="C468" s="18" t="s">
        <v>458</v>
      </c>
      <c r="D468" s="52" t="s">
        <v>2813</v>
      </c>
      <c r="E468" s="52" t="s">
        <v>2814</v>
      </c>
      <c r="F468" s="53" t="s">
        <v>687</v>
      </c>
      <c r="G468" s="179" t="s">
        <v>1429</v>
      </c>
      <c r="H468" s="180" t="s">
        <v>458</v>
      </c>
      <c r="I468" s="55" t="s">
        <v>1429</v>
      </c>
      <c r="J468" s="55" t="s">
        <v>1429</v>
      </c>
      <c r="K468" s="56" t="s">
        <v>1429</v>
      </c>
      <c r="L468" s="54" t="s">
        <v>1429</v>
      </c>
      <c r="M468" s="55" t="s">
        <v>1580</v>
      </c>
      <c r="N468" s="55" t="s">
        <v>1429</v>
      </c>
      <c r="O468" s="55" t="s">
        <v>1429</v>
      </c>
      <c r="P468" s="56" t="s">
        <v>1429</v>
      </c>
      <c r="Q468" s="85"/>
      <c r="R468" s="85"/>
      <c r="S468" s="85"/>
      <c r="T468" s="85"/>
      <c r="U468" s="85"/>
      <c r="V468" s="146" t="s">
        <v>2815</v>
      </c>
      <c r="W468" s="51" t="s">
        <v>2611</v>
      </c>
      <c r="X468" s="130" t="s">
        <v>1429</v>
      </c>
      <c r="Y468" s="130" t="s">
        <v>1429</v>
      </c>
      <c r="Z468" s="51"/>
      <c r="AA468" s="51" t="s">
        <v>2612</v>
      </c>
      <c r="AB468" s="146"/>
      <c r="AC468" s="146" t="s">
        <v>1429</v>
      </c>
      <c r="AD468" s="98"/>
      <c r="AE468" s="83"/>
      <c r="AF468" s="83"/>
      <c r="AG468" s="83"/>
      <c r="AH468" s="86"/>
      <c r="AI468" s="86"/>
      <c r="AJ468" s="87"/>
      <c r="AK468" s="87"/>
      <c r="AL468" s="87"/>
      <c r="AM468" s="87"/>
      <c r="AN468" s="87"/>
      <c r="AO468" s="87"/>
      <c r="AP468" s="87"/>
      <c r="AQ468" s="229" t="s">
        <v>458</v>
      </c>
      <c r="AR468" s="5"/>
      <c r="AS468" s="5"/>
      <c r="AT468" s="5"/>
      <c r="AU468" s="5"/>
      <c r="AV468" s="5"/>
      <c r="AW468" s="5"/>
      <c r="AX468" s="284"/>
      <c r="AY468" s="5"/>
      <c r="AZ468" s="5"/>
      <c r="BA468" s="230"/>
      <c r="BB468" s="5"/>
      <c r="BC468" s="232" t="s">
        <v>3535</v>
      </c>
      <c r="BD468" s="257"/>
      <c r="BE468" s="249"/>
      <c r="BF468" s="249"/>
      <c r="BG468" s="249"/>
      <c r="BH468" s="249"/>
      <c r="BI468" s="249"/>
      <c r="BJ468" s="249"/>
      <c r="BK468" s="249"/>
      <c r="BL468" s="249"/>
      <c r="BM468" s="249"/>
      <c r="BN468" s="249"/>
      <c r="BO468" s="249"/>
      <c r="BP468" s="249"/>
      <c r="BQ468" s="249"/>
      <c r="BR468" s="249"/>
      <c r="BS468" s="249"/>
      <c r="BT468" s="249"/>
      <c r="BU468" s="249"/>
      <c r="BV468" s="249"/>
      <c r="BW468" s="249"/>
      <c r="BX468" s="249"/>
      <c r="BY468" s="249"/>
      <c r="BZ468" s="249"/>
      <c r="CA468" s="249"/>
      <c r="CB468" s="249"/>
      <c r="CC468" s="249"/>
      <c r="CD468" s="249"/>
      <c r="CE468" s="249"/>
    </row>
    <row r="469" spans="1:83" s="84" customFormat="1" ht="12.95" customHeight="1">
      <c r="A469" s="1"/>
      <c r="B469" s="1"/>
      <c r="C469" s="18" t="s">
        <v>459</v>
      </c>
      <c r="D469" s="52" t="s">
        <v>2816</v>
      </c>
      <c r="E469" s="52" t="s">
        <v>2817</v>
      </c>
      <c r="F469" s="53" t="s">
        <v>688</v>
      </c>
      <c r="G469" s="179" t="s">
        <v>1429</v>
      </c>
      <c r="H469" s="180" t="s">
        <v>459</v>
      </c>
      <c r="I469" s="55" t="s">
        <v>1429</v>
      </c>
      <c r="J469" s="55" t="s">
        <v>1429</v>
      </c>
      <c r="K469" s="56" t="s">
        <v>1429</v>
      </c>
      <c r="L469" s="54" t="s">
        <v>1429</v>
      </c>
      <c r="M469" s="55" t="s">
        <v>1580</v>
      </c>
      <c r="N469" s="55" t="s">
        <v>1429</v>
      </c>
      <c r="O469" s="55" t="s">
        <v>1429</v>
      </c>
      <c r="P469" s="56" t="s">
        <v>1429</v>
      </c>
      <c r="Q469" s="85"/>
      <c r="R469" s="85"/>
      <c r="S469" s="85"/>
      <c r="T469" s="85"/>
      <c r="U469" s="85"/>
      <c r="V469" s="146" t="s">
        <v>2818</v>
      </c>
      <c r="W469" s="51" t="s">
        <v>2611</v>
      </c>
      <c r="X469" s="130" t="s">
        <v>1429</v>
      </c>
      <c r="Y469" s="130" t="s">
        <v>1429</v>
      </c>
      <c r="Z469" s="51"/>
      <c r="AA469" s="51" t="s">
        <v>2612</v>
      </c>
      <c r="AB469" s="146"/>
      <c r="AC469" s="146" t="s">
        <v>1429</v>
      </c>
      <c r="AD469" s="98"/>
      <c r="AE469" s="83"/>
      <c r="AF469" s="83"/>
      <c r="AG469" s="83"/>
      <c r="AH469" s="86"/>
      <c r="AI469" s="86"/>
      <c r="AJ469" s="87"/>
      <c r="AK469" s="87"/>
      <c r="AL469" s="87"/>
      <c r="AM469" s="87"/>
      <c r="AN469" s="87"/>
      <c r="AO469" s="87"/>
      <c r="AP469" s="87"/>
      <c r="AQ469" s="229" t="s">
        <v>459</v>
      </c>
      <c r="AR469" s="5"/>
      <c r="AS469" s="5"/>
      <c r="AT469" s="5"/>
      <c r="AU469" s="5"/>
      <c r="AV469" s="5"/>
      <c r="AW469" s="5"/>
      <c r="AX469" s="284"/>
      <c r="AY469" s="5"/>
      <c r="AZ469" s="5"/>
      <c r="BA469" s="230"/>
      <c r="BB469" s="5"/>
      <c r="BC469" s="232" t="s">
        <v>3535</v>
      </c>
      <c r="BD469" s="257"/>
      <c r="BE469" s="249"/>
      <c r="BF469" s="249"/>
      <c r="BG469" s="249"/>
      <c r="BH469" s="249"/>
      <c r="BI469" s="249"/>
      <c r="BJ469" s="249"/>
      <c r="BK469" s="249"/>
      <c r="BL469" s="249"/>
      <c r="BM469" s="249"/>
      <c r="BN469" s="249"/>
      <c r="BO469" s="249"/>
      <c r="BP469" s="249"/>
      <c r="BQ469" s="249"/>
      <c r="BR469" s="249"/>
      <c r="BS469" s="249"/>
      <c r="BT469" s="249"/>
      <c r="BU469" s="249"/>
      <c r="BV469" s="249"/>
      <c r="BW469" s="249"/>
      <c r="BX469" s="249"/>
      <c r="BY469" s="249"/>
      <c r="BZ469" s="249"/>
      <c r="CA469" s="249"/>
      <c r="CB469" s="249"/>
      <c r="CC469" s="249"/>
      <c r="CD469" s="249"/>
      <c r="CE469" s="249"/>
    </row>
    <row r="470" spans="1:83" s="84" customFormat="1" ht="12.95" customHeight="1">
      <c r="A470" s="1"/>
      <c r="B470" s="1"/>
      <c r="C470" s="18" t="s">
        <v>460</v>
      </c>
      <c r="D470" s="52" t="s">
        <v>2819</v>
      </c>
      <c r="E470" s="52" t="s">
        <v>2820</v>
      </c>
      <c r="F470" s="53" t="s">
        <v>689</v>
      </c>
      <c r="G470" s="179" t="s">
        <v>1429</v>
      </c>
      <c r="H470" s="180" t="s">
        <v>460</v>
      </c>
      <c r="I470" s="55" t="s">
        <v>1429</v>
      </c>
      <c r="J470" s="55" t="s">
        <v>1429</v>
      </c>
      <c r="K470" s="56" t="s">
        <v>1429</v>
      </c>
      <c r="L470" s="54" t="s">
        <v>1429</v>
      </c>
      <c r="M470" s="55" t="s">
        <v>1580</v>
      </c>
      <c r="N470" s="55" t="s">
        <v>1429</v>
      </c>
      <c r="O470" s="55" t="s">
        <v>1429</v>
      </c>
      <c r="P470" s="56" t="s">
        <v>1429</v>
      </c>
      <c r="Q470" s="85"/>
      <c r="R470" s="85"/>
      <c r="S470" s="85"/>
      <c r="T470" s="85"/>
      <c r="U470" s="85"/>
      <c r="V470" s="146" t="s">
        <v>2821</v>
      </c>
      <c r="W470" s="51" t="s">
        <v>2611</v>
      </c>
      <c r="X470" s="130" t="s">
        <v>1429</v>
      </c>
      <c r="Y470" s="130" t="s">
        <v>1429</v>
      </c>
      <c r="Z470" s="51"/>
      <c r="AA470" s="51" t="s">
        <v>2612</v>
      </c>
      <c r="AB470" s="146"/>
      <c r="AC470" s="146" t="s">
        <v>1429</v>
      </c>
      <c r="AD470" s="98"/>
      <c r="AE470" s="83"/>
      <c r="AF470" s="83"/>
      <c r="AG470" s="83"/>
      <c r="AH470" s="86"/>
      <c r="AI470" s="86"/>
      <c r="AJ470" s="87"/>
      <c r="AK470" s="87"/>
      <c r="AL470" s="87"/>
      <c r="AM470" s="87"/>
      <c r="AN470" s="87"/>
      <c r="AO470" s="87"/>
      <c r="AP470" s="87"/>
      <c r="AQ470" s="229" t="s">
        <v>460</v>
      </c>
      <c r="AR470" s="5"/>
      <c r="AS470" s="5"/>
      <c r="AT470" s="5"/>
      <c r="AU470" s="5"/>
      <c r="AV470" s="5"/>
      <c r="AW470" s="5"/>
      <c r="AX470" s="284"/>
      <c r="AY470" s="5"/>
      <c r="AZ470" s="5"/>
      <c r="BA470" s="230"/>
      <c r="BB470" s="5"/>
      <c r="BC470" s="232" t="s">
        <v>3535</v>
      </c>
      <c r="BD470" s="257"/>
      <c r="BE470" s="249"/>
      <c r="BF470" s="249"/>
      <c r="BG470" s="249"/>
      <c r="BH470" s="249"/>
      <c r="BI470" s="249"/>
      <c r="BJ470" s="249"/>
      <c r="BK470" s="249"/>
      <c r="BL470" s="249"/>
      <c r="BM470" s="249"/>
      <c r="BN470" s="249"/>
      <c r="BO470" s="249"/>
      <c r="BP470" s="249"/>
      <c r="BQ470" s="249"/>
      <c r="BR470" s="249"/>
      <c r="BS470" s="249"/>
      <c r="BT470" s="249"/>
      <c r="BU470" s="249"/>
      <c r="BV470" s="249"/>
      <c r="BW470" s="249"/>
      <c r="BX470" s="249"/>
      <c r="BY470" s="249"/>
      <c r="BZ470" s="249"/>
      <c r="CA470" s="249"/>
      <c r="CB470" s="249"/>
      <c r="CC470" s="249"/>
      <c r="CD470" s="249"/>
      <c r="CE470" s="249"/>
    </row>
    <row r="471" spans="1:83" s="84" customFormat="1" ht="12.95" customHeight="1">
      <c r="A471" s="1"/>
      <c r="B471" s="1"/>
      <c r="C471" s="21" t="s">
        <v>461</v>
      </c>
      <c r="D471" s="52" t="s">
        <v>2784</v>
      </c>
      <c r="E471" s="52" t="s">
        <v>2822</v>
      </c>
      <c r="F471" s="53" t="s">
        <v>690</v>
      </c>
      <c r="G471" s="179" t="s">
        <v>1429</v>
      </c>
      <c r="H471" s="180" t="s">
        <v>461</v>
      </c>
      <c r="I471" s="55" t="s">
        <v>1429</v>
      </c>
      <c r="J471" s="55" t="s">
        <v>1429</v>
      </c>
      <c r="K471" s="56" t="s">
        <v>1429</v>
      </c>
      <c r="L471" s="54" t="s">
        <v>1429</v>
      </c>
      <c r="M471" s="55" t="s">
        <v>1580</v>
      </c>
      <c r="N471" s="55" t="s">
        <v>1429</v>
      </c>
      <c r="O471" s="55" t="s">
        <v>1429</v>
      </c>
      <c r="P471" s="56" t="s">
        <v>1429</v>
      </c>
      <c r="Q471" s="85"/>
      <c r="R471" s="85"/>
      <c r="S471" s="85"/>
      <c r="T471" s="85"/>
      <c r="U471" s="85"/>
      <c r="V471" s="146" t="s">
        <v>2823</v>
      </c>
      <c r="W471" s="51" t="s">
        <v>2611</v>
      </c>
      <c r="X471" s="130" t="s">
        <v>1429</v>
      </c>
      <c r="Y471" s="130" t="s">
        <v>1429</v>
      </c>
      <c r="Z471" s="51"/>
      <c r="AA471" s="51" t="s">
        <v>2612</v>
      </c>
      <c r="AB471" s="146"/>
      <c r="AC471" s="146" t="s">
        <v>1429</v>
      </c>
      <c r="AD471" s="98"/>
      <c r="AE471" s="83"/>
      <c r="AF471" s="83"/>
      <c r="AG471" s="83"/>
      <c r="AH471" s="86"/>
      <c r="AI471" s="86"/>
      <c r="AJ471" s="87"/>
      <c r="AK471" s="87"/>
      <c r="AL471" s="87"/>
      <c r="AM471" s="87"/>
      <c r="AN471" s="87"/>
      <c r="AO471" s="87"/>
      <c r="AP471" s="87"/>
      <c r="AQ471" s="229" t="s">
        <v>461</v>
      </c>
      <c r="AR471" s="5"/>
      <c r="AS471" s="5"/>
      <c r="AT471" s="5"/>
      <c r="AU471" s="5"/>
      <c r="AV471" s="5"/>
      <c r="AW471" s="5"/>
      <c r="AX471" s="284"/>
      <c r="AY471" s="5"/>
      <c r="AZ471" s="5"/>
      <c r="BA471" s="230"/>
      <c r="BB471" s="5"/>
      <c r="BC471" s="232" t="s">
        <v>3535</v>
      </c>
      <c r="BD471" s="257"/>
      <c r="BE471" s="249"/>
      <c r="BF471" s="249"/>
      <c r="BG471" s="249"/>
      <c r="BH471" s="249"/>
      <c r="BI471" s="249"/>
      <c r="BJ471" s="249"/>
      <c r="BK471" s="249"/>
      <c r="BL471" s="249"/>
      <c r="BM471" s="249"/>
      <c r="BN471" s="249"/>
      <c r="BO471" s="249"/>
      <c r="BP471" s="249"/>
      <c r="BQ471" s="249"/>
      <c r="BR471" s="249"/>
      <c r="BS471" s="249"/>
      <c r="BT471" s="249"/>
      <c r="BU471" s="249"/>
      <c r="BV471" s="249"/>
      <c r="BW471" s="249"/>
      <c r="BX471" s="249"/>
      <c r="BY471" s="249"/>
      <c r="BZ471" s="249"/>
      <c r="CA471" s="249"/>
      <c r="CB471" s="249"/>
      <c r="CC471" s="249"/>
      <c r="CD471" s="249"/>
      <c r="CE471" s="249"/>
    </row>
    <row r="472" spans="1:83" s="84" customFormat="1" ht="12.95" customHeight="1">
      <c r="A472" s="1"/>
      <c r="B472" s="1"/>
      <c r="C472" s="21" t="s">
        <v>462</v>
      </c>
      <c r="D472" s="52" t="s">
        <v>2795</v>
      </c>
      <c r="E472" s="52" t="s">
        <v>2819</v>
      </c>
      <c r="F472" s="53" t="s">
        <v>691</v>
      </c>
      <c r="G472" s="179" t="s">
        <v>1429</v>
      </c>
      <c r="H472" s="180" t="s">
        <v>462</v>
      </c>
      <c r="I472" s="55" t="s">
        <v>1429</v>
      </c>
      <c r="J472" s="55" t="s">
        <v>1429</v>
      </c>
      <c r="K472" s="56" t="s">
        <v>1429</v>
      </c>
      <c r="L472" s="54" t="s">
        <v>1429</v>
      </c>
      <c r="M472" s="55" t="s">
        <v>1580</v>
      </c>
      <c r="N472" s="55" t="s">
        <v>1429</v>
      </c>
      <c r="O472" s="55" t="s">
        <v>1429</v>
      </c>
      <c r="P472" s="56" t="s">
        <v>1429</v>
      </c>
      <c r="Q472" s="85"/>
      <c r="R472" s="85"/>
      <c r="S472" s="85"/>
      <c r="T472" s="85"/>
      <c r="U472" s="85"/>
      <c r="V472" s="146" t="s">
        <v>2824</v>
      </c>
      <c r="W472" s="51" t="s">
        <v>2611</v>
      </c>
      <c r="X472" s="130" t="s">
        <v>1429</v>
      </c>
      <c r="Y472" s="130" t="s">
        <v>1429</v>
      </c>
      <c r="Z472" s="51"/>
      <c r="AA472" s="51" t="s">
        <v>2612</v>
      </c>
      <c r="AB472" s="146"/>
      <c r="AC472" s="146" t="s">
        <v>1429</v>
      </c>
      <c r="AD472" s="98"/>
      <c r="AE472" s="83"/>
      <c r="AF472" s="83"/>
      <c r="AG472" s="83"/>
      <c r="AH472" s="86"/>
      <c r="AI472" s="86"/>
      <c r="AJ472" s="87"/>
      <c r="AK472" s="87"/>
      <c r="AL472" s="87"/>
      <c r="AM472" s="87"/>
      <c r="AN472" s="87"/>
      <c r="AO472" s="87"/>
      <c r="AP472" s="87"/>
      <c r="AQ472" s="229" t="s">
        <v>462</v>
      </c>
      <c r="AR472" s="5"/>
      <c r="AS472" s="5"/>
      <c r="AT472" s="5"/>
      <c r="AU472" s="5"/>
      <c r="AV472" s="5"/>
      <c r="AW472" s="5"/>
      <c r="AX472" s="284"/>
      <c r="AY472" s="5"/>
      <c r="AZ472" s="5"/>
      <c r="BA472" s="230"/>
      <c r="BB472" s="5"/>
      <c r="BC472" s="232" t="s">
        <v>3535</v>
      </c>
      <c r="BD472" s="257"/>
      <c r="BE472" s="249"/>
      <c r="BF472" s="249"/>
      <c r="BG472" s="249"/>
      <c r="BH472" s="249"/>
      <c r="BI472" s="249"/>
      <c r="BJ472" s="249"/>
      <c r="BK472" s="249"/>
      <c r="BL472" s="249"/>
      <c r="BM472" s="249"/>
      <c r="BN472" s="249"/>
      <c r="BO472" s="249"/>
      <c r="BP472" s="249"/>
      <c r="BQ472" s="249"/>
      <c r="BR472" s="249"/>
      <c r="BS472" s="249"/>
      <c r="BT472" s="249"/>
      <c r="BU472" s="249"/>
      <c r="BV472" s="249"/>
      <c r="BW472" s="249"/>
      <c r="BX472" s="249"/>
      <c r="BY472" s="249"/>
      <c r="BZ472" s="249"/>
      <c r="CA472" s="249"/>
      <c r="CB472" s="249"/>
      <c r="CC472" s="249"/>
      <c r="CD472" s="249"/>
      <c r="CE472" s="249"/>
    </row>
    <row r="473" spans="1:83" s="84" customFormat="1" ht="12.95" customHeight="1">
      <c r="A473" s="1"/>
      <c r="B473" s="1"/>
      <c r="C473" s="18" t="s">
        <v>463</v>
      </c>
      <c r="D473" s="52" t="s">
        <v>2809</v>
      </c>
      <c r="E473" s="52" t="s">
        <v>2825</v>
      </c>
      <c r="F473" s="53" t="s">
        <v>692</v>
      </c>
      <c r="G473" s="179" t="s">
        <v>1429</v>
      </c>
      <c r="H473" s="180" t="s">
        <v>463</v>
      </c>
      <c r="I473" s="55" t="s">
        <v>1429</v>
      </c>
      <c r="J473" s="55" t="s">
        <v>1429</v>
      </c>
      <c r="K473" s="56" t="s">
        <v>1429</v>
      </c>
      <c r="L473" s="54" t="s">
        <v>1429</v>
      </c>
      <c r="M473" s="55" t="s">
        <v>1580</v>
      </c>
      <c r="N473" s="55" t="s">
        <v>1429</v>
      </c>
      <c r="O473" s="55" t="s">
        <v>1429</v>
      </c>
      <c r="P473" s="56" t="s">
        <v>1429</v>
      </c>
      <c r="Q473" s="85"/>
      <c r="R473" s="85"/>
      <c r="S473" s="85"/>
      <c r="T473" s="85"/>
      <c r="U473" s="85"/>
      <c r="V473" s="146" t="s">
        <v>2826</v>
      </c>
      <c r="W473" s="51" t="s">
        <v>2611</v>
      </c>
      <c r="X473" s="130" t="s">
        <v>1429</v>
      </c>
      <c r="Y473" s="130" t="s">
        <v>1429</v>
      </c>
      <c r="Z473" s="51"/>
      <c r="AA473" s="51" t="s">
        <v>2612</v>
      </c>
      <c r="AB473" s="146"/>
      <c r="AC473" s="146" t="s">
        <v>1429</v>
      </c>
      <c r="AD473" s="98"/>
      <c r="AE473" s="83"/>
      <c r="AF473" s="83"/>
      <c r="AG473" s="83"/>
      <c r="AH473" s="86"/>
      <c r="AI473" s="86"/>
      <c r="AJ473" s="87"/>
      <c r="AK473" s="87"/>
      <c r="AL473" s="87"/>
      <c r="AM473" s="87"/>
      <c r="AN473" s="87"/>
      <c r="AO473" s="87"/>
      <c r="AP473" s="87"/>
      <c r="AQ473" s="229" t="s">
        <v>463</v>
      </c>
      <c r="AR473" s="5"/>
      <c r="AS473" s="5"/>
      <c r="AT473" s="5"/>
      <c r="AU473" s="5"/>
      <c r="AV473" s="5"/>
      <c r="AW473" s="5"/>
      <c r="AX473" s="284"/>
      <c r="AY473" s="5"/>
      <c r="AZ473" s="5"/>
      <c r="BA473" s="230"/>
      <c r="BB473" s="5"/>
      <c r="BC473" s="232" t="s">
        <v>3535</v>
      </c>
      <c r="BD473" s="257"/>
      <c r="BE473" s="249"/>
      <c r="BF473" s="249"/>
      <c r="BG473" s="249"/>
      <c r="BH473" s="249"/>
      <c r="BI473" s="249"/>
      <c r="BJ473" s="249"/>
      <c r="BK473" s="249"/>
      <c r="BL473" s="249"/>
      <c r="BM473" s="249"/>
      <c r="BN473" s="249"/>
      <c r="BO473" s="249"/>
      <c r="BP473" s="249"/>
      <c r="BQ473" s="249"/>
      <c r="BR473" s="249"/>
      <c r="BS473" s="249"/>
      <c r="BT473" s="249"/>
      <c r="BU473" s="249"/>
      <c r="BV473" s="249"/>
      <c r="BW473" s="249"/>
      <c r="BX473" s="249"/>
      <c r="BY473" s="249"/>
      <c r="BZ473" s="249"/>
      <c r="CA473" s="249"/>
      <c r="CB473" s="249"/>
      <c r="CC473" s="249"/>
      <c r="CD473" s="249"/>
      <c r="CE473" s="249"/>
    </row>
    <row r="474" spans="1:83" s="84" customFormat="1" ht="12.95" customHeight="1">
      <c r="A474" s="1"/>
      <c r="B474" s="1"/>
      <c r="C474" s="18" t="s">
        <v>464</v>
      </c>
      <c r="D474" s="52" t="s">
        <v>2811</v>
      </c>
      <c r="E474" s="52" t="s">
        <v>2827</v>
      </c>
      <c r="F474" s="53" t="s">
        <v>693</v>
      </c>
      <c r="G474" s="179" t="s">
        <v>1429</v>
      </c>
      <c r="H474" s="180" t="s">
        <v>464</v>
      </c>
      <c r="I474" s="55" t="s">
        <v>1429</v>
      </c>
      <c r="J474" s="55" t="s">
        <v>1429</v>
      </c>
      <c r="K474" s="56" t="s">
        <v>1429</v>
      </c>
      <c r="L474" s="54" t="s">
        <v>1429</v>
      </c>
      <c r="M474" s="55" t="s">
        <v>1580</v>
      </c>
      <c r="N474" s="55" t="s">
        <v>1429</v>
      </c>
      <c r="O474" s="55" t="s">
        <v>1429</v>
      </c>
      <c r="P474" s="56" t="s">
        <v>1429</v>
      </c>
      <c r="Q474" s="85"/>
      <c r="R474" s="85"/>
      <c r="S474" s="85"/>
      <c r="T474" s="85"/>
      <c r="U474" s="85"/>
      <c r="V474" s="146" t="s">
        <v>2828</v>
      </c>
      <c r="W474" s="51" t="s">
        <v>2611</v>
      </c>
      <c r="X474" s="130" t="s">
        <v>1429</v>
      </c>
      <c r="Y474" s="130" t="s">
        <v>1429</v>
      </c>
      <c r="Z474" s="51"/>
      <c r="AA474" s="51" t="s">
        <v>2612</v>
      </c>
      <c r="AB474" s="146"/>
      <c r="AC474" s="146" t="s">
        <v>1429</v>
      </c>
      <c r="AD474" s="98"/>
      <c r="AE474" s="83"/>
      <c r="AF474" s="83"/>
      <c r="AG474" s="83"/>
      <c r="AH474" s="86"/>
      <c r="AI474" s="86"/>
      <c r="AJ474" s="87"/>
      <c r="AK474" s="87"/>
      <c r="AL474" s="87"/>
      <c r="AM474" s="87"/>
      <c r="AN474" s="87"/>
      <c r="AO474" s="87"/>
      <c r="AP474" s="87"/>
      <c r="AQ474" s="229" t="s">
        <v>464</v>
      </c>
      <c r="AR474" s="5"/>
      <c r="AS474" s="5"/>
      <c r="AT474" s="5"/>
      <c r="AU474" s="5"/>
      <c r="AV474" s="5"/>
      <c r="AW474" s="5"/>
      <c r="AX474" s="284"/>
      <c r="AY474" s="5"/>
      <c r="AZ474" s="5"/>
      <c r="BA474" s="230"/>
      <c r="BB474" s="5"/>
      <c r="BC474" s="232" t="s">
        <v>3535</v>
      </c>
      <c r="BD474" s="257"/>
      <c r="BE474" s="249"/>
      <c r="BF474" s="249"/>
      <c r="BG474" s="249"/>
      <c r="BH474" s="249"/>
      <c r="BI474" s="249"/>
      <c r="BJ474" s="249"/>
      <c r="BK474" s="249"/>
      <c r="BL474" s="249"/>
      <c r="BM474" s="249"/>
      <c r="BN474" s="249"/>
      <c r="BO474" s="249"/>
      <c r="BP474" s="249"/>
      <c r="BQ474" s="249"/>
      <c r="BR474" s="249"/>
      <c r="BS474" s="249"/>
      <c r="BT474" s="249"/>
      <c r="BU474" s="249"/>
      <c r="BV474" s="249"/>
      <c r="BW474" s="249"/>
      <c r="BX474" s="249"/>
      <c r="BY474" s="249"/>
      <c r="BZ474" s="249"/>
      <c r="CA474" s="249"/>
      <c r="CB474" s="249"/>
      <c r="CC474" s="249"/>
      <c r="CD474" s="249"/>
      <c r="CE474" s="249"/>
    </row>
    <row r="475" spans="1:83" s="84" customFormat="1" ht="12.95" customHeight="1">
      <c r="A475" s="1"/>
      <c r="B475" s="1"/>
      <c r="C475" s="18" t="s">
        <v>465</v>
      </c>
      <c r="D475" s="52" t="s">
        <v>2801</v>
      </c>
      <c r="E475" s="52" t="s">
        <v>2829</v>
      </c>
      <c r="F475" s="53" t="s">
        <v>694</v>
      </c>
      <c r="G475" s="179" t="s">
        <v>1429</v>
      </c>
      <c r="H475" s="180" t="s">
        <v>465</v>
      </c>
      <c r="I475" s="55" t="s">
        <v>1429</v>
      </c>
      <c r="J475" s="55" t="s">
        <v>1429</v>
      </c>
      <c r="K475" s="56" t="s">
        <v>1429</v>
      </c>
      <c r="L475" s="54" t="s">
        <v>1429</v>
      </c>
      <c r="M475" s="55" t="s">
        <v>1580</v>
      </c>
      <c r="N475" s="55" t="s">
        <v>1429</v>
      </c>
      <c r="O475" s="55" t="s">
        <v>1429</v>
      </c>
      <c r="P475" s="56" t="s">
        <v>1429</v>
      </c>
      <c r="Q475" s="85"/>
      <c r="R475" s="85"/>
      <c r="S475" s="85"/>
      <c r="T475" s="85"/>
      <c r="U475" s="85"/>
      <c r="V475" s="146" t="s">
        <v>2830</v>
      </c>
      <c r="W475" s="51" t="s">
        <v>2611</v>
      </c>
      <c r="X475" s="130" t="s">
        <v>1429</v>
      </c>
      <c r="Y475" s="130" t="s">
        <v>1429</v>
      </c>
      <c r="Z475" s="51"/>
      <c r="AA475" s="51" t="s">
        <v>2612</v>
      </c>
      <c r="AB475" s="146"/>
      <c r="AC475" s="146" t="s">
        <v>1429</v>
      </c>
      <c r="AD475" s="98"/>
      <c r="AE475" s="83"/>
      <c r="AF475" s="83"/>
      <c r="AG475" s="83"/>
      <c r="AH475" s="86"/>
      <c r="AI475" s="86"/>
      <c r="AJ475" s="87"/>
      <c r="AK475" s="87"/>
      <c r="AL475" s="87"/>
      <c r="AM475" s="87"/>
      <c r="AN475" s="87"/>
      <c r="AO475" s="87"/>
      <c r="AP475" s="87"/>
      <c r="AQ475" s="229" t="s">
        <v>465</v>
      </c>
      <c r="AR475" s="5"/>
      <c r="AS475" s="5"/>
      <c r="AT475" s="5"/>
      <c r="AU475" s="5"/>
      <c r="AV475" s="5"/>
      <c r="AW475" s="5"/>
      <c r="AX475" s="284"/>
      <c r="AY475" s="5"/>
      <c r="AZ475" s="5"/>
      <c r="BA475" s="230"/>
      <c r="BB475" s="5"/>
      <c r="BC475" s="232" t="s">
        <v>3535</v>
      </c>
      <c r="BD475" s="257"/>
      <c r="BE475" s="249"/>
      <c r="BF475" s="249"/>
      <c r="BG475" s="249"/>
      <c r="BH475" s="249"/>
      <c r="BI475" s="249"/>
      <c r="BJ475" s="249"/>
      <c r="BK475" s="249"/>
      <c r="BL475" s="249"/>
      <c r="BM475" s="249"/>
      <c r="BN475" s="249"/>
      <c r="BO475" s="249"/>
      <c r="BP475" s="249"/>
      <c r="BQ475" s="249"/>
      <c r="BR475" s="249"/>
      <c r="BS475" s="249"/>
      <c r="BT475" s="249"/>
      <c r="BU475" s="249"/>
      <c r="BV475" s="249"/>
      <c r="BW475" s="249"/>
      <c r="BX475" s="249"/>
      <c r="BY475" s="249"/>
      <c r="BZ475" s="249"/>
      <c r="CA475" s="249"/>
      <c r="CB475" s="249"/>
      <c r="CC475" s="249"/>
      <c r="CD475" s="249"/>
      <c r="CE475" s="249"/>
    </row>
    <row r="476" spans="1:83" s="84" customFormat="1" ht="12.95" customHeight="1">
      <c r="A476" s="1"/>
      <c r="B476" s="1"/>
      <c r="C476" s="18" t="s">
        <v>466</v>
      </c>
      <c r="D476" s="52" t="s">
        <v>2820</v>
      </c>
      <c r="E476" s="52" t="s">
        <v>2831</v>
      </c>
      <c r="F476" s="53" t="s">
        <v>695</v>
      </c>
      <c r="G476" s="179" t="s">
        <v>1429</v>
      </c>
      <c r="H476" s="180" t="s">
        <v>466</v>
      </c>
      <c r="I476" s="55" t="s">
        <v>1429</v>
      </c>
      <c r="J476" s="55" t="s">
        <v>1429</v>
      </c>
      <c r="K476" s="56" t="s">
        <v>1429</v>
      </c>
      <c r="L476" s="54" t="s">
        <v>1429</v>
      </c>
      <c r="M476" s="55" t="s">
        <v>1580</v>
      </c>
      <c r="N476" s="55" t="s">
        <v>1429</v>
      </c>
      <c r="O476" s="55" t="s">
        <v>1429</v>
      </c>
      <c r="P476" s="56" t="s">
        <v>1429</v>
      </c>
      <c r="Q476" s="85"/>
      <c r="R476" s="85"/>
      <c r="S476" s="85"/>
      <c r="T476" s="85"/>
      <c r="U476" s="85"/>
      <c r="V476" s="146" t="s">
        <v>2832</v>
      </c>
      <c r="W476" s="51" t="s">
        <v>2611</v>
      </c>
      <c r="X476" s="130" t="s">
        <v>1429</v>
      </c>
      <c r="Y476" s="130" t="s">
        <v>1429</v>
      </c>
      <c r="Z476" s="51"/>
      <c r="AA476" s="51" t="s">
        <v>2612</v>
      </c>
      <c r="AB476" s="146"/>
      <c r="AC476" s="146" t="s">
        <v>1429</v>
      </c>
      <c r="AD476" s="98"/>
      <c r="AE476" s="83"/>
      <c r="AF476" s="83"/>
      <c r="AG476" s="83"/>
      <c r="AH476" s="86"/>
      <c r="AI476" s="86"/>
      <c r="AJ476" s="87"/>
      <c r="AK476" s="87"/>
      <c r="AL476" s="87"/>
      <c r="AM476" s="87"/>
      <c r="AN476" s="87"/>
      <c r="AO476" s="87"/>
      <c r="AP476" s="87"/>
      <c r="AQ476" s="229" t="s">
        <v>466</v>
      </c>
      <c r="AR476" s="5"/>
      <c r="AS476" s="5"/>
      <c r="AT476" s="5"/>
      <c r="AU476" s="5"/>
      <c r="AV476" s="5"/>
      <c r="AW476" s="5"/>
      <c r="AX476" s="284"/>
      <c r="AY476" s="5"/>
      <c r="AZ476" s="5"/>
      <c r="BA476" s="230"/>
      <c r="BB476" s="5"/>
      <c r="BC476" s="232" t="s">
        <v>3535</v>
      </c>
      <c r="BD476" s="257"/>
      <c r="BE476" s="249"/>
      <c r="BF476" s="249"/>
      <c r="BG476" s="249"/>
      <c r="BH476" s="249"/>
      <c r="BI476" s="249"/>
      <c r="BJ476" s="249"/>
      <c r="BK476" s="249"/>
      <c r="BL476" s="249"/>
      <c r="BM476" s="249"/>
      <c r="BN476" s="249"/>
      <c r="BO476" s="249"/>
      <c r="BP476" s="249"/>
      <c r="BQ476" s="249"/>
      <c r="BR476" s="249"/>
      <c r="BS476" s="249"/>
      <c r="BT476" s="249"/>
      <c r="BU476" s="249"/>
      <c r="BV476" s="249"/>
      <c r="BW476" s="249"/>
      <c r="BX476" s="249"/>
      <c r="BY476" s="249"/>
      <c r="BZ476" s="249"/>
      <c r="CA476" s="249"/>
      <c r="CB476" s="249"/>
      <c r="CC476" s="249"/>
      <c r="CD476" s="249"/>
      <c r="CE476" s="249"/>
    </row>
    <row r="477" spans="1:83" s="84" customFormat="1" ht="12.95" customHeight="1">
      <c r="A477" s="1"/>
      <c r="B477" s="1"/>
      <c r="C477" s="18" t="s">
        <v>467</v>
      </c>
      <c r="D477" s="52" t="s">
        <v>2833</v>
      </c>
      <c r="E477" s="52" t="s">
        <v>2834</v>
      </c>
      <c r="F477" s="53" t="s">
        <v>696</v>
      </c>
      <c r="G477" s="179" t="s">
        <v>1429</v>
      </c>
      <c r="H477" s="180" t="s">
        <v>467</v>
      </c>
      <c r="I477" s="55" t="s">
        <v>1429</v>
      </c>
      <c r="J477" s="55" t="s">
        <v>1429</v>
      </c>
      <c r="K477" s="56" t="s">
        <v>1429</v>
      </c>
      <c r="L477" s="54" t="s">
        <v>1429</v>
      </c>
      <c r="M477" s="55" t="s">
        <v>1580</v>
      </c>
      <c r="N477" s="55" t="s">
        <v>1429</v>
      </c>
      <c r="O477" s="55" t="s">
        <v>1429</v>
      </c>
      <c r="P477" s="56" t="s">
        <v>1429</v>
      </c>
      <c r="Q477" s="85"/>
      <c r="R477" s="85"/>
      <c r="S477" s="85"/>
      <c r="T477" s="85"/>
      <c r="U477" s="85"/>
      <c r="V477" s="146" t="s">
        <v>2835</v>
      </c>
      <c r="W477" s="51" t="s">
        <v>2611</v>
      </c>
      <c r="X477" s="130" t="s">
        <v>1429</v>
      </c>
      <c r="Y477" s="130" t="s">
        <v>1429</v>
      </c>
      <c r="Z477" s="51"/>
      <c r="AA477" s="51" t="s">
        <v>2612</v>
      </c>
      <c r="AB477" s="146"/>
      <c r="AC477" s="146" t="s">
        <v>1429</v>
      </c>
      <c r="AD477" s="98"/>
      <c r="AE477" s="83"/>
      <c r="AF477" s="83"/>
      <c r="AG477" s="83"/>
      <c r="AH477" s="86"/>
      <c r="AI477" s="86"/>
      <c r="AJ477" s="87"/>
      <c r="AK477" s="87"/>
      <c r="AL477" s="87"/>
      <c r="AM477" s="87"/>
      <c r="AN477" s="87"/>
      <c r="AO477" s="87"/>
      <c r="AP477" s="87"/>
      <c r="AQ477" s="229" t="s">
        <v>467</v>
      </c>
      <c r="AR477" s="5"/>
      <c r="AS477" s="5"/>
      <c r="AT477" s="5"/>
      <c r="AU477" s="5"/>
      <c r="AV477" s="5"/>
      <c r="AW477" s="5"/>
      <c r="AX477" s="284"/>
      <c r="AY477" s="5"/>
      <c r="AZ477" s="5"/>
      <c r="BA477" s="230"/>
      <c r="BB477" s="5"/>
      <c r="BC477" s="232" t="s">
        <v>3535</v>
      </c>
      <c r="BD477" s="257"/>
      <c r="BE477" s="249"/>
      <c r="BF477" s="249"/>
      <c r="BG477" s="249"/>
      <c r="BH477" s="249"/>
      <c r="BI477" s="249"/>
      <c r="BJ477" s="249"/>
      <c r="BK477" s="249"/>
      <c r="BL477" s="249"/>
      <c r="BM477" s="249"/>
      <c r="BN477" s="249"/>
      <c r="BO477" s="249"/>
      <c r="BP477" s="249"/>
      <c r="BQ477" s="249"/>
      <c r="BR477" s="249"/>
      <c r="BS477" s="249"/>
      <c r="BT477" s="249"/>
      <c r="BU477" s="249"/>
      <c r="BV477" s="249"/>
      <c r="BW477" s="249"/>
      <c r="BX477" s="249"/>
      <c r="BY477" s="249"/>
      <c r="BZ477" s="249"/>
      <c r="CA477" s="249"/>
      <c r="CB477" s="249"/>
      <c r="CC477" s="249"/>
      <c r="CD477" s="249"/>
      <c r="CE477" s="249"/>
    </row>
    <row r="478" spans="1:83" s="84" customFormat="1" ht="12.95" customHeight="1">
      <c r="A478" s="1"/>
      <c r="B478" s="1"/>
      <c r="C478" s="18" t="s">
        <v>468</v>
      </c>
      <c r="D478" s="52" t="s">
        <v>2834</v>
      </c>
      <c r="E478" s="52" t="s">
        <v>2836</v>
      </c>
      <c r="F478" s="53" t="s">
        <v>697</v>
      </c>
      <c r="G478" s="179" t="s">
        <v>1429</v>
      </c>
      <c r="H478" s="180" t="s">
        <v>468</v>
      </c>
      <c r="I478" s="55" t="s">
        <v>1429</v>
      </c>
      <c r="J478" s="55" t="s">
        <v>1429</v>
      </c>
      <c r="K478" s="56" t="s">
        <v>1429</v>
      </c>
      <c r="L478" s="54" t="s">
        <v>1429</v>
      </c>
      <c r="M478" s="55" t="s">
        <v>1580</v>
      </c>
      <c r="N478" s="55" t="s">
        <v>1429</v>
      </c>
      <c r="O478" s="55" t="s">
        <v>1429</v>
      </c>
      <c r="P478" s="56" t="s">
        <v>1429</v>
      </c>
      <c r="Q478" s="85"/>
      <c r="R478" s="85"/>
      <c r="S478" s="85"/>
      <c r="T478" s="85"/>
      <c r="U478" s="85"/>
      <c r="V478" s="146" t="s">
        <v>2837</v>
      </c>
      <c r="W478" s="51" t="s">
        <v>2611</v>
      </c>
      <c r="X478" s="130" t="s">
        <v>1429</v>
      </c>
      <c r="Y478" s="130" t="s">
        <v>1429</v>
      </c>
      <c r="Z478" s="51"/>
      <c r="AA478" s="51" t="s">
        <v>2612</v>
      </c>
      <c r="AB478" s="146"/>
      <c r="AC478" s="146" t="s">
        <v>1429</v>
      </c>
      <c r="AD478" s="98"/>
      <c r="AE478" s="83"/>
      <c r="AF478" s="83"/>
      <c r="AG478" s="83"/>
      <c r="AH478" s="86"/>
      <c r="AI478" s="86"/>
      <c r="AJ478" s="87"/>
      <c r="AK478" s="87"/>
      <c r="AL478" s="87"/>
      <c r="AM478" s="87"/>
      <c r="AN478" s="87"/>
      <c r="AO478" s="87"/>
      <c r="AP478" s="87"/>
      <c r="AQ478" s="229" t="s">
        <v>468</v>
      </c>
      <c r="AR478" s="5"/>
      <c r="AS478" s="5"/>
      <c r="AT478" s="5"/>
      <c r="AU478" s="5"/>
      <c r="AV478" s="5"/>
      <c r="AW478" s="5"/>
      <c r="AX478" s="284"/>
      <c r="AY478" s="5"/>
      <c r="AZ478" s="5"/>
      <c r="BA478" s="230"/>
      <c r="BB478" s="5"/>
      <c r="BC478" s="232" t="s">
        <v>3535</v>
      </c>
      <c r="BD478" s="257"/>
      <c r="BE478" s="249"/>
      <c r="BF478" s="249"/>
      <c r="BG478" s="249"/>
      <c r="BH478" s="249"/>
      <c r="BI478" s="249"/>
      <c r="BJ478" s="249"/>
      <c r="BK478" s="249"/>
      <c r="BL478" s="249"/>
      <c r="BM478" s="249"/>
      <c r="BN478" s="249"/>
      <c r="BO478" s="249"/>
      <c r="BP478" s="249"/>
      <c r="BQ478" s="249"/>
      <c r="BR478" s="249"/>
      <c r="BS478" s="249"/>
      <c r="BT478" s="249"/>
      <c r="BU478" s="249"/>
      <c r="BV478" s="249"/>
      <c r="BW478" s="249"/>
      <c r="BX478" s="249"/>
      <c r="BY478" s="249"/>
      <c r="BZ478" s="249"/>
      <c r="CA478" s="249"/>
      <c r="CB478" s="249"/>
      <c r="CC478" s="249"/>
      <c r="CD478" s="249"/>
      <c r="CE478" s="249"/>
    </row>
    <row r="479" spans="1:83" s="84" customFormat="1" ht="12.95" customHeight="1">
      <c r="A479" s="1"/>
      <c r="B479" s="1"/>
      <c r="C479" s="18" t="s">
        <v>469</v>
      </c>
      <c r="D479" s="52" t="s">
        <v>2829</v>
      </c>
      <c r="E479" s="52" t="s">
        <v>2838</v>
      </c>
      <c r="F479" s="53" t="s">
        <v>698</v>
      </c>
      <c r="G479" s="179" t="s">
        <v>1429</v>
      </c>
      <c r="H479" s="180" t="s">
        <v>469</v>
      </c>
      <c r="I479" s="55" t="s">
        <v>1429</v>
      </c>
      <c r="J479" s="55" t="s">
        <v>1429</v>
      </c>
      <c r="K479" s="56" t="s">
        <v>1429</v>
      </c>
      <c r="L479" s="54" t="s">
        <v>1429</v>
      </c>
      <c r="M479" s="55" t="s">
        <v>1580</v>
      </c>
      <c r="N479" s="55" t="s">
        <v>1429</v>
      </c>
      <c r="O479" s="55" t="s">
        <v>1429</v>
      </c>
      <c r="P479" s="56" t="s">
        <v>1429</v>
      </c>
      <c r="Q479" s="85"/>
      <c r="R479" s="85"/>
      <c r="S479" s="85"/>
      <c r="T479" s="85"/>
      <c r="U479" s="85"/>
      <c r="V479" s="146" t="s">
        <v>2839</v>
      </c>
      <c r="W479" s="51" t="s">
        <v>2611</v>
      </c>
      <c r="X479" s="130" t="s">
        <v>1429</v>
      </c>
      <c r="Y479" s="130" t="s">
        <v>1429</v>
      </c>
      <c r="Z479" s="51"/>
      <c r="AA479" s="51" t="s">
        <v>2612</v>
      </c>
      <c r="AB479" s="146"/>
      <c r="AC479" s="146" t="s">
        <v>1429</v>
      </c>
      <c r="AD479" s="98"/>
      <c r="AE479" s="83"/>
      <c r="AF479" s="83"/>
      <c r="AG479" s="83"/>
      <c r="AH479" s="86"/>
      <c r="AI479" s="86"/>
      <c r="AJ479" s="87"/>
      <c r="AK479" s="87"/>
      <c r="AL479" s="87"/>
      <c r="AM479" s="87"/>
      <c r="AN479" s="87"/>
      <c r="AO479" s="87"/>
      <c r="AP479" s="87"/>
      <c r="AQ479" s="229" t="s">
        <v>469</v>
      </c>
      <c r="AR479" s="5"/>
      <c r="AS479" s="5"/>
      <c r="AT479" s="5"/>
      <c r="AU479" s="5"/>
      <c r="AV479" s="5"/>
      <c r="AW479" s="5"/>
      <c r="AX479" s="284"/>
      <c r="AY479" s="5"/>
      <c r="AZ479" s="5"/>
      <c r="BA479" s="230"/>
      <c r="BB479" s="5"/>
      <c r="BC479" s="232" t="s">
        <v>3535</v>
      </c>
      <c r="BD479" s="257"/>
      <c r="BE479" s="249"/>
      <c r="BF479" s="249"/>
      <c r="BG479" s="249"/>
      <c r="BH479" s="249"/>
      <c r="BI479" s="249"/>
      <c r="BJ479" s="249"/>
      <c r="BK479" s="249"/>
      <c r="BL479" s="249"/>
      <c r="BM479" s="249"/>
      <c r="BN479" s="249"/>
      <c r="BO479" s="249"/>
      <c r="BP479" s="249"/>
      <c r="BQ479" s="249"/>
      <c r="BR479" s="249"/>
      <c r="BS479" s="249"/>
      <c r="BT479" s="249"/>
      <c r="BU479" s="249"/>
      <c r="BV479" s="249"/>
      <c r="BW479" s="249"/>
      <c r="BX479" s="249"/>
      <c r="BY479" s="249"/>
      <c r="BZ479" s="249"/>
      <c r="CA479" s="249"/>
      <c r="CB479" s="249"/>
      <c r="CC479" s="249"/>
      <c r="CD479" s="249"/>
      <c r="CE479" s="249"/>
    </row>
    <row r="480" spans="1:83" s="84" customFormat="1" ht="12.95" customHeight="1">
      <c r="A480" s="1"/>
      <c r="B480" s="1"/>
      <c r="C480" s="18" t="s">
        <v>470</v>
      </c>
      <c r="D480" s="52" t="s">
        <v>2840</v>
      </c>
      <c r="E480" s="52" t="s">
        <v>2841</v>
      </c>
      <c r="F480" s="53" t="s">
        <v>699</v>
      </c>
      <c r="G480" s="179" t="s">
        <v>1429</v>
      </c>
      <c r="H480" s="180" t="s">
        <v>470</v>
      </c>
      <c r="I480" s="55" t="s">
        <v>1429</v>
      </c>
      <c r="J480" s="55" t="s">
        <v>1429</v>
      </c>
      <c r="K480" s="56" t="s">
        <v>1429</v>
      </c>
      <c r="L480" s="54" t="s">
        <v>1429</v>
      </c>
      <c r="M480" s="55" t="s">
        <v>1580</v>
      </c>
      <c r="N480" s="55" t="s">
        <v>1429</v>
      </c>
      <c r="O480" s="55" t="s">
        <v>1429</v>
      </c>
      <c r="P480" s="56" t="s">
        <v>1429</v>
      </c>
      <c r="Q480" s="85"/>
      <c r="R480" s="85"/>
      <c r="S480" s="85"/>
      <c r="T480" s="85"/>
      <c r="U480" s="85"/>
      <c r="V480" s="146" t="s">
        <v>2842</v>
      </c>
      <c r="W480" s="51" t="s">
        <v>2611</v>
      </c>
      <c r="X480" s="130" t="s">
        <v>1429</v>
      </c>
      <c r="Y480" s="130" t="s">
        <v>1429</v>
      </c>
      <c r="Z480" s="51"/>
      <c r="AA480" s="51" t="s">
        <v>2612</v>
      </c>
      <c r="AB480" s="146"/>
      <c r="AC480" s="146" t="s">
        <v>1429</v>
      </c>
      <c r="AD480" s="98"/>
      <c r="AE480" s="83"/>
      <c r="AF480" s="83"/>
      <c r="AG480" s="83"/>
      <c r="AH480" s="86"/>
      <c r="AI480" s="86"/>
      <c r="AJ480" s="87"/>
      <c r="AK480" s="87"/>
      <c r="AL480" s="87"/>
      <c r="AM480" s="87"/>
      <c r="AN480" s="87"/>
      <c r="AO480" s="87"/>
      <c r="AP480" s="87"/>
      <c r="AQ480" s="229" t="s">
        <v>470</v>
      </c>
      <c r="AR480" s="5"/>
      <c r="AS480" s="5"/>
      <c r="AT480" s="5"/>
      <c r="AU480" s="5"/>
      <c r="AV480" s="5"/>
      <c r="AW480" s="5"/>
      <c r="AX480" s="284"/>
      <c r="AY480" s="5"/>
      <c r="AZ480" s="5"/>
      <c r="BA480" s="230"/>
      <c r="BB480" s="5"/>
      <c r="BC480" s="232" t="s">
        <v>3535</v>
      </c>
      <c r="BD480" s="257"/>
      <c r="BE480" s="249"/>
      <c r="BF480" s="249"/>
      <c r="BG480" s="249"/>
      <c r="BH480" s="249"/>
      <c r="BI480" s="249"/>
      <c r="BJ480" s="249"/>
      <c r="BK480" s="249"/>
      <c r="BL480" s="249"/>
      <c r="BM480" s="249"/>
      <c r="BN480" s="249"/>
      <c r="BO480" s="249"/>
      <c r="BP480" s="249"/>
      <c r="BQ480" s="249"/>
      <c r="BR480" s="249"/>
      <c r="BS480" s="249"/>
      <c r="BT480" s="249"/>
      <c r="BU480" s="249"/>
      <c r="BV480" s="249"/>
      <c r="BW480" s="249"/>
      <c r="BX480" s="249"/>
      <c r="BY480" s="249"/>
      <c r="BZ480" s="249"/>
      <c r="CA480" s="249"/>
      <c r="CB480" s="249"/>
      <c r="CC480" s="249"/>
      <c r="CD480" s="249"/>
      <c r="CE480" s="249"/>
    </row>
    <row r="481" spans="1:83" s="84" customFormat="1" ht="12.95" customHeight="1">
      <c r="A481" s="1"/>
      <c r="B481" s="1"/>
      <c r="C481" s="18" t="s">
        <v>471</v>
      </c>
      <c r="D481" s="52" t="s">
        <v>2827</v>
      </c>
      <c r="E481" s="52" t="s">
        <v>2843</v>
      </c>
      <c r="F481" s="53" t="s">
        <v>700</v>
      </c>
      <c r="G481" s="179" t="s">
        <v>1429</v>
      </c>
      <c r="H481" s="180" t="s">
        <v>471</v>
      </c>
      <c r="I481" s="55" t="s">
        <v>1429</v>
      </c>
      <c r="J481" s="55" t="s">
        <v>1429</v>
      </c>
      <c r="K481" s="56" t="s">
        <v>1429</v>
      </c>
      <c r="L481" s="54" t="s">
        <v>1429</v>
      </c>
      <c r="M481" s="55" t="s">
        <v>1580</v>
      </c>
      <c r="N481" s="55" t="s">
        <v>1429</v>
      </c>
      <c r="O481" s="55" t="s">
        <v>1429</v>
      </c>
      <c r="P481" s="56" t="s">
        <v>1429</v>
      </c>
      <c r="Q481" s="85"/>
      <c r="R481" s="85"/>
      <c r="S481" s="85"/>
      <c r="T481" s="85"/>
      <c r="U481" s="85"/>
      <c r="V481" s="146" t="s">
        <v>2844</v>
      </c>
      <c r="W481" s="51" t="s">
        <v>2611</v>
      </c>
      <c r="X481" s="130" t="s">
        <v>1429</v>
      </c>
      <c r="Y481" s="130" t="s">
        <v>1429</v>
      </c>
      <c r="Z481" s="51"/>
      <c r="AA481" s="51" t="s">
        <v>2612</v>
      </c>
      <c r="AB481" s="146"/>
      <c r="AC481" s="146" t="s">
        <v>1429</v>
      </c>
      <c r="AD481" s="98"/>
      <c r="AE481" s="83"/>
      <c r="AF481" s="83"/>
      <c r="AG481" s="83"/>
      <c r="AH481" s="86"/>
      <c r="AI481" s="86"/>
      <c r="AJ481" s="87"/>
      <c r="AK481" s="87"/>
      <c r="AL481" s="87"/>
      <c r="AM481" s="87"/>
      <c r="AN481" s="87"/>
      <c r="AO481" s="87"/>
      <c r="AP481" s="87"/>
      <c r="AQ481" s="229" t="s">
        <v>471</v>
      </c>
      <c r="AR481" s="5"/>
      <c r="AS481" s="5"/>
      <c r="AT481" s="5"/>
      <c r="AU481" s="5"/>
      <c r="AV481" s="5"/>
      <c r="AW481" s="5"/>
      <c r="AX481" s="284"/>
      <c r="AY481" s="5"/>
      <c r="AZ481" s="5"/>
      <c r="BA481" s="230"/>
      <c r="BB481" s="5"/>
      <c r="BC481" s="232" t="s">
        <v>3535</v>
      </c>
      <c r="BD481" s="257"/>
      <c r="BE481" s="249"/>
      <c r="BF481" s="249"/>
      <c r="BG481" s="249"/>
      <c r="BH481" s="249"/>
      <c r="BI481" s="249"/>
      <c r="BJ481" s="249"/>
      <c r="BK481" s="249"/>
      <c r="BL481" s="249"/>
      <c r="BM481" s="249"/>
      <c r="BN481" s="249"/>
      <c r="BO481" s="249"/>
      <c r="BP481" s="249"/>
      <c r="BQ481" s="249"/>
      <c r="BR481" s="249"/>
      <c r="BS481" s="249"/>
      <c r="BT481" s="249"/>
      <c r="BU481" s="249"/>
      <c r="BV481" s="249"/>
      <c r="BW481" s="249"/>
      <c r="BX481" s="249"/>
      <c r="BY481" s="249"/>
      <c r="BZ481" s="249"/>
      <c r="CA481" s="249"/>
      <c r="CB481" s="249"/>
      <c r="CC481" s="249"/>
      <c r="CD481" s="249"/>
      <c r="CE481" s="249"/>
    </row>
    <row r="482" spans="1:83" s="84" customFormat="1" ht="12.95" customHeight="1">
      <c r="A482" s="1"/>
      <c r="B482" s="1"/>
      <c r="C482" s="18" t="s">
        <v>472</v>
      </c>
      <c r="D482" s="52" t="s">
        <v>2836</v>
      </c>
      <c r="E482" s="52" t="s">
        <v>2845</v>
      </c>
      <c r="F482" s="53" t="s">
        <v>701</v>
      </c>
      <c r="G482" s="179" t="s">
        <v>1429</v>
      </c>
      <c r="H482" s="180" t="s">
        <v>472</v>
      </c>
      <c r="I482" s="55" t="s">
        <v>1429</v>
      </c>
      <c r="J482" s="55" t="s">
        <v>1429</v>
      </c>
      <c r="K482" s="56" t="s">
        <v>1429</v>
      </c>
      <c r="L482" s="54" t="s">
        <v>1429</v>
      </c>
      <c r="M482" s="55" t="s">
        <v>1580</v>
      </c>
      <c r="N482" s="55" t="s">
        <v>1429</v>
      </c>
      <c r="O482" s="55" t="s">
        <v>1429</v>
      </c>
      <c r="P482" s="56" t="s">
        <v>1429</v>
      </c>
      <c r="Q482" s="85"/>
      <c r="R482" s="85"/>
      <c r="S482" s="85"/>
      <c r="T482" s="85"/>
      <c r="U482" s="85"/>
      <c r="V482" s="146" t="s">
        <v>2846</v>
      </c>
      <c r="W482" s="51" t="s">
        <v>2611</v>
      </c>
      <c r="X482" s="130" t="s">
        <v>1429</v>
      </c>
      <c r="Y482" s="130" t="s">
        <v>1429</v>
      </c>
      <c r="Z482" s="51"/>
      <c r="AA482" s="51" t="s">
        <v>2612</v>
      </c>
      <c r="AB482" s="146"/>
      <c r="AC482" s="146" t="s">
        <v>1429</v>
      </c>
      <c r="AD482" s="98"/>
      <c r="AE482" s="83"/>
      <c r="AF482" s="83"/>
      <c r="AG482" s="83"/>
      <c r="AH482" s="86"/>
      <c r="AI482" s="86"/>
      <c r="AJ482" s="87"/>
      <c r="AK482" s="87"/>
      <c r="AL482" s="87"/>
      <c r="AM482" s="87"/>
      <c r="AN482" s="87"/>
      <c r="AO482" s="87"/>
      <c r="AP482" s="87"/>
      <c r="AQ482" s="229" t="s">
        <v>472</v>
      </c>
      <c r="AR482" s="5"/>
      <c r="AS482" s="5"/>
      <c r="AT482" s="5"/>
      <c r="AU482" s="5"/>
      <c r="AV482" s="5"/>
      <c r="AW482" s="5"/>
      <c r="AX482" s="284"/>
      <c r="AY482" s="5"/>
      <c r="AZ482" s="5"/>
      <c r="BA482" s="230"/>
      <c r="BB482" s="5"/>
      <c r="BC482" s="232" t="s">
        <v>3535</v>
      </c>
      <c r="BD482" s="257"/>
      <c r="BE482" s="249"/>
      <c r="BF482" s="249"/>
      <c r="BG482" s="249"/>
      <c r="BH482" s="249"/>
      <c r="BI482" s="249"/>
      <c r="BJ482" s="249"/>
      <c r="BK482" s="249"/>
      <c r="BL482" s="249"/>
      <c r="BM482" s="249"/>
      <c r="BN482" s="249"/>
      <c r="BO482" s="249"/>
      <c r="BP482" s="249"/>
      <c r="BQ482" s="249"/>
      <c r="BR482" s="249"/>
      <c r="BS482" s="249"/>
      <c r="BT482" s="249"/>
      <c r="BU482" s="249"/>
      <c r="BV482" s="249"/>
      <c r="BW482" s="249"/>
      <c r="BX482" s="249"/>
      <c r="BY482" s="249"/>
      <c r="BZ482" s="249"/>
      <c r="CA482" s="249"/>
      <c r="CB482" s="249"/>
      <c r="CC482" s="249"/>
      <c r="CD482" s="249"/>
      <c r="CE482" s="249"/>
    </row>
    <row r="483" spans="1:83" s="84" customFormat="1" ht="12.95" customHeight="1">
      <c r="A483" s="1"/>
      <c r="B483" s="1"/>
      <c r="C483" s="21" t="s">
        <v>473</v>
      </c>
      <c r="D483" s="52" t="s">
        <v>2847</v>
      </c>
      <c r="E483" s="52" t="s">
        <v>2833</v>
      </c>
      <c r="F483" s="53" t="s">
        <v>702</v>
      </c>
      <c r="G483" s="179" t="s">
        <v>1429</v>
      </c>
      <c r="H483" s="180" t="s">
        <v>473</v>
      </c>
      <c r="I483" s="55" t="s">
        <v>1429</v>
      </c>
      <c r="J483" s="55" t="s">
        <v>1429</v>
      </c>
      <c r="K483" s="56" t="s">
        <v>1429</v>
      </c>
      <c r="L483" s="54" t="s">
        <v>1429</v>
      </c>
      <c r="M483" s="55" t="s">
        <v>1580</v>
      </c>
      <c r="N483" s="55" t="s">
        <v>1429</v>
      </c>
      <c r="O483" s="55" t="s">
        <v>1429</v>
      </c>
      <c r="P483" s="56" t="s">
        <v>1429</v>
      </c>
      <c r="Q483" s="85"/>
      <c r="R483" s="85"/>
      <c r="S483" s="85"/>
      <c r="T483" s="85"/>
      <c r="U483" s="85"/>
      <c r="V483" s="146" t="s">
        <v>2848</v>
      </c>
      <c r="W483" s="51" t="s">
        <v>2611</v>
      </c>
      <c r="X483" s="130" t="s">
        <v>1429</v>
      </c>
      <c r="Y483" s="130" t="s">
        <v>1429</v>
      </c>
      <c r="Z483" s="51"/>
      <c r="AA483" s="51" t="s">
        <v>2612</v>
      </c>
      <c r="AB483" s="146"/>
      <c r="AC483" s="146" t="s">
        <v>1429</v>
      </c>
      <c r="AD483" s="98"/>
      <c r="AE483" s="83"/>
      <c r="AF483" s="83"/>
      <c r="AG483" s="83"/>
      <c r="AH483" s="86"/>
      <c r="AI483" s="86"/>
      <c r="AJ483" s="87"/>
      <c r="AK483" s="87"/>
      <c r="AL483" s="87"/>
      <c r="AM483" s="87"/>
      <c r="AN483" s="87"/>
      <c r="AO483" s="87"/>
      <c r="AP483" s="87"/>
      <c r="AQ483" s="229" t="s">
        <v>473</v>
      </c>
      <c r="AR483" s="5"/>
      <c r="AS483" s="5"/>
      <c r="AT483" s="5"/>
      <c r="AU483" s="5"/>
      <c r="AV483" s="5"/>
      <c r="AW483" s="5"/>
      <c r="AX483" s="284"/>
      <c r="AY483" s="5"/>
      <c r="AZ483" s="5"/>
      <c r="BA483" s="230"/>
      <c r="BB483" s="5"/>
      <c r="BC483" s="232" t="s">
        <v>3535</v>
      </c>
      <c r="BD483" s="257"/>
      <c r="BE483" s="249"/>
      <c r="BF483" s="249"/>
      <c r="BG483" s="249"/>
      <c r="BH483" s="249"/>
      <c r="BI483" s="249"/>
      <c r="BJ483" s="249"/>
      <c r="BK483" s="249"/>
      <c r="BL483" s="249"/>
      <c r="BM483" s="249"/>
      <c r="BN483" s="249"/>
      <c r="BO483" s="249"/>
      <c r="BP483" s="249"/>
      <c r="BQ483" s="249"/>
      <c r="BR483" s="249"/>
      <c r="BS483" s="249"/>
      <c r="BT483" s="249"/>
      <c r="BU483" s="249"/>
      <c r="BV483" s="249"/>
      <c r="BW483" s="249"/>
      <c r="BX483" s="249"/>
      <c r="BY483" s="249"/>
      <c r="BZ483" s="249"/>
      <c r="CA483" s="249"/>
      <c r="CB483" s="249"/>
      <c r="CC483" s="249"/>
      <c r="CD483" s="249"/>
      <c r="CE483" s="249"/>
    </row>
    <row r="484" spans="1:83" s="84" customFormat="1" ht="12.95" customHeight="1">
      <c r="A484" s="1"/>
      <c r="B484" s="1"/>
      <c r="C484" s="21" t="s">
        <v>474</v>
      </c>
      <c r="D484" s="52" t="s">
        <v>2822</v>
      </c>
      <c r="E484" s="52" t="s">
        <v>2847</v>
      </c>
      <c r="F484" s="53" t="s">
        <v>703</v>
      </c>
      <c r="G484" s="179" t="s">
        <v>1429</v>
      </c>
      <c r="H484" s="180" t="s">
        <v>474</v>
      </c>
      <c r="I484" s="55" t="s">
        <v>1429</v>
      </c>
      <c r="J484" s="55" t="s">
        <v>1429</v>
      </c>
      <c r="K484" s="56" t="s">
        <v>1429</v>
      </c>
      <c r="L484" s="54" t="s">
        <v>1429</v>
      </c>
      <c r="M484" s="55" t="s">
        <v>1580</v>
      </c>
      <c r="N484" s="55" t="s">
        <v>1429</v>
      </c>
      <c r="O484" s="55" t="s">
        <v>1429</v>
      </c>
      <c r="P484" s="56" t="s">
        <v>1429</v>
      </c>
      <c r="Q484" s="85"/>
      <c r="R484" s="85"/>
      <c r="S484" s="85"/>
      <c r="T484" s="85"/>
      <c r="U484" s="85"/>
      <c r="V484" s="146" t="s">
        <v>2849</v>
      </c>
      <c r="W484" s="51" t="s">
        <v>2611</v>
      </c>
      <c r="X484" s="130" t="s">
        <v>1429</v>
      </c>
      <c r="Y484" s="130" t="s">
        <v>1429</v>
      </c>
      <c r="Z484" s="51"/>
      <c r="AA484" s="51" t="s">
        <v>2612</v>
      </c>
      <c r="AB484" s="146"/>
      <c r="AC484" s="146" t="s">
        <v>1429</v>
      </c>
      <c r="AD484" s="98"/>
      <c r="AE484" s="83"/>
      <c r="AF484" s="83"/>
      <c r="AG484" s="83"/>
      <c r="AH484" s="86"/>
      <c r="AI484" s="86"/>
      <c r="AJ484" s="87"/>
      <c r="AK484" s="87"/>
      <c r="AL484" s="87"/>
      <c r="AM484" s="87"/>
      <c r="AN484" s="87"/>
      <c r="AO484" s="87"/>
      <c r="AP484" s="87"/>
      <c r="AQ484" s="229" t="s">
        <v>474</v>
      </c>
      <c r="AR484" s="5"/>
      <c r="AS484" s="5"/>
      <c r="AT484" s="5"/>
      <c r="AU484" s="5"/>
      <c r="AV484" s="5"/>
      <c r="AW484" s="5"/>
      <c r="AX484" s="284"/>
      <c r="AY484" s="5"/>
      <c r="AZ484" s="5"/>
      <c r="BA484" s="230"/>
      <c r="BB484" s="5"/>
      <c r="BC484" s="232" t="s">
        <v>3535</v>
      </c>
      <c r="BD484" s="257"/>
      <c r="BE484" s="249"/>
      <c r="BF484" s="249"/>
      <c r="BG484" s="249"/>
      <c r="BH484" s="249"/>
      <c r="BI484" s="249"/>
      <c r="BJ484" s="249"/>
      <c r="BK484" s="249"/>
      <c r="BL484" s="249"/>
      <c r="BM484" s="249"/>
      <c r="BN484" s="249"/>
      <c r="BO484" s="249"/>
      <c r="BP484" s="249"/>
      <c r="BQ484" s="249"/>
      <c r="BR484" s="249"/>
      <c r="BS484" s="249"/>
      <c r="BT484" s="249"/>
      <c r="BU484" s="249"/>
      <c r="BV484" s="249"/>
      <c r="BW484" s="249"/>
      <c r="BX484" s="249"/>
      <c r="BY484" s="249"/>
      <c r="BZ484" s="249"/>
      <c r="CA484" s="249"/>
      <c r="CB484" s="249"/>
      <c r="CC484" s="249"/>
      <c r="CD484" s="249"/>
      <c r="CE484" s="249"/>
    </row>
    <row r="485" spans="1:83" s="84" customFormat="1" ht="12.95" customHeight="1">
      <c r="A485" s="1"/>
      <c r="B485" s="1"/>
      <c r="C485" s="18" t="s">
        <v>475</v>
      </c>
      <c r="D485" s="52" t="s">
        <v>2850</v>
      </c>
      <c r="E485" s="52" t="s">
        <v>2851</v>
      </c>
      <c r="F485" s="53" t="s">
        <v>704</v>
      </c>
      <c r="G485" s="179" t="s">
        <v>1429</v>
      </c>
      <c r="H485" s="180" t="s">
        <v>475</v>
      </c>
      <c r="I485" s="55" t="s">
        <v>1429</v>
      </c>
      <c r="J485" s="55" t="s">
        <v>1429</v>
      </c>
      <c r="K485" s="56" t="s">
        <v>1429</v>
      </c>
      <c r="L485" s="54" t="s">
        <v>1429</v>
      </c>
      <c r="M485" s="55" t="s">
        <v>1580</v>
      </c>
      <c r="N485" s="55" t="s">
        <v>1429</v>
      </c>
      <c r="O485" s="55" t="s">
        <v>1429</v>
      </c>
      <c r="P485" s="56" t="s">
        <v>1429</v>
      </c>
      <c r="Q485" s="85"/>
      <c r="R485" s="85"/>
      <c r="S485" s="85"/>
      <c r="T485" s="85"/>
      <c r="U485" s="85"/>
      <c r="V485" s="146" t="s">
        <v>2852</v>
      </c>
      <c r="W485" s="51" t="s">
        <v>2611</v>
      </c>
      <c r="X485" s="130" t="s">
        <v>1429</v>
      </c>
      <c r="Y485" s="130" t="s">
        <v>1429</v>
      </c>
      <c r="Z485" s="51"/>
      <c r="AA485" s="51" t="s">
        <v>2612</v>
      </c>
      <c r="AB485" s="146"/>
      <c r="AC485" s="146" t="s">
        <v>1429</v>
      </c>
      <c r="AD485" s="98"/>
      <c r="AE485" s="83"/>
      <c r="AF485" s="83"/>
      <c r="AG485" s="83"/>
      <c r="AH485" s="86"/>
      <c r="AI485" s="86"/>
      <c r="AJ485" s="87"/>
      <c r="AK485" s="87"/>
      <c r="AL485" s="87"/>
      <c r="AM485" s="87"/>
      <c r="AN485" s="87"/>
      <c r="AO485" s="87"/>
      <c r="AP485" s="87"/>
      <c r="AQ485" s="229" t="s">
        <v>475</v>
      </c>
      <c r="AR485" s="5"/>
      <c r="AS485" s="5"/>
      <c r="AT485" s="5"/>
      <c r="AU485" s="5"/>
      <c r="AV485" s="5"/>
      <c r="AW485" s="5"/>
      <c r="AX485" s="284"/>
      <c r="AY485" s="5"/>
      <c r="AZ485" s="5"/>
      <c r="BA485" s="230"/>
      <c r="BB485" s="5"/>
      <c r="BC485" s="232" t="s">
        <v>3535</v>
      </c>
      <c r="BD485" s="257"/>
      <c r="BE485" s="249"/>
      <c r="BF485" s="249"/>
      <c r="BG485" s="249"/>
      <c r="BH485" s="249"/>
      <c r="BI485" s="249"/>
      <c r="BJ485" s="249"/>
      <c r="BK485" s="249"/>
      <c r="BL485" s="249"/>
      <c r="BM485" s="249"/>
      <c r="BN485" s="249"/>
      <c r="BO485" s="249"/>
      <c r="BP485" s="249"/>
      <c r="BQ485" s="249"/>
      <c r="BR485" s="249"/>
      <c r="BS485" s="249"/>
      <c r="BT485" s="249"/>
      <c r="BU485" s="249"/>
      <c r="BV485" s="249"/>
      <c r="BW485" s="249"/>
      <c r="BX485" s="249"/>
      <c r="BY485" s="249"/>
      <c r="BZ485" s="249"/>
      <c r="CA485" s="249"/>
      <c r="CB485" s="249"/>
      <c r="CC485" s="249"/>
      <c r="CD485" s="249"/>
      <c r="CE485" s="249"/>
    </row>
    <row r="486" spans="1:83" s="84" customFormat="1" ht="12.95" customHeight="1">
      <c r="A486" s="1"/>
      <c r="B486" s="1"/>
      <c r="C486" s="18" t="s">
        <v>476</v>
      </c>
      <c r="D486" s="52" t="s">
        <v>2838</v>
      </c>
      <c r="E486" s="52" t="s">
        <v>2853</v>
      </c>
      <c r="F486" s="53" t="s">
        <v>705</v>
      </c>
      <c r="G486" s="179" t="s">
        <v>1429</v>
      </c>
      <c r="H486" s="180" t="s">
        <v>476</v>
      </c>
      <c r="I486" s="55" t="s">
        <v>1429</v>
      </c>
      <c r="J486" s="55" t="s">
        <v>1429</v>
      </c>
      <c r="K486" s="56" t="s">
        <v>1429</v>
      </c>
      <c r="L486" s="54" t="s">
        <v>1429</v>
      </c>
      <c r="M486" s="55" t="s">
        <v>1580</v>
      </c>
      <c r="N486" s="55" t="s">
        <v>1429</v>
      </c>
      <c r="O486" s="55" t="s">
        <v>1429</v>
      </c>
      <c r="P486" s="56" t="s">
        <v>1429</v>
      </c>
      <c r="Q486" s="85"/>
      <c r="R486" s="85"/>
      <c r="S486" s="85"/>
      <c r="T486" s="85"/>
      <c r="U486" s="85"/>
      <c r="V486" s="146" t="s">
        <v>2854</v>
      </c>
      <c r="W486" s="51" t="s">
        <v>2611</v>
      </c>
      <c r="X486" s="130" t="s">
        <v>1429</v>
      </c>
      <c r="Y486" s="130" t="s">
        <v>1429</v>
      </c>
      <c r="Z486" s="51"/>
      <c r="AA486" s="51" t="s">
        <v>2612</v>
      </c>
      <c r="AB486" s="146"/>
      <c r="AC486" s="146" t="s">
        <v>1429</v>
      </c>
      <c r="AD486" s="98"/>
      <c r="AE486" s="83"/>
      <c r="AF486" s="83"/>
      <c r="AG486" s="83"/>
      <c r="AH486" s="86"/>
      <c r="AI486" s="86"/>
      <c r="AJ486" s="87"/>
      <c r="AK486" s="87"/>
      <c r="AL486" s="87"/>
      <c r="AM486" s="87"/>
      <c r="AN486" s="87"/>
      <c r="AO486" s="87"/>
      <c r="AP486" s="87"/>
      <c r="AQ486" s="229" t="s">
        <v>476</v>
      </c>
      <c r="AR486" s="5"/>
      <c r="AS486" s="5"/>
      <c r="AT486" s="5"/>
      <c r="AU486" s="5"/>
      <c r="AV486" s="5"/>
      <c r="AW486" s="5"/>
      <c r="AX486" s="284"/>
      <c r="AY486" s="5"/>
      <c r="AZ486" s="5"/>
      <c r="BA486" s="230"/>
      <c r="BB486" s="5"/>
      <c r="BC486" s="232" t="s">
        <v>3535</v>
      </c>
      <c r="BD486" s="257"/>
      <c r="BE486" s="249"/>
      <c r="BF486" s="249"/>
      <c r="BG486" s="249"/>
      <c r="BH486" s="249"/>
      <c r="BI486" s="249"/>
      <c r="BJ486" s="249"/>
      <c r="BK486" s="249"/>
      <c r="BL486" s="249"/>
      <c r="BM486" s="249"/>
      <c r="BN486" s="249"/>
      <c r="BO486" s="249"/>
      <c r="BP486" s="249"/>
      <c r="BQ486" s="249"/>
      <c r="BR486" s="249"/>
      <c r="BS486" s="249"/>
      <c r="BT486" s="249"/>
      <c r="BU486" s="249"/>
      <c r="BV486" s="249"/>
      <c r="BW486" s="249"/>
      <c r="BX486" s="249"/>
      <c r="BY486" s="249"/>
      <c r="BZ486" s="249"/>
      <c r="CA486" s="249"/>
      <c r="CB486" s="249"/>
      <c r="CC486" s="249"/>
      <c r="CD486" s="249"/>
      <c r="CE486" s="249"/>
    </row>
    <row r="487" spans="1:83" s="84" customFormat="1" ht="12.95" customHeight="1">
      <c r="A487" s="1"/>
      <c r="B487" s="1"/>
      <c r="C487" s="18" t="s">
        <v>477</v>
      </c>
      <c r="D487" s="52" t="s">
        <v>2841</v>
      </c>
      <c r="E487" s="52" t="s">
        <v>2855</v>
      </c>
      <c r="F487" s="53" t="s">
        <v>706</v>
      </c>
      <c r="G487" s="179" t="s">
        <v>1429</v>
      </c>
      <c r="H487" s="180" t="s">
        <v>477</v>
      </c>
      <c r="I487" s="55" t="s">
        <v>1429</v>
      </c>
      <c r="J487" s="55" t="s">
        <v>1429</v>
      </c>
      <c r="K487" s="56" t="s">
        <v>1429</v>
      </c>
      <c r="L487" s="54" t="s">
        <v>1429</v>
      </c>
      <c r="M487" s="55" t="s">
        <v>1580</v>
      </c>
      <c r="N487" s="55" t="s">
        <v>1429</v>
      </c>
      <c r="O487" s="55" t="s">
        <v>1429</v>
      </c>
      <c r="P487" s="56" t="s">
        <v>1429</v>
      </c>
      <c r="Q487" s="85"/>
      <c r="R487" s="85"/>
      <c r="S487" s="85"/>
      <c r="T487" s="85"/>
      <c r="U487" s="85"/>
      <c r="V487" s="146" t="s">
        <v>2856</v>
      </c>
      <c r="W487" s="51" t="s">
        <v>2611</v>
      </c>
      <c r="X487" s="130" t="s">
        <v>1429</v>
      </c>
      <c r="Y487" s="130" t="s">
        <v>1429</v>
      </c>
      <c r="Z487" s="51"/>
      <c r="AA487" s="51" t="s">
        <v>2612</v>
      </c>
      <c r="AB487" s="146"/>
      <c r="AC487" s="146" t="s">
        <v>1429</v>
      </c>
      <c r="AD487" s="98"/>
      <c r="AE487" s="83"/>
      <c r="AF487" s="83"/>
      <c r="AG487" s="83"/>
      <c r="AH487" s="86"/>
      <c r="AI487" s="86"/>
      <c r="AJ487" s="87"/>
      <c r="AK487" s="87"/>
      <c r="AL487" s="87"/>
      <c r="AM487" s="87"/>
      <c r="AN487" s="87"/>
      <c r="AO487" s="87"/>
      <c r="AP487" s="87"/>
      <c r="AQ487" s="229" t="s">
        <v>477</v>
      </c>
      <c r="AR487" s="5"/>
      <c r="AS487" s="5"/>
      <c r="AT487" s="5"/>
      <c r="AU487" s="5"/>
      <c r="AV487" s="5"/>
      <c r="AW487" s="5"/>
      <c r="AX487" s="284"/>
      <c r="AY487" s="5"/>
      <c r="AZ487" s="5"/>
      <c r="BA487" s="230"/>
      <c r="BB487" s="5"/>
      <c r="BC487" s="232" t="s">
        <v>3535</v>
      </c>
      <c r="BD487" s="257"/>
      <c r="BE487" s="249"/>
      <c r="BF487" s="249"/>
      <c r="BG487" s="249"/>
      <c r="BH487" s="249"/>
      <c r="BI487" s="249"/>
      <c r="BJ487" s="249"/>
      <c r="BK487" s="249"/>
      <c r="BL487" s="249"/>
      <c r="BM487" s="249"/>
      <c r="BN487" s="249"/>
      <c r="BO487" s="249"/>
      <c r="BP487" s="249"/>
      <c r="BQ487" s="249"/>
      <c r="BR487" s="249"/>
      <c r="BS487" s="249"/>
      <c r="BT487" s="249"/>
      <c r="BU487" s="249"/>
      <c r="BV487" s="249"/>
      <c r="BW487" s="249"/>
      <c r="BX487" s="249"/>
      <c r="BY487" s="249"/>
      <c r="BZ487" s="249"/>
      <c r="CA487" s="249"/>
      <c r="CB487" s="249"/>
      <c r="CC487" s="249"/>
      <c r="CD487" s="249"/>
      <c r="CE487" s="249"/>
    </row>
    <row r="488" spans="1:83" s="84" customFormat="1" ht="12.95" customHeight="1">
      <c r="A488" s="1"/>
      <c r="B488" s="1"/>
      <c r="C488" s="18" t="s">
        <v>478</v>
      </c>
      <c r="D488" s="52" t="s">
        <v>2857</v>
      </c>
      <c r="E488" s="52" t="s">
        <v>2858</v>
      </c>
      <c r="F488" s="53" t="s">
        <v>707</v>
      </c>
      <c r="G488" s="179" t="s">
        <v>1429</v>
      </c>
      <c r="H488" s="180" t="s">
        <v>478</v>
      </c>
      <c r="I488" s="55" t="s">
        <v>1429</v>
      </c>
      <c r="J488" s="55" t="s">
        <v>1429</v>
      </c>
      <c r="K488" s="56" t="s">
        <v>1429</v>
      </c>
      <c r="L488" s="54" t="s">
        <v>1429</v>
      </c>
      <c r="M488" s="55" t="s">
        <v>1580</v>
      </c>
      <c r="N488" s="55" t="s">
        <v>1429</v>
      </c>
      <c r="O488" s="55" t="s">
        <v>1429</v>
      </c>
      <c r="P488" s="56" t="s">
        <v>1429</v>
      </c>
      <c r="Q488" s="85"/>
      <c r="R488" s="85"/>
      <c r="S488" s="85"/>
      <c r="T488" s="85"/>
      <c r="U488" s="85"/>
      <c r="V488" s="146" t="s">
        <v>2859</v>
      </c>
      <c r="W488" s="51" t="s">
        <v>2611</v>
      </c>
      <c r="X488" s="130" t="s">
        <v>1429</v>
      </c>
      <c r="Y488" s="130" t="s">
        <v>1429</v>
      </c>
      <c r="Z488" s="51"/>
      <c r="AA488" s="51" t="s">
        <v>2612</v>
      </c>
      <c r="AB488" s="146"/>
      <c r="AC488" s="146" t="s">
        <v>1429</v>
      </c>
      <c r="AD488" s="98"/>
      <c r="AE488" s="83"/>
      <c r="AF488" s="83"/>
      <c r="AG488" s="83"/>
      <c r="AH488" s="86"/>
      <c r="AI488" s="86"/>
      <c r="AJ488" s="87"/>
      <c r="AK488" s="87"/>
      <c r="AL488" s="87"/>
      <c r="AM488" s="87"/>
      <c r="AN488" s="87"/>
      <c r="AO488" s="87"/>
      <c r="AP488" s="87"/>
      <c r="AQ488" s="229" t="s">
        <v>478</v>
      </c>
      <c r="AR488" s="5"/>
      <c r="AS488" s="5"/>
      <c r="AT488" s="5"/>
      <c r="AU488" s="5"/>
      <c r="AV488" s="5"/>
      <c r="AW488" s="5"/>
      <c r="AX488" s="284"/>
      <c r="AY488" s="5"/>
      <c r="AZ488" s="5"/>
      <c r="BA488" s="230"/>
      <c r="BB488" s="5"/>
      <c r="BC488" s="232" t="s">
        <v>3535</v>
      </c>
      <c r="BD488" s="257"/>
      <c r="BE488" s="249"/>
      <c r="BF488" s="249"/>
      <c r="BG488" s="249"/>
      <c r="BH488" s="249"/>
      <c r="BI488" s="249"/>
      <c r="BJ488" s="249"/>
      <c r="BK488" s="249"/>
      <c r="BL488" s="249"/>
      <c r="BM488" s="249"/>
      <c r="BN488" s="249"/>
      <c r="BO488" s="249"/>
      <c r="BP488" s="249"/>
      <c r="BQ488" s="249"/>
      <c r="BR488" s="249"/>
      <c r="BS488" s="249"/>
      <c r="BT488" s="249"/>
      <c r="BU488" s="249"/>
      <c r="BV488" s="249"/>
      <c r="BW488" s="249"/>
      <c r="BX488" s="249"/>
      <c r="BY488" s="249"/>
      <c r="BZ488" s="249"/>
      <c r="CA488" s="249"/>
      <c r="CB488" s="249"/>
      <c r="CC488" s="249"/>
      <c r="CD488" s="249"/>
      <c r="CE488" s="249"/>
    </row>
    <row r="489" spans="1:83" s="84" customFormat="1" ht="12.95" customHeight="1">
      <c r="A489" s="1"/>
      <c r="B489" s="1"/>
      <c r="C489" s="18" t="s">
        <v>479</v>
      </c>
      <c r="D489" s="52" t="s">
        <v>2843</v>
      </c>
      <c r="E489" s="52" t="s">
        <v>2860</v>
      </c>
      <c r="F489" s="53" t="s">
        <v>708</v>
      </c>
      <c r="G489" s="179" t="s">
        <v>1429</v>
      </c>
      <c r="H489" s="180" t="s">
        <v>479</v>
      </c>
      <c r="I489" s="55" t="s">
        <v>1429</v>
      </c>
      <c r="J489" s="55" t="s">
        <v>1429</v>
      </c>
      <c r="K489" s="56" t="s">
        <v>1429</v>
      </c>
      <c r="L489" s="54" t="s">
        <v>1429</v>
      </c>
      <c r="M489" s="55" t="s">
        <v>1580</v>
      </c>
      <c r="N489" s="55" t="s">
        <v>1429</v>
      </c>
      <c r="O489" s="55" t="s">
        <v>1429</v>
      </c>
      <c r="P489" s="56" t="s">
        <v>1429</v>
      </c>
      <c r="Q489" s="85"/>
      <c r="R489" s="85"/>
      <c r="S489" s="85"/>
      <c r="T489" s="85"/>
      <c r="U489" s="85"/>
      <c r="V489" s="146" t="s">
        <v>2861</v>
      </c>
      <c r="W489" s="51" t="s">
        <v>2611</v>
      </c>
      <c r="X489" s="130" t="s">
        <v>1429</v>
      </c>
      <c r="Y489" s="130" t="s">
        <v>1429</v>
      </c>
      <c r="Z489" s="51"/>
      <c r="AA489" s="51" t="s">
        <v>2612</v>
      </c>
      <c r="AB489" s="146"/>
      <c r="AC489" s="146" t="s">
        <v>1429</v>
      </c>
      <c r="AD489" s="98"/>
      <c r="AE489" s="83"/>
      <c r="AF489" s="83"/>
      <c r="AG489" s="83"/>
      <c r="AH489" s="86"/>
      <c r="AI489" s="86"/>
      <c r="AJ489" s="87"/>
      <c r="AK489" s="87"/>
      <c r="AL489" s="87"/>
      <c r="AM489" s="87"/>
      <c r="AN489" s="87"/>
      <c r="AO489" s="87"/>
      <c r="AP489" s="87"/>
      <c r="AQ489" s="229" t="s">
        <v>479</v>
      </c>
      <c r="AR489" s="5"/>
      <c r="AS489" s="5"/>
      <c r="AT489" s="5"/>
      <c r="AU489" s="5"/>
      <c r="AV489" s="5"/>
      <c r="AW489" s="5"/>
      <c r="AX489" s="284"/>
      <c r="AY489" s="5"/>
      <c r="AZ489" s="5"/>
      <c r="BA489" s="230"/>
      <c r="BB489" s="5"/>
      <c r="BC489" s="232" t="s">
        <v>3535</v>
      </c>
      <c r="BD489" s="257"/>
      <c r="BE489" s="249"/>
      <c r="BF489" s="249"/>
      <c r="BG489" s="249"/>
      <c r="BH489" s="249"/>
      <c r="BI489" s="249"/>
      <c r="BJ489" s="249"/>
      <c r="BK489" s="249"/>
      <c r="BL489" s="249"/>
      <c r="BM489" s="249"/>
      <c r="BN489" s="249"/>
      <c r="BO489" s="249"/>
      <c r="BP489" s="249"/>
      <c r="BQ489" s="249"/>
      <c r="BR489" s="249"/>
      <c r="BS489" s="249"/>
      <c r="BT489" s="249"/>
      <c r="BU489" s="249"/>
      <c r="BV489" s="249"/>
      <c r="BW489" s="249"/>
      <c r="BX489" s="249"/>
      <c r="BY489" s="249"/>
      <c r="BZ489" s="249"/>
      <c r="CA489" s="249"/>
      <c r="CB489" s="249"/>
      <c r="CC489" s="249"/>
      <c r="CD489" s="249"/>
      <c r="CE489" s="249"/>
    </row>
    <row r="490" spans="1:83" s="84" customFormat="1" ht="12.95" customHeight="1">
      <c r="A490" s="1"/>
      <c r="B490" s="1"/>
      <c r="C490" s="18" t="s">
        <v>480</v>
      </c>
      <c r="D490" s="52" t="s">
        <v>2862</v>
      </c>
      <c r="E490" s="52" t="s">
        <v>2863</v>
      </c>
      <c r="F490" s="53" t="s">
        <v>709</v>
      </c>
      <c r="G490" s="179" t="s">
        <v>1429</v>
      </c>
      <c r="H490" s="180" t="s">
        <v>480</v>
      </c>
      <c r="I490" s="55" t="s">
        <v>1429</v>
      </c>
      <c r="J490" s="55" t="s">
        <v>1429</v>
      </c>
      <c r="K490" s="56" t="s">
        <v>1429</v>
      </c>
      <c r="L490" s="54" t="s">
        <v>1429</v>
      </c>
      <c r="M490" s="55" t="s">
        <v>1580</v>
      </c>
      <c r="N490" s="55" t="s">
        <v>1429</v>
      </c>
      <c r="O490" s="55" t="s">
        <v>1429</v>
      </c>
      <c r="P490" s="56" t="s">
        <v>1429</v>
      </c>
      <c r="Q490" s="85"/>
      <c r="R490" s="85"/>
      <c r="S490" s="85"/>
      <c r="T490" s="85"/>
      <c r="U490" s="85"/>
      <c r="V490" s="146" t="s">
        <v>2864</v>
      </c>
      <c r="W490" s="51" t="s">
        <v>2611</v>
      </c>
      <c r="X490" s="130" t="s">
        <v>1429</v>
      </c>
      <c r="Y490" s="130" t="s">
        <v>1429</v>
      </c>
      <c r="Z490" s="51"/>
      <c r="AA490" s="51" t="s">
        <v>2612</v>
      </c>
      <c r="AB490" s="146"/>
      <c r="AC490" s="146" t="s">
        <v>1429</v>
      </c>
      <c r="AD490" s="98"/>
      <c r="AE490" s="83"/>
      <c r="AF490" s="83"/>
      <c r="AG490" s="83"/>
      <c r="AH490" s="86"/>
      <c r="AI490" s="86"/>
      <c r="AJ490" s="87"/>
      <c r="AK490" s="87"/>
      <c r="AL490" s="87"/>
      <c r="AM490" s="87"/>
      <c r="AN490" s="87"/>
      <c r="AO490" s="87"/>
      <c r="AP490" s="87"/>
      <c r="AQ490" s="229" t="s">
        <v>480</v>
      </c>
      <c r="AR490" s="5"/>
      <c r="AS490" s="5"/>
      <c r="AT490" s="5"/>
      <c r="AU490" s="5"/>
      <c r="AV490" s="5"/>
      <c r="AW490" s="5"/>
      <c r="AX490" s="284"/>
      <c r="AY490" s="5"/>
      <c r="AZ490" s="5"/>
      <c r="BA490" s="230"/>
      <c r="BB490" s="5"/>
      <c r="BC490" s="232" t="s">
        <v>3535</v>
      </c>
      <c r="BD490" s="257"/>
      <c r="BE490" s="249"/>
      <c r="BF490" s="249"/>
      <c r="BG490" s="249"/>
      <c r="BH490" s="249"/>
      <c r="BI490" s="249"/>
      <c r="BJ490" s="249"/>
      <c r="BK490" s="249"/>
      <c r="BL490" s="249"/>
      <c r="BM490" s="249"/>
      <c r="BN490" s="249"/>
      <c r="BO490" s="249"/>
      <c r="BP490" s="249"/>
      <c r="BQ490" s="249"/>
      <c r="BR490" s="249"/>
      <c r="BS490" s="249"/>
      <c r="BT490" s="249"/>
      <c r="BU490" s="249"/>
      <c r="BV490" s="249"/>
      <c r="BW490" s="249"/>
      <c r="BX490" s="249"/>
      <c r="BY490" s="249"/>
      <c r="BZ490" s="249"/>
      <c r="CA490" s="249"/>
      <c r="CB490" s="249"/>
      <c r="CC490" s="249"/>
      <c r="CD490" s="249"/>
      <c r="CE490" s="249"/>
    </row>
    <row r="491" spans="1:83" s="84" customFormat="1" ht="12.95" customHeight="1">
      <c r="A491" s="1"/>
      <c r="B491" s="1"/>
      <c r="C491" s="18" t="s">
        <v>481</v>
      </c>
      <c r="D491" s="52" t="s">
        <v>2863</v>
      </c>
      <c r="E491" s="52" t="s">
        <v>2865</v>
      </c>
      <c r="F491" s="53" t="s">
        <v>710</v>
      </c>
      <c r="G491" s="179" t="s">
        <v>1429</v>
      </c>
      <c r="H491" s="180" t="s">
        <v>481</v>
      </c>
      <c r="I491" s="55" t="s">
        <v>1429</v>
      </c>
      <c r="J491" s="55" t="s">
        <v>1429</v>
      </c>
      <c r="K491" s="56" t="s">
        <v>1429</v>
      </c>
      <c r="L491" s="54" t="s">
        <v>1429</v>
      </c>
      <c r="M491" s="55" t="s">
        <v>1580</v>
      </c>
      <c r="N491" s="55" t="s">
        <v>1429</v>
      </c>
      <c r="O491" s="55" t="s">
        <v>1429</v>
      </c>
      <c r="P491" s="56" t="s">
        <v>1429</v>
      </c>
      <c r="Q491" s="85"/>
      <c r="R491" s="85"/>
      <c r="S491" s="85"/>
      <c r="T491" s="85"/>
      <c r="U491" s="85"/>
      <c r="V491" s="146" t="s">
        <v>2866</v>
      </c>
      <c r="W491" s="51" t="s">
        <v>2611</v>
      </c>
      <c r="X491" s="130" t="s">
        <v>1429</v>
      </c>
      <c r="Y491" s="130" t="s">
        <v>1429</v>
      </c>
      <c r="Z491" s="51"/>
      <c r="AA491" s="51" t="s">
        <v>2612</v>
      </c>
      <c r="AB491" s="146"/>
      <c r="AC491" s="146" t="s">
        <v>1429</v>
      </c>
      <c r="AD491" s="98"/>
      <c r="AE491" s="83"/>
      <c r="AF491" s="83"/>
      <c r="AG491" s="83"/>
      <c r="AH491" s="86"/>
      <c r="AI491" s="86"/>
      <c r="AJ491" s="87"/>
      <c r="AK491" s="87"/>
      <c r="AL491" s="87"/>
      <c r="AM491" s="87"/>
      <c r="AN491" s="87"/>
      <c r="AO491" s="87"/>
      <c r="AP491" s="87"/>
      <c r="AQ491" s="229" t="s">
        <v>481</v>
      </c>
      <c r="AR491" s="5"/>
      <c r="AS491" s="5"/>
      <c r="AT491" s="5"/>
      <c r="AU491" s="5"/>
      <c r="AV491" s="5"/>
      <c r="AW491" s="5"/>
      <c r="AX491" s="284"/>
      <c r="AY491" s="5"/>
      <c r="AZ491" s="5"/>
      <c r="BA491" s="230"/>
      <c r="BB491" s="5"/>
      <c r="BC491" s="232" t="s">
        <v>3535</v>
      </c>
      <c r="BD491" s="257"/>
      <c r="BE491" s="249"/>
      <c r="BF491" s="249"/>
      <c r="BG491" s="249"/>
      <c r="BH491" s="249"/>
      <c r="BI491" s="249"/>
      <c r="BJ491" s="249"/>
      <c r="BK491" s="249"/>
      <c r="BL491" s="249"/>
      <c r="BM491" s="249"/>
      <c r="BN491" s="249"/>
      <c r="BO491" s="249"/>
      <c r="BP491" s="249"/>
      <c r="BQ491" s="249"/>
      <c r="BR491" s="249"/>
      <c r="BS491" s="249"/>
      <c r="BT491" s="249"/>
      <c r="BU491" s="249"/>
      <c r="BV491" s="249"/>
      <c r="BW491" s="249"/>
      <c r="BX491" s="249"/>
      <c r="BY491" s="249"/>
      <c r="BZ491" s="249"/>
      <c r="CA491" s="249"/>
      <c r="CB491" s="249"/>
      <c r="CC491" s="249"/>
      <c r="CD491" s="249"/>
      <c r="CE491" s="249"/>
    </row>
    <row r="492" spans="1:83" s="84" customFormat="1" ht="12.95" customHeight="1">
      <c r="A492" s="1"/>
      <c r="B492" s="1"/>
      <c r="C492" s="18" t="s">
        <v>482</v>
      </c>
      <c r="D492" s="52" t="s">
        <v>2867</v>
      </c>
      <c r="E492" s="52" t="s">
        <v>2862</v>
      </c>
      <c r="F492" s="53" t="s">
        <v>711</v>
      </c>
      <c r="G492" s="179" t="s">
        <v>1429</v>
      </c>
      <c r="H492" s="180" t="s">
        <v>482</v>
      </c>
      <c r="I492" s="55" t="s">
        <v>1429</v>
      </c>
      <c r="J492" s="55" t="s">
        <v>1429</v>
      </c>
      <c r="K492" s="56" t="s">
        <v>1429</v>
      </c>
      <c r="L492" s="54" t="s">
        <v>1429</v>
      </c>
      <c r="M492" s="55" t="s">
        <v>1580</v>
      </c>
      <c r="N492" s="55" t="s">
        <v>1429</v>
      </c>
      <c r="O492" s="55" t="s">
        <v>1429</v>
      </c>
      <c r="P492" s="56" t="s">
        <v>1429</v>
      </c>
      <c r="Q492" s="85"/>
      <c r="R492" s="85"/>
      <c r="S492" s="85"/>
      <c r="T492" s="85"/>
      <c r="U492" s="85"/>
      <c r="V492" s="146" t="s">
        <v>2868</v>
      </c>
      <c r="W492" s="51" t="s">
        <v>2611</v>
      </c>
      <c r="X492" s="130" t="s">
        <v>1429</v>
      </c>
      <c r="Y492" s="130" t="s">
        <v>1429</v>
      </c>
      <c r="Z492" s="51"/>
      <c r="AA492" s="51" t="s">
        <v>2612</v>
      </c>
      <c r="AB492" s="146"/>
      <c r="AC492" s="146" t="s">
        <v>1429</v>
      </c>
      <c r="AD492" s="98"/>
      <c r="AE492" s="83"/>
      <c r="AF492" s="83"/>
      <c r="AG492" s="83"/>
      <c r="AH492" s="86"/>
      <c r="AI492" s="86"/>
      <c r="AJ492" s="87"/>
      <c r="AK492" s="87"/>
      <c r="AL492" s="87"/>
      <c r="AM492" s="87"/>
      <c r="AN492" s="87"/>
      <c r="AO492" s="87"/>
      <c r="AP492" s="87"/>
      <c r="AQ492" s="229" t="s">
        <v>482</v>
      </c>
      <c r="AR492" s="5"/>
      <c r="AS492" s="5"/>
      <c r="AT492" s="5"/>
      <c r="AU492" s="5"/>
      <c r="AV492" s="5"/>
      <c r="AW492" s="5"/>
      <c r="AX492" s="284"/>
      <c r="AY492" s="5"/>
      <c r="AZ492" s="5"/>
      <c r="BA492" s="230"/>
      <c r="BB492" s="5"/>
      <c r="BC492" s="232" t="s">
        <v>3535</v>
      </c>
      <c r="BD492" s="257"/>
      <c r="BE492" s="249"/>
      <c r="BF492" s="249"/>
      <c r="BG492" s="249"/>
      <c r="BH492" s="249"/>
      <c r="BI492" s="249"/>
      <c r="BJ492" s="249"/>
      <c r="BK492" s="249"/>
      <c r="BL492" s="249"/>
      <c r="BM492" s="249"/>
      <c r="BN492" s="249"/>
      <c r="BO492" s="249"/>
      <c r="BP492" s="249"/>
      <c r="BQ492" s="249"/>
      <c r="BR492" s="249"/>
      <c r="BS492" s="249"/>
      <c r="BT492" s="249"/>
      <c r="BU492" s="249"/>
      <c r="BV492" s="249"/>
      <c r="BW492" s="249"/>
      <c r="BX492" s="249"/>
      <c r="BY492" s="249"/>
      <c r="BZ492" s="249"/>
      <c r="CA492" s="249"/>
      <c r="CB492" s="249"/>
      <c r="CC492" s="249"/>
      <c r="CD492" s="249"/>
      <c r="CE492" s="249"/>
    </row>
    <row r="493" spans="1:83" s="84" customFormat="1" ht="12.95" customHeight="1">
      <c r="A493" s="1"/>
      <c r="B493" s="1"/>
      <c r="C493" s="18" t="s">
        <v>483</v>
      </c>
      <c r="D493" s="52" t="s">
        <v>2865</v>
      </c>
      <c r="E493" s="52" t="s">
        <v>2869</v>
      </c>
      <c r="F493" s="53" t="s">
        <v>712</v>
      </c>
      <c r="G493" s="179" t="s">
        <v>1429</v>
      </c>
      <c r="H493" s="180" t="s">
        <v>483</v>
      </c>
      <c r="I493" s="55" t="s">
        <v>1429</v>
      </c>
      <c r="J493" s="55" t="s">
        <v>1429</v>
      </c>
      <c r="K493" s="56" t="s">
        <v>1429</v>
      </c>
      <c r="L493" s="54" t="s">
        <v>1429</v>
      </c>
      <c r="M493" s="55" t="s">
        <v>1580</v>
      </c>
      <c r="N493" s="55" t="s">
        <v>1429</v>
      </c>
      <c r="O493" s="55" t="s">
        <v>1429</v>
      </c>
      <c r="P493" s="56" t="s">
        <v>1429</v>
      </c>
      <c r="Q493" s="85"/>
      <c r="R493" s="85"/>
      <c r="S493" s="85"/>
      <c r="T493" s="85"/>
      <c r="U493" s="85"/>
      <c r="V493" s="146" t="s">
        <v>2870</v>
      </c>
      <c r="W493" s="51" t="s">
        <v>2611</v>
      </c>
      <c r="X493" s="130" t="s">
        <v>1429</v>
      </c>
      <c r="Y493" s="130" t="s">
        <v>1429</v>
      </c>
      <c r="Z493" s="51"/>
      <c r="AA493" s="51" t="s">
        <v>2612</v>
      </c>
      <c r="AB493" s="146"/>
      <c r="AC493" s="146" t="s">
        <v>1429</v>
      </c>
      <c r="AD493" s="98"/>
      <c r="AE493" s="83"/>
      <c r="AF493" s="83"/>
      <c r="AG493" s="83"/>
      <c r="AH493" s="86"/>
      <c r="AI493" s="86"/>
      <c r="AJ493" s="87"/>
      <c r="AK493" s="87"/>
      <c r="AL493" s="87"/>
      <c r="AM493" s="87"/>
      <c r="AN493" s="87"/>
      <c r="AO493" s="87"/>
      <c r="AP493" s="87"/>
      <c r="AQ493" s="229" t="s">
        <v>483</v>
      </c>
      <c r="AR493" s="5"/>
      <c r="AS493" s="5"/>
      <c r="AT493" s="5"/>
      <c r="AU493" s="5"/>
      <c r="AV493" s="5"/>
      <c r="AW493" s="5"/>
      <c r="AX493" s="284"/>
      <c r="AY493" s="5"/>
      <c r="AZ493" s="5"/>
      <c r="BA493" s="230"/>
      <c r="BB493" s="5"/>
      <c r="BC493" s="232" t="s">
        <v>3535</v>
      </c>
      <c r="BD493" s="257"/>
      <c r="BE493" s="249"/>
      <c r="BF493" s="249"/>
      <c r="BG493" s="249"/>
      <c r="BH493" s="249"/>
      <c r="BI493" s="249"/>
      <c r="BJ493" s="249"/>
      <c r="BK493" s="249"/>
      <c r="BL493" s="249"/>
      <c r="BM493" s="249"/>
      <c r="BN493" s="249"/>
      <c r="BO493" s="249"/>
      <c r="BP493" s="249"/>
      <c r="BQ493" s="249"/>
      <c r="BR493" s="249"/>
      <c r="BS493" s="249"/>
      <c r="BT493" s="249"/>
      <c r="BU493" s="249"/>
      <c r="BV493" s="249"/>
      <c r="BW493" s="249"/>
      <c r="BX493" s="249"/>
      <c r="BY493" s="249"/>
      <c r="BZ493" s="249"/>
      <c r="CA493" s="249"/>
      <c r="CB493" s="249"/>
      <c r="CC493" s="249"/>
      <c r="CD493" s="249"/>
      <c r="CE493" s="249"/>
    </row>
    <row r="494" spans="1:83" s="84" customFormat="1" ht="12.95" customHeight="1">
      <c r="A494" s="1"/>
      <c r="B494" s="1"/>
      <c r="C494" s="18" t="s">
        <v>484</v>
      </c>
      <c r="D494" s="52" t="s">
        <v>2871</v>
      </c>
      <c r="E494" s="52" t="s">
        <v>2872</v>
      </c>
      <c r="F494" s="53" t="s">
        <v>713</v>
      </c>
      <c r="G494" s="179" t="s">
        <v>1429</v>
      </c>
      <c r="H494" s="180" t="s">
        <v>484</v>
      </c>
      <c r="I494" s="55" t="s">
        <v>1429</v>
      </c>
      <c r="J494" s="55" t="s">
        <v>1429</v>
      </c>
      <c r="K494" s="56" t="s">
        <v>1429</v>
      </c>
      <c r="L494" s="54" t="s">
        <v>1429</v>
      </c>
      <c r="M494" s="55" t="s">
        <v>1580</v>
      </c>
      <c r="N494" s="55" t="s">
        <v>1429</v>
      </c>
      <c r="O494" s="55" t="s">
        <v>1429</v>
      </c>
      <c r="P494" s="56" t="s">
        <v>1429</v>
      </c>
      <c r="Q494" s="85"/>
      <c r="R494" s="85"/>
      <c r="S494" s="85"/>
      <c r="T494" s="85"/>
      <c r="U494" s="85"/>
      <c r="V494" s="146" t="s">
        <v>2873</v>
      </c>
      <c r="W494" s="51" t="s">
        <v>2611</v>
      </c>
      <c r="X494" s="130" t="s">
        <v>1429</v>
      </c>
      <c r="Y494" s="130" t="s">
        <v>1429</v>
      </c>
      <c r="Z494" s="51"/>
      <c r="AA494" s="51" t="s">
        <v>2612</v>
      </c>
      <c r="AB494" s="146"/>
      <c r="AC494" s="146" t="s">
        <v>1429</v>
      </c>
      <c r="AD494" s="98"/>
      <c r="AE494" s="83"/>
      <c r="AF494" s="83"/>
      <c r="AG494" s="83"/>
      <c r="AH494" s="86"/>
      <c r="AI494" s="86"/>
      <c r="AJ494" s="87"/>
      <c r="AK494" s="87"/>
      <c r="AL494" s="87"/>
      <c r="AM494" s="87"/>
      <c r="AN494" s="87"/>
      <c r="AO494" s="87"/>
      <c r="AP494" s="87"/>
      <c r="AQ494" s="229" t="s">
        <v>484</v>
      </c>
      <c r="AR494" s="5"/>
      <c r="AS494" s="5"/>
      <c r="AT494" s="5"/>
      <c r="AU494" s="5"/>
      <c r="AV494" s="5"/>
      <c r="AW494" s="5"/>
      <c r="AX494" s="284"/>
      <c r="AY494" s="5"/>
      <c r="AZ494" s="5"/>
      <c r="BA494" s="230"/>
      <c r="BB494" s="5"/>
      <c r="BC494" s="232" t="s">
        <v>3535</v>
      </c>
      <c r="BD494" s="257"/>
      <c r="BE494" s="249"/>
      <c r="BF494" s="249"/>
      <c r="BG494" s="249"/>
      <c r="BH494" s="249"/>
      <c r="BI494" s="249"/>
      <c r="BJ494" s="249"/>
      <c r="BK494" s="249"/>
      <c r="BL494" s="249"/>
      <c r="BM494" s="249"/>
      <c r="BN494" s="249"/>
      <c r="BO494" s="249"/>
      <c r="BP494" s="249"/>
      <c r="BQ494" s="249"/>
      <c r="BR494" s="249"/>
      <c r="BS494" s="249"/>
      <c r="BT494" s="249"/>
      <c r="BU494" s="249"/>
      <c r="BV494" s="249"/>
      <c r="BW494" s="249"/>
      <c r="BX494" s="249"/>
      <c r="BY494" s="249"/>
      <c r="BZ494" s="249"/>
      <c r="CA494" s="249"/>
      <c r="CB494" s="249"/>
      <c r="CC494" s="249"/>
      <c r="CD494" s="249"/>
      <c r="CE494" s="249"/>
    </row>
    <row r="495" spans="1:83" s="84" customFormat="1" ht="12.95" customHeight="1">
      <c r="A495" s="1"/>
      <c r="B495" s="1"/>
      <c r="C495" s="21" t="s">
        <v>485</v>
      </c>
      <c r="D495" s="52" t="s">
        <v>2869</v>
      </c>
      <c r="E495" s="52" t="s">
        <v>2857</v>
      </c>
      <c r="F495" s="53" t="s">
        <v>714</v>
      </c>
      <c r="G495" s="179" t="s">
        <v>1429</v>
      </c>
      <c r="H495" s="180" t="s">
        <v>485</v>
      </c>
      <c r="I495" s="55" t="s">
        <v>1429</v>
      </c>
      <c r="J495" s="55" t="s">
        <v>1429</v>
      </c>
      <c r="K495" s="56" t="s">
        <v>1429</v>
      </c>
      <c r="L495" s="54" t="s">
        <v>1429</v>
      </c>
      <c r="M495" s="55" t="s">
        <v>1580</v>
      </c>
      <c r="N495" s="55" t="s">
        <v>1429</v>
      </c>
      <c r="O495" s="55" t="s">
        <v>1429</v>
      </c>
      <c r="P495" s="56" t="s">
        <v>1429</v>
      </c>
      <c r="Q495" s="85"/>
      <c r="R495" s="85"/>
      <c r="S495" s="85"/>
      <c r="T495" s="85"/>
      <c r="U495" s="85"/>
      <c r="V495" s="146" t="s">
        <v>2874</v>
      </c>
      <c r="W495" s="51" t="s">
        <v>2611</v>
      </c>
      <c r="X495" s="130" t="s">
        <v>1429</v>
      </c>
      <c r="Y495" s="130" t="s">
        <v>1429</v>
      </c>
      <c r="Z495" s="51"/>
      <c r="AA495" s="51" t="s">
        <v>2612</v>
      </c>
      <c r="AB495" s="146"/>
      <c r="AC495" s="146" t="s">
        <v>1429</v>
      </c>
      <c r="AD495" s="98"/>
      <c r="AE495" s="83"/>
      <c r="AF495" s="83"/>
      <c r="AG495" s="83"/>
      <c r="AH495" s="86"/>
      <c r="AI495" s="86"/>
      <c r="AJ495" s="87"/>
      <c r="AK495" s="87"/>
      <c r="AL495" s="87"/>
      <c r="AM495" s="87"/>
      <c r="AN495" s="87"/>
      <c r="AO495" s="87"/>
      <c r="AP495" s="87"/>
      <c r="AQ495" s="229" t="s">
        <v>485</v>
      </c>
      <c r="AR495" s="5"/>
      <c r="AS495" s="5"/>
      <c r="AT495" s="5"/>
      <c r="AU495" s="5"/>
      <c r="AV495" s="5"/>
      <c r="AW495" s="5"/>
      <c r="AX495" s="284"/>
      <c r="AY495" s="5"/>
      <c r="AZ495" s="5"/>
      <c r="BA495" s="230"/>
      <c r="BB495" s="5"/>
      <c r="BC495" s="232" t="s">
        <v>3535</v>
      </c>
      <c r="BD495" s="257"/>
      <c r="BE495" s="249"/>
      <c r="BF495" s="249"/>
      <c r="BG495" s="249"/>
      <c r="BH495" s="249"/>
      <c r="BI495" s="249"/>
      <c r="BJ495" s="249"/>
      <c r="BK495" s="249"/>
      <c r="BL495" s="249"/>
      <c r="BM495" s="249"/>
      <c r="BN495" s="249"/>
      <c r="BO495" s="249"/>
      <c r="BP495" s="249"/>
      <c r="BQ495" s="249"/>
      <c r="BR495" s="249"/>
      <c r="BS495" s="249"/>
      <c r="BT495" s="249"/>
      <c r="BU495" s="249"/>
      <c r="BV495" s="249"/>
      <c r="BW495" s="249"/>
      <c r="BX495" s="249"/>
      <c r="BY495" s="249"/>
      <c r="BZ495" s="249"/>
      <c r="CA495" s="249"/>
      <c r="CB495" s="249"/>
      <c r="CC495" s="249"/>
      <c r="CD495" s="249"/>
      <c r="CE495" s="249"/>
    </row>
    <row r="496" spans="1:83" s="84" customFormat="1" ht="12.95" customHeight="1">
      <c r="A496" s="1"/>
      <c r="B496" s="1"/>
      <c r="C496" s="21" t="s">
        <v>486</v>
      </c>
      <c r="D496" s="52" t="s">
        <v>2872</v>
      </c>
      <c r="E496" s="52" t="s">
        <v>2875</v>
      </c>
      <c r="F496" s="53" t="s">
        <v>715</v>
      </c>
      <c r="G496" s="179" t="s">
        <v>1429</v>
      </c>
      <c r="H496" s="180" t="s">
        <v>486</v>
      </c>
      <c r="I496" s="55" t="s">
        <v>1429</v>
      </c>
      <c r="J496" s="55" t="s">
        <v>1429</v>
      </c>
      <c r="K496" s="56" t="s">
        <v>1429</v>
      </c>
      <c r="L496" s="54" t="s">
        <v>1429</v>
      </c>
      <c r="M496" s="55" t="s">
        <v>1580</v>
      </c>
      <c r="N496" s="55" t="s">
        <v>1429</v>
      </c>
      <c r="O496" s="55" t="s">
        <v>1429</v>
      </c>
      <c r="P496" s="56" t="s">
        <v>1429</v>
      </c>
      <c r="Q496" s="85"/>
      <c r="R496" s="85"/>
      <c r="S496" s="85"/>
      <c r="T496" s="85"/>
      <c r="U496" s="85"/>
      <c r="V496" s="146" t="s">
        <v>2876</v>
      </c>
      <c r="W496" s="51" t="s">
        <v>2611</v>
      </c>
      <c r="X496" s="130" t="s">
        <v>1429</v>
      </c>
      <c r="Y496" s="130" t="s">
        <v>1429</v>
      </c>
      <c r="Z496" s="51"/>
      <c r="AA496" s="51" t="s">
        <v>2612</v>
      </c>
      <c r="AB496" s="146"/>
      <c r="AC496" s="146" t="s">
        <v>1429</v>
      </c>
      <c r="AD496" s="98"/>
      <c r="AE496" s="83"/>
      <c r="AF496" s="83"/>
      <c r="AG496" s="83"/>
      <c r="AH496" s="86"/>
      <c r="AI496" s="86"/>
      <c r="AJ496" s="87"/>
      <c r="AK496" s="87"/>
      <c r="AL496" s="87"/>
      <c r="AM496" s="87"/>
      <c r="AN496" s="87"/>
      <c r="AO496" s="87"/>
      <c r="AP496" s="87"/>
      <c r="AQ496" s="229" t="s">
        <v>486</v>
      </c>
      <c r="AR496" s="5"/>
      <c r="AS496" s="5"/>
      <c r="AT496" s="5"/>
      <c r="AU496" s="5"/>
      <c r="AV496" s="5"/>
      <c r="AW496" s="5"/>
      <c r="AX496" s="284"/>
      <c r="AY496" s="5"/>
      <c r="AZ496" s="5"/>
      <c r="BA496" s="230"/>
      <c r="BB496" s="5"/>
      <c r="BC496" s="232" t="s">
        <v>3535</v>
      </c>
      <c r="BD496" s="257"/>
      <c r="BE496" s="249"/>
      <c r="BF496" s="249"/>
      <c r="BG496" s="249"/>
      <c r="BH496" s="249"/>
      <c r="BI496" s="249"/>
      <c r="BJ496" s="249"/>
      <c r="BK496" s="249"/>
      <c r="BL496" s="249"/>
      <c r="BM496" s="249"/>
      <c r="BN496" s="249"/>
      <c r="BO496" s="249"/>
      <c r="BP496" s="249"/>
      <c r="BQ496" s="249"/>
      <c r="BR496" s="249"/>
      <c r="BS496" s="249"/>
      <c r="BT496" s="249"/>
      <c r="BU496" s="249"/>
      <c r="BV496" s="249"/>
      <c r="BW496" s="249"/>
      <c r="BX496" s="249"/>
      <c r="BY496" s="249"/>
      <c r="BZ496" s="249"/>
      <c r="CA496" s="249"/>
      <c r="CB496" s="249"/>
      <c r="CC496" s="249"/>
      <c r="CD496" s="249"/>
      <c r="CE496" s="249"/>
    </row>
    <row r="497" spans="1:83" s="84" customFormat="1" ht="12.95" customHeight="1">
      <c r="A497" s="1"/>
      <c r="B497" s="1"/>
      <c r="C497" s="18" t="s">
        <v>487</v>
      </c>
      <c r="D497" s="52" t="s">
        <v>2853</v>
      </c>
      <c r="E497" s="52" t="s">
        <v>2877</v>
      </c>
      <c r="F497" s="53" t="s">
        <v>716</v>
      </c>
      <c r="G497" s="179" t="s">
        <v>1429</v>
      </c>
      <c r="H497" s="180" t="s">
        <v>487</v>
      </c>
      <c r="I497" s="55" t="s">
        <v>1429</v>
      </c>
      <c r="J497" s="55" t="s">
        <v>1429</v>
      </c>
      <c r="K497" s="56" t="s">
        <v>1429</v>
      </c>
      <c r="L497" s="54" t="s">
        <v>1429</v>
      </c>
      <c r="M497" s="55" t="s">
        <v>1580</v>
      </c>
      <c r="N497" s="55" t="s">
        <v>1429</v>
      </c>
      <c r="O497" s="55" t="s">
        <v>1429</v>
      </c>
      <c r="P497" s="56" t="s">
        <v>1429</v>
      </c>
      <c r="Q497" s="85"/>
      <c r="R497" s="85"/>
      <c r="S497" s="85"/>
      <c r="T497" s="85"/>
      <c r="U497" s="85"/>
      <c r="V497" s="146" t="s">
        <v>2878</v>
      </c>
      <c r="W497" s="51" t="s">
        <v>2611</v>
      </c>
      <c r="X497" s="130" t="s">
        <v>1429</v>
      </c>
      <c r="Y497" s="130" t="s">
        <v>1429</v>
      </c>
      <c r="Z497" s="51"/>
      <c r="AA497" s="51" t="s">
        <v>2612</v>
      </c>
      <c r="AB497" s="146"/>
      <c r="AC497" s="146" t="s">
        <v>1429</v>
      </c>
      <c r="AD497" s="98"/>
      <c r="AE497" s="83"/>
      <c r="AF497" s="83"/>
      <c r="AG497" s="83"/>
      <c r="AH497" s="86"/>
      <c r="AI497" s="86"/>
      <c r="AJ497" s="87"/>
      <c r="AK497" s="87"/>
      <c r="AL497" s="87"/>
      <c r="AM497" s="87"/>
      <c r="AN497" s="87"/>
      <c r="AO497" s="87"/>
      <c r="AP497" s="87"/>
      <c r="AQ497" s="229" t="s">
        <v>487</v>
      </c>
      <c r="AR497" s="5"/>
      <c r="AS497" s="5"/>
      <c r="AT497" s="5"/>
      <c r="AU497" s="5"/>
      <c r="AV497" s="5"/>
      <c r="AW497" s="5"/>
      <c r="AX497" s="284"/>
      <c r="AY497" s="5"/>
      <c r="AZ497" s="5"/>
      <c r="BA497" s="230"/>
      <c r="BB497" s="5"/>
      <c r="BC497" s="232" t="s">
        <v>3535</v>
      </c>
      <c r="BD497" s="257"/>
      <c r="BE497" s="249"/>
      <c r="BF497" s="249"/>
      <c r="BG497" s="249"/>
      <c r="BH497" s="249"/>
      <c r="BI497" s="249"/>
      <c r="BJ497" s="249"/>
      <c r="BK497" s="249"/>
      <c r="BL497" s="249"/>
      <c r="BM497" s="249"/>
      <c r="BN497" s="249"/>
      <c r="BO497" s="249"/>
      <c r="BP497" s="249"/>
      <c r="BQ497" s="249"/>
      <c r="BR497" s="249"/>
      <c r="BS497" s="249"/>
      <c r="BT497" s="249"/>
      <c r="BU497" s="249"/>
      <c r="BV497" s="249"/>
      <c r="BW497" s="249"/>
      <c r="BX497" s="249"/>
      <c r="BY497" s="249"/>
      <c r="BZ497" s="249"/>
      <c r="CA497" s="249"/>
      <c r="CB497" s="249"/>
      <c r="CC497" s="249"/>
      <c r="CD497" s="249"/>
      <c r="CE497" s="249"/>
    </row>
    <row r="498" spans="1:83" s="84" customFormat="1" ht="12.95" customHeight="1">
      <c r="A498" s="1"/>
      <c r="B498" s="1"/>
      <c r="C498" s="18" t="s">
        <v>488</v>
      </c>
      <c r="D498" s="52" t="s">
        <v>2879</v>
      </c>
      <c r="E498" s="52" t="s">
        <v>2880</v>
      </c>
      <c r="F498" s="53" t="s">
        <v>717</v>
      </c>
      <c r="G498" s="179" t="s">
        <v>1429</v>
      </c>
      <c r="H498" s="180" t="s">
        <v>488</v>
      </c>
      <c r="I498" s="55" t="s">
        <v>1429</v>
      </c>
      <c r="J498" s="55" t="s">
        <v>1429</v>
      </c>
      <c r="K498" s="56" t="s">
        <v>1429</v>
      </c>
      <c r="L498" s="54" t="s">
        <v>1429</v>
      </c>
      <c r="M498" s="55" t="s">
        <v>1580</v>
      </c>
      <c r="N498" s="55" t="s">
        <v>1429</v>
      </c>
      <c r="O498" s="55" t="s">
        <v>1429</v>
      </c>
      <c r="P498" s="56" t="s">
        <v>1429</v>
      </c>
      <c r="Q498" s="85"/>
      <c r="R498" s="85"/>
      <c r="S498" s="85"/>
      <c r="T498" s="85"/>
      <c r="U498" s="85"/>
      <c r="V498" s="146" t="s">
        <v>2881</v>
      </c>
      <c r="W498" s="51" t="s">
        <v>2611</v>
      </c>
      <c r="X498" s="130" t="s">
        <v>1429</v>
      </c>
      <c r="Y498" s="130" t="s">
        <v>1429</v>
      </c>
      <c r="Z498" s="51"/>
      <c r="AA498" s="51" t="s">
        <v>2612</v>
      </c>
      <c r="AB498" s="146"/>
      <c r="AC498" s="146" t="s">
        <v>1429</v>
      </c>
      <c r="AD498" s="98"/>
      <c r="AE498" s="83"/>
      <c r="AF498" s="83"/>
      <c r="AG498" s="83"/>
      <c r="AH498" s="86"/>
      <c r="AI498" s="86"/>
      <c r="AJ498" s="87"/>
      <c r="AK498" s="87"/>
      <c r="AL498" s="87"/>
      <c r="AM498" s="87"/>
      <c r="AN498" s="87"/>
      <c r="AO498" s="87"/>
      <c r="AP498" s="87"/>
      <c r="AQ498" s="229" t="s">
        <v>488</v>
      </c>
      <c r="AR498" s="5"/>
      <c r="AS498" s="5"/>
      <c r="AT498" s="5"/>
      <c r="AU498" s="5"/>
      <c r="AV498" s="5"/>
      <c r="AW498" s="5"/>
      <c r="AX498" s="284"/>
      <c r="AY498" s="5"/>
      <c r="AZ498" s="5"/>
      <c r="BA498" s="230"/>
      <c r="BB498" s="5"/>
      <c r="BC498" s="232" t="s">
        <v>3535</v>
      </c>
      <c r="BD498" s="257"/>
      <c r="BE498" s="249"/>
      <c r="BF498" s="249"/>
      <c r="BG498" s="249"/>
      <c r="BH498" s="249"/>
      <c r="BI498" s="249"/>
      <c r="BJ498" s="249"/>
      <c r="BK498" s="249"/>
      <c r="BL498" s="249"/>
      <c r="BM498" s="249"/>
      <c r="BN498" s="249"/>
      <c r="BO498" s="249"/>
      <c r="BP498" s="249"/>
      <c r="BQ498" s="249"/>
      <c r="BR498" s="249"/>
      <c r="BS498" s="249"/>
      <c r="BT498" s="249"/>
      <c r="BU498" s="249"/>
      <c r="BV498" s="249"/>
      <c r="BW498" s="249"/>
      <c r="BX498" s="249"/>
      <c r="BY498" s="249"/>
      <c r="BZ498" s="249"/>
      <c r="CA498" s="249"/>
      <c r="CB498" s="249"/>
      <c r="CC498" s="249"/>
      <c r="CD498" s="249"/>
      <c r="CE498" s="249"/>
    </row>
    <row r="499" spans="1:83" s="84" customFormat="1" ht="12.95" customHeight="1">
      <c r="A499" s="1"/>
      <c r="B499" s="1"/>
      <c r="C499" s="18" t="s">
        <v>489</v>
      </c>
      <c r="D499" s="52" t="s">
        <v>2882</v>
      </c>
      <c r="E499" s="52" t="s">
        <v>2879</v>
      </c>
      <c r="F499" s="53" t="s">
        <v>718</v>
      </c>
      <c r="G499" s="179" t="s">
        <v>1429</v>
      </c>
      <c r="H499" s="180" t="s">
        <v>489</v>
      </c>
      <c r="I499" s="55" t="s">
        <v>1429</v>
      </c>
      <c r="J499" s="55" t="s">
        <v>1429</v>
      </c>
      <c r="K499" s="56" t="s">
        <v>1429</v>
      </c>
      <c r="L499" s="54" t="s">
        <v>1429</v>
      </c>
      <c r="M499" s="55" t="s">
        <v>1580</v>
      </c>
      <c r="N499" s="55" t="s">
        <v>1429</v>
      </c>
      <c r="O499" s="55" t="s">
        <v>1429</v>
      </c>
      <c r="P499" s="56" t="s">
        <v>1429</v>
      </c>
      <c r="Q499" s="85"/>
      <c r="R499" s="85"/>
      <c r="S499" s="85"/>
      <c r="T499" s="85"/>
      <c r="U499" s="85"/>
      <c r="V499" s="146" t="s">
        <v>2883</v>
      </c>
      <c r="W499" s="51" t="s">
        <v>2611</v>
      </c>
      <c r="X499" s="130" t="s">
        <v>1429</v>
      </c>
      <c r="Y499" s="130" t="s">
        <v>1429</v>
      </c>
      <c r="Z499" s="51"/>
      <c r="AA499" s="51" t="s">
        <v>2612</v>
      </c>
      <c r="AB499" s="146"/>
      <c r="AC499" s="146" t="s">
        <v>1429</v>
      </c>
      <c r="AD499" s="98"/>
      <c r="AE499" s="83"/>
      <c r="AF499" s="83"/>
      <c r="AG499" s="83"/>
      <c r="AH499" s="86"/>
      <c r="AI499" s="86"/>
      <c r="AJ499" s="87"/>
      <c r="AK499" s="87"/>
      <c r="AL499" s="87"/>
      <c r="AM499" s="87"/>
      <c r="AN499" s="87"/>
      <c r="AO499" s="87"/>
      <c r="AP499" s="87"/>
      <c r="AQ499" s="229" t="s">
        <v>489</v>
      </c>
      <c r="AR499" s="5"/>
      <c r="AS499" s="5"/>
      <c r="AT499" s="5"/>
      <c r="AU499" s="5"/>
      <c r="AV499" s="5"/>
      <c r="AW499" s="5"/>
      <c r="AX499" s="284"/>
      <c r="AY499" s="5"/>
      <c r="AZ499" s="5"/>
      <c r="BA499" s="230"/>
      <c r="BB499" s="5"/>
      <c r="BC499" s="232" t="s">
        <v>3535</v>
      </c>
      <c r="BD499" s="257"/>
      <c r="BE499" s="249"/>
      <c r="BF499" s="249"/>
      <c r="BG499" s="249"/>
      <c r="BH499" s="249"/>
      <c r="BI499" s="249"/>
      <c r="BJ499" s="249"/>
      <c r="BK499" s="249"/>
      <c r="BL499" s="249"/>
      <c r="BM499" s="249"/>
      <c r="BN499" s="249"/>
      <c r="BO499" s="249"/>
      <c r="BP499" s="249"/>
      <c r="BQ499" s="249"/>
      <c r="BR499" s="249"/>
      <c r="BS499" s="249"/>
      <c r="BT499" s="249"/>
      <c r="BU499" s="249"/>
      <c r="BV499" s="249"/>
      <c r="BW499" s="249"/>
      <c r="BX499" s="249"/>
      <c r="BY499" s="249"/>
      <c r="BZ499" s="249"/>
      <c r="CA499" s="249"/>
      <c r="CB499" s="249"/>
      <c r="CC499" s="249"/>
      <c r="CD499" s="249"/>
      <c r="CE499" s="249"/>
    </row>
    <row r="500" spans="1:83" s="84" customFormat="1" ht="12.95" customHeight="1">
      <c r="A500" s="1"/>
      <c r="B500" s="1"/>
      <c r="C500" s="18" t="s">
        <v>490</v>
      </c>
      <c r="D500" s="52" t="s">
        <v>2884</v>
      </c>
      <c r="E500" s="52" t="s">
        <v>2885</v>
      </c>
      <c r="F500" s="53" t="s">
        <v>719</v>
      </c>
      <c r="G500" s="179" t="s">
        <v>1429</v>
      </c>
      <c r="H500" s="180" t="s">
        <v>490</v>
      </c>
      <c r="I500" s="55" t="s">
        <v>1429</v>
      </c>
      <c r="J500" s="55" t="s">
        <v>1429</v>
      </c>
      <c r="K500" s="56" t="s">
        <v>1429</v>
      </c>
      <c r="L500" s="54" t="s">
        <v>1429</v>
      </c>
      <c r="M500" s="55" t="s">
        <v>1580</v>
      </c>
      <c r="N500" s="55" t="s">
        <v>1429</v>
      </c>
      <c r="O500" s="55" t="s">
        <v>1429</v>
      </c>
      <c r="P500" s="56" t="s">
        <v>1429</v>
      </c>
      <c r="Q500" s="85"/>
      <c r="R500" s="85"/>
      <c r="S500" s="85"/>
      <c r="T500" s="85"/>
      <c r="U500" s="85"/>
      <c r="V500" s="146" t="s">
        <v>2886</v>
      </c>
      <c r="W500" s="51" t="s">
        <v>2611</v>
      </c>
      <c r="X500" s="130" t="s">
        <v>1429</v>
      </c>
      <c r="Y500" s="130" t="s">
        <v>1429</v>
      </c>
      <c r="Z500" s="51"/>
      <c r="AA500" s="51" t="s">
        <v>2612</v>
      </c>
      <c r="AB500" s="146"/>
      <c r="AC500" s="146" t="s">
        <v>1429</v>
      </c>
      <c r="AD500" s="98"/>
      <c r="AE500" s="83"/>
      <c r="AF500" s="83"/>
      <c r="AG500" s="83"/>
      <c r="AH500" s="86"/>
      <c r="AI500" s="86"/>
      <c r="AJ500" s="87"/>
      <c r="AK500" s="87"/>
      <c r="AL500" s="87"/>
      <c r="AM500" s="87"/>
      <c r="AN500" s="87"/>
      <c r="AO500" s="87"/>
      <c r="AP500" s="87"/>
      <c r="AQ500" s="229" t="s">
        <v>490</v>
      </c>
      <c r="AR500" s="5"/>
      <c r="AS500" s="5"/>
      <c r="AT500" s="5"/>
      <c r="AU500" s="5"/>
      <c r="AV500" s="5"/>
      <c r="AW500" s="5"/>
      <c r="AX500" s="284"/>
      <c r="AY500" s="5"/>
      <c r="AZ500" s="5"/>
      <c r="BA500" s="230"/>
      <c r="BB500" s="5"/>
      <c r="BC500" s="232" t="s">
        <v>3535</v>
      </c>
      <c r="BD500" s="257"/>
      <c r="BE500" s="249"/>
      <c r="BF500" s="249"/>
      <c r="BG500" s="249"/>
      <c r="BH500" s="249"/>
      <c r="BI500" s="249"/>
      <c r="BJ500" s="249"/>
      <c r="BK500" s="249"/>
      <c r="BL500" s="249"/>
      <c r="BM500" s="249"/>
      <c r="BN500" s="249"/>
      <c r="BO500" s="249"/>
      <c r="BP500" s="249"/>
      <c r="BQ500" s="249"/>
      <c r="BR500" s="249"/>
      <c r="BS500" s="249"/>
      <c r="BT500" s="249"/>
      <c r="BU500" s="249"/>
      <c r="BV500" s="249"/>
      <c r="BW500" s="249"/>
      <c r="BX500" s="249"/>
      <c r="BY500" s="249"/>
      <c r="BZ500" s="249"/>
      <c r="CA500" s="249"/>
      <c r="CB500" s="249"/>
      <c r="CC500" s="249"/>
      <c r="CD500" s="249"/>
      <c r="CE500" s="249"/>
    </row>
    <row r="501" spans="1:83" s="84" customFormat="1" ht="12.95" customHeight="1">
      <c r="A501" s="1"/>
      <c r="B501" s="1"/>
      <c r="C501" s="18" t="s">
        <v>491</v>
      </c>
      <c r="D501" s="52" t="s">
        <v>2887</v>
      </c>
      <c r="E501" s="52" t="s">
        <v>2882</v>
      </c>
      <c r="F501" s="53" t="s">
        <v>720</v>
      </c>
      <c r="G501" s="179" t="s">
        <v>1429</v>
      </c>
      <c r="H501" s="180" t="s">
        <v>491</v>
      </c>
      <c r="I501" s="55" t="s">
        <v>1429</v>
      </c>
      <c r="J501" s="55" t="s">
        <v>1429</v>
      </c>
      <c r="K501" s="56" t="s">
        <v>1429</v>
      </c>
      <c r="L501" s="54" t="s">
        <v>1429</v>
      </c>
      <c r="M501" s="55" t="s">
        <v>1580</v>
      </c>
      <c r="N501" s="55" t="s">
        <v>1429</v>
      </c>
      <c r="O501" s="55" t="s">
        <v>1429</v>
      </c>
      <c r="P501" s="56" t="s">
        <v>1429</v>
      </c>
      <c r="Q501" s="85"/>
      <c r="R501" s="85"/>
      <c r="S501" s="85"/>
      <c r="T501" s="85"/>
      <c r="U501" s="85"/>
      <c r="V501" s="146" t="s">
        <v>2888</v>
      </c>
      <c r="W501" s="51" t="s">
        <v>2611</v>
      </c>
      <c r="X501" s="130" t="s">
        <v>1429</v>
      </c>
      <c r="Y501" s="130" t="s">
        <v>1429</v>
      </c>
      <c r="Z501" s="51"/>
      <c r="AA501" s="51" t="s">
        <v>2612</v>
      </c>
      <c r="AB501" s="146"/>
      <c r="AC501" s="146" t="s">
        <v>1429</v>
      </c>
      <c r="AD501" s="98"/>
      <c r="AE501" s="83"/>
      <c r="AF501" s="83"/>
      <c r="AG501" s="83"/>
      <c r="AH501" s="86"/>
      <c r="AI501" s="86"/>
      <c r="AJ501" s="87"/>
      <c r="AK501" s="87"/>
      <c r="AL501" s="87"/>
      <c r="AM501" s="87"/>
      <c r="AN501" s="87"/>
      <c r="AO501" s="87"/>
      <c r="AP501" s="87"/>
      <c r="AQ501" s="229" t="s">
        <v>491</v>
      </c>
      <c r="AR501" s="5"/>
      <c r="AS501" s="5"/>
      <c r="AT501" s="5"/>
      <c r="AU501" s="5"/>
      <c r="AV501" s="5"/>
      <c r="AW501" s="5"/>
      <c r="AX501" s="284"/>
      <c r="AY501" s="5"/>
      <c r="AZ501" s="5"/>
      <c r="BA501" s="230"/>
      <c r="BB501" s="5"/>
      <c r="BC501" s="232" t="s">
        <v>3535</v>
      </c>
      <c r="BD501" s="257"/>
      <c r="BE501" s="249"/>
      <c r="BF501" s="249"/>
      <c r="BG501" s="249"/>
      <c r="BH501" s="249"/>
      <c r="BI501" s="249"/>
      <c r="BJ501" s="249"/>
      <c r="BK501" s="249"/>
      <c r="BL501" s="249"/>
      <c r="BM501" s="249"/>
      <c r="BN501" s="249"/>
      <c r="BO501" s="249"/>
      <c r="BP501" s="249"/>
      <c r="BQ501" s="249"/>
      <c r="BR501" s="249"/>
      <c r="BS501" s="249"/>
      <c r="BT501" s="249"/>
      <c r="BU501" s="249"/>
      <c r="BV501" s="249"/>
      <c r="BW501" s="249"/>
      <c r="BX501" s="249"/>
      <c r="BY501" s="249"/>
      <c r="BZ501" s="249"/>
      <c r="CA501" s="249"/>
      <c r="CB501" s="249"/>
      <c r="CC501" s="249"/>
      <c r="CD501" s="249"/>
      <c r="CE501" s="249"/>
    </row>
    <row r="502" spans="1:83" s="84" customFormat="1" ht="12.95" customHeight="1">
      <c r="A502" s="1"/>
      <c r="B502" s="1"/>
      <c r="C502" s="18" t="s">
        <v>492</v>
      </c>
      <c r="D502" s="52" t="s">
        <v>2889</v>
      </c>
      <c r="E502" s="52" t="s">
        <v>2890</v>
      </c>
      <c r="F502" s="53" t="s">
        <v>721</v>
      </c>
      <c r="G502" s="179" t="s">
        <v>1429</v>
      </c>
      <c r="H502" s="180" t="s">
        <v>492</v>
      </c>
      <c r="I502" s="55" t="s">
        <v>1429</v>
      </c>
      <c r="J502" s="55" t="s">
        <v>1429</v>
      </c>
      <c r="K502" s="56" t="s">
        <v>1429</v>
      </c>
      <c r="L502" s="54" t="s">
        <v>1429</v>
      </c>
      <c r="M502" s="55" t="s">
        <v>1580</v>
      </c>
      <c r="N502" s="55" t="s">
        <v>1429</v>
      </c>
      <c r="O502" s="55" t="s">
        <v>1429</v>
      </c>
      <c r="P502" s="56" t="s">
        <v>1429</v>
      </c>
      <c r="Q502" s="85"/>
      <c r="R502" s="85"/>
      <c r="S502" s="85"/>
      <c r="T502" s="85"/>
      <c r="U502" s="85"/>
      <c r="V502" s="146" t="s">
        <v>2891</v>
      </c>
      <c r="W502" s="51" t="s">
        <v>2611</v>
      </c>
      <c r="X502" s="130" t="s">
        <v>1429</v>
      </c>
      <c r="Y502" s="130" t="s">
        <v>1429</v>
      </c>
      <c r="Z502" s="51"/>
      <c r="AA502" s="51" t="s">
        <v>2612</v>
      </c>
      <c r="AB502" s="146"/>
      <c r="AC502" s="146" t="s">
        <v>1429</v>
      </c>
      <c r="AD502" s="98"/>
      <c r="AE502" s="83"/>
      <c r="AF502" s="83"/>
      <c r="AG502" s="83"/>
      <c r="AH502" s="86"/>
      <c r="AI502" s="86"/>
      <c r="AJ502" s="87"/>
      <c r="AK502" s="87"/>
      <c r="AL502" s="87"/>
      <c r="AM502" s="87"/>
      <c r="AN502" s="87"/>
      <c r="AO502" s="87"/>
      <c r="AP502" s="87"/>
      <c r="AQ502" s="229" t="s">
        <v>492</v>
      </c>
      <c r="AR502" s="5"/>
      <c r="AS502" s="5"/>
      <c r="AT502" s="5"/>
      <c r="AU502" s="5"/>
      <c r="AV502" s="5"/>
      <c r="AW502" s="5"/>
      <c r="AX502" s="284"/>
      <c r="AY502" s="5"/>
      <c r="AZ502" s="5"/>
      <c r="BA502" s="230"/>
      <c r="BB502" s="5"/>
      <c r="BC502" s="232" t="s">
        <v>3535</v>
      </c>
      <c r="BD502" s="257"/>
      <c r="BE502" s="249"/>
      <c r="BF502" s="249"/>
      <c r="BG502" s="249"/>
      <c r="BH502" s="249"/>
      <c r="BI502" s="249"/>
      <c r="BJ502" s="249"/>
      <c r="BK502" s="249"/>
      <c r="BL502" s="249"/>
      <c r="BM502" s="249"/>
      <c r="BN502" s="249"/>
      <c r="BO502" s="249"/>
      <c r="BP502" s="249"/>
      <c r="BQ502" s="249"/>
      <c r="BR502" s="249"/>
      <c r="BS502" s="249"/>
      <c r="BT502" s="249"/>
      <c r="BU502" s="249"/>
      <c r="BV502" s="249"/>
      <c r="BW502" s="249"/>
      <c r="BX502" s="249"/>
      <c r="BY502" s="249"/>
      <c r="BZ502" s="249"/>
      <c r="CA502" s="249"/>
      <c r="CB502" s="249"/>
      <c r="CC502" s="249"/>
      <c r="CD502" s="249"/>
      <c r="CE502" s="249"/>
    </row>
    <row r="503" spans="1:83" s="84" customFormat="1" ht="12.95" customHeight="1">
      <c r="A503" s="1"/>
      <c r="B503" s="1"/>
      <c r="C503" s="18" t="s">
        <v>493</v>
      </c>
      <c r="D503" s="52" t="s">
        <v>2892</v>
      </c>
      <c r="E503" s="52" t="s">
        <v>2884</v>
      </c>
      <c r="F503" s="53" t="s">
        <v>722</v>
      </c>
      <c r="G503" s="179" t="s">
        <v>1429</v>
      </c>
      <c r="H503" s="180" t="s">
        <v>493</v>
      </c>
      <c r="I503" s="55" t="s">
        <v>1429</v>
      </c>
      <c r="J503" s="55" t="s">
        <v>1429</v>
      </c>
      <c r="K503" s="56" t="s">
        <v>1429</v>
      </c>
      <c r="L503" s="54" t="s">
        <v>1429</v>
      </c>
      <c r="M503" s="55" t="s">
        <v>1580</v>
      </c>
      <c r="N503" s="55" t="s">
        <v>1429</v>
      </c>
      <c r="O503" s="55" t="s">
        <v>1429</v>
      </c>
      <c r="P503" s="56" t="s">
        <v>1429</v>
      </c>
      <c r="Q503" s="85"/>
      <c r="R503" s="85"/>
      <c r="S503" s="85"/>
      <c r="T503" s="85"/>
      <c r="U503" s="85"/>
      <c r="V503" s="146" t="s">
        <v>2893</v>
      </c>
      <c r="W503" s="51" t="s">
        <v>2611</v>
      </c>
      <c r="X503" s="130" t="s">
        <v>1429</v>
      </c>
      <c r="Y503" s="130" t="s">
        <v>1429</v>
      </c>
      <c r="Z503" s="51"/>
      <c r="AA503" s="51" t="s">
        <v>2612</v>
      </c>
      <c r="AB503" s="146"/>
      <c r="AC503" s="146" t="s">
        <v>1429</v>
      </c>
      <c r="AD503" s="98"/>
      <c r="AE503" s="83"/>
      <c r="AF503" s="83"/>
      <c r="AG503" s="83"/>
      <c r="AH503" s="86"/>
      <c r="AI503" s="86"/>
      <c r="AJ503" s="87"/>
      <c r="AK503" s="87"/>
      <c r="AL503" s="87"/>
      <c r="AM503" s="87"/>
      <c r="AN503" s="87"/>
      <c r="AO503" s="87"/>
      <c r="AP503" s="87"/>
      <c r="AQ503" s="229" t="s">
        <v>493</v>
      </c>
      <c r="AR503" s="5"/>
      <c r="AS503" s="5"/>
      <c r="AT503" s="5"/>
      <c r="AU503" s="5"/>
      <c r="AV503" s="5"/>
      <c r="AW503" s="5"/>
      <c r="AX503" s="284"/>
      <c r="AY503" s="5"/>
      <c r="AZ503" s="5"/>
      <c r="BA503" s="230"/>
      <c r="BB503" s="5"/>
      <c r="BC503" s="232" t="s">
        <v>3535</v>
      </c>
      <c r="BD503" s="257"/>
      <c r="BE503" s="249"/>
      <c r="BF503" s="249"/>
      <c r="BG503" s="249"/>
      <c r="BH503" s="249"/>
      <c r="BI503" s="249"/>
      <c r="BJ503" s="249"/>
      <c r="BK503" s="249"/>
      <c r="BL503" s="249"/>
      <c r="BM503" s="249"/>
      <c r="BN503" s="249"/>
      <c r="BO503" s="249"/>
      <c r="BP503" s="249"/>
      <c r="BQ503" s="249"/>
      <c r="BR503" s="249"/>
      <c r="BS503" s="249"/>
      <c r="BT503" s="249"/>
      <c r="BU503" s="249"/>
      <c r="BV503" s="249"/>
      <c r="BW503" s="249"/>
      <c r="BX503" s="249"/>
      <c r="BY503" s="249"/>
      <c r="BZ503" s="249"/>
      <c r="CA503" s="249"/>
      <c r="CB503" s="249"/>
      <c r="CC503" s="249"/>
      <c r="CD503" s="249"/>
      <c r="CE503" s="249"/>
    </row>
    <row r="504" spans="1:83" s="84" customFormat="1" ht="12.95" customHeight="1">
      <c r="A504" s="1"/>
      <c r="B504" s="1"/>
      <c r="C504" s="18" t="s">
        <v>494</v>
      </c>
      <c r="D504" s="52" t="s">
        <v>2894</v>
      </c>
      <c r="E504" s="52" t="s">
        <v>2892</v>
      </c>
      <c r="F504" s="53" t="s">
        <v>723</v>
      </c>
      <c r="G504" s="179" t="s">
        <v>1429</v>
      </c>
      <c r="H504" s="180" t="s">
        <v>494</v>
      </c>
      <c r="I504" s="55" t="s">
        <v>1429</v>
      </c>
      <c r="J504" s="55" t="s">
        <v>1429</v>
      </c>
      <c r="K504" s="56" t="s">
        <v>1429</v>
      </c>
      <c r="L504" s="54" t="s">
        <v>1429</v>
      </c>
      <c r="M504" s="55" t="s">
        <v>1580</v>
      </c>
      <c r="N504" s="55" t="s">
        <v>1429</v>
      </c>
      <c r="O504" s="55" t="s">
        <v>1429</v>
      </c>
      <c r="P504" s="56" t="s">
        <v>1429</v>
      </c>
      <c r="Q504" s="85"/>
      <c r="R504" s="85"/>
      <c r="S504" s="85"/>
      <c r="T504" s="85"/>
      <c r="U504" s="85"/>
      <c r="V504" s="146" t="s">
        <v>2895</v>
      </c>
      <c r="W504" s="51" t="s">
        <v>2611</v>
      </c>
      <c r="X504" s="130" t="s">
        <v>1429</v>
      </c>
      <c r="Y504" s="130" t="s">
        <v>1429</v>
      </c>
      <c r="Z504" s="51"/>
      <c r="AA504" s="51" t="s">
        <v>2612</v>
      </c>
      <c r="AB504" s="146"/>
      <c r="AC504" s="146" t="s">
        <v>1429</v>
      </c>
      <c r="AD504" s="98"/>
      <c r="AE504" s="83"/>
      <c r="AF504" s="83"/>
      <c r="AG504" s="83"/>
      <c r="AH504" s="86"/>
      <c r="AI504" s="86"/>
      <c r="AJ504" s="87"/>
      <c r="AK504" s="87"/>
      <c r="AL504" s="87"/>
      <c r="AM504" s="87"/>
      <c r="AN504" s="87"/>
      <c r="AO504" s="87"/>
      <c r="AP504" s="87"/>
      <c r="AQ504" s="229" t="s">
        <v>494</v>
      </c>
      <c r="AR504" s="5"/>
      <c r="AS504" s="5"/>
      <c r="AT504" s="5"/>
      <c r="AU504" s="5"/>
      <c r="AV504" s="5"/>
      <c r="AW504" s="5"/>
      <c r="AX504" s="284"/>
      <c r="AY504" s="5"/>
      <c r="AZ504" s="5"/>
      <c r="BA504" s="230"/>
      <c r="BB504" s="5"/>
      <c r="BC504" s="232" t="s">
        <v>3535</v>
      </c>
      <c r="BD504" s="257"/>
      <c r="BE504" s="249"/>
      <c r="BF504" s="249"/>
      <c r="BG504" s="249"/>
      <c r="BH504" s="249"/>
      <c r="BI504" s="249"/>
      <c r="BJ504" s="249"/>
      <c r="BK504" s="249"/>
      <c r="BL504" s="249"/>
      <c r="BM504" s="249"/>
      <c r="BN504" s="249"/>
      <c r="BO504" s="249"/>
      <c r="BP504" s="249"/>
      <c r="BQ504" s="249"/>
      <c r="BR504" s="249"/>
      <c r="BS504" s="249"/>
      <c r="BT504" s="249"/>
      <c r="BU504" s="249"/>
      <c r="BV504" s="249"/>
      <c r="BW504" s="249"/>
      <c r="BX504" s="249"/>
      <c r="BY504" s="249"/>
      <c r="BZ504" s="249"/>
      <c r="CA504" s="249"/>
      <c r="CB504" s="249"/>
      <c r="CC504" s="249"/>
      <c r="CD504" s="249"/>
      <c r="CE504" s="249"/>
    </row>
    <row r="505" spans="1:83" s="84" customFormat="1" ht="12.95" customHeight="1">
      <c r="A505" s="1"/>
      <c r="B505" s="1"/>
      <c r="C505" s="18" t="s">
        <v>495</v>
      </c>
      <c r="D505" s="52" t="s">
        <v>2896</v>
      </c>
      <c r="E505" s="52" t="s">
        <v>2887</v>
      </c>
      <c r="F505" s="53" t="s">
        <v>724</v>
      </c>
      <c r="G505" s="179" t="s">
        <v>1429</v>
      </c>
      <c r="H505" s="180" t="s">
        <v>495</v>
      </c>
      <c r="I505" s="55" t="s">
        <v>1429</v>
      </c>
      <c r="J505" s="55" t="s">
        <v>1429</v>
      </c>
      <c r="K505" s="56" t="s">
        <v>1429</v>
      </c>
      <c r="L505" s="54" t="s">
        <v>1429</v>
      </c>
      <c r="M505" s="55" t="s">
        <v>1580</v>
      </c>
      <c r="N505" s="55" t="s">
        <v>1429</v>
      </c>
      <c r="O505" s="55" t="s">
        <v>1429</v>
      </c>
      <c r="P505" s="56" t="s">
        <v>1429</v>
      </c>
      <c r="Q505" s="85"/>
      <c r="R505" s="85"/>
      <c r="S505" s="85"/>
      <c r="T505" s="85"/>
      <c r="U505" s="85"/>
      <c r="V505" s="146" t="s">
        <v>2897</v>
      </c>
      <c r="W505" s="51" t="s">
        <v>2611</v>
      </c>
      <c r="X505" s="130" t="s">
        <v>1429</v>
      </c>
      <c r="Y505" s="130" t="s">
        <v>1429</v>
      </c>
      <c r="Z505" s="51"/>
      <c r="AA505" s="51" t="s">
        <v>2612</v>
      </c>
      <c r="AB505" s="146"/>
      <c r="AC505" s="146" t="s">
        <v>1429</v>
      </c>
      <c r="AD505" s="98"/>
      <c r="AE505" s="83"/>
      <c r="AF505" s="83"/>
      <c r="AG505" s="83"/>
      <c r="AH505" s="86"/>
      <c r="AI505" s="86"/>
      <c r="AJ505" s="87"/>
      <c r="AK505" s="87"/>
      <c r="AL505" s="87"/>
      <c r="AM505" s="87"/>
      <c r="AN505" s="87"/>
      <c r="AO505" s="87"/>
      <c r="AP505" s="87"/>
      <c r="AQ505" s="229" t="s">
        <v>495</v>
      </c>
      <c r="AR505" s="5"/>
      <c r="AS505" s="5"/>
      <c r="AT505" s="5"/>
      <c r="AU505" s="5"/>
      <c r="AV505" s="5"/>
      <c r="AW505" s="5"/>
      <c r="AX505" s="284"/>
      <c r="AY505" s="5"/>
      <c r="AZ505" s="5"/>
      <c r="BA505" s="230"/>
      <c r="BB505" s="5"/>
      <c r="BC505" s="232" t="s">
        <v>3535</v>
      </c>
      <c r="BD505" s="257"/>
      <c r="BE505" s="249"/>
      <c r="BF505" s="249"/>
      <c r="BG505" s="249"/>
      <c r="BH505" s="249"/>
      <c r="BI505" s="249"/>
      <c r="BJ505" s="249"/>
      <c r="BK505" s="249"/>
      <c r="BL505" s="249"/>
      <c r="BM505" s="249"/>
      <c r="BN505" s="249"/>
      <c r="BO505" s="249"/>
      <c r="BP505" s="249"/>
      <c r="BQ505" s="249"/>
      <c r="BR505" s="249"/>
      <c r="BS505" s="249"/>
      <c r="BT505" s="249"/>
      <c r="BU505" s="249"/>
      <c r="BV505" s="249"/>
      <c r="BW505" s="249"/>
      <c r="BX505" s="249"/>
      <c r="BY505" s="249"/>
      <c r="BZ505" s="249"/>
      <c r="CA505" s="249"/>
      <c r="CB505" s="249"/>
      <c r="CC505" s="249"/>
      <c r="CD505" s="249"/>
      <c r="CE505" s="249"/>
    </row>
    <row r="506" spans="1:83" s="84" customFormat="1" ht="12.95" customHeight="1">
      <c r="A506" s="1"/>
      <c r="B506" s="1"/>
      <c r="C506" s="18" t="s">
        <v>496</v>
      </c>
      <c r="D506" s="52" t="s">
        <v>2898</v>
      </c>
      <c r="E506" s="52" t="s">
        <v>2899</v>
      </c>
      <c r="F506" s="53" t="s">
        <v>725</v>
      </c>
      <c r="G506" s="179" t="s">
        <v>1429</v>
      </c>
      <c r="H506" s="180" t="s">
        <v>496</v>
      </c>
      <c r="I506" s="55" t="s">
        <v>1429</v>
      </c>
      <c r="J506" s="55" t="s">
        <v>1429</v>
      </c>
      <c r="K506" s="56" t="s">
        <v>1429</v>
      </c>
      <c r="L506" s="54" t="s">
        <v>1429</v>
      </c>
      <c r="M506" s="55" t="s">
        <v>1580</v>
      </c>
      <c r="N506" s="55" t="s">
        <v>1429</v>
      </c>
      <c r="O506" s="55" t="s">
        <v>1429</v>
      </c>
      <c r="P506" s="56" t="s">
        <v>1429</v>
      </c>
      <c r="Q506" s="85"/>
      <c r="R506" s="85"/>
      <c r="S506" s="85"/>
      <c r="T506" s="85"/>
      <c r="U506" s="85"/>
      <c r="V506" s="146" t="s">
        <v>2900</v>
      </c>
      <c r="W506" s="51" t="s">
        <v>2611</v>
      </c>
      <c r="X506" s="130" t="s">
        <v>1429</v>
      </c>
      <c r="Y506" s="130" t="s">
        <v>1429</v>
      </c>
      <c r="Z506" s="51"/>
      <c r="AA506" s="51" t="s">
        <v>2612</v>
      </c>
      <c r="AB506" s="146"/>
      <c r="AC506" s="146" t="s">
        <v>1429</v>
      </c>
      <c r="AD506" s="98"/>
      <c r="AE506" s="83"/>
      <c r="AF506" s="83"/>
      <c r="AG506" s="83"/>
      <c r="AH506" s="86"/>
      <c r="AI506" s="86"/>
      <c r="AJ506" s="87"/>
      <c r="AK506" s="87"/>
      <c r="AL506" s="87"/>
      <c r="AM506" s="87"/>
      <c r="AN506" s="87"/>
      <c r="AO506" s="87"/>
      <c r="AP506" s="87"/>
      <c r="AQ506" s="229" t="s">
        <v>496</v>
      </c>
      <c r="AR506" s="5"/>
      <c r="AS506" s="5"/>
      <c r="AT506" s="5"/>
      <c r="AU506" s="5"/>
      <c r="AV506" s="5"/>
      <c r="AW506" s="5"/>
      <c r="AX506" s="284"/>
      <c r="AY506" s="5"/>
      <c r="AZ506" s="5"/>
      <c r="BA506" s="230"/>
      <c r="BB506" s="5"/>
      <c r="BC506" s="232" t="s">
        <v>3535</v>
      </c>
      <c r="BD506" s="257"/>
      <c r="BE506" s="249"/>
      <c r="BF506" s="249"/>
      <c r="BG506" s="249"/>
      <c r="BH506" s="249"/>
      <c r="BI506" s="249"/>
      <c r="BJ506" s="249"/>
      <c r="BK506" s="249"/>
      <c r="BL506" s="249"/>
      <c r="BM506" s="249"/>
      <c r="BN506" s="249"/>
      <c r="BO506" s="249"/>
      <c r="BP506" s="249"/>
      <c r="BQ506" s="249"/>
      <c r="BR506" s="249"/>
      <c r="BS506" s="249"/>
      <c r="BT506" s="249"/>
      <c r="BU506" s="249"/>
      <c r="BV506" s="249"/>
      <c r="BW506" s="249"/>
      <c r="BX506" s="249"/>
      <c r="BY506" s="249"/>
      <c r="BZ506" s="249"/>
      <c r="CA506" s="249"/>
      <c r="CB506" s="249"/>
      <c r="CC506" s="249"/>
      <c r="CD506" s="249"/>
      <c r="CE506" s="249"/>
    </row>
    <row r="507" spans="1:83" s="84" customFormat="1" ht="12.95" customHeight="1">
      <c r="A507" s="1"/>
      <c r="B507" s="1"/>
      <c r="C507" s="21" t="s">
        <v>497</v>
      </c>
      <c r="D507" s="52" t="s">
        <v>2901</v>
      </c>
      <c r="E507" s="52" t="s">
        <v>2902</v>
      </c>
      <c r="F507" s="53" t="s">
        <v>726</v>
      </c>
      <c r="G507" s="179" t="s">
        <v>1429</v>
      </c>
      <c r="H507" s="180" t="s">
        <v>497</v>
      </c>
      <c r="I507" s="55" t="s">
        <v>1429</v>
      </c>
      <c r="J507" s="55" t="s">
        <v>1429</v>
      </c>
      <c r="K507" s="56" t="s">
        <v>1429</v>
      </c>
      <c r="L507" s="54" t="s">
        <v>1429</v>
      </c>
      <c r="M507" s="55" t="s">
        <v>1580</v>
      </c>
      <c r="N507" s="55" t="s">
        <v>1429</v>
      </c>
      <c r="O507" s="55" t="s">
        <v>1429</v>
      </c>
      <c r="P507" s="56" t="s">
        <v>1429</v>
      </c>
      <c r="Q507" s="85"/>
      <c r="R507" s="85"/>
      <c r="S507" s="85"/>
      <c r="T507" s="85"/>
      <c r="U507" s="85"/>
      <c r="V507" s="146" t="s">
        <v>2903</v>
      </c>
      <c r="W507" s="51" t="s">
        <v>2611</v>
      </c>
      <c r="X507" s="130" t="s">
        <v>1429</v>
      </c>
      <c r="Y507" s="130" t="s">
        <v>1429</v>
      </c>
      <c r="Z507" s="51"/>
      <c r="AA507" s="51" t="s">
        <v>2612</v>
      </c>
      <c r="AB507" s="146"/>
      <c r="AC507" s="146" t="s">
        <v>1429</v>
      </c>
      <c r="AD507" s="98"/>
      <c r="AE507" s="83"/>
      <c r="AF507" s="83"/>
      <c r="AG507" s="83"/>
      <c r="AH507" s="86"/>
      <c r="AI507" s="86"/>
      <c r="AJ507" s="87"/>
      <c r="AK507" s="87"/>
      <c r="AL507" s="87"/>
      <c r="AM507" s="87"/>
      <c r="AN507" s="87"/>
      <c r="AO507" s="87"/>
      <c r="AP507" s="87"/>
      <c r="AQ507" s="229" t="s">
        <v>497</v>
      </c>
      <c r="AR507" s="5"/>
      <c r="AS507" s="5"/>
      <c r="AT507" s="5"/>
      <c r="AU507" s="5"/>
      <c r="AV507" s="5"/>
      <c r="AW507" s="5"/>
      <c r="AX507" s="284"/>
      <c r="AY507" s="5"/>
      <c r="AZ507" s="5"/>
      <c r="BA507" s="230"/>
      <c r="BB507" s="5"/>
      <c r="BC507" s="232" t="s">
        <v>3535</v>
      </c>
      <c r="BD507" s="257"/>
      <c r="BE507" s="249"/>
      <c r="BF507" s="249"/>
      <c r="BG507" s="249"/>
      <c r="BH507" s="249"/>
      <c r="BI507" s="249"/>
      <c r="BJ507" s="249"/>
      <c r="BK507" s="249"/>
      <c r="BL507" s="249"/>
      <c r="BM507" s="249"/>
      <c r="BN507" s="249"/>
      <c r="BO507" s="249"/>
      <c r="BP507" s="249"/>
      <c r="BQ507" s="249"/>
      <c r="BR507" s="249"/>
      <c r="BS507" s="249"/>
      <c r="BT507" s="249"/>
      <c r="BU507" s="249"/>
      <c r="BV507" s="249"/>
      <c r="BW507" s="249"/>
      <c r="BX507" s="249"/>
      <c r="BY507" s="249"/>
      <c r="BZ507" s="249"/>
      <c r="CA507" s="249"/>
      <c r="CB507" s="249"/>
      <c r="CC507" s="249"/>
      <c r="CD507" s="249"/>
      <c r="CE507" s="249"/>
    </row>
    <row r="508" spans="1:83" s="84" customFormat="1" ht="12.95" customHeight="1">
      <c r="A508" s="1"/>
      <c r="B508" s="1"/>
      <c r="C508" s="21" t="s">
        <v>498</v>
      </c>
      <c r="D508" s="52" t="s">
        <v>2904</v>
      </c>
      <c r="E508" s="52" t="s">
        <v>2905</v>
      </c>
      <c r="F508" s="53" t="s">
        <v>727</v>
      </c>
      <c r="G508" s="179" t="s">
        <v>1429</v>
      </c>
      <c r="H508" s="180" t="s">
        <v>498</v>
      </c>
      <c r="I508" s="55" t="s">
        <v>1429</v>
      </c>
      <c r="J508" s="55" t="s">
        <v>1429</v>
      </c>
      <c r="K508" s="56" t="s">
        <v>1429</v>
      </c>
      <c r="L508" s="54" t="s">
        <v>1429</v>
      </c>
      <c r="M508" s="55" t="s">
        <v>1580</v>
      </c>
      <c r="N508" s="55" t="s">
        <v>1429</v>
      </c>
      <c r="O508" s="55" t="s">
        <v>1429</v>
      </c>
      <c r="P508" s="56" t="s">
        <v>1429</v>
      </c>
      <c r="Q508" s="85"/>
      <c r="R508" s="85"/>
      <c r="S508" s="85"/>
      <c r="T508" s="85"/>
      <c r="U508" s="85"/>
      <c r="V508" s="146" t="s">
        <v>2906</v>
      </c>
      <c r="W508" s="51" t="s">
        <v>2611</v>
      </c>
      <c r="X508" s="130" t="s">
        <v>1429</v>
      </c>
      <c r="Y508" s="130" t="s">
        <v>1429</v>
      </c>
      <c r="Z508" s="51"/>
      <c r="AA508" s="51" t="s">
        <v>2612</v>
      </c>
      <c r="AB508" s="146"/>
      <c r="AC508" s="146" t="s">
        <v>1429</v>
      </c>
      <c r="AD508" s="98"/>
      <c r="AE508" s="83"/>
      <c r="AF508" s="83"/>
      <c r="AG508" s="83"/>
      <c r="AH508" s="86"/>
      <c r="AI508" s="86"/>
      <c r="AJ508" s="87"/>
      <c r="AK508" s="87"/>
      <c r="AL508" s="87"/>
      <c r="AM508" s="87"/>
      <c r="AN508" s="87"/>
      <c r="AO508" s="87"/>
      <c r="AP508" s="87"/>
      <c r="AQ508" s="229" t="s">
        <v>498</v>
      </c>
      <c r="AR508" s="5"/>
      <c r="AS508" s="5"/>
      <c r="AT508" s="5"/>
      <c r="AU508" s="5"/>
      <c r="AV508" s="5"/>
      <c r="AW508" s="5"/>
      <c r="AX508" s="284"/>
      <c r="AY508" s="5"/>
      <c r="AZ508" s="5"/>
      <c r="BA508" s="230"/>
      <c r="BB508" s="5"/>
      <c r="BC508" s="232" t="s">
        <v>3535</v>
      </c>
      <c r="BD508" s="257"/>
      <c r="BE508" s="249"/>
      <c r="BF508" s="249"/>
      <c r="BG508" s="249"/>
      <c r="BH508" s="249"/>
      <c r="BI508" s="249"/>
      <c r="BJ508" s="249"/>
      <c r="BK508" s="249"/>
      <c r="BL508" s="249"/>
      <c r="BM508" s="249"/>
      <c r="BN508" s="249"/>
      <c r="BO508" s="249"/>
      <c r="BP508" s="249"/>
      <c r="BQ508" s="249"/>
      <c r="BR508" s="249"/>
      <c r="BS508" s="249"/>
      <c r="BT508" s="249"/>
      <c r="BU508" s="249"/>
      <c r="BV508" s="249"/>
      <c r="BW508" s="249"/>
      <c r="BX508" s="249"/>
      <c r="BY508" s="249"/>
      <c r="BZ508" s="249"/>
      <c r="CA508" s="249"/>
      <c r="CB508" s="249"/>
      <c r="CC508" s="249"/>
      <c r="CD508" s="249"/>
      <c r="CE508" s="249"/>
    </row>
    <row r="509" spans="1:83" s="84" customFormat="1" ht="12.95" customHeight="1">
      <c r="A509" s="1"/>
      <c r="B509" s="1"/>
      <c r="C509" s="18" t="s">
        <v>499</v>
      </c>
      <c r="D509" s="52" t="s">
        <v>2902</v>
      </c>
      <c r="E509" s="52" t="s">
        <v>2907</v>
      </c>
      <c r="F509" s="53" t="s">
        <v>728</v>
      </c>
      <c r="G509" s="179" t="s">
        <v>1429</v>
      </c>
      <c r="H509" s="180" t="s">
        <v>499</v>
      </c>
      <c r="I509" s="55" t="s">
        <v>1429</v>
      </c>
      <c r="J509" s="55" t="s">
        <v>1429</v>
      </c>
      <c r="K509" s="56" t="s">
        <v>1429</v>
      </c>
      <c r="L509" s="54" t="s">
        <v>1429</v>
      </c>
      <c r="M509" s="55" t="s">
        <v>1580</v>
      </c>
      <c r="N509" s="55" t="s">
        <v>1429</v>
      </c>
      <c r="O509" s="55" t="s">
        <v>1429</v>
      </c>
      <c r="P509" s="56" t="s">
        <v>1429</v>
      </c>
      <c r="Q509" s="85"/>
      <c r="R509" s="85"/>
      <c r="S509" s="85"/>
      <c r="T509" s="85"/>
      <c r="U509" s="85"/>
      <c r="V509" s="146" t="s">
        <v>2908</v>
      </c>
      <c r="W509" s="51" t="s">
        <v>2611</v>
      </c>
      <c r="X509" s="130" t="s">
        <v>1429</v>
      </c>
      <c r="Y509" s="130" t="s">
        <v>1429</v>
      </c>
      <c r="Z509" s="51"/>
      <c r="AA509" s="51" t="s">
        <v>2612</v>
      </c>
      <c r="AB509" s="146"/>
      <c r="AC509" s="146" t="s">
        <v>1429</v>
      </c>
      <c r="AD509" s="98"/>
      <c r="AE509" s="83"/>
      <c r="AF509" s="83"/>
      <c r="AG509" s="83"/>
      <c r="AH509" s="86"/>
      <c r="AI509" s="86"/>
      <c r="AJ509" s="87"/>
      <c r="AK509" s="87"/>
      <c r="AL509" s="87"/>
      <c r="AM509" s="87"/>
      <c r="AN509" s="87"/>
      <c r="AO509" s="87"/>
      <c r="AP509" s="87"/>
      <c r="AQ509" s="229" t="s">
        <v>499</v>
      </c>
      <c r="AR509" s="5"/>
      <c r="AS509" s="5"/>
      <c r="AT509" s="5"/>
      <c r="AU509" s="5"/>
      <c r="AV509" s="5"/>
      <c r="AW509" s="5"/>
      <c r="AX509" s="284"/>
      <c r="AY509" s="5"/>
      <c r="AZ509" s="5"/>
      <c r="BA509" s="230"/>
      <c r="BB509" s="5"/>
      <c r="BC509" s="232" t="s">
        <v>3535</v>
      </c>
      <c r="BD509" s="257"/>
      <c r="BE509" s="249"/>
      <c r="BF509" s="249"/>
      <c r="BG509" s="249"/>
      <c r="BH509" s="249"/>
      <c r="BI509" s="249"/>
      <c r="BJ509" s="249"/>
      <c r="BK509" s="249"/>
      <c r="BL509" s="249"/>
      <c r="BM509" s="249"/>
      <c r="BN509" s="249"/>
      <c r="BO509" s="249"/>
      <c r="BP509" s="249"/>
      <c r="BQ509" s="249"/>
      <c r="BR509" s="249"/>
      <c r="BS509" s="249"/>
      <c r="BT509" s="249"/>
      <c r="BU509" s="249"/>
      <c r="BV509" s="249"/>
      <c r="BW509" s="249"/>
      <c r="BX509" s="249"/>
      <c r="BY509" s="249"/>
      <c r="BZ509" s="249"/>
      <c r="CA509" s="249"/>
      <c r="CB509" s="249"/>
      <c r="CC509" s="249"/>
      <c r="CD509" s="249"/>
      <c r="CE509" s="249"/>
    </row>
    <row r="510" spans="1:83" s="84" customFormat="1" ht="12.95" customHeight="1">
      <c r="A510" s="1"/>
      <c r="B510" s="1"/>
      <c r="C510" s="18" t="s">
        <v>500</v>
      </c>
      <c r="D510" s="52" t="s">
        <v>2909</v>
      </c>
      <c r="E510" s="52" t="s">
        <v>2904</v>
      </c>
      <c r="F510" s="53" t="s">
        <v>729</v>
      </c>
      <c r="G510" s="179" t="s">
        <v>1429</v>
      </c>
      <c r="H510" s="180" t="s">
        <v>500</v>
      </c>
      <c r="I510" s="55" t="s">
        <v>1429</v>
      </c>
      <c r="J510" s="55" t="s">
        <v>1429</v>
      </c>
      <c r="K510" s="56" t="s">
        <v>1429</v>
      </c>
      <c r="L510" s="54" t="s">
        <v>1429</v>
      </c>
      <c r="M510" s="55" t="s">
        <v>1580</v>
      </c>
      <c r="N510" s="55" t="s">
        <v>1429</v>
      </c>
      <c r="O510" s="55" t="s">
        <v>1429</v>
      </c>
      <c r="P510" s="56" t="s">
        <v>1429</v>
      </c>
      <c r="Q510" s="85"/>
      <c r="R510" s="85"/>
      <c r="S510" s="85"/>
      <c r="T510" s="85"/>
      <c r="U510" s="85"/>
      <c r="V510" s="146" t="s">
        <v>2910</v>
      </c>
      <c r="W510" s="51" t="s">
        <v>2611</v>
      </c>
      <c r="X510" s="130" t="s">
        <v>1429</v>
      </c>
      <c r="Y510" s="130" t="s">
        <v>1429</v>
      </c>
      <c r="Z510" s="51"/>
      <c r="AA510" s="51" t="s">
        <v>2612</v>
      </c>
      <c r="AB510" s="146"/>
      <c r="AC510" s="146" t="s">
        <v>1429</v>
      </c>
      <c r="AD510" s="98"/>
      <c r="AE510" s="83"/>
      <c r="AF510" s="83"/>
      <c r="AG510" s="83"/>
      <c r="AH510" s="86"/>
      <c r="AI510" s="86"/>
      <c r="AJ510" s="87"/>
      <c r="AK510" s="87"/>
      <c r="AL510" s="87"/>
      <c r="AM510" s="87"/>
      <c r="AN510" s="87"/>
      <c r="AO510" s="87"/>
      <c r="AP510" s="87"/>
      <c r="AQ510" s="229" t="s">
        <v>500</v>
      </c>
      <c r="AR510" s="5"/>
      <c r="AS510" s="5"/>
      <c r="AT510" s="5"/>
      <c r="AU510" s="5"/>
      <c r="AV510" s="5"/>
      <c r="AW510" s="5"/>
      <c r="AX510" s="284"/>
      <c r="AY510" s="5"/>
      <c r="AZ510" s="5"/>
      <c r="BA510" s="230"/>
      <c r="BB510" s="5"/>
      <c r="BC510" s="232" t="s">
        <v>3535</v>
      </c>
      <c r="BD510" s="257"/>
      <c r="BE510" s="249"/>
      <c r="BF510" s="249"/>
      <c r="BG510" s="249"/>
      <c r="BH510" s="249"/>
      <c r="BI510" s="249"/>
      <c r="BJ510" s="249"/>
      <c r="BK510" s="249"/>
      <c r="BL510" s="249"/>
      <c r="BM510" s="249"/>
      <c r="BN510" s="249"/>
      <c r="BO510" s="249"/>
      <c r="BP510" s="249"/>
      <c r="BQ510" s="249"/>
      <c r="BR510" s="249"/>
      <c r="BS510" s="249"/>
      <c r="BT510" s="249"/>
      <c r="BU510" s="249"/>
      <c r="BV510" s="249"/>
      <c r="BW510" s="249"/>
      <c r="BX510" s="249"/>
      <c r="BY510" s="249"/>
      <c r="BZ510" s="249"/>
      <c r="CA510" s="249"/>
      <c r="CB510" s="249"/>
      <c r="CC510" s="249"/>
      <c r="CD510" s="249"/>
      <c r="CE510" s="249"/>
    </row>
    <row r="511" spans="1:83" s="84" customFormat="1" ht="12.95" customHeight="1">
      <c r="A511" s="1"/>
      <c r="B511" s="1"/>
      <c r="C511" s="18" t="s">
        <v>501</v>
      </c>
      <c r="D511" s="52" t="s">
        <v>2911</v>
      </c>
      <c r="E511" s="52" t="s">
        <v>2901</v>
      </c>
      <c r="F511" s="53" t="s">
        <v>730</v>
      </c>
      <c r="G511" s="179" t="s">
        <v>1429</v>
      </c>
      <c r="H511" s="180" t="s">
        <v>501</v>
      </c>
      <c r="I511" s="55" t="s">
        <v>1429</v>
      </c>
      <c r="J511" s="55" t="s">
        <v>1429</v>
      </c>
      <c r="K511" s="56" t="s">
        <v>1429</v>
      </c>
      <c r="L511" s="54" t="s">
        <v>1429</v>
      </c>
      <c r="M511" s="55" t="s">
        <v>1580</v>
      </c>
      <c r="N511" s="55" t="s">
        <v>1429</v>
      </c>
      <c r="O511" s="55" t="s">
        <v>1429</v>
      </c>
      <c r="P511" s="56" t="s">
        <v>1429</v>
      </c>
      <c r="Q511" s="85"/>
      <c r="R511" s="85"/>
      <c r="S511" s="85"/>
      <c r="T511" s="85"/>
      <c r="U511" s="85"/>
      <c r="V511" s="146" t="s">
        <v>2912</v>
      </c>
      <c r="W511" s="51" t="s">
        <v>2611</v>
      </c>
      <c r="X511" s="130" t="s">
        <v>1429</v>
      </c>
      <c r="Y511" s="130" t="s">
        <v>1429</v>
      </c>
      <c r="Z511" s="51"/>
      <c r="AA511" s="51" t="s">
        <v>2612</v>
      </c>
      <c r="AB511" s="146"/>
      <c r="AC511" s="146" t="s">
        <v>1429</v>
      </c>
      <c r="AD511" s="98"/>
      <c r="AE511" s="83"/>
      <c r="AF511" s="83"/>
      <c r="AG511" s="83"/>
      <c r="AH511" s="86"/>
      <c r="AI511" s="86"/>
      <c r="AJ511" s="87"/>
      <c r="AK511" s="87"/>
      <c r="AL511" s="87"/>
      <c r="AM511" s="87"/>
      <c r="AN511" s="87"/>
      <c r="AO511" s="87"/>
      <c r="AP511" s="87"/>
      <c r="AQ511" s="229" t="s">
        <v>501</v>
      </c>
      <c r="AR511" s="5"/>
      <c r="AS511" s="5"/>
      <c r="AT511" s="5"/>
      <c r="AU511" s="5"/>
      <c r="AV511" s="5"/>
      <c r="AW511" s="5"/>
      <c r="AX511" s="284"/>
      <c r="AY511" s="5"/>
      <c r="AZ511" s="5"/>
      <c r="BA511" s="230"/>
      <c r="BB511" s="5"/>
      <c r="BC511" s="232" t="s">
        <v>3535</v>
      </c>
      <c r="BD511" s="257"/>
      <c r="BE511" s="249"/>
      <c r="BF511" s="249"/>
      <c r="BG511" s="249"/>
      <c r="BH511" s="249"/>
      <c r="BI511" s="249"/>
      <c r="BJ511" s="249"/>
      <c r="BK511" s="249"/>
      <c r="BL511" s="249"/>
      <c r="BM511" s="249"/>
      <c r="BN511" s="249"/>
      <c r="BO511" s="249"/>
      <c r="BP511" s="249"/>
      <c r="BQ511" s="249"/>
      <c r="BR511" s="249"/>
      <c r="BS511" s="249"/>
      <c r="BT511" s="249"/>
      <c r="BU511" s="249"/>
      <c r="BV511" s="249"/>
      <c r="BW511" s="249"/>
      <c r="BX511" s="249"/>
      <c r="BY511" s="249"/>
      <c r="BZ511" s="249"/>
      <c r="CA511" s="249"/>
      <c r="CB511" s="249"/>
      <c r="CC511" s="249"/>
      <c r="CD511" s="249"/>
      <c r="CE511" s="249"/>
    </row>
    <row r="512" spans="1:83" s="84" customFormat="1" ht="12.95" customHeight="1">
      <c r="A512" s="1"/>
      <c r="B512" s="1"/>
      <c r="C512" s="18" t="s">
        <v>502</v>
      </c>
      <c r="D512" s="52" t="s">
        <v>2913</v>
      </c>
      <c r="E512" s="52" t="s">
        <v>2896</v>
      </c>
      <c r="F512" s="53" t="s">
        <v>731</v>
      </c>
      <c r="G512" s="179" t="s">
        <v>1429</v>
      </c>
      <c r="H512" s="180" t="s">
        <v>502</v>
      </c>
      <c r="I512" s="55" t="s">
        <v>1429</v>
      </c>
      <c r="J512" s="55" t="s">
        <v>1429</v>
      </c>
      <c r="K512" s="56" t="s">
        <v>1429</v>
      </c>
      <c r="L512" s="54" t="s">
        <v>1429</v>
      </c>
      <c r="M512" s="55" t="s">
        <v>1580</v>
      </c>
      <c r="N512" s="55" t="s">
        <v>1429</v>
      </c>
      <c r="O512" s="55" t="s">
        <v>1429</v>
      </c>
      <c r="P512" s="56" t="s">
        <v>1429</v>
      </c>
      <c r="Q512" s="85"/>
      <c r="R512" s="85"/>
      <c r="S512" s="85"/>
      <c r="T512" s="85"/>
      <c r="U512" s="85"/>
      <c r="V512" s="146" t="s">
        <v>2914</v>
      </c>
      <c r="W512" s="51" t="s">
        <v>2611</v>
      </c>
      <c r="X512" s="130" t="s">
        <v>1429</v>
      </c>
      <c r="Y512" s="130" t="s">
        <v>1429</v>
      </c>
      <c r="Z512" s="51"/>
      <c r="AA512" s="51" t="s">
        <v>2612</v>
      </c>
      <c r="AB512" s="146"/>
      <c r="AC512" s="146" t="s">
        <v>1429</v>
      </c>
      <c r="AD512" s="98"/>
      <c r="AE512" s="83"/>
      <c r="AF512" s="83"/>
      <c r="AG512" s="83"/>
      <c r="AH512" s="86"/>
      <c r="AI512" s="86"/>
      <c r="AJ512" s="87"/>
      <c r="AK512" s="87"/>
      <c r="AL512" s="87"/>
      <c r="AM512" s="87"/>
      <c r="AN512" s="87"/>
      <c r="AO512" s="87"/>
      <c r="AP512" s="87"/>
      <c r="AQ512" s="229" t="s">
        <v>502</v>
      </c>
      <c r="AR512" s="5"/>
      <c r="AS512" s="5"/>
      <c r="AT512" s="5"/>
      <c r="AU512" s="5"/>
      <c r="AV512" s="5"/>
      <c r="AW512" s="5"/>
      <c r="AX512" s="284"/>
      <c r="AY512" s="5"/>
      <c r="AZ512" s="5"/>
      <c r="BA512" s="230"/>
      <c r="BB512" s="5"/>
      <c r="BC512" s="232" t="s">
        <v>3535</v>
      </c>
      <c r="BD512" s="257"/>
      <c r="BE512" s="249"/>
      <c r="BF512" s="249"/>
      <c r="BG512" s="249"/>
      <c r="BH512" s="249"/>
      <c r="BI512" s="249"/>
      <c r="BJ512" s="249"/>
      <c r="BK512" s="249"/>
      <c r="BL512" s="249"/>
      <c r="BM512" s="249"/>
      <c r="BN512" s="249"/>
      <c r="BO512" s="249"/>
      <c r="BP512" s="249"/>
      <c r="BQ512" s="249"/>
      <c r="BR512" s="249"/>
      <c r="BS512" s="249"/>
      <c r="BT512" s="249"/>
      <c r="BU512" s="249"/>
      <c r="BV512" s="249"/>
      <c r="BW512" s="249"/>
      <c r="BX512" s="249"/>
      <c r="BY512" s="249"/>
      <c r="BZ512" s="249"/>
      <c r="CA512" s="249"/>
      <c r="CB512" s="249"/>
      <c r="CC512" s="249"/>
      <c r="CD512" s="249"/>
      <c r="CE512" s="249"/>
    </row>
    <row r="513" spans="1:83" s="84" customFormat="1" ht="12.95" customHeight="1">
      <c r="A513" s="1"/>
      <c r="B513" s="1"/>
      <c r="C513" s="18" t="s">
        <v>503</v>
      </c>
      <c r="D513" s="52" t="s">
        <v>2915</v>
      </c>
      <c r="E513" s="52" t="s">
        <v>2916</v>
      </c>
      <c r="F513" s="53" t="s">
        <v>732</v>
      </c>
      <c r="G513" s="179" t="s">
        <v>1429</v>
      </c>
      <c r="H513" s="180" t="s">
        <v>503</v>
      </c>
      <c r="I513" s="55" t="s">
        <v>1429</v>
      </c>
      <c r="J513" s="55" t="s">
        <v>1429</v>
      </c>
      <c r="K513" s="56" t="s">
        <v>1429</v>
      </c>
      <c r="L513" s="54" t="s">
        <v>1429</v>
      </c>
      <c r="M513" s="55" t="s">
        <v>1580</v>
      </c>
      <c r="N513" s="55" t="s">
        <v>1429</v>
      </c>
      <c r="O513" s="55" t="s">
        <v>1429</v>
      </c>
      <c r="P513" s="56" t="s">
        <v>1429</v>
      </c>
      <c r="Q513" s="85"/>
      <c r="R513" s="85"/>
      <c r="S513" s="85"/>
      <c r="T513" s="85"/>
      <c r="U513" s="85"/>
      <c r="V513" s="146" t="s">
        <v>2917</v>
      </c>
      <c r="W513" s="51" t="s">
        <v>2611</v>
      </c>
      <c r="X513" s="130" t="s">
        <v>1429</v>
      </c>
      <c r="Y513" s="130" t="s">
        <v>1429</v>
      </c>
      <c r="Z513" s="51"/>
      <c r="AA513" s="51" t="s">
        <v>2612</v>
      </c>
      <c r="AB513" s="146"/>
      <c r="AC513" s="146" t="s">
        <v>1429</v>
      </c>
      <c r="AD513" s="98"/>
      <c r="AE513" s="83"/>
      <c r="AF513" s="83"/>
      <c r="AG513" s="83"/>
      <c r="AH513" s="86"/>
      <c r="AI513" s="86"/>
      <c r="AJ513" s="87"/>
      <c r="AK513" s="87"/>
      <c r="AL513" s="87"/>
      <c r="AM513" s="87"/>
      <c r="AN513" s="87"/>
      <c r="AO513" s="87"/>
      <c r="AP513" s="87"/>
      <c r="AQ513" s="229" t="s">
        <v>503</v>
      </c>
      <c r="AR513" s="5"/>
      <c r="AS513" s="5"/>
      <c r="AT513" s="5"/>
      <c r="AU513" s="5"/>
      <c r="AV513" s="5"/>
      <c r="AW513" s="5"/>
      <c r="AX513" s="284"/>
      <c r="AY513" s="5"/>
      <c r="AZ513" s="5"/>
      <c r="BA513" s="230"/>
      <c r="BB513" s="5"/>
      <c r="BC513" s="232" t="s">
        <v>3535</v>
      </c>
      <c r="BD513" s="257"/>
      <c r="BE513" s="249"/>
      <c r="BF513" s="249"/>
      <c r="BG513" s="249"/>
      <c r="BH513" s="249"/>
      <c r="BI513" s="249"/>
      <c r="BJ513" s="249"/>
      <c r="BK513" s="249"/>
      <c r="BL513" s="249"/>
      <c r="BM513" s="249"/>
      <c r="BN513" s="249"/>
      <c r="BO513" s="249"/>
      <c r="BP513" s="249"/>
      <c r="BQ513" s="249"/>
      <c r="BR513" s="249"/>
      <c r="BS513" s="249"/>
      <c r="BT513" s="249"/>
      <c r="BU513" s="249"/>
      <c r="BV513" s="249"/>
      <c r="BW513" s="249"/>
      <c r="BX513" s="249"/>
      <c r="BY513" s="249"/>
      <c r="BZ513" s="249"/>
      <c r="CA513" s="249"/>
      <c r="CB513" s="249"/>
      <c r="CC513" s="249"/>
      <c r="CD513" s="249"/>
      <c r="CE513" s="249"/>
    </row>
    <row r="514" spans="1:83" s="84" customFormat="1" ht="12.95" customHeight="1">
      <c r="A514" s="1"/>
      <c r="B514" s="1"/>
      <c r="C514" s="18" t="s">
        <v>504</v>
      </c>
      <c r="D514" s="52" t="s">
        <v>2265</v>
      </c>
      <c r="E514" s="52" t="s">
        <v>2889</v>
      </c>
      <c r="F514" s="53" t="s">
        <v>733</v>
      </c>
      <c r="G514" s="179" t="s">
        <v>1429</v>
      </c>
      <c r="H514" s="180" t="s">
        <v>504</v>
      </c>
      <c r="I514" s="55" t="s">
        <v>1429</v>
      </c>
      <c r="J514" s="55" t="s">
        <v>1429</v>
      </c>
      <c r="K514" s="56" t="s">
        <v>1429</v>
      </c>
      <c r="L514" s="54" t="s">
        <v>1429</v>
      </c>
      <c r="M514" s="55" t="s">
        <v>1580</v>
      </c>
      <c r="N514" s="55" t="s">
        <v>1429</v>
      </c>
      <c r="O514" s="55" t="s">
        <v>1429</v>
      </c>
      <c r="P514" s="56" t="s">
        <v>1429</v>
      </c>
      <c r="Q514" s="85"/>
      <c r="R514" s="85"/>
      <c r="S514" s="85"/>
      <c r="T514" s="85"/>
      <c r="U514" s="85"/>
      <c r="V514" s="146" t="s">
        <v>2918</v>
      </c>
      <c r="W514" s="51" t="s">
        <v>2611</v>
      </c>
      <c r="X514" s="130" t="s">
        <v>1429</v>
      </c>
      <c r="Y514" s="130" t="s">
        <v>1429</v>
      </c>
      <c r="Z514" s="51"/>
      <c r="AA514" s="51" t="s">
        <v>2612</v>
      </c>
      <c r="AB514" s="146"/>
      <c r="AC514" s="146" t="s">
        <v>1429</v>
      </c>
      <c r="AD514" s="98"/>
      <c r="AE514" s="83"/>
      <c r="AF514" s="83"/>
      <c r="AG514" s="83"/>
      <c r="AH514" s="86"/>
      <c r="AI514" s="86"/>
      <c r="AJ514" s="87"/>
      <c r="AK514" s="87"/>
      <c r="AL514" s="87"/>
      <c r="AM514" s="87"/>
      <c r="AN514" s="87"/>
      <c r="AO514" s="87"/>
      <c r="AP514" s="87"/>
      <c r="AQ514" s="229" t="s">
        <v>504</v>
      </c>
      <c r="AR514" s="5"/>
      <c r="AS514" s="5"/>
      <c r="AT514" s="5"/>
      <c r="AU514" s="5"/>
      <c r="AV514" s="5"/>
      <c r="AW514" s="5"/>
      <c r="AX514" s="284"/>
      <c r="AY514" s="5"/>
      <c r="AZ514" s="5"/>
      <c r="BA514" s="230"/>
      <c r="BB514" s="5"/>
      <c r="BC514" s="232" t="s">
        <v>3535</v>
      </c>
      <c r="BD514" s="257"/>
      <c r="BE514" s="249"/>
      <c r="BF514" s="249"/>
      <c r="BG514" s="249"/>
      <c r="BH514" s="249"/>
      <c r="BI514" s="249"/>
      <c r="BJ514" s="249"/>
      <c r="BK514" s="249"/>
      <c r="BL514" s="249"/>
      <c r="BM514" s="249"/>
      <c r="BN514" s="249"/>
      <c r="BO514" s="249"/>
      <c r="BP514" s="249"/>
      <c r="BQ514" s="249"/>
      <c r="BR514" s="249"/>
      <c r="BS514" s="249"/>
      <c r="BT514" s="249"/>
      <c r="BU514" s="249"/>
      <c r="BV514" s="249"/>
      <c r="BW514" s="249"/>
      <c r="BX514" s="249"/>
      <c r="BY514" s="249"/>
      <c r="BZ514" s="249"/>
      <c r="CA514" s="249"/>
      <c r="CB514" s="249"/>
      <c r="CC514" s="249"/>
      <c r="CD514" s="249"/>
      <c r="CE514" s="249"/>
    </row>
    <row r="515" spans="1:83" s="84" customFormat="1" ht="12.95" customHeight="1">
      <c r="A515" s="1"/>
      <c r="B515" s="1"/>
      <c r="C515" s="18" t="s">
        <v>505</v>
      </c>
      <c r="D515" s="52" t="s">
        <v>2275</v>
      </c>
      <c r="E515" s="52" t="s">
        <v>2909</v>
      </c>
      <c r="F515" s="53" t="s">
        <v>734</v>
      </c>
      <c r="G515" s="179" t="s">
        <v>1429</v>
      </c>
      <c r="H515" s="180" t="s">
        <v>505</v>
      </c>
      <c r="I515" s="55" t="s">
        <v>1429</v>
      </c>
      <c r="J515" s="55" t="s">
        <v>1429</v>
      </c>
      <c r="K515" s="56" t="s">
        <v>1429</v>
      </c>
      <c r="L515" s="54" t="s">
        <v>1429</v>
      </c>
      <c r="M515" s="55" t="s">
        <v>1580</v>
      </c>
      <c r="N515" s="55" t="s">
        <v>1429</v>
      </c>
      <c r="O515" s="55" t="s">
        <v>1429</v>
      </c>
      <c r="P515" s="56" t="s">
        <v>1429</v>
      </c>
      <c r="Q515" s="85"/>
      <c r="R515" s="85"/>
      <c r="S515" s="85"/>
      <c r="T515" s="85"/>
      <c r="U515" s="85"/>
      <c r="V515" s="146" t="s">
        <v>2919</v>
      </c>
      <c r="W515" s="51" t="s">
        <v>2611</v>
      </c>
      <c r="X515" s="130" t="s">
        <v>1429</v>
      </c>
      <c r="Y515" s="130" t="s">
        <v>1429</v>
      </c>
      <c r="Z515" s="51"/>
      <c r="AA515" s="51" t="s">
        <v>2612</v>
      </c>
      <c r="AB515" s="146"/>
      <c r="AC515" s="146" t="s">
        <v>1429</v>
      </c>
      <c r="AD515" s="98"/>
      <c r="AE515" s="83"/>
      <c r="AF515" s="83"/>
      <c r="AG515" s="83"/>
      <c r="AH515" s="86"/>
      <c r="AI515" s="86"/>
      <c r="AJ515" s="87"/>
      <c r="AK515" s="87"/>
      <c r="AL515" s="87"/>
      <c r="AM515" s="87"/>
      <c r="AN515" s="87"/>
      <c r="AO515" s="87"/>
      <c r="AP515" s="87"/>
      <c r="AQ515" s="229" t="s">
        <v>505</v>
      </c>
      <c r="AR515" s="5"/>
      <c r="AS515" s="5"/>
      <c r="AT515" s="5"/>
      <c r="AU515" s="5"/>
      <c r="AV515" s="5"/>
      <c r="AW515" s="5"/>
      <c r="AX515" s="284"/>
      <c r="AY515" s="5"/>
      <c r="AZ515" s="5"/>
      <c r="BA515" s="230"/>
      <c r="BB515" s="5"/>
      <c r="BC515" s="232" t="s">
        <v>3535</v>
      </c>
      <c r="BD515" s="257"/>
      <c r="BE515" s="249"/>
      <c r="BF515" s="249"/>
      <c r="BG515" s="249"/>
      <c r="BH515" s="249"/>
      <c r="BI515" s="249"/>
      <c r="BJ515" s="249"/>
      <c r="BK515" s="249"/>
      <c r="BL515" s="249"/>
      <c r="BM515" s="249"/>
      <c r="BN515" s="249"/>
      <c r="BO515" s="249"/>
      <c r="BP515" s="249"/>
      <c r="BQ515" s="249"/>
      <c r="BR515" s="249"/>
      <c r="BS515" s="249"/>
      <c r="BT515" s="249"/>
      <c r="BU515" s="249"/>
      <c r="BV515" s="249"/>
      <c r="BW515" s="249"/>
      <c r="BX515" s="249"/>
      <c r="BY515" s="249"/>
      <c r="BZ515" s="249"/>
      <c r="CA515" s="249"/>
      <c r="CB515" s="249"/>
      <c r="CC515" s="249"/>
      <c r="CD515" s="249"/>
      <c r="CE515" s="249"/>
    </row>
    <row r="516" spans="1:83" s="84" customFormat="1" ht="12.95" customHeight="1">
      <c r="A516" s="1"/>
      <c r="B516" s="1"/>
      <c r="C516" s="18" t="s">
        <v>506</v>
      </c>
      <c r="D516" s="52" t="s">
        <v>2252</v>
      </c>
      <c r="E516" s="52" t="s">
        <v>2911</v>
      </c>
      <c r="F516" s="53" t="s">
        <v>735</v>
      </c>
      <c r="G516" s="179" t="s">
        <v>1429</v>
      </c>
      <c r="H516" s="180" t="s">
        <v>506</v>
      </c>
      <c r="I516" s="55" t="s">
        <v>1429</v>
      </c>
      <c r="J516" s="55" t="s">
        <v>1429</v>
      </c>
      <c r="K516" s="56" t="s">
        <v>1429</v>
      </c>
      <c r="L516" s="54" t="s">
        <v>1429</v>
      </c>
      <c r="M516" s="55" t="s">
        <v>1580</v>
      </c>
      <c r="N516" s="55" t="s">
        <v>1429</v>
      </c>
      <c r="O516" s="55" t="s">
        <v>1429</v>
      </c>
      <c r="P516" s="56" t="s">
        <v>1429</v>
      </c>
      <c r="Q516" s="85"/>
      <c r="R516" s="85"/>
      <c r="S516" s="85"/>
      <c r="T516" s="85"/>
      <c r="U516" s="85"/>
      <c r="V516" s="146" t="s">
        <v>2920</v>
      </c>
      <c r="W516" s="51" t="s">
        <v>2611</v>
      </c>
      <c r="X516" s="130" t="s">
        <v>1429</v>
      </c>
      <c r="Y516" s="130" t="s">
        <v>1429</v>
      </c>
      <c r="Z516" s="51"/>
      <c r="AA516" s="51" t="s">
        <v>2612</v>
      </c>
      <c r="AB516" s="146"/>
      <c r="AC516" s="146" t="s">
        <v>1429</v>
      </c>
      <c r="AD516" s="98"/>
      <c r="AE516" s="83"/>
      <c r="AF516" s="83"/>
      <c r="AG516" s="83"/>
      <c r="AH516" s="86"/>
      <c r="AI516" s="86"/>
      <c r="AJ516" s="87"/>
      <c r="AK516" s="87"/>
      <c r="AL516" s="87"/>
      <c r="AM516" s="87"/>
      <c r="AN516" s="87"/>
      <c r="AO516" s="87"/>
      <c r="AP516" s="87"/>
      <c r="AQ516" s="229" t="s">
        <v>506</v>
      </c>
      <c r="AR516" s="5"/>
      <c r="AS516" s="5"/>
      <c r="AT516" s="5"/>
      <c r="AU516" s="5"/>
      <c r="AV516" s="5"/>
      <c r="AW516" s="5"/>
      <c r="AX516" s="284"/>
      <c r="AY516" s="5"/>
      <c r="AZ516" s="5"/>
      <c r="BA516" s="230"/>
      <c r="BB516" s="5"/>
      <c r="BC516" s="232" t="s">
        <v>3535</v>
      </c>
      <c r="BD516" s="257"/>
      <c r="BE516" s="249"/>
      <c r="BF516" s="249"/>
      <c r="BG516" s="249"/>
      <c r="BH516" s="249"/>
      <c r="BI516" s="249"/>
      <c r="BJ516" s="249"/>
      <c r="BK516" s="249"/>
      <c r="BL516" s="249"/>
      <c r="BM516" s="249"/>
      <c r="BN516" s="249"/>
      <c r="BO516" s="249"/>
      <c r="BP516" s="249"/>
      <c r="BQ516" s="249"/>
      <c r="BR516" s="249"/>
      <c r="BS516" s="249"/>
      <c r="BT516" s="249"/>
      <c r="BU516" s="249"/>
      <c r="BV516" s="249"/>
      <c r="BW516" s="249"/>
      <c r="BX516" s="249"/>
      <c r="BY516" s="249"/>
      <c r="BZ516" s="249"/>
      <c r="CA516" s="249"/>
      <c r="CB516" s="249"/>
      <c r="CC516" s="249"/>
      <c r="CD516" s="249"/>
      <c r="CE516" s="249"/>
    </row>
    <row r="517" spans="1:83" s="84" customFormat="1" ht="12.95" customHeight="1">
      <c r="A517" s="1"/>
      <c r="B517" s="1"/>
      <c r="C517" s="18" t="s">
        <v>507</v>
      </c>
      <c r="D517" s="52" t="s">
        <v>2271</v>
      </c>
      <c r="E517" s="52" t="s">
        <v>2915</v>
      </c>
      <c r="F517" s="53" t="s">
        <v>736</v>
      </c>
      <c r="G517" s="179" t="s">
        <v>1429</v>
      </c>
      <c r="H517" s="180" t="s">
        <v>507</v>
      </c>
      <c r="I517" s="55" t="s">
        <v>1429</v>
      </c>
      <c r="J517" s="55" t="s">
        <v>1429</v>
      </c>
      <c r="K517" s="56" t="s">
        <v>1429</v>
      </c>
      <c r="L517" s="54" t="s">
        <v>1429</v>
      </c>
      <c r="M517" s="55" t="s">
        <v>1580</v>
      </c>
      <c r="N517" s="55" t="s">
        <v>1429</v>
      </c>
      <c r="O517" s="55" t="s">
        <v>1429</v>
      </c>
      <c r="P517" s="56" t="s">
        <v>1429</v>
      </c>
      <c r="Q517" s="85"/>
      <c r="R517" s="85"/>
      <c r="S517" s="85"/>
      <c r="T517" s="85"/>
      <c r="U517" s="85"/>
      <c r="V517" s="146" t="s">
        <v>2921</v>
      </c>
      <c r="W517" s="51" t="s">
        <v>2611</v>
      </c>
      <c r="X517" s="130" t="s">
        <v>1429</v>
      </c>
      <c r="Y517" s="130" t="s">
        <v>1429</v>
      </c>
      <c r="Z517" s="51"/>
      <c r="AA517" s="51" t="s">
        <v>2612</v>
      </c>
      <c r="AB517" s="146"/>
      <c r="AC517" s="146" t="s">
        <v>1429</v>
      </c>
      <c r="AD517" s="98"/>
      <c r="AE517" s="83"/>
      <c r="AF517" s="83"/>
      <c r="AG517" s="83"/>
      <c r="AH517" s="86"/>
      <c r="AI517" s="86"/>
      <c r="AJ517" s="87"/>
      <c r="AK517" s="87"/>
      <c r="AL517" s="87"/>
      <c r="AM517" s="87"/>
      <c r="AN517" s="87"/>
      <c r="AO517" s="87"/>
      <c r="AP517" s="87"/>
      <c r="AQ517" s="229" t="s">
        <v>507</v>
      </c>
      <c r="AR517" s="5"/>
      <c r="AS517" s="5"/>
      <c r="AT517" s="5"/>
      <c r="AU517" s="5"/>
      <c r="AV517" s="5"/>
      <c r="AW517" s="5"/>
      <c r="AX517" s="284"/>
      <c r="AY517" s="5"/>
      <c r="AZ517" s="5"/>
      <c r="BA517" s="230"/>
      <c r="BB517" s="5"/>
      <c r="BC517" s="232" t="s">
        <v>3535</v>
      </c>
      <c r="BD517" s="257"/>
      <c r="BE517" s="249"/>
      <c r="BF517" s="249"/>
      <c r="BG517" s="249"/>
      <c r="BH517" s="249"/>
      <c r="BI517" s="249"/>
      <c r="BJ517" s="249"/>
      <c r="BK517" s="249"/>
      <c r="BL517" s="249"/>
      <c r="BM517" s="249"/>
      <c r="BN517" s="249"/>
      <c r="BO517" s="249"/>
      <c r="BP517" s="249"/>
      <c r="BQ517" s="249"/>
      <c r="BR517" s="249"/>
      <c r="BS517" s="249"/>
      <c r="BT517" s="249"/>
      <c r="BU517" s="249"/>
      <c r="BV517" s="249"/>
      <c r="BW517" s="249"/>
      <c r="BX517" s="249"/>
      <c r="BY517" s="249"/>
      <c r="BZ517" s="249"/>
      <c r="CA517" s="249"/>
      <c r="CB517" s="249"/>
      <c r="CC517" s="249"/>
      <c r="CD517" s="249"/>
      <c r="CE517" s="249"/>
    </row>
    <row r="518" spans="1:83" s="84" customFormat="1" ht="12.95" customHeight="1">
      <c r="A518" s="1"/>
      <c r="B518" s="1"/>
      <c r="C518" s="18" t="s">
        <v>508</v>
      </c>
      <c r="D518" s="52" t="s">
        <v>2255</v>
      </c>
      <c r="E518" s="52" t="s">
        <v>2922</v>
      </c>
      <c r="F518" s="53" t="s">
        <v>737</v>
      </c>
      <c r="G518" s="179" t="s">
        <v>1429</v>
      </c>
      <c r="H518" s="180" t="s">
        <v>508</v>
      </c>
      <c r="I518" s="55" t="s">
        <v>1429</v>
      </c>
      <c r="J518" s="55" t="s">
        <v>1429</v>
      </c>
      <c r="K518" s="56" t="s">
        <v>1429</v>
      </c>
      <c r="L518" s="54" t="s">
        <v>1429</v>
      </c>
      <c r="M518" s="55" t="s">
        <v>1580</v>
      </c>
      <c r="N518" s="55" t="s">
        <v>1429</v>
      </c>
      <c r="O518" s="55" t="s">
        <v>1429</v>
      </c>
      <c r="P518" s="56" t="s">
        <v>1429</v>
      </c>
      <c r="Q518" s="85"/>
      <c r="R518" s="85"/>
      <c r="S518" s="85"/>
      <c r="T518" s="85"/>
      <c r="U518" s="85"/>
      <c r="V518" s="146" t="s">
        <v>2923</v>
      </c>
      <c r="W518" s="51" t="s">
        <v>2611</v>
      </c>
      <c r="X518" s="130" t="s">
        <v>1429</v>
      </c>
      <c r="Y518" s="130" t="s">
        <v>1429</v>
      </c>
      <c r="Z518" s="51"/>
      <c r="AA518" s="51" t="s">
        <v>2612</v>
      </c>
      <c r="AB518" s="146"/>
      <c r="AC518" s="146" t="s">
        <v>1429</v>
      </c>
      <c r="AD518" s="98"/>
      <c r="AE518" s="83"/>
      <c r="AF518" s="83"/>
      <c r="AG518" s="83"/>
      <c r="AH518" s="86"/>
      <c r="AI518" s="86"/>
      <c r="AJ518" s="87"/>
      <c r="AK518" s="87"/>
      <c r="AL518" s="87"/>
      <c r="AM518" s="87"/>
      <c r="AN518" s="87"/>
      <c r="AO518" s="87"/>
      <c r="AP518" s="87"/>
      <c r="AQ518" s="229" t="s">
        <v>508</v>
      </c>
      <c r="AR518" s="5"/>
      <c r="AS518" s="5"/>
      <c r="AT518" s="5"/>
      <c r="AU518" s="5"/>
      <c r="AV518" s="5"/>
      <c r="AW518" s="5"/>
      <c r="AX518" s="284"/>
      <c r="AY518" s="5"/>
      <c r="AZ518" s="5"/>
      <c r="BA518" s="230"/>
      <c r="BB518" s="5"/>
      <c r="BC518" s="232" t="s">
        <v>3535</v>
      </c>
      <c r="BD518" s="257"/>
      <c r="BE518" s="249"/>
      <c r="BF518" s="249"/>
      <c r="BG518" s="249"/>
      <c r="BH518" s="249"/>
      <c r="BI518" s="249"/>
      <c r="BJ518" s="249"/>
      <c r="BK518" s="249"/>
      <c r="BL518" s="249"/>
      <c r="BM518" s="249"/>
      <c r="BN518" s="249"/>
      <c r="BO518" s="249"/>
      <c r="BP518" s="249"/>
      <c r="BQ518" s="249"/>
      <c r="BR518" s="249"/>
      <c r="BS518" s="249"/>
      <c r="BT518" s="249"/>
      <c r="BU518" s="249"/>
      <c r="BV518" s="249"/>
      <c r="BW518" s="249"/>
      <c r="BX518" s="249"/>
      <c r="BY518" s="249"/>
      <c r="BZ518" s="249"/>
      <c r="CA518" s="249"/>
      <c r="CB518" s="249"/>
      <c r="CC518" s="249"/>
      <c r="CD518" s="249"/>
      <c r="CE518" s="249"/>
    </row>
    <row r="519" spans="1:83" s="84" customFormat="1" ht="12.95" customHeight="1">
      <c r="A519" s="1"/>
      <c r="B519" s="1"/>
      <c r="C519" s="21" t="s">
        <v>509</v>
      </c>
      <c r="D519" s="52" t="s">
        <v>2924</v>
      </c>
      <c r="E519" s="52" t="s">
        <v>2898</v>
      </c>
      <c r="F519" s="53" t="s">
        <v>738</v>
      </c>
      <c r="G519" s="179" t="s">
        <v>1429</v>
      </c>
      <c r="H519" s="180" t="s">
        <v>509</v>
      </c>
      <c r="I519" s="55" t="s">
        <v>1429</v>
      </c>
      <c r="J519" s="55" t="s">
        <v>1429</v>
      </c>
      <c r="K519" s="56" t="s">
        <v>1429</v>
      </c>
      <c r="L519" s="54" t="s">
        <v>1429</v>
      </c>
      <c r="M519" s="55" t="s">
        <v>1580</v>
      </c>
      <c r="N519" s="55" t="s">
        <v>1429</v>
      </c>
      <c r="O519" s="55" t="s">
        <v>1429</v>
      </c>
      <c r="P519" s="56" t="s">
        <v>1429</v>
      </c>
      <c r="Q519" s="85"/>
      <c r="R519" s="85"/>
      <c r="S519" s="85"/>
      <c r="T519" s="85"/>
      <c r="U519" s="85"/>
      <c r="V519" s="146" t="s">
        <v>2925</v>
      </c>
      <c r="W519" s="51" t="s">
        <v>2611</v>
      </c>
      <c r="X519" s="130" t="s">
        <v>1429</v>
      </c>
      <c r="Y519" s="130" t="s">
        <v>1429</v>
      </c>
      <c r="Z519" s="51"/>
      <c r="AA519" s="51" t="s">
        <v>2612</v>
      </c>
      <c r="AB519" s="146"/>
      <c r="AC519" s="146" t="s">
        <v>1429</v>
      </c>
      <c r="AD519" s="98"/>
      <c r="AE519" s="83"/>
      <c r="AF519" s="83"/>
      <c r="AG519" s="83"/>
      <c r="AH519" s="86"/>
      <c r="AI519" s="86"/>
      <c r="AJ519" s="87"/>
      <c r="AK519" s="87"/>
      <c r="AL519" s="87"/>
      <c r="AM519" s="87"/>
      <c r="AN519" s="87"/>
      <c r="AO519" s="87"/>
      <c r="AP519" s="87"/>
      <c r="AQ519" s="229" t="s">
        <v>509</v>
      </c>
      <c r="AR519" s="5"/>
      <c r="AS519" s="5"/>
      <c r="AT519" s="5"/>
      <c r="AU519" s="5"/>
      <c r="AV519" s="5"/>
      <c r="AW519" s="5"/>
      <c r="AX519" s="284"/>
      <c r="AY519" s="5"/>
      <c r="AZ519" s="5"/>
      <c r="BA519" s="230"/>
      <c r="BB519" s="5"/>
      <c r="BC519" s="232" t="s">
        <v>3535</v>
      </c>
      <c r="BD519" s="257"/>
      <c r="BE519" s="249"/>
      <c r="BF519" s="249"/>
      <c r="BG519" s="249"/>
      <c r="BH519" s="249"/>
      <c r="BI519" s="249"/>
      <c r="BJ519" s="249"/>
      <c r="BK519" s="249"/>
      <c r="BL519" s="249"/>
      <c r="BM519" s="249"/>
      <c r="BN519" s="249"/>
      <c r="BO519" s="249"/>
      <c r="BP519" s="249"/>
      <c r="BQ519" s="249"/>
      <c r="BR519" s="249"/>
      <c r="BS519" s="249"/>
      <c r="BT519" s="249"/>
      <c r="BU519" s="249"/>
      <c r="BV519" s="249"/>
      <c r="BW519" s="249"/>
      <c r="BX519" s="249"/>
      <c r="BY519" s="249"/>
      <c r="BZ519" s="249"/>
      <c r="CA519" s="249"/>
      <c r="CB519" s="249"/>
      <c r="CC519" s="249"/>
      <c r="CD519" s="249"/>
      <c r="CE519" s="249"/>
    </row>
    <row r="520" spans="1:83" s="84" customFormat="1" ht="12.95" customHeight="1">
      <c r="A520" s="1"/>
      <c r="B520" s="1"/>
      <c r="C520" s="21" t="s">
        <v>510</v>
      </c>
      <c r="D520" s="52" t="s">
        <v>2236</v>
      </c>
      <c r="E520" s="52" t="s">
        <v>2894</v>
      </c>
      <c r="F520" s="53" t="s">
        <v>739</v>
      </c>
      <c r="G520" s="179" t="s">
        <v>1429</v>
      </c>
      <c r="H520" s="180" t="s">
        <v>510</v>
      </c>
      <c r="I520" s="55" t="s">
        <v>1429</v>
      </c>
      <c r="J520" s="55" t="s">
        <v>1429</v>
      </c>
      <c r="K520" s="56" t="s">
        <v>1429</v>
      </c>
      <c r="L520" s="54" t="s">
        <v>1429</v>
      </c>
      <c r="M520" s="55" t="s">
        <v>1580</v>
      </c>
      <c r="N520" s="55" t="s">
        <v>1429</v>
      </c>
      <c r="O520" s="55" t="s">
        <v>1429</v>
      </c>
      <c r="P520" s="56" t="s">
        <v>1429</v>
      </c>
      <c r="Q520" s="85"/>
      <c r="R520" s="85"/>
      <c r="S520" s="85"/>
      <c r="T520" s="85"/>
      <c r="U520" s="85"/>
      <c r="V520" s="146" t="s">
        <v>2926</v>
      </c>
      <c r="W520" s="51" t="s">
        <v>2611</v>
      </c>
      <c r="X520" s="130" t="s">
        <v>1429</v>
      </c>
      <c r="Y520" s="130" t="s">
        <v>1429</v>
      </c>
      <c r="Z520" s="51"/>
      <c r="AA520" s="51" t="s">
        <v>2612</v>
      </c>
      <c r="AB520" s="146"/>
      <c r="AC520" s="146" t="s">
        <v>1429</v>
      </c>
      <c r="AD520" s="98"/>
      <c r="AE520" s="83"/>
      <c r="AF520" s="83"/>
      <c r="AG520" s="83"/>
      <c r="AH520" s="86"/>
      <c r="AI520" s="86"/>
      <c r="AJ520" s="87"/>
      <c r="AK520" s="87"/>
      <c r="AL520" s="87"/>
      <c r="AM520" s="87"/>
      <c r="AN520" s="87"/>
      <c r="AO520" s="87"/>
      <c r="AP520" s="87"/>
      <c r="AQ520" s="229" t="s">
        <v>510</v>
      </c>
      <c r="AR520" s="5"/>
      <c r="AS520" s="5"/>
      <c r="AT520" s="5"/>
      <c r="AU520" s="5"/>
      <c r="AV520" s="5"/>
      <c r="AW520" s="5"/>
      <c r="AX520" s="284"/>
      <c r="AY520" s="5"/>
      <c r="AZ520" s="5"/>
      <c r="BA520" s="230"/>
      <c r="BB520" s="5"/>
      <c r="BC520" s="232" t="s">
        <v>3535</v>
      </c>
      <c r="BD520" s="257"/>
      <c r="BE520" s="249"/>
      <c r="BF520" s="249"/>
      <c r="BG520" s="249"/>
      <c r="BH520" s="249"/>
      <c r="BI520" s="249"/>
      <c r="BJ520" s="249"/>
      <c r="BK520" s="249"/>
      <c r="BL520" s="249"/>
      <c r="BM520" s="249"/>
      <c r="BN520" s="249"/>
      <c r="BO520" s="249"/>
      <c r="BP520" s="249"/>
      <c r="BQ520" s="249"/>
      <c r="BR520" s="249"/>
      <c r="BS520" s="249"/>
      <c r="BT520" s="249"/>
      <c r="BU520" s="249"/>
      <c r="BV520" s="249"/>
      <c r="BW520" s="249"/>
      <c r="BX520" s="249"/>
      <c r="BY520" s="249"/>
      <c r="BZ520" s="249"/>
      <c r="CA520" s="249"/>
      <c r="CB520" s="249"/>
      <c r="CC520" s="249"/>
      <c r="CD520" s="249"/>
      <c r="CE520" s="249"/>
    </row>
    <row r="521" spans="1:83" s="84" customFormat="1" ht="12.95" customHeight="1">
      <c r="A521" s="1"/>
      <c r="B521" s="1"/>
      <c r="C521" s="195" t="s">
        <v>1436</v>
      </c>
      <c r="D521" s="52" t="s">
        <v>2242</v>
      </c>
      <c r="E521" s="52" t="s">
        <v>2924</v>
      </c>
      <c r="F521" s="53" t="s">
        <v>2927</v>
      </c>
      <c r="G521" s="179" t="s">
        <v>1429</v>
      </c>
      <c r="H521" s="180" t="s">
        <v>1436</v>
      </c>
      <c r="I521" s="55" t="s">
        <v>1429</v>
      </c>
      <c r="J521" s="55" t="s">
        <v>1429</v>
      </c>
      <c r="K521" s="56" t="s">
        <v>1429</v>
      </c>
      <c r="L521" s="54" t="s">
        <v>1429</v>
      </c>
      <c r="M521" s="55" t="s">
        <v>1580</v>
      </c>
      <c r="N521" s="55" t="s">
        <v>1429</v>
      </c>
      <c r="O521" s="55" t="s">
        <v>1429</v>
      </c>
      <c r="P521" s="56" t="s">
        <v>1429</v>
      </c>
      <c r="Q521" s="85"/>
      <c r="R521" s="85"/>
      <c r="S521" s="85"/>
      <c r="T521" s="85"/>
      <c r="U521" s="85"/>
      <c r="V521" s="146" t="s">
        <v>2928</v>
      </c>
      <c r="W521" s="51" t="s">
        <v>2611</v>
      </c>
      <c r="X521" s="130" t="s">
        <v>1429</v>
      </c>
      <c r="Y521" s="130" t="s">
        <v>1429</v>
      </c>
      <c r="Z521" s="51"/>
      <c r="AA521" s="51" t="s">
        <v>2612</v>
      </c>
      <c r="AB521" s="146"/>
      <c r="AC521" s="146">
        <v>0</v>
      </c>
      <c r="AD521" s="98"/>
      <c r="AE521" s="83"/>
      <c r="AF521" s="83"/>
      <c r="AG521" s="83"/>
      <c r="AH521" s="86"/>
      <c r="AI521" s="86"/>
      <c r="AJ521" s="87"/>
      <c r="AK521" s="87"/>
      <c r="AL521" s="87"/>
      <c r="AM521" s="87"/>
      <c r="AN521" s="87"/>
      <c r="AO521" s="87"/>
      <c r="AP521" s="87"/>
      <c r="AQ521" s="229" t="s">
        <v>1436</v>
      </c>
      <c r="AR521" s="5"/>
      <c r="AS521" s="5"/>
      <c r="AT521" s="5"/>
      <c r="AU521" s="5"/>
      <c r="AV521" s="5"/>
      <c r="AW521" s="5"/>
      <c r="AX521" s="284"/>
      <c r="AY521" s="5"/>
      <c r="AZ521" s="5"/>
      <c r="BA521" s="230"/>
      <c r="BB521" s="5"/>
      <c r="BC521" s="232" t="s">
        <v>3535</v>
      </c>
      <c r="BD521" s="257"/>
      <c r="BE521" s="249"/>
      <c r="BF521" s="249"/>
      <c r="BG521" s="249"/>
      <c r="BH521" s="249"/>
      <c r="BI521" s="249"/>
      <c r="BJ521" s="249"/>
      <c r="BK521" s="249"/>
      <c r="BL521" s="249"/>
      <c r="BM521" s="249"/>
      <c r="BN521" s="249"/>
      <c r="BO521" s="249"/>
      <c r="BP521" s="249"/>
      <c r="BQ521" s="249"/>
      <c r="BR521" s="249"/>
      <c r="BS521" s="249"/>
      <c r="BT521" s="249"/>
      <c r="BU521" s="249"/>
      <c r="BV521" s="249"/>
      <c r="BW521" s="249"/>
      <c r="BX521" s="249"/>
      <c r="BY521" s="249"/>
      <c r="BZ521" s="249"/>
      <c r="CA521" s="249"/>
      <c r="CB521" s="249"/>
      <c r="CC521" s="249"/>
      <c r="CD521" s="249"/>
      <c r="CE521" s="249"/>
    </row>
    <row r="522" spans="1:83" s="94" customFormat="1" ht="18" customHeight="1">
      <c r="A522" s="88" t="s">
        <v>767</v>
      </c>
      <c r="B522" s="88"/>
      <c r="C522" s="88"/>
      <c r="D522" s="89"/>
      <c r="E522" s="89"/>
      <c r="F522" s="89"/>
      <c r="G522" s="90"/>
      <c r="H522" s="90"/>
      <c r="I522" s="90"/>
      <c r="J522" s="90"/>
      <c r="K522" s="90"/>
      <c r="L522" s="89"/>
      <c r="M522" s="89"/>
      <c r="N522" s="89"/>
      <c r="O522" s="89"/>
      <c r="P522" s="89"/>
      <c r="Q522" s="89"/>
      <c r="R522" s="89"/>
      <c r="S522" s="89"/>
      <c r="T522" s="89"/>
      <c r="U522" s="89"/>
      <c r="V522" s="89"/>
      <c r="W522" s="89"/>
      <c r="X522" s="134"/>
      <c r="Y522" s="134"/>
      <c r="Z522" s="91"/>
      <c r="AA522" s="91"/>
      <c r="AB522" s="91"/>
      <c r="AC522" s="91"/>
      <c r="AD522" s="91"/>
      <c r="AE522" s="91"/>
      <c r="AF522" s="91"/>
      <c r="AG522" s="91"/>
      <c r="AH522" s="91"/>
      <c r="AI522" s="91"/>
      <c r="AJ522" s="91"/>
      <c r="AK522" s="91"/>
      <c r="AL522" s="91"/>
      <c r="AM522" s="91"/>
      <c r="AN522" s="91"/>
      <c r="AO522" s="91"/>
      <c r="AP522" s="91"/>
      <c r="AQ522" s="251"/>
      <c r="AR522" s="251"/>
      <c r="AS522" s="252"/>
      <c r="AT522" s="252"/>
      <c r="AU522" s="252"/>
      <c r="AV522" s="252"/>
      <c r="AW522" s="252"/>
      <c r="AX522" s="291"/>
      <c r="AY522" s="252"/>
      <c r="AZ522" s="252"/>
      <c r="BA522" s="252"/>
      <c r="BB522" s="168" t="s">
        <v>512</v>
      </c>
      <c r="BC522" s="253"/>
      <c r="BD522" s="253"/>
      <c r="BE522" s="254"/>
      <c r="BF522" s="254"/>
      <c r="BG522" s="254"/>
      <c r="BH522" s="254"/>
      <c r="BI522" s="254"/>
      <c r="BJ522" s="254"/>
      <c r="BK522" s="254"/>
      <c r="BL522" s="254"/>
      <c r="BM522" s="254"/>
      <c r="BN522" s="254"/>
      <c r="BO522" s="254"/>
      <c r="BP522" s="254"/>
      <c r="BQ522" s="254"/>
      <c r="BR522" s="254"/>
      <c r="BS522" s="254"/>
      <c r="BT522" s="254"/>
      <c r="BU522" s="254"/>
      <c r="BV522" s="254"/>
      <c r="BW522" s="254"/>
      <c r="BX522" s="254"/>
      <c r="BY522" s="254"/>
      <c r="BZ522" s="254"/>
      <c r="CA522" s="254"/>
      <c r="CB522" s="254"/>
      <c r="CC522" s="254"/>
      <c r="CD522" s="254"/>
      <c r="CE522" s="254"/>
    </row>
    <row r="523" spans="1:83" s="84" customFormat="1" ht="12.95" customHeight="1">
      <c r="A523" s="1"/>
      <c r="B523" s="1"/>
      <c r="C523" s="18" t="s">
        <v>768</v>
      </c>
      <c r="D523" s="52" t="s">
        <v>2929</v>
      </c>
      <c r="E523" s="52" t="s">
        <v>2930</v>
      </c>
      <c r="F523" s="53" t="s">
        <v>1062</v>
      </c>
      <c r="G523" s="179" t="s">
        <v>1429</v>
      </c>
      <c r="H523" s="180" t="s">
        <v>768</v>
      </c>
      <c r="I523" s="55" t="s">
        <v>1429</v>
      </c>
      <c r="J523" s="55" t="s">
        <v>1429</v>
      </c>
      <c r="K523" s="56" t="s">
        <v>1429</v>
      </c>
      <c r="L523" s="54" t="s">
        <v>1429</v>
      </c>
      <c r="M523" s="55" t="s">
        <v>1580</v>
      </c>
      <c r="N523" s="55" t="s">
        <v>1429</v>
      </c>
      <c r="O523" s="55" t="s">
        <v>1429</v>
      </c>
      <c r="P523" s="56" t="s">
        <v>1429</v>
      </c>
      <c r="Q523" s="85"/>
      <c r="R523" s="85"/>
      <c r="S523" s="85"/>
      <c r="T523" s="85"/>
      <c r="U523" s="85"/>
      <c r="V523" s="146" t="s">
        <v>2931</v>
      </c>
      <c r="W523" s="51" t="s">
        <v>2932</v>
      </c>
      <c r="X523" s="130" t="s">
        <v>1429</v>
      </c>
      <c r="Y523" s="130" t="s">
        <v>1429</v>
      </c>
      <c r="Z523" s="51"/>
      <c r="AA523" s="51" t="s">
        <v>2612</v>
      </c>
      <c r="AB523" s="146"/>
      <c r="AC523" s="146" t="s">
        <v>1429</v>
      </c>
      <c r="AD523" s="95"/>
      <c r="AE523" s="96"/>
      <c r="AF523" s="96"/>
      <c r="AG523" s="96"/>
      <c r="AH523" s="97"/>
      <c r="AI523" s="86"/>
      <c r="AJ523" s="87"/>
      <c r="AK523" s="87"/>
      <c r="AL523" s="87"/>
      <c r="AM523" s="87"/>
      <c r="AN523" s="87"/>
      <c r="AO523" s="87"/>
      <c r="AP523" s="87"/>
      <c r="AQ523" s="229" t="s">
        <v>768</v>
      </c>
      <c r="AR523" s="5"/>
      <c r="AS523" s="5"/>
      <c r="AT523" s="5"/>
      <c r="AU523" s="5"/>
      <c r="AV523" s="5"/>
      <c r="AW523" s="5"/>
      <c r="AX523" s="284"/>
      <c r="AY523" s="5"/>
      <c r="AZ523" s="5"/>
      <c r="BA523" s="230"/>
      <c r="BB523" s="215"/>
      <c r="BC523" s="231" t="s">
        <v>3536</v>
      </c>
      <c r="BD523" s="256"/>
      <c r="BE523" s="249"/>
      <c r="BF523" s="249"/>
      <c r="BG523" s="249"/>
      <c r="BH523" s="249"/>
      <c r="BI523" s="249"/>
      <c r="BJ523" s="249"/>
      <c r="BK523" s="249"/>
      <c r="BL523" s="249"/>
      <c r="BM523" s="249"/>
      <c r="BN523" s="249"/>
      <c r="BO523" s="249"/>
      <c r="BP523" s="249"/>
      <c r="BQ523" s="249"/>
      <c r="BR523" s="249"/>
      <c r="BS523" s="249"/>
      <c r="BT523" s="249"/>
      <c r="BU523" s="249"/>
      <c r="BV523" s="249"/>
      <c r="BW523" s="249"/>
      <c r="BX523" s="249"/>
      <c r="BY523" s="249"/>
      <c r="BZ523" s="249"/>
      <c r="CA523" s="249"/>
      <c r="CB523" s="249"/>
      <c r="CC523" s="249"/>
      <c r="CD523" s="249"/>
      <c r="CE523" s="249"/>
    </row>
    <row r="524" spans="1:83" s="84" customFormat="1" ht="12.95" customHeight="1">
      <c r="A524" s="1"/>
      <c r="B524" s="1"/>
      <c r="C524" s="18" t="s">
        <v>769</v>
      </c>
      <c r="D524" s="52" t="s">
        <v>2933</v>
      </c>
      <c r="E524" s="52" t="s">
        <v>2933</v>
      </c>
      <c r="F524" s="53" t="s">
        <v>1063</v>
      </c>
      <c r="G524" s="179" t="s">
        <v>1429</v>
      </c>
      <c r="H524" s="180" t="s">
        <v>769</v>
      </c>
      <c r="I524" s="55" t="s">
        <v>1429</v>
      </c>
      <c r="J524" s="55" t="s">
        <v>1429</v>
      </c>
      <c r="K524" s="56" t="s">
        <v>1429</v>
      </c>
      <c r="L524" s="54" t="s">
        <v>1429</v>
      </c>
      <c r="M524" s="55" t="s">
        <v>1580</v>
      </c>
      <c r="N524" s="55" t="s">
        <v>1429</v>
      </c>
      <c r="O524" s="55" t="s">
        <v>1429</v>
      </c>
      <c r="P524" s="56" t="s">
        <v>1429</v>
      </c>
      <c r="Q524" s="85"/>
      <c r="R524" s="85"/>
      <c r="S524" s="85"/>
      <c r="T524" s="85"/>
      <c r="U524" s="85"/>
      <c r="V524" s="146" t="s">
        <v>2934</v>
      </c>
      <c r="W524" s="51" t="s">
        <v>2932</v>
      </c>
      <c r="X524" s="130" t="s">
        <v>1429</v>
      </c>
      <c r="Y524" s="130" t="s">
        <v>1429</v>
      </c>
      <c r="Z524" s="51"/>
      <c r="AA524" s="51" t="s">
        <v>2612</v>
      </c>
      <c r="AB524" s="146"/>
      <c r="AC524" s="146" t="s">
        <v>1429</v>
      </c>
      <c r="AD524" s="98"/>
      <c r="AE524" s="83"/>
      <c r="AF524" s="83"/>
      <c r="AG524" s="83"/>
      <c r="AH524" s="86"/>
      <c r="AI524" s="86"/>
      <c r="AJ524" s="87"/>
      <c r="AK524" s="87"/>
      <c r="AL524" s="87"/>
      <c r="AM524" s="87"/>
      <c r="AN524" s="87"/>
      <c r="AO524" s="87"/>
      <c r="AP524" s="87"/>
      <c r="AQ524" s="229" t="s">
        <v>769</v>
      </c>
      <c r="AR524" s="5"/>
      <c r="AS524" s="5"/>
      <c r="AT524" s="5"/>
      <c r="AU524" s="5"/>
      <c r="AV524" s="5"/>
      <c r="AW524" s="5"/>
      <c r="AX524" s="284"/>
      <c r="AY524" s="5"/>
      <c r="AZ524" s="5"/>
      <c r="BA524" s="230"/>
      <c r="BB524" s="5"/>
      <c r="BC524" s="232" t="s">
        <v>3536</v>
      </c>
      <c r="BD524" s="257"/>
      <c r="BE524" s="249"/>
      <c r="BF524" s="249"/>
      <c r="BG524" s="249"/>
      <c r="BH524" s="249"/>
      <c r="BI524" s="249"/>
      <c r="BJ524" s="249"/>
      <c r="BK524" s="249"/>
      <c r="BL524" s="249"/>
      <c r="BM524" s="249"/>
      <c r="BN524" s="249"/>
      <c r="BO524" s="249"/>
      <c r="BP524" s="249"/>
      <c r="BQ524" s="249"/>
      <c r="BR524" s="249"/>
      <c r="BS524" s="249"/>
      <c r="BT524" s="249"/>
      <c r="BU524" s="249"/>
      <c r="BV524" s="249"/>
      <c r="BW524" s="249"/>
      <c r="BX524" s="249"/>
      <c r="BY524" s="249"/>
      <c r="BZ524" s="249"/>
      <c r="CA524" s="249"/>
      <c r="CB524" s="249"/>
      <c r="CC524" s="249"/>
      <c r="CD524" s="249"/>
      <c r="CE524" s="249"/>
    </row>
    <row r="525" spans="1:83" s="84" customFormat="1" ht="12.95" customHeight="1">
      <c r="A525" s="1"/>
      <c r="B525" s="1"/>
      <c r="C525" s="18" t="s">
        <v>770</v>
      </c>
      <c r="D525" s="52" t="s">
        <v>2930</v>
      </c>
      <c r="E525" s="52" t="s">
        <v>2935</v>
      </c>
      <c r="F525" s="53" t="s">
        <v>1064</v>
      </c>
      <c r="G525" s="179" t="s">
        <v>1429</v>
      </c>
      <c r="H525" s="180" t="s">
        <v>770</v>
      </c>
      <c r="I525" s="55" t="s">
        <v>1429</v>
      </c>
      <c r="J525" s="55" t="s">
        <v>1429</v>
      </c>
      <c r="K525" s="56" t="s">
        <v>1429</v>
      </c>
      <c r="L525" s="54" t="s">
        <v>1429</v>
      </c>
      <c r="M525" s="55" t="s">
        <v>1580</v>
      </c>
      <c r="N525" s="55" t="s">
        <v>1429</v>
      </c>
      <c r="O525" s="55" t="s">
        <v>1429</v>
      </c>
      <c r="P525" s="56" t="s">
        <v>1429</v>
      </c>
      <c r="Q525" s="85"/>
      <c r="R525" s="85"/>
      <c r="S525" s="85"/>
      <c r="T525" s="85"/>
      <c r="U525" s="85"/>
      <c r="V525" s="146" t="s">
        <v>2936</v>
      </c>
      <c r="W525" s="51" t="s">
        <v>2932</v>
      </c>
      <c r="X525" s="130" t="s">
        <v>1429</v>
      </c>
      <c r="Y525" s="130" t="s">
        <v>1429</v>
      </c>
      <c r="Z525" s="51"/>
      <c r="AA525" s="51" t="s">
        <v>2612</v>
      </c>
      <c r="AB525" s="146"/>
      <c r="AC525" s="146" t="s">
        <v>1429</v>
      </c>
      <c r="AD525" s="98"/>
      <c r="AE525" s="83"/>
      <c r="AF525" s="83"/>
      <c r="AG525" s="83"/>
      <c r="AH525" s="86"/>
      <c r="AI525" s="86"/>
      <c r="AJ525" s="87"/>
      <c r="AK525" s="87"/>
      <c r="AL525" s="87"/>
      <c r="AM525" s="87"/>
      <c r="AN525" s="87"/>
      <c r="AO525" s="87"/>
      <c r="AP525" s="87"/>
      <c r="AQ525" s="229" t="s">
        <v>770</v>
      </c>
      <c r="AR525" s="5"/>
      <c r="AS525" s="5"/>
      <c r="AT525" s="5"/>
      <c r="AU525" s="5"/>
      <c r="AV525" s="5"/>
      <c r="AW525" s="5"/>
      <c r="AX525" s="284"/>
      <c r="AY525" s="5"/>
      <c r="AZ525" s="5"/>
      <c r="BA525" s="230"/>
      <c r="BB525" s="5"/>
      <c r="BC525" s="232" t="s">
        <v>3536</v>
      </c>
      <c r="BD525" s="257"/>
      <c r="BE525" s="249"/>
      <c r="BF525" s="249"/>
      <c r="BG525" s="249"/>
      <c r="BH525" s="249"/>
      <c r="BI525" s="249"/>
      <c r="BJ525" s="249"/>
      <c r="BK525" s="249"/>
      <c r="BL525" s="249"/>
      <c r="BM525" s="249"/>
      <c r="BN525" s="249"/>
      <c r="BO525" s="249"/>
      <c r="BP525" s="249"/>
      <c r="BQ525" s="249"/>
      <c r="BR525" s="249"/>
      <c r="BS525" s="249"/>
      <c r="BT525" s="249"/>
      <c r="BU525" s="249"/>
      <c r="BV525" s="249"/>
      <c r="BW525" s="249"/>
      <c r="BX525" s="249"/>
      <c r="BY525" s="249"/>
      <c r="BZ525" s="249"/>
      <c r="CA525" s="249"/>
      <c r="CB525" s="249"/>
      <c r="CC525" s="249"/>
      <c r="CD525" s="249"/>
      <c r="CE525" s="249"/>
    </row>
    <row r="526" spans="1:83" s="84" customFormat="1" ht="12.95" customHeight="1">
      <c r="A526" s="1"/>
      <c r="B526" s="1"/>
      <c r="C526" s="18" t="s">
        <v>771</v>
      </c>
      <c r="D526" s="52" t="s">
        <v>2937</v>
      </c>
      <c r="E526" s="52" t="s">
        <v>2938</v>
      </c>
      <c r="F526" s="53" t="s">
        <v>1065</v>
      </c>
      <c r="G526" s="179" t="s">
        <v>1429</v>
      </c>
      <c r="H526" s="180" t="s">
        <v>771</v>
      </c>
      <c r="I526" s="55" t="s">
        <v>1429</v>
      </c>
      <c r="J526" s="55" t="s">
        <v>1429</v>
      </c>
      <c r="K526" s="56" t="s">
        <v>1429</v>
      </c>
      <c r="L526" s="54" t="s">
        <v>1429</v>
      </c>
      <c r="M526" s="55" t="s">
        <v>1580</v>
      </c>
      <c r="N526" s="55" t="s">
        <v>1429</v>
      </c>
      <c r="O526" s="55" t="s">
        <v>1429</v>
      </c>
      <c r="P526" s="56" t="s">
        <v>1429</v>
      </c>
      <c r="Q526" s="85"/>
      <c r="R526" s="85"/>
      <c r="S526" s="85"/>
      <c r="T526" s="85"/>
      <c r="U526" s="85"/>
      <c r="V526" s="146" t="s">
        <v>2939</v>
      </c>
      <c r="W526" s="51" t="s">
        <v>2932</v>
      </c>
      <c r="X526" s="130" t="s">
        <v>1429</v>
      </c>
      <c r="Y526" s="130" t="s">
        <v>1429</v>
      </c>
      <c r="Z526" s="51"/>
      <c r="AA526" s="51" t="s">
        <v>2612</v>
      </c>
      <c r="AB526" s="146"/>
      <c r="AC526" s="146" t="s">
        <v>1429</v>
      </c>
      <c r="AD526" s="98"/>
      <c r="AE526" s="83"/>
      <c r="AF526" s="83"/>
      <c r="AG526" s="83"/>
      <c r="AH526" s="86"/>
      <c r="AI526" s="86"/>
      <c r="AJ526" s="87"/>
      <c r="AK526" s="87"/>
      <c r="AL526" s="87"/>
      <c r="AM526" s="87"/>
      <c r="AN526" s="87"/>
      <c r="AO526" s="87"/>
      <c r="AP526" s="87"/>
      <c r="AQ526" s="229" t="s">
        <v>771</v>
      </c>
      <c r="AR526" s="5"/>
      <c r="AS526" s="5"/>
      <c r="AT526" s="5"/>
      <c r="AU526" s="5"/>
      <c r="AV526" s="5"/>
      <c r="AW526" s="5"/>
      <c r="AX526" s="284"/>
      <c r="AY526" s="5"/>
      <c r="AZ526" s="5"/>
      <c r="BA526" s="230"/>
      <c r="BB526" s="5"/>
      <c r="BC526" s="232" t="s">
        <v>3536</v>
      </c>
      <c r="BD526" s="257"/>
      <c r="BE526" s="249"/>
      <c r="BF526" s="249"/>
      <c r="BG526" s="249"/>
      <c r="BH526" s="249"/>
      <c r="BI526" s="249"/>
      <c r="BJ526" s="249"/>
      <c r="BK526" s="249"/>
      <c r="BL526" s="249"/>
      <c r="BM526" s="249"/>
      <c r="BN526" s="249"/>
      <c r="BO526" s="249"/>
      <c r="BP526" s="249"/>
      <c r="BQ526" s="249"/>
      <c r="BR526" s="249"/>
      <c r="BS526" s="249"/>
      <c r="BT526" s="249"/>
      <c r="BU526" s="249"/>
      <c r="BV526" s="249"/>
      <c r="BW526" s="249"/>
      <c r="BX526" s="249"/>
      <c r="BY526" s="249"/>
      <c r="BZ526" s="249"/>
      <c r="CA526" s="249"/>
      <c r="CB526" s="249"/>
      <c r="CC526" s="249"/>
      <c r="CD526" s="249"/>
      <c r="CE526" s="249"/>
    </row>
    <row r="527" spans="1:83" s="84" customFormat="1" ht="12.95" customHeight="1">
      <c r="A527" s="1"/>
      <c r="B527" s="1"/>
      <c r="C527" s="18" t="s">
        <v>772</v>
      </c>
      <c r="D527" s="52" t="s">
        <v>2940</v>
      </c>
      <c r="E527" s="52" t="s">
        <v>2941</v>
      </c>
      <c r="F527" s="53" t="s">
        <v>1066</v>
      </c>
      <c r="G527" s="179" t="s">
        <v>1429</v>
      </c>
      <c r="H527" s="180" t="s">
        <v>772</v>
      </c>
      <c r="I527" s="55" t="s">
        <v>1429</v>
      </c>
      <c r="J527" s="55" t="s">
        <v>1429</v>
      </c>
      <c r="K527" s="56" t="s">
        <v>1429</v>
      </c>
      <c r="L527" s="54" t="s">
        <v>1429</v>
      </c>
      <c r="M527" s="55" t="s">
        <v>1580</v>
      </c>
      <c r="N527" s="55" t="s">
        <v>1429</v>
      </c>
      <c r="O527" s="55" t="s">
        <v>1429</v>
      </c>
      <c r="P527" s="56" t="s">
        <v>1429</v>
      </c>
      <c r="Q527" s="85"/>
      <c r="R527" s="85"/>
      <c r="S527" s="85"/>
      <c r="T527" s="85"/>
      <c r="U527" s="85"/>
      <c r="V527" s="146" t="s">
        <v>2942</v>
      </c>
      <c r="W527" s="51" t="s">
        <v>2932</v>
      </c>
      <c r="X527" s="130" t="s">
        <v>1429</v>
      </c>
      <c r="Y527" s="130" t="s">
        <v>1429</v>
      </c>
      <c r="Z527" s="51"/>
      <c r="AA527" s="51" t="s">
        <v>2612</v>
      </c>
      <c r="AB527" s="146"/>
      <c r="AC527" s="146" t="s">
        <v>1429</v>
      </c>
      <c r="AD527" s="98"/>
      <c r="AE527" s="83"/>
      <c r="AF527" s="83"/>
      <c r="AG527" s="83"/>
      <c r="AH527" s="86"/>
      <c r="AI527" s="86"/>
      <c r="AJ527" s="87"/>
      <c r="AK527" s="87"/>
      <c r="AL527" s="87"/>
      <c r="AM527" s="87"/>
      <c r="AN527" s="87"/>
      <c r="AO527" s="87"/>
      <c r="AP527" s="87"/>
      <c r="AQ527" s="229" t="s">
        <v>772</v>
      </c>
      <c r="AR527" s="5"/>
      <c r="AS527" s="5"/>
      <c r="AT527" s="5"/>
      <c r="AU527" s="5"/>
      <c r="AV527" s="5"/>
      <c r="AW527" s="5"/>
      <c r="AX527" s="284"/>
      <c r="AY527" s="5"/>
      <c r="AZ527" s="5"/>
      <c r="BA527" s="230"/>
      <c r="BB527" s="5"/>
      <c r="BC527" s="232" t="s">
        <v>3536</v>
      </c>
      <c r="BD527" s="257"/>
      <c r="BE527" s="249"/>
      <c r="BF527" s="249"/>
      <c r="BG527" s="249"/>
      <c r="BH527" s="249"/>
      <c r="BI527" s="249"/>
      <c r="BJ527" s="249"/>
      <c r="BK527" s="249"/>
      <c r="BL527" s="249"/>
      <c r="BM527" s="249"/>
      <c r="BN527" s="249"/>
      <c r="BO527" s="249"/>
      <c r="BP527" s="249"/>
      <c r="BQ527" s="249"/>
      <c r="BR527" s="249"/>
      <c r="BS527" s="249"/>
      <c r="BT527" s="249"/>
      <c r="BU527" s="249"/>
      <c r="BV527" s="249"/>
      <c r="BW527" s="249"/>
      <c r="BX527" s="249"/>
      <c r="BY527" s="249"/>
      <c r="BZ527" s="249"/>
      <c r="CA527" s="249"/>
      <c r="CB527" s="249"/>
      <c r="CC527" s="249"/>
      <c r="CD527" s="249"/>
      <c r="CE527" s="249"/>
    </row>
    <row r="528" spans="1:83" s="84" customFormat="1" ht="12.95" customHeight="1">
      <c r="A528" s="1"/>
      <c r="B528" s="1"/>
      <c r="C528" s="18" t="s">
        <v>773</v>
      </c>
      <c r="D528" s="52" t="s">
        <v>2943</v>
      </c>
      <c r="E528" s="52" t="s">
        <v>2944</v>
      </c>
      <c r="F528" s="53" t="s">
        <v>1067</v>
      </c>
      <c r="G528" s="179" t="s">
        <v>1429</v>
      </c>
      <c r="H528" s="180" t="s">
        <v>773</v>
      </c>
      <c r="I528" s="55" t="s">
        <v>1429</v>
      </c>
      <c r="J528" s="55" t="s">
        <v>1429</v>
      </c>
      <c r="K528" s="56" t="s">
        <v>1429</v>
      </c>
      <c r="L528" s="54" t="s">
        <v>1429</v>
      </c>
      <c r="M528" s="55" t="s">
        <v>1580</v>
      </c>
      <c r="N528" s="55" t="s">
        <v>1429</v>
      </c>
      <c r="O528" s="55" t="s">
        <v>1429</v>
      </c>
      <c r="P528" s="56" t="s">
        <v>1429</v>
      </c>
      <c r="Q528" s="85"/>
      <c r="R528" s="85"/>
      <c r="S528" s="85"/>
      <c r="T528" s="85"/>
      <c r="U528" s="85"/>
      <c r="V528" s="146" t="s">
        <v>2945</v>
      </c>
      <c r="W528" s="51" t="s">
        <v>2932</v>
      </c>
      <c r="X528" s="130" t="s">
        <v>1429</v>
      </c>
      <c r="Y528" s="130" t="s">
        <v>1429</v>
      </c>
      <c r="Z528" s="51"/>
      <c r="AA528" s="51" t="s">
        <v>2612</v>
      </c>
      <c r="AB528" s="146"/>
      <c r="AC528" s="146" t="s">
        <v>1429</v>
      </c>
      <c r="AD528" s="98"/>
      <c r="AE528" s="83"/>
      <c r="AF528" s="83"/>
      <c r="AG528" s="83"/>
      <c r="AH528" s="86"/>
      <c r="AI528" s="86"/>
      <c r="AJ528" s="87"/>
      <c r="AK528" s="87"/>
      <c r="AL528" s="87"/>
      <c r="AM528" s="87"/>
      <c r="AN528" s="87"/>
      <c r="AO528" s="87"/>
      <c r="AP528" s="87"/>
      <c r="AQ528" s="229" t="s">
        <v>773</v>
      </c>
      <c r="AR528" s="5"/>
      <c r="AS528" s="5"/>
      <c r="AT528" s="5"/>
      <c r="AU528" s="5"/>
      <c r="AV528" s="5"/>
      <c r="AW528" s="5"/>
      <c r="AX528" s="284"/>
      <c r="AY528" s="5"/>
      <c r="AZ528" s="5"/>
      <c r="BA528" s="230"/>
      <c r="BB528" s="5"/>
      <c r="BC528" s="232" t="s">
        <v>3536</v>
      </c>
      <c r="BD528" s="257"/>
      <c r="BE528" s="249"/>
      <c r="BF528" s="249"/>
      <c r="BG528" s="249"/>
      <c r="BH528" s="249"/>
      <c r="BI528" s="249"/>
      <c r="BJ528" s="249"/>
      <c r="BK528" s="249"/>
      <c r="BL528" s="249"/>
      <c r="BM528" s="249"/>
      <c r="BN528" s="249"/>
      <c r="BO528" s="249"/>
      <c r="BP528" s="249"/>
      <c r="BQ528" s="249"/>
      <c r="BR528" s="249"/>
      <c r="BS528" s="249"/>
      <c r="BT528" s="249"/>
      <c r="BU528" s="249"/>
      <c r="BV528" s="249"/>
      <c r="BW528" s="249"/>
      <c r="BX528" s="249"/>
      <c r="BY528" s="249"/>
      <c r="BZ528" s="249"/>
      <c r="CA528" s="249"/>
      <c r="CB528" s="249"/>
      <c r="CC528" s="249"/>
      <c r="CD528" s="249"/>
      <c r="CE528" s="249"/>
    </row>
    <row r="529" spans="1:83" s="84" customFormat="1" ht="12.95" customHeight="1">
      <c r="A529" s="1"/>
      <c r="B529" s="1"/>
      <c r="C529" s="18" t="s">
        <v>774</v>
      </c>
      <c r="D529" s="52" t="s">
        <v>2935</v>
      </c>
      <c r="E529" s="52" t="s">
        <v>2946</v>
      </c>
      <c r="F529" s="53" t="s">
        <v>1068</v>
      </c>
      <c r="G529" s="179" t="s">
        <v>1429</v>
      </c>
      <c r="H529" s="180" t="s">
        <v>774</v>
      </c>
      <c r="I529" s="55" t="s">
        <v>1429</v>
      </c>
      <c r="J529" s="55" t="s">
        <v>1429</v>
      </c>
      <c r="K529" s="56" t="s">
        <v>1429</v>
      </c>
      <c r="L529" s="54" t="s">
        <v>1429</v>
      </c>
      <c r="M529" s="55" t="s">
        <v>1580</v>
      </c>
      <c r="N529" s="55" t="s">
        <v>1429</v>
      </c>
      <c r="O529" s="55" t="s">
        <v>1429</v>
      </c>
      <c r="P529" s="56" t="s">
        <v>1429</v>
      </c>
      <c r="Q529" s="85"/>
      <c r="R529" s="85"/>
      <c r="S529" s="85"/>
      <c r="T529" s="85"/>
      <c r="U529" s="85"/>
      <c r="V529" s="146" t="s">
        <v>2947</v>
      </c>
      <c r="W529" s="51" t="s">
        <v>2932</v>
      </c>
      <c r="X529" s="130" t="s">
        <v>1429</v>
      </c>
      <c r="Y529" s="130" t="s">
        <v>1429</v>
      </c>
      <c r="Z529" s="51"/>
      <c r="AA529" s="51" t="s">
        <v>2612</v>
      </c>
      <c r="AB529" s="146"/>
      <c r="AC529" s="146" t="s">
        <v>1429</v>
      </c>
      <c r="AD529" s="98"/>
      <c r="AE529" s="83"/>
      <c r="AF529" s="83"/>
      <c r="AG529" s="83"/>
      <c r="AH529" s="86"/>
      <c r="AI529" s="86"/>
      <c r="AJ529" s="87"/>
      <c r="AK529" s="87"/>
      <c r="AL529" s="87"/>
      <c r="AM529" s="87"/>
      <c r="AN529" s="87"/>
      <c r="AO529" s="87"/>
      <c r="AP529" s="87"/>
      <c r="AQ529" s="229" t="s">
        <v>774</v>
      </c>
      <c r="AR529" s="5"/>
      <c r="AS529" s="5"/>
      <c r="AT529" s="5"/>
      <c r="AU529" s="5"/>
      <c r="AV529" s="5"/>
      <c r="AW529" s="5"/>
      <c r="AX529" s="284"/>
      <c r="AY529" s="5"/>
      <c r="AZ529" s="5"/>
      <c r="BA529" s="230"/>
      <c r="BB529" s="5"/>
      <c r="BC529" s="232" t="s">
        <v>3536</v>
      </c>
      <c r="BD529" s="257"/>
      <c r="BE529" s="249"/>
      <c r="BF529" s="249"/>
      <c r="BG529" s="249"/>
      <c r="BH529" s="249"/>
      <c r="BI529" s="249"/>
      <c r="BJ529" s="249"/>
      <c r="BK529" s="249"/>
      <c r="BL529" s="249"/>
      <c r="BM529" s="249"/>
      <c r="BN529" s="249"/>
      <c r="BO529" s="249"/>
      <c r="BP529" s="249"/>
      <c r="BQ529" s="249"/>
      <c r="BR529" s="249"/>
      <c r="BS529" s="249"/>
      <c r="BT529" s="249"/>
      <c r="BU529" s="249"/>
      <c r="BV529" s="249"/>
      <c r="BW529" s="249"/>
      <c r="BX529" s="249"/>
      <c r="BY529" s="249"/>
      <c r="BZ529" s="249"/>
      <c r="CA529" s="249"/>
      <c r="CB529" s="249"/>
      <c r="CC529" s="249"/>
      <c r="CD529" s="249"/>
      <c r="CE529" s="249"/>
    </row>
    <row r="530" spans="1:83" s="84" customFormat="1" ht="12.95" customHeight="1">
      <c r="A530" s="1"/>
      <c r="B530" s="1"/>
      <c r="C530" s="18" t="s">
        <v>775</v>
      </c>
      <c r="D530" s="52" t="s">
        <v>2948</v>
      </c>
      <c r="E530" s="52" t="s">
        <v>2949</v>
      </c>
      <c r="F530" s="53" t="s">
        <v>1069</v>
      </c>
      <c r="G530" s="179" t="s">
        <v>1429</v>
      </c>
      <c r="H530" s="180" t="s">
        <v>775</v>
      </c>
      <c r="I530" s="55" t="s">
        <v>1429</v>
      </c>
      <c r="J530" s="55" t="s">
        <v>1429</v>
      </c>
      <c r="K530" s="56" t="s">
        <v>1429</v>
      </c>
      <c r="L530" s="54" t="s">
        <v>1429</v>
      </c>
      <c r="M530" s="55" t="s">
        <v>1580</v>
      </c>
      <c r="N530" s="55" t="s">
        <v>1429</v>
      </c>
      <c r="O530" s="55" t="s">
        <v>1429</v>
      </c>
      <c r="P530" s="56" t="s">
        <v>1429</v>
      </c>
      <c r="Q530" s="85"/>
      <c r="R530" s="85"/>
      <c r="S530" s="85"/>
      <c r="T530" s="85"/>
      <c r="U530" s="85"/>
      <c r="V530" s="146" t="s">
        <v>2950</v>
      </c>
      <c r="W530" s="51" t="s">
        <v>2932</v>
      </c>
      <c r="X530" s="130" t="s">
        <v>1429</v>
      </c>
      <c r="Y530" s="130" t="s">
        <v>1429</v>
      </c>
      <c r="Z530" s="51"/>
      <c r="AA530" s="51" t="s">
        <v>2612</v>
      </c>
      <c r="AB530" s="146"/>
      <c r="AC530" s="146" t="s">
        <v>1429</v>
      </c>
      <c r="AD530" s="98"/>
      <c r="AE530" s="83"/>
      <c r="AF530" s="83"/>
      <c r="AG530" s="83"/>
      <c r="AH530" s="86"/>
      <c r="AI530" s="86"/>
      <c r="AJ530" s="87"/>
      <c r="AK530" s="87"/>
      <c r="AL530" s="87"/>
      <c r="AM530" s="87"/>
      <c r="AN530" s="87"/>
      <c r="AO530" s="87"/>
      <c r="AP530" s="87"/>
      <c r="AQ530" s="229" t="s">
        <v>775</v>
      </c>
      <c r="AR530" s="5"/>
      <c r="AS530" s="5"/>
      <c r="AT530" s="5"/>
      <c r="AU530" s="5"/>
      <c r="AV530" s="5"/>
      <c r="AW530" s="5"/>
      <c r="AX530" s="284"/>
      <c r="AY530" s="5"/>
      <c r="AZ530" s="5"/>
      <c r="BA530" s="230"/>
      <c r="BB530" s="5"/>
      <c r="BC530" s="232" t="s">
        <v>3536</v>
      </c>
      <c r="BD530" s="257"/>
      <c r="BE530" s="249"/>
      <c r="BF530" s="249"/>
      <c r="BG530" s="249"/>
      <c r="BH530" s="249"/>
      <c r="BI530" s="249"/>
      <c r="BJ530" s="249"/>
      <c r="BK530" s="249"/>
      <c r="BL530" s="249"/>
      <c r="BM530" s="249"/>
      <c r="BN530" s="249"/>
      <c r="BO530" s="249"/>
      <c r="BP530" s="249"/>
      <c r="BQ530" s="249"/>
      <c r="BR530" s="249"/>
      <c r="BS530" s="249"/>
      <c r="BT530" s="249"/>
      <c r="BU530" s="249"/>
      <c r="BV530" s="249"/>
      <c r="BW530" s="249"/>
      <c r="BX530" s="249"/>
      <c r="BY530" s="249"/>
      <c r="BZ530" s="249"/>
      <c r="CA530" s="249"/>
      <c r="CB530" s="249"/>
      <c r="CC530" s="249"/>
      <c r="CD530" s="249"/>
      <c r="CE530" s="249"/>
    </row>
    <row r="531" spans="1:83" s="84" customFormat="1" ht="12.95" customHeight="1">
      <c r="A531" s="1"/>
      <c r="B531" s="1"/>
      <c r="C531" s="18" t="s">
        <v>776</v>
      </c>
      <c r="D531" s="52" t="s">
        <v>2938</v>
      </c>
      <c r="E531" s="52" t="s">
        <v>2948</v>
      </c>
      <c r="F531" s="53" t="s">
        <v>1070</v>
      </c>
      <c r="G531" s="179" t="s">
        <v>1429</v>
      </c>
      <c r="H531" s="180" t="s">
        <v>776</v>
      </c>
      <c r="I531" s="55" t="s">
        <v>1429</v>
      </c>
      <c r="J531" s="55" t="s">
        <v>1429</v>
      </c>
      <c r="K531" s="56" t="s">
        <v>1429</v>
      </c>
      <c r="L531" s="54" t="s">
        <v>1429</v>
      </c>
      <c r="M531" s="55" t="s">
        <v>1580</v>
      </c>
      <c r="N531" s="55" t="s">
        <v>1429</v>
      </c>
      <c r="O531" s="55" t="s">
        <v>1429</v>
      </c>
      <c r="P531" s="56" t="s">
        <v>1429</v>
      </c>
      <c r="Q531" s="85"/>
      <c r="R531" s="85"/>
      <c r="S531" s="85"/>
      <c r="T531" s="85"/>
      <c r="U531" s="85"/>
      <c r="V531" s="146" t="s">
        <v>2951</v>
      </c>
      <c r="W531" s="51" t="s">
        <v>2932</v>
      </c>
      <c r="X531" s="130" t="s">
        <v>1429</v>
      </c>
      <c r="Y531" s="130" t="s">
        <v>1429</v>
      </c>
      <c r="Z531" s="51"/>
      <c r="AA531" s="51" t="s">
        <v>2612</v>
      </c>
      <c r="AB531" s="146"/>
      <c r="AC531" s="146" t="s">
        <v>1429</v>
      </c>
      <c r="AD531" s="98"/>
      <c r="AE531" s="83"/>
      <c r="AF531" s="83"/>
      <c r="AG531" s="83"/>
      <c r="AH531" s="86"/>
      <c r="AI531" s="86"/>
      <c r="AJ531" s="87"/>
      <c r="AK531" s="87"/>
      <c r="AL531" s="87"/>
      <c r="AM531" s="87"/>
      <c r="AN531" s="87"/>
      <c r="AO531" s="87"/>
      <c r="AP531" s="87"/>
      <c r="AQ531" s="229" t="s">
        <v>776</v>
      </c>
      <c r="AR531" s="5"/>
      <c r="AS531" s="5"/>
      <c r="AT531" s="5"/>
      <c r="AU531" s="5"/>
      <c r="AV531" s="5"/>
      <c r="AW531" s="5"/>
      <c r="AX531" s="284"/>
      <c r="AY531" s="5"/>
      <c r="AZ531" s="5"/>
      <c r="BA531" s="230"/>
      <c r="BB531" s="5"/>
      <c r="BC531" s="232" t="s">
        <v>3536</v>
      </c>
      <c r="BD531" s="257"/>
      <c r="BE531" s="249"/>
      <c r="BF531" s="249"/>
      <c r="BG531" s="249"/>
      <c r="BH531" s="249"/>
      <c r="BI531" s="249"/>
      <c r="BJ531" s="249"/>
      <c r="BK531" s="249"/>
      <c r="BL531" s="249"/>
      <c r="BM531" s="249"/>
      <c r="BN531" s="249"/>
      <c r="BO531" s="249"/>
      <c r="BP531" s="249"/>
      <c r="BQ531" s="249"/>
      <c r="BR531" s="249"/>
      <c r="BS531" s="249"/>
      <c r="BT531" s="249"/>
      <c r="BU531" s="249"/>
      <c r="BV531" s="249"/>
      <c r="BW531" s="249"/>
      <c r="BX531" s="249"/>
      <c r="BY531" s="249"/>
      <c r="BZ531" s="249"/>
      <c r="CA531" s="249"/>
      <c r="CB531" s="249"/>
      <c r="CC531" s="249"/>
      <c r="CD531" s="249"/>
      <c r="CE531" s="249"/>
    </row>
    <row r="532" spans="1:83" s="84" customFormat="1" ht="12.95" customHeight="1">
      <c r="A532" s="1"/>
      <c r="B532" s="1"/>
      <c r="C532" s="21" t="s">
        <v>777</v>
      </c>
      <c r="D532" s="52" t="s">
        <v>2952</v>
      </c>
      <c r="E532" s="52" t="s">
        <v>2953</v>
      </c>
      <c r="F532" s="53" t="s">
        <v>1071</v>
      </c>
      <c r="G532" s="179" t="s">
        <v>1429</v>
      </c>
      <c r="H532" s="180" t="s">
        <v>777</v>
      </c>
      <c r="I532" s="55" t="s">
        <v>1429</v>
      </c>
      <c r="J532" s="55" t="s">
        <v>1429</v>
      </c>
      <c r="K532" s="56" t="s">
        <v>1429</v>
      </c>
      <c r="L532" s="54" t="s">
        <v>1429</v>
      </c>
      <c r="M532" s="55" t="s">
        <v>1580</v>
      </c>
      <c r="N532" s="55" t="s">
        <v>1429</v>
      </c>
      <c r="O532" s="55" t="s">
        <v>1429</v>
      </c>
      <c r="P532" s="56" t="s">
        <v>1429</v>
      </c>
      <c r="Q532" s="85"/>
      <c r="R532" s="85"/>
      <c r="S532" s="85"/>
      <c r="T532" s="85"/>
      <c r="U532" s="85"/>
      <c r="V532" s="146" t="s">
        <v>2954</v>
      </c>
      <c r="W532" s="51" t="s">
        <v>2932</v>
      </c>
      <c r="X532" s="130" t="s">
        <v>1429</v>
      </c>
      <c r="Y532" s="130" t="s">
        <v>1429</v>
      </c>
      <c r="Z532" s="51"/>
      <c r="AA532" s="51" t="s">
        <v>2612</v>
      </c>
      <c r="AB532" s="146"/>
      <c r="AC532" s="146" t="s">
        <v>1429</v>
      </c>
      <c r="AD532" s="98"/>
      <c r="AE532" s="83"/>
      <c r="AF532" s="83"/>
      <c r="AG532" s="83"/>
      <c r="AH532" s="86"/>
      <c r="AI532" s="86"/>
      <c r="AJ532" s="87"/>
      <c r="AK532" s="87"/>
      <c r="AL532" s="87"/>
      <c r="AM532" s="87"/>
      <c r="AN532" s="87"/>
      <c r="AO532" s="87"/>
      <c r="AP532" s="87"/>
      <c r="AQ532" s="229" t="s">
        <v>777</v>
      </c>
      <c r="AR532" s="5"/>
      <c r="AS532" s="5"/>
      <c r="AT532" s="5"/>
      <c r="AU532" s="5"/>
      <c r="AV532" s="5"/>
      <c r="AW532" s="5"/>
      <c r="AX532" s="284"/>
      <c r="AY532" s="5"/>
      <c r="AZ532" s="5"/>
      <c r="BA532" s="230"/>
      <c r="BB532" s="5"/>
      <c r="BC532" s="232" t="s">
        <v>3536</v>
      </c>
      <c r="BD532" s="257"/>
      <c r="BE532" s="249"/>
      <c r="BF532" s="249"/>
      <c r="BG532" s="249"/>
      <c r="BH532" s="249"/>
      <c r="BI532" s="249"/>
      <c r="BJ532" s="249"/>
      <c r="BK532" s="249"/>
      <c r="BL532" s="249"/>
      <c r="BM532" s="249"/>
      <c r="BN532" s="249"/>
      <c r="BO532" s="249"/>
      <c r="BP532" s="249"/>
      <c r="BQ532" s="249"/>
      <c r="BR532" s="249"/>
      <c r="BS532" s="249"/>
      <c r="BT532" s="249"/>
      <c r="BU532" s="249"/>
      <c r="BV532" s="249"/>
      <c r="BW532" s="249"/>
      <c r="BX532" s="249"/>
      <c r="BY532" s="249"/>
      <c r="BZ532" s="249"/>
      <c r="CA532" s="249"/>
      <c r="CB532" s="249"/>
      <c r="CC532" s="249"/>
      <c r="CD532" s="249"/>
      <c r="CE532" s="249"/>
    </row>
    <row r="533" spans="1:83" s="84" customFormat="1" ht="12.95" customHeight="1">
      <c r="A533" s="1"/>
      <c r="B533" s="1"/>
      <c r="C533" s="21" t="s">
        <v>778</v>
      </c>
      <c r="D533" s="52" t="s">
        <v>2955</v>
      </c>
      <c r="E533" s="52" t="s">
        <v>2956</v>
      </c>
      <c r="F533" s="53" t="s">
        <v>1072</v>
      </c>
      <c r="G533" s="179" t="s">
        <v>1429</v>
      </c>
      <c r="H533" s="180" t="s">
        <v>778</v>
      </c>
      <c r="I533" s="55" t="s">
        <v>1429</v>
      </c>
      <c r="J533" s="55" t="s">
        <v>1429</v>
      </c>
      <c r="K533" s="56" t="s">
        <v>1429</v>
      </c>
      <c r="L533" s="54" t="s">
        <v>1429</v>
      </c>
      <c r="M533" s="55" t="s">
        <v>1580</v>
      </c>
      <c r="N533" s="55" t="s">
        <v>1429</v>
      </c>
      <c r="O533" s="55" t="s">
        <v>1429</v>
      </c>
      <c r="P533" s="56" t="s">
        <v>1429</v>
      </c>
      <c r="Q533" s="85"/>
      <c r="R533" s="85"/>
      <c r="S533" s="85"/>
      <c r="T533" s="85"/>
      <c r="U533" s="85"/>
      <c r="V533" s="146" t="s">
        <v>2957</v>
      </c>
      <c r="W533" s="51" t="s">
        <v>2932</v>
      </c>
      <c r="X533" s="130" t="s">
        <v>1429</v>
      </c>
      <c r="Y533" s="130" t="s">
        <v>1429</v>
      </c>
      <c r="Z533" s="51"/>
      <c r="AA533" s="51" t="s">
        <v>2612</v>
      </c>
      <c r="AB533" s="146"/>
      <c r="AC533" s="146" t="s">
        <v>1429</v>
      </c>
      <c r="AD533" s="98"/>
      <c r="AE533" s="83"/>
      <c r="AF533" s="83"/>
      <c r="AG533" s="83"/>
      <c r="AH533" s="86"/>
      <c r="AI533" s="86"/>
      <c r="AJ533" s="87"/>
      <c r="AK533" s="87"/>
      <c r="AL533" s="87"/>
      <c r="AM533" s="87"/>
      <c r="AN533" s="87"/>
      <c r="AO533" s="87"/>
      <c r="AP533" s="87"/>
      <c r="AQ533" s="229" t="s">
        <v>778</v>
      </c>
      <c r="AR533" s="5"/>
      <c r="AS533" s="5"/>
      <c r="AT533" s="5"/>
      <c r="AU533" s="5"/>
      <c r="AV533" s="5"/>
      <c r="AW533" s="5"/>
      <c r="AX533" s="284"/>
      <c r="AY533" s="5"/>
      <c r="AZ533" s="5"/>
      <c r="BA533" s="230"/>
      <c r="BB533" s="5"/>
      <c r="BC533" s="232" t="s">
        <v>3536</v>
      </c>
      <c r="BD533" s="257"/>
      <c r="BE533" s="249"/>
      <c r="BF533" s="249"/>
      <c r="BG533" s="249"/>
      <c r="BH533" s="249"/>
      <c r="BI533" s="249"/>
      <c r="BJ533" s="249"/>
      <c r="BK533" s="249"/>
      <c r="BL533" s="249"/>
      <c r="BM533" s="249"/>
      <c r="BN533" s="249"/>
      <c r="BO533" s="249"/>
      <c r="BP533" s="249"/>
      <c r="BQ533" s="249"/>
      <c r="BR533" s="249"/>
      <c r="BS533" s="249"/>
      <c r="BT533" s="249"/>
      <c r="BU533" s="249"/>
      <c r="BV533" s="249"/>
      <c r="BW533" s="249"/>
      <c r="BX533" s="249"/>
      <c r="BY533" s="249"/>
      <c r="BZ533" s="249"/>
      <c r="CA533" s="249"/>
      <c r="CB533" s="249"/>
      <c r="CC533" s="249"/>
      <c r="CD533" s="249"/>
      <c r="CE533" s="249"/>
    </row>
    <row r="534" spans="1:83" s="84" customFormat="1" ht="12.95" customHeight="1">
      <c r="A534" s="1"/>
      <c r="B534" s="1"/>
      <c r="C534" s="18" t="s">
        <v>779</v>
      </c>
      <c r="D534" s="52" t="s">
        <v>2949</v>
      </c>
      <c r="E534" s="52" t="s">
        <v>2958</v>
      </c>
      <c r="F534" s="53" t="s">
        <v>1073</v>
      </c>
      <c r="G534" s="179" t="s">
        <v>1429</v>
      </c>
      <c r="H534" s="180" t="s">
        <v>779</v>
      </c>
      <c r="I534" s="55" t="s">
        <v>1429</v>
      </c>
      <c r="J534" s="55" t="s">
        <v>1429</v>
      </c>
      <c r="K534" s="56" t="s">
        <v>1429</v>
      </c>
      <c r="L534" s="54" t="s">
        <v>1429</v>
      </c>
      <c r="M534" s="55" t="s">
        <v>1580</v>
      </c>
      <c r="N534" s="55" t="s">
        <v>1429</v>
      </c>
      <c r="O534" s="55" t="s">
        <v>1429</v>
      </c>
      <c r="P534" s="56" t="s">
        <v>1429</v>
      </c>
      <c r="Q534" s="85"/>
      <c r="R534" s="85"/>
      <c r="S534" s="85"/>
      <c r="T534" s="85"/>
      <c r="U534" s="85"/>
      <c r="V534" s="146" t="s">
        <v>2959</v>
      </c>
      <c r="W534" s="51" t="s">
        <v>2932</v>
      </c>
      <c r="X534" s="130" t="s">
        <v>1429</v>
      </c>
      <c r="Y534" s="130" t="s">
        <v>1429</v>
      </c>
      <c r="Z534" s="51"/>
      <c r="AA534" s="51" t="s">
        <v>2612</v>
      </c>
      <c r="AB534" s="146"/>
      <c r="AC534" s="146" t="s">
        <v>1429</v>
      </c>
      <c r="AD534" s="98"/>
      <c r="AE534" s="83"/>
      <c r="AF534" s="83"/>
      <c r="AG534" s="83"/>
      <c r="AH534" s="86"/>
      <c r="AI534" s="86"/>
      <c r="AJ534" s="87"/>
      <c r="AK534" s="87"/>
      <c r="AL534" s="87"/>
      <c r="AM534" s="87"/>
      <c r="AN534" s="87"/>
      <c r="AO534" s="87"/>
      <c r="AP534" s="87"/>
      <c r="AQ534" s="229" t="s">
        <v>779</v>
      </c>
      <c r="AR534" s="5"/>
      <c r="AS534" s="5"/>
      <c r="AT534" s="5"/>
      <c r="AU534" s="5"/>
      <c r="AV534" s="5"/>
      <c r="AW534" s="5"/>
      <c r="AX534" s="284"/>
      <c r="AY534" s="5"/>
      <c r="AZ534" s="5"/>
      <c r="BA534" s="230"/>
      <c r="BB534" s="5"/>
      <c r="BC534" s="232" t="s">
        <v>3536</v>
      </c>
      <c r="BD534" s="257"/>
      <c r="BE534" s="249"/>
      <c r="BF534" s="249"/>
      <c r="BG534" s="249"/>
      <c r="BH534" s="249"/>
      <c r="BI534" s="249"/>
      <c r="BJ534" s="249"/>
      <c r="BK534" s="249"/>
      <c r="BL534" s="249"/>
      <c r="BM534" s="249"/>
      <c r="BN534" s="249"/>
      <c r="BO534" s="249"/>
      <c r="BP534" s="249"/>
      <c r="BQ534" s="249"/>
      <c r="BR534" s="249"/>
      <c r="BS534" s="249"/>
      <c r="BT534" s="249"/>
      <c r="BU534" s="249"/>
      <c r="BV534" s="249"/>
      <c r="BW534" s="249"/>
      <c r="BX534" s="249"/>
      <c r="BY534" s="249"/>
      <c r="BZ534" s="249"/>
      <c r="CA534" s="249"/>
      <c r="CB534" s="249"/>
      <c r="CC534" s="249"/>
      <c r="CD534" s="249"/>
      <c r="CE534" s="249"/>
    </row>
    <row r="535" spans="1:83" s="84" customFormat="1" ht="12.95" customHeight="1">
      <c r="A535" s="1"/>
      <c r="B535" s="1"/>
      <c r="C535" s="18" t="s">
        <v>780</v>
      </c>
      <c r="D535" s="52" t="s">
        <v>2960</v>
      </c>
      <c r="E535" s="52" t="s">
        <v>2961</v>
      </c>
      <c r="F535" s="53" t="s">
        <v>1074</v>
      </c>
      <c r="G535" s="179" t="s">
        <v>1429</v>
      </c>
      <c r="H535" s="180" t="s">
        <v>780</v>
      </c>
      <c r="I535" s="55" t="s">
        <v>1429</v>
      </c>
      <c r="J535" s="55" t="s">
        <v>1429</v>
      </c>
      <c r="K535" s="56" t="s">
        <v>1429</v>
      </c>
      <c r="L535" s="54" t="s">
        <v>1429</v>
      </c>
      <c r="M535" s="55" t="s">
        <v>1580</v>
      </c>
      <c r="N535" s="55" t="s">
        <v>1429</v>
      </c>
      <c r="O535" s="55" t="s">
        <v>1429</v>
      </c>
      <c r="P535" s="56" t="s">
        <v>1429</v>
      </c>
      <c r="Q535" s="85"/>
      <c r="R535" s="85"/>
      <c r="S535" s="85"/>
      <c r="T535" s="85"/>
      <c r="U535" s="85"/>
      <c r="V535" s="146" t="s">
        <v>2962</v>
      </c>
      <c r="W535" s="51" t="s">
        <v>2932</v>
      </c>
      <c r="X535" s="130" t="s">
        <v>1429</v>
      </c>
      <c r="Y535" s="130" t="s">
        <v>1429</v>
      </c>
      <c r="Z535" s="51"/>
      <c r="AA535" s="51" t="s">
        <v>2612</v>
      </c>
      <c r="AB535" s="146"/>
      <c r="AC535" s="146" t="s">
        <v>1429</v>
      </c>
      <c r="AD535" s="98"/>
      <c r="AE535" s="83"/>
      <c r="AF535" s="83"/>
      <c r="AG535" s="83"/>
      <c r="AH535" s="86"/>
      <c r="AI535" s="86"/>
      <c r="AJ535" s="87"/>
      <c r="AK535" s="87"/>
      <c r="AL535" s="87"/>
      <c r="AM535" s="87"/>
      <c r="AN535" s="87"/>
      <c r="AO535" s="87"/>
      <c r="AP535" s="87"/>
      <c r="AQ535" s="229" t="s">
        <v>780</v>
      </c>
      <c r="AR535" s="5"/>
      <c r="AS535" s="5"/>
      <c r="AT535" s="5"/>
      <c r="AU535" s="5"/>
      <c r="AV535" s="5"/>
      <c r="AW535" s="5"/>
      <c r="AX535" s="284"/>
      <c r="AY535" s="5"/>
      <c r="AZ535" s="5"/>
      <c r="BA535" s="230"/>
      <c r="BB535" s="5"/>
      <c r="BC535" s="232" t="s">
        <v>3536</v>
      </c>
      <c r="BD535" s="257"/>
      <c r="BE535" s="249"/>
      <c r="BF535" s="249"/>
      <c r="BG535" s="249"/>
      <c r="BH535" s="249"/>
      <c r="BI535" s="249"/>
      <c r="BJ535" s="249"/>
      <c r="BK535" s="249"/>
      <c r="BL535" s="249"/>
      <c r="BM535" s="249"/>
      <c r="BN535" s="249"/>
      <c r="BO535" s="249"/>
      <c r="BP535" s="249"/>
      <c r="BQ535" s="249"/>
      <c r="BR535" s="249"/>
      <c r="BS535" s="249"/>
      <c r="BT535" s="249"/>
      <c r="BU535" s="249"/>
      <c r="BV535" s="249"/>
      <c r="BW535" s="249"/>
      <c r="BX535" s="249"/>
      <c r="BY535" s="249"/>
      <c r="BZ535" s="249"/>
      <c r="CA535" s="249"/>
      <c r="CB535" s="249"/>
      <c r="CC535" s="249"/>
      <c r="CD535" s="249"/>
      <c r="CE535" s="249"/>
    </row>
    <row r="536" spans="1:83" s="84" customFormat="1" ht="12.95" customHeight="1">
      <c r="A536" s="1"/>
      <c r="B536" s="1"/>
      <c r="C536" s="18" t="s">
        <v>781</v>
      </c>
      <c r="D536" s="52" t="s">
        <v>2963</v>
      </c>
      <c r="E536" s="52" t="s">
        <v>2964</v>
      </c>
      <c r="F536" s="53" t="s">
        <v>1075</v>
      </c>
      <c r="G536" s="179" t="s">
        <v>1429</v>
      </c>
      <c r="H536" s="180" t="s">
        <v>781</v>
      </c>
      <c r="I536" s="55" t="s">
        <v>1429</v>
      </c>
      <c r="J536" s="55" t="s">
        <v>1429</v>
      </c>
      <c r="K536" s="56" t="s">
        <v>1429</v>
      </c>
      <c r="L536" s="54" t="s">
        <v>1429</v>
      </c>
      <c r="M536" s="55" t="s">
        <v>1580</v>
      </c>
      <c r="N536" s="55" t="s">
        <v>1429</v>
      </c>
      <c r="O536" s="55" t="s">
        <v>1429</v>
      </c>
      <c r="P536" s="56" t="s">
        <v>1429</v>
      </c>
      <c r="Q536" s="85"/>
      <c r="R536" s="85"/>
      <c r="S536" s="85"/>
      <c r="T536" s="85"/>
      <c r="U536" s="85"/>
      <c r="V536" s="146" t="s">
        <v>2965</v>
      </c>
      <c r="W536" s="51" t="s">
        <v>2932</v>
      </c>
      <c r="X536" s="130" t="s">
        <v>1429</v>
      </c>
      <c r="Y536" s="130" t="s">
        <v>1429</v>
      </c>
      <c r="Z536" s="51"/>
      <c r="AA536" s="51" t="s">
        <v>2612</v>
      </c>
      <c r="AB536" s="146"/>
      <c r="AC536" s="146" t="s">
        <v>1429</v>
      </c>
      <c r="AD536" s="98"/>
      <c r="AE536" s="83"/>
      <c r="AF536" s="83"/>
      <c r="AG536" s="83"/>
      <c r="AH536" s="86"/>
      <c r="AI536" s="86"/>
      <c r="AJ536" s="87"/>
      <c r="AK536" s="87"/>
      <c r="AL536" s="87"/>
      <c r="AM536" s="87"/>
      <c r="AN536" s="87"/>
      <c r="AO536" s="87"/>
      <c r="AP536" s="87"/>
      <c r="AQ536" s="229" t="s">
        <v>781</v>
      </c>
      <c r="AR536" s="5"/>
      <c r="AS536" s="5"/>
      <c r="AT536" s="5"/>
      <c r="AU536" s="5"/>
      <c r="AV536" s="5"/>
      <c r="AW536" s="5"/>
      <c r="AX536" s="284"/>
      <c r="AY536" s="5"/>
      <c r="AZ536" s="5"/>
      <c r="BA536" s="230"/>
      <c r="BB536" s="5"/>
      <c r="BC536" s="232" t="s">
        <v>3536</v>
      </c>
      <c r="BD536" s="257"/>
      <c r="BE536" s="249"/>
      <c r="BF536" s="249"/>
      <c r="BG536" s="249"/>
      <c r="BH536" s="249"/>
      <c r="BI536" s="249"/>
      <c r="BJ536" s="249"/>
      <c r="BK536" s="249"/>
      <c r="BL536" s="249"/>
      <c r="BM536" s="249"/>
      <c r="BN536" s="249"/>
      <c r="BO536" s="249"/>
      <c r="BP536" s="249"/>
      <c r="BQ536" s="249"/>
      <c r="BR536" s="249"/>
      <c r="BS536" s="249"/>
      <c r="BT536" s="249"/>
      <c r="BU536" s="249"/>
      <c r="BV536" s="249"/>
      <c r="BW536" s="249"/>
      <c r="BX536" s="249"/>
      <c r="BY536" s="249"/>
      <c r="BZ536" s="249"/>
      <c r="CA536" s="249"/>
      <c r="CB536" s="249"/>
      <c r="CC536" s="249"/>
      <c r="CD536" s="249"/>
      <c r="CE536" s="249"/>
    </row>
    <row r="537" spans="1:83" s="84" customFormat="1" ht="12.95" customHeight="1">
      <c r="A537" s="1"/>
      <c r="B537" s="1"/>
      <c r="C537" s="18" t="s">
        <v>782</v>
      </c>
      <c r="D537" s="52" t="s">
        <v>2966</v>
      </c>
      <c r="E537" s="52" t="s">
        <v>2967</v>
      </c>
      <c r="F537" s="53" t="s">
        <v>1076</v>
      </c>
      <c r="G537" s="179" t="s">
        <v>1429</v>
      </c>
      <c r="H537" s="180" t="s">
        <v>782</v>
      </c>
      <c r="I537" s="55" t="s">
        <v>1429</v>
      </c>
      <c r="J537" s="55" t="s">
        <v>1429</v>
      </c>
      <c r="K537" s="56" t="s">
        <v>1429</v>
      </c>
      <c r="L537" s="54" t="s">
        <v>1429</v>
      </c>
      <c r="M537" s="55" t="s">
        <v>1580</v>
      </c>
      <c r="N537" s="55" t="s">
        <v>1429</v>
      </c>
      <c r="O537" s="55" t="s">
        <v>1429</v>
      </c>
      <c r="P537" s="56" t="s">
        <v>1429</v>
      </c>
      <c r="Q537" s="85"/>
      <c r="R537" s="85"/>
      <c r="S537" s="85"/>
      <c r="T537" s="85"/>
      <c r="U537" s="85"/>
      <c r="V537" s="146" t="s">
        <v>2968</v>
      </c>
      <c r="W537" s="51" t="s">
        <v>2932</v>
      </c>
      <c r="X537" s="130" t="s">
        <v>1429</v>
      </c>
      <c r="Y537" s="130" t="s">
        <v>1429</v>
      </c>
      <c r="Z537" s="51"/>
      <c r="AA537" s="51" t="s">
        <v>2612</v>
      </c>
      <c r="AB537" s="146"/>
      <c r="AC537" s="146" t="s">
        <v>1429</v>
      </c>
      <c r="AD537" s="98"/>
      <c r="AE537" s="83"/>
      <c r="AF537" s="83"/>
      <c r="AG537" s="83"/>
      <c r="AH537" s="86"/>
      <c r="AI537" s="86"/>
      <c r="AJ537" s="87"/>
      <c r="AK537" s="87"/>
      <c r="AL537" s="87"/>
      <c r="AM537" s="87"/>
      <c r="AN537" s="87"/>
      <c r="AO537" s="87"/>
      <c r="AP537" s="87"/>
      <c r="AQ537" s="229" t="s">
        <v>782</v>
      </c>
      <c r="AR537" s="5"/>
      <c r="AS537" s="5"/>
      <c r="AT537" s="5"/>
      <c r="AU537" s="5"/>
      <c r="AV537" s="5"/>
      <c r="AW537" s="5"/>
      <c r="AX537" s="284"/>
      <c r="AY537" s="5"/>
      <c r="AZ537" s="5"/>
      <c r="BA537" s="230"/>
      <c r="BB537" s="5"/>
      <c r="BC537" s="232" t="s">
        <v>3536</v>
      </c>
      <c r="BD537" s="257"/>
      <c r="BE537" s="249"/>
      <c r="BF537" s="249"/>
      <c r="BG537" s="249"/>
      <c r="BH537" s="249"/>
      <c r="BI537" s="249"/>
      <c r="BJ537" s="249"/>
      <c r="BK537" s="249"/>
      <c r="BL537" s="249"/>
      <c r="BM537" s="249"/>
      <c r="BN537" s="249"/>
      <c r="BO537" s="249"/>
      <c r="BP537" s="249"/>
      <c r="BQ537" s="249"/>
      <c r="BR537" s="249"/>
      <c r="BS537" s="249"/>
      <c r="BT537" s="249"/>
      <c r="BU537" s="249"/>
      <c r="BV537" s="249"/>
      <c r="BW537" s="249"/>
      <c r="BX537" s="249"/>
      <c r="BY537" s="249"/>
      <c r="BZ537" s="249"/>
      <c r="CA537" s="249"/>
      <c r="CB537" s="249"/>
      <c r="CC537" s="249"/>
      <c r="CD537" s="249"/>
      <c r="CE537" s="249"/>
    </row>
    <row r="538" spans="1:83" s="84" customFormat="1" ht="12.95" customHeight="1">
      <c r="A538" s="1"/>
      <c r="B538" s="1"/>
      <c r="C538" s="18" t="s">
        <v>783</v>
      </c>
      <c r="D538" s="52" t="s">
        <v>2944</v>
      </c>
      <c r="E538" s="52" t="s">
        <v>2969</v>
      </c>
      <c r="F538" s="53" t="s">
        <v>1077</v>
      </c>
      <c r="G538" s="179" t="s">
        <v>1429</v>
      </c>
      <c r="H538" s="180" t="s">
        <v>783</v>
      </c>
      <c r="I538" s="55" t="s">
        <v>1429</v>
      </c>
      <c r="J538" s="55" t="s">
        <v>1429</v>
      </c>
      <c r="K538" s="56" t="s">
        <v>1429</v>
      </c>
      <c r="L538" s="54" t="s">
        <v>1429</v>
      </c>
      <c r="M538" s="55" t="s">
        <v>1580</v>
      </c>
      <c r="N538" s="55" t="s">
        <v>1429</v>
      </c>
      <c r="O538" s="55" t="s">
        <v>1429</v>
      </c>
      <c r="P538" s="56" t="s">
        <v>1429</v>
      </c>
      <c r="Q538" s="85"/>
      <c r="R538" s="85"/>
      <c r="S538" s="85"/>
      <c r="T538" s="85"/>
      <c r="U538" s="85"/>
      <c r="V538" s="146" t="s">
        <v>2970</v>
      </c>
      <c r="W538" s="51" t="s">
        <v>2932</v>
      </c>
      <c r="X538" s="130" t="s">
        <v>1429</v>
      </c>
      <c r="Y538" s="130" t="s">
        <v>1429</v>
      </c>
      <c r="Z538" s="51"/>
      <c r="AA538" s="51" t="s">
        <v>2612</v>
      </c>
      <c r="AB538" s="146"/>
      <c r="AC538" s="146" t="s">
        <v>1429</v>
      </c>
      <c r="AD538" s="98"/>
      <c r="AE538" s="83"/>
      <c r="AF538" s="83"/>
      <c r="AG538" s="83"/>
      <c r="AH538" s="86"/>
      <c r="AI538" s="86"/>
      <c r="AJ538" s="87"/>
      <c r="AK538" s="87"/>
      <c r="AL538" s="87"/>
      <c r="AM538" s="87"/>
      <c r="AN538" s="87"/>
      <c r="AO538" s="87"/>
      <c r="AP538" s="87"/>
      <c r="AQ538" s="229" t="s">
        <v>783</v>
      </c>
      <c r="AR538" s="5"/>
      <c r="AS538" s="5"/>
      <c r="AT538" s="5"/>
      <c r="AU538" s="5"/>
      <c r="AV538" s="5"/>
      <c r="AW538" s="5"/>
      <c r="AX538" s="284"/>
      <c r="AY538" s="5"/>
      <c r="AZ538" s="5"/>
      <c r="BA538" s="230"/>
      <c r="BB538" s="5"/>
      <c r="BC538" s="232" t="s">
        <v>3536</v>
      </c>
      <c r="BD538" s="257"/>
      <c r="BE538" s="249"/>
      <c r="BF538" s="249"/>
      <c r="BG538" s="249"/>
      <c r="BH538" s="249"/>
      <c r="BI538" s="249"/>
      <c r="BJ538" s="249"/>
      <c r="BK538" s="249"/>
      <c r="BL538" s="249"/>
      <c r="BM538" s="249"/>
      <c r="BN538" s="249"/>
      <c r="BO538" s="249"/>
      <c r="BP538" s="249"/>
      <c r="BQ538" s="249"/>
      <c r="BR538" s="249"/>
      <c r="BS538" s="249"/>
      <c r="BT538" s="249"/>
      <c r="BU538" s="249"/>
      <c r="BV538" s="249"/>
      <c r="BW538" s="249"/>
      <c r="BX538" s="249"/>
      <c r="BY538" s="249"/>
      <c r="BZ538" s="249"/>
      <c r="CA538" s="249"/>
      <c r="CB538" s="249"/>
      <c r="CC538" s="249"/>
      <c r="CD538" s="249"/>
      <c r="CE538" s="249"/>
    </row>
    <row r="539" spans="1:83" s="84" customFormat="1" ht="12.95" customHeight="1">
      <c r="A539" s="1"/>
      <c r="B539" s="1"/>
      <c r="C539" s="18" t="s">
        <v>784</v>
      </c>
      <c r="D539" s="52" t="s">
        <v>2971</v>
      </c>
      <c r="E539" s="52" t="s">
        <v>2972</v>
      </c>
      <c r="F539" s="53" t="s">
        <v>1078</v>
      </c>
      <c r="G539" s="179" t="s">
        <v>1429</v>
      </c>
      <c r="H539" s="180" t="s">
        <v>784</v>
      </c>
      <c r="I539" s="55" t="s">
        <v>1429</v>
      </c>
      <c r="J539" s="55" t="s">
        <v>1429</v>
      </c>
      <c r="K539" s="56" t="s">
        <v>1429</v>
      </c>
      <c r="L539" s="54" t="s">
        <v>1429</v>
      </c>
      <c r="M539" s="55" t="s">
        <v>1580</v>
      </c>
      <c r="N539" s="55" t="s">
        <v>1429</v>
      </c>
      <c r="O539" s="55" t="s">
        <v>1429</v>
      </c>
      <c r="P539" s="56" t="s">
        <v>1429</v>
      </c>
      <c r="Q539" s="85"/>
      <c r="R539" s="85"/>
      <c r="S539" s="85"/>
      <c r="T539" s="85"/>
      <c r="U539" s="85"/>
      <c r="V539" s="146" t="s">
        <v>2973</v>
      </c>
      <c r="W539" s="51" t="s">
        <v>2932</v>
      </c>
      <c r="X539" s="130" t="s">
        <v>1429</v>
      </c>
      <c r="Y539" s="130" t="s">
        <v>1429</v>
      </c>
      <c r="Z539" s="51"/>
      <c r="AA539" s="51" t="s">
        <v>2612</v>
      </c>
      <c r="AB539" s="146"/>
      <c r="AC539" s="146" t="s">
        <v>1429</v>
      </c>
      <c r="AD539" s="98"/>
      <c r="AE539" s="83"/>
      <c r="AF539" s="83"/>
      <c r="AG539" s="83"/>
      <c r="AH539" s="86"/>
      <c r="AI539" s="86"/>
      <c r="AJ539" s="87"/>
      <c r="AK539" s="87"/>
      <c r="AL539" s="87"/>
      <c r="AM539" s="87"/>
      <c r="AN539" s="87"/>
      <c r="AO539" s="87"/>
      <c r="AP539" s="87"/>
      <c r="AQ539" s="229" t="s">
        <v>784</v>
      </c>
      <c r="AR539" s="5"/>
      <c r="AS539" s="5"/>
      <c r="AT539" s="5"/>
      <c r="AU539" s="5"/>
      <c r="AV539" s="5"/>
      <c r="AW539" s="5"/>
      <c r="AX539" s="284"/>
      <c r="AY539" s="5"/>
      <c r="AZ539" s="5"/>
      <c r="BA539" s="230"/>
      <c r="BB539" s="5"/>
      <c r="BC539" s="232" t="s">
        <v>3536</v>
      </c>
      <c r="BD539" s="257"/>
      <c r="BE539" s="249"/>
      <c r="BF539" s="249"/>
      <c r="BG539" s="249"/>
      <c r="BH539" s="249"/>
      <c r="BI539" s="249"/>
      <c r="BJ539" s="249"/>
      <c r="BK539" s="249"/>
      <c r="BL539" s="249"/>
      <c r="BM539" s="249"/>
      <c r="BN539" s="249"/>
      <c r="BO539" s="249"/>
      <c r="BP539" s="249"/>
      <c r="BQ539" s="249"/>
      <c r="BR539" s="249"/>
      <c r="BS539" s="249"/>
      <c r="BT539" s="249"/>
      <c r="BU539" s="249"/>
      <c r="BV539" s="249"/>
      <c r="BW539" s="249"/>
      <c r="BX539" s="249"/>
      <c r="BY539" s="249"/>
      <c r="BZ539" s="249"/>
      <c r="CA539" s="249"/>
      <c r="CB539" s="249"/>
      <c r="CC539" s="249"/>
      <c r="CD539" s="249"/>
      <c r="CE539" s="249"/>
    </row>
    <row r="540" spans="1:83" s="84" customFormat="1" ht="12.95" customHeight="1">
      <c r="A540" s="1"/>
      <c r="B540" s="1"/>
      <c r="C540" s="18" t="s">
        <v>785</v>
      </c>
      <c r="D540" s="52" t="s">
        <v>2974</v>
      </c>
      <c r="E540" s="52" t="s">
        <v>2975</v>
      </c>
      <c r="F540" s="53" t="s">
        <v>1079</v>
      </c>
      <c r="G540" s="179" t="s">
        <v>1429</v>
      </c>
      <c r="H540" s="180" t="s">
        <v>785</v>
      </c>
      <c r="I540" s="55" t="s">
        <v>1429</v>
      </c>
      <c r="J540" s="55" t="s">
        <v>1429</v>
      </c>
      <c r="K540" s="56" t="s">
        <v>1429</v>
      </c>
      <c r="L540" s="54" t="s">
        <v>1429</v>
      </c>
      <c r="M540" s="55" t="s">
        <v>1580</v>
      </c>
      <c r="N540" s="55" t="s">
        <v>1429</v>
      </c>
      <c r="O540" s="55" t="s">
        <v>1429</v>
      </c>
      <c r="P540" s="56" t="s">
        <v>1429</v>
      </c>
      <c r="Q540" s="85"/>
      <c r="R540" s="85"/>
      <c r="S540" s="85"/>
      <c r="T540" s="85"/>
      <c r="U540" s="85"/>
      <c r="V540" s="146" t="s">
        <v>2976</v>
      </c>
      <c r="W540" s="51" t="s">
        <v>2932</v>
      </c>
      <c r="X540" s="130" t="s">
        <v>1429</v>
      </c>
      <c r="Y540" s="130" t="s">
        <v>1429</v>
      </c>
      <c r="Z540" s="51"/>
      <c r="AA540" s="51" t="s">
        <v>2612</v>
      </c>
      <c r="AB540" s="146"/>
      <c r="AC540" s="146" t="s">
        <v>1429</v>
      </c>
      <c r="AD540" s="98"/>
      <c r="AE540" s="83"/>
      <c r="AF540" s="83"/>
      <c r="AG540" s="83"/>
      <c r="AH540" s="86"/>
      <c r="AI540" s="86"/>
      <c r="AJ540" s="87"/>
      <c r="AK540" s="87"/>
      <c r="AL540" s="87"/>
      <c r="AM540" s="87"/>
      <c r="AN540" s="87"/>
      <c r="AO540" s="87"/>
      <c r="AP540" s="87"/>
      <c r="AQ540" s="229" t="s">
        <v>785</v>
      </c>
      <c r="AR540" s="5"/>
      <c r="AS540" s="5"/>
      <c r="AT540" s="5"/>
      <c r="AU540" s="5"/>
      <c r="AV540" s="5"/>
      <c r="AW540" s="5"/>
      <c r="AX540" s="284"/>
      <c r="AY540" s="5"/>
      <c r="AZ540" s="5"/>
      <c r="BA540" s="230"/>
      <c r="BB540" s="5"/>
      <c r="BC540" s="232" t="s">
        <v>3536</v>
      </c>
      <c r="BD540" s="257"/>
      <c r="BE540" s="249"/>
      <c r="BF540" s="249"/>
      <c r="BG540" s="249"/>
      <c r="BH540" s="249"/>
      <c r="BI540" s="249"/>
      <c r="BJ540" s="249"/>
      <c r="BK540" s="249"/>
      <c r="BL540" s="249"/>
      <c r="BM540" s="249"/>
      <c r="BN540" s="249"/>
      <c r="BO540" s="249"/>
      <c r="BP540" s="249"/>
      <c r="BQ540" s="249"/>
      <c r="BR540" s="249"/>
      <c r="BS540" s="249"/>
      <c r="BT540" s="249"/>
      <c r="BU540" s="249"/>
      <c r="BV540" s="249"/>
      <c r="BW540" s="249"/>
      <c r="BX540" s="249"/>
      <c r="BY540" s="249"/>
      <c r="BZ540" s="249"/>
      <c r="CA540" s="249"/>
      <c r="CB540" s="249"/>
      <c r="CC540" s="249"/>
      <c r="CD540" s="249"/>
      <c r="CE540" s="249"/>
    </row>
    <row r="541" spans="1:83" s="84" customFormat="1" ht="12.95" customHeight="1">
      <c r="A541" s="1"/>
      <c r="B541" s="1"/>
      <c r="C541" s="18" t="s">
        <v>786</v>
      </c>
      <c r="D541" s="52" t="s">
        <v>2977</v>
      </c>
      <c r="E541" s="52" t="s">
        <v>2978</v>
      </c>
      <c r="F541" s="53" t="s">
        <v>1080</v>
      </c>
      <c r="G541" s="179" t="s">
        <v>1429</v>
      </c>
      <c r="H541" s="180" t="s">
        <v>786</v>
      </c>
      <c r="I541" s="55" t="s">
        <v>1429</v>
      </c>
      <c r="J541" s="55" t="s">
        <v>1429</v>
      </c>
      <c r="K541" s="56" t="s">
        <v>1429</v>
      </c>
      <c r="L541" s="54" t="s">
        <v>1429</v>
      </c>
      <c r="M541" s="55" t="s">
        <v>1580</v>
      </c>
      <c r="N541" s="55" t="s">
        <v>1429</v>
      </c>
      <c r="O541" s="55" t="s">
        <v>1429</v>
      </c>
      <c r="P541" s="56" t="s">
        <v>1429</v>
      </c>
      <c r="Q541" s="85"/>
      <c r="R541" s="85"/>
      <c r="S541" s="85"/>
      <c r="T541" s="85"/>
      <c r="U541" s="85"/>
      <c r="V541" s="146" t="s">
        <v>2979</v>
      </c>
      <c r="W541" s="51" t="s">
        <v>2932</v>
      </c>
      <c r="X541" s="130" t="s">
        <v>1429</v>
      </c>
      <c r="Y541" s="130" t="s">
        <v>1429</v>
      </c>
      <c r="Z541" s="51"/>
      <c r="AA541" s="51" t="s">
        <v>2612</v>
      </c>
      <c r="AB541" s="146"/>
      <c r="AC541" s="146" t="s">
        <v>1429</v>
      </c>
      <c r="AD541" s="98"/>
      <c r="AE541" s="83"/>
      <c r="AF541" s="83"/>
      <c r="AG541" s="83"/>
      <c r="AH541" s="86"/>
      <c r="AI541" s="86"/>
      <c r="AJ541" s="87"/>
      <c r="AK541" s="87"/>
      <c r="AL541" s="87"/>
      <c r="AM541" s="87"/>
      <c r="AN541" s="87"/>
      <c r="AO541" s="87"/>
      <c r="AP541" s="87"/>
      <c r="AQ541" s="229" t="s">
        <v>786</v>
      </c>
      <c r="AR541" s="5"/>
      <c r="AS541" s="5"/>
      <c r="AT541" s="5"/>
      <c r="AU541" s="5"/>
      <c r="AV541" s="5"/>
      <c r="AW541" s="5"/>
      <c r="AX541" s="284"/>
      <c r="AY541" s="5"/>
      <c r="AZ541" s="5"/>
      <c r="BA541" s="230"/>
      <c r="BB541" s="5"/>
      <c r="BC541" s="232" t="s">
        <v>3536</v>
      </c>
      <c r="BD541" s="257"/>
      <c r="BE541" s="249"/>
      <c r="BF541" s="249"/>
      <c r="BG541" s="249"/>
      <c r="BH541" s="249"/>
      <c r="BI541" s="249"/>
      <c r="BJ541" s="249"/>
      <c r="BK541" s="249"/>
      <c r="BL541" s="249"/>
      <c r="BM541" s="249"/>
      <c r="BN541" s="249"/>
      <c r="BO541" s="249"/>
      <c r="BP541" s="249"/>
      <c r="BQ541" s="249"/>
      <c r="BR541" s="249"/>
      <c r="BS541" s="249"/>
      <c r="BT541" s="249"/>
      <c r="BU541" s="249"/>
      <c r="BV541" s="249"/>
      <c r="BW541" s="249"/>
      <c r="BX541" s="249"/>
      <c r="BY541" s="249"/>
      <c r="BZ541" s="249"/>
      <c r="CA541" s="249"/>
      <c r="CB541" s="249"/>
      <c r="CC541" s="249"/>
      <c r="CD541" s="249"/>
      <c r="CE541" s="249"/>
    </row>
    <row r="542" spans="1:83" s="84" customFormat="1" ht="12.95" customHeight="1">
      <c r="A542" s="1"/>
      <c r="B542" s="1"/>
      <c r="C542" s="18" t="s">
        <v>787</v>
      </c>
      <c r="D542" s="52" t="s">
        <v>2980</v>
      </c>
      <c r="E542" s="52" t="s">
        <v>2981</v>
      </c>
      <c r="F542" s="53" t="s">
        <v>1081</v>
      </c>
      <c r="G542" s="179" t="s">
        <v>1429</v>
      </c>
      <c r="H542" s="180" t="s">
        <v>787</v>
      </c>
      <c r="I542" s="55" t="s">
        <v>1429</v>
      </c>
      <c r="J542" s="55" t="s">
        <v>1429</v>
      </c>
      <c r="K542" s="56" t="s">
        <v>1429</v>
      </c>
      <c r="L542" s="54" t="s">
        <v>1429</v>
      </c>
      <c r="M542" s="55" t="s">
        <v>1580</v>
      </c>
      <c r="N542" s="55" t="s">
        <v>1429</v>
      </c>
      <c r="O542" s="55" t="s">
        <v>1429</v>
      </c>
      <c r="P542" s="56" t="s">
        <v>1429</v>
      </c>
      <c r="Q542" s="85"/>
      <c r="R542" s="85"/>
      <c r="S542" s="85"/>
      <c r="T542" s="85"/>
      <c r="U542" s="85"/>
      <c r="V542" s="146" t="s">
        <v>2982</v>
      </c>
      <c r="W542" s="51" t="s">
        <v>2932</v>
      </c>
      <c r="X542" s="130" t="s">
        <v>1429</v>
      </c>
      <c r="Y542" s="130" t="s">
        <v>1429</v>
      </c>
      <c r="Z542" s="51"/>
      <c r="AA542" s="51" t="s">
        <v>2612</v>
      </c>
      <c r="AB542" s="146"/>
      <c r="AC542" s="146" t="s">
        <v>1429</v>
      </c>
      <c r="AD542" s="98"/>
      <c r="AE542" s="83"/>
      <c r="AF542" s="83"/>
      <c r="AG542" s="83"/>
      <c r="AH542" s="86"/>
      <c r="AI542" s="86"/>
      <c r="AJ542" s="87"/>
      <c r="AK542" s="87"/>
      <c r="AL542" s="87"/>
      <c r="AM542" s="87"/>
      <c r="AN542" s="87"/>
      <c r="AO542" s="87"/>
      <c r="AP542" s="87"/>
      <c r="AQ542" s="229" t="s">
        <v>787</v>
      </c>
      <c r="AR542" s="5"/>
      <c r="AS542" s="5"/>
      <c r="AT542" s="5"/>
      <c r="AU542" s="5"/>
      <c r="AV542" s="5"/>
      <c r="AW542" s="5"/>
      <c r="AX542" s="284"/>
      <c r="AY542" s="5"/>
      <c r="AZ542" s="5"/>
      <c r="BA542" s="230"/>
      <c r="BB542" s="5"/>
      <c r="BC542" s="232" t="s">
        <v>3536</v>
      </c>
      <c r="BD542" s="257"/>
      <c r="BE542" s="249"/>
      <c r="BF542" s="249"/>
      <c r="BG542" s="249"/>
      <c r="BH542" s="249"/>
      <c r="BI542" s="249"/>
      <c r="BJ542" s="249"/>
      <c r="BK542" s="249"/>
      <c r="BL542" s="249"/>
      <c r="BM542" s="249"/>
      <c r="BN542" s="249"/>
      <c r="BO542" s="249"/>
      <c r="BP542" s="249"/>
      <c r="BQ542" s="249"/>
      <c r="BR542" s="249"/>
      <c r="BS542" s="249"/>
      <c r="BT542" s="249"/>
      <c r="BU542" s="249"/>
      <c r="BV542" s="249"/>
      <c r="BW542" s="249"/>
      <c r="BX542" s="249"/>
      <c r="BY542" s="249"/>
      <c r="BZ542" s="249"/>
      <c r="CA542" s="249"/>
      <c r="CB542" s="249"/>
      <c r="CC542" s="249"/>
      <c r="CD542" s="249"/>
      <c r="CE542" s="249"/>
    </row>
    <row r="543" spans="1:83" s="84" customFormat="1" ht="12.95" customHeight="1">
      <c r="A543" s="1"/>
      <c r="B543" s="1"/>
      <c r="C543" s="18" t="s">
        <v>788</v>
      </c>
      <c r="D543" s="52" t="s">
        <v>2981</v>
      </c>
      <c r="E543" s="52" t="s">
        <v>2983</v>
      </c>
      <c r="F543" s="53" t="s">
        <v>1082</v>
      </c>
      <c r="G543" s="179" t="s">
        <v>1429</v>
      </c>
      <c r="H543" s="180" t="s">
        <v>788</v>
      </c>
      <c r="I543" s="55" t="s">
        <v>1429</v>
      </c>
      <c r="J543" s="55" t="s">
        <v>1429</v>
      </c>
      <c r="K543" s="56" t="s">
        <v>1429</v>
      </c>
      <c r="L543" s="54" t="s">
        <v>1429</v>
      </c>
      <c r="M543" s="55" t="s">
        <v>1580</v>
      </c>
      <c r="N543" s="55" t="s">
        <v>1429</v>
      </c>
      <c r="O543" s="55" t="s">
        <v>1429</v>
      </c>
      <c r="P543" s="56" t="s">
        <v>1429</v>
      </c>
      <c r="Q543" s="85"/>
      <c r="R543" s="85"/>
      <c r="S543" s="85"/>
      <c r="T543" s="85"/>
      <c r="U543" s="85"/>
      <c r="V543" s="146" t="s">
        <v>2984</v>
      </c>
      <c r="W543" s="51" t="s">
        <v>2932</v>
      </c>
      <c r="X543" s="130" t="s">
        <v>1429</v>
      </c>
      <c r="Y543" s="130" t="s">
        <v>1429</v>
      </c>
      <c r="Z543" s="51"/>
      <c r="AA543" s="51" t="s">
        <v>2612</v>
      </c>
      <c r="AB543" s="146"/>
      <c r="AC543" s="146" t="s">
        <v>1429</v>
      </c>
      <c r="AD543" s="98"/>
      <c r="AE543" s="83"/>
      <c r="AF543" s="83"/>
      <c r="AG543" s="83"/>
      <c r="AH543" s="86"/>
      <c r="AI543" s="86"/>
      <c r="AJ543" s="87"/>
      <c r="AK543" s="87"/>
      <c r="AL543" s="87"/>
      <c r="AM543" s="87"/>
      <c r="AN543" s="87"/>
      <c r="AO543" s="87"/>
      <c r="AP543" s="87"/>
      <c r="AQ543" s="229" t="s">
        <v>788</v>
      </c>
      <c r="AR543" s="5"/>
      <c r="AS543" s="5"/>
      <c r="AT543" s="5"/>
      <c r="AU543" s="5"/>
      <c r="AV543" s="5"/>
      <c r="AW543" s="5"/>
      <c r="AX543" s="284"/>
      <c r="AY543" s="5"/>
      <c r="AZ543" s="5"/>
      <c r="BA543" s="230"/>
      <c r="BB543" s="5"/>
      <c r="BC543" s="232" t="s">
        <v>3536</v>
      </c>
      <c r="BD543" s="257"/>
      <c r="BE543" s="249"/>
      <c r="BF543" s="249"/>
      <c r="BG543" s="249"/>
      <c r="BH543" s="249"/>
      <c r="BI543" s="249"/>
      <c r="BJ543" s="249"/>
      <c r="BK543" s="249"/>
      <c r="BL543" s="249"/>
      <c r="BM543" s="249"/>
      <c r="BN543" s="249"/>
      <c r="BO543" s="249"/>
      <c r="BP543" s="249"/>
      <c r="BQ543" s="249"/>
      <c r="BR543" s="249"/>
      <c r="BS543" s="249"/>
      <c r="BT543" s="249"/>
      <c r="BU543" s="249"/>
      <c r="BV543" s="249"/>
      <c r="BW543" s="249"/>
      <c r="BX543" s="249"/>
      <c r="BY543" s="249"/>
      <c r="BZ543" s="249"/>
      <c r="CA543" s="249"/>
      <c r="CB543" s="249"/>
      <c r="CC543" s="249"/>
      <c r="CD543" s="249"/>
      <c r="CE543" s="249"/>
    </row>
    <row r="544" spans="1:83" s="84" customFormat="1" ht="12.95" customHeight="1">
      <c r="A544" s="1"/>
      <c r="B544" s="1"/>
      <c r="C544" s="21" t="s">
        <v>789</v>
      </c>
      <c r="D544" s="52" t="s">
        <v>2958</v>
      </c>
      <c r="E544" s="52" t="s">
        <v>2985</v>
      </c>
      <c r="F544" s="53" t="s">
        <v>1083</v>
      </c>
      <c r="G544" s="179" t="s">
        <v>1429</v>
      </c>
      <c r="H544" s="180" t="s">
        <v>789</v>
      </c>
      <c r="I544" s="55" t="s">
        <v>1429</v>
      </c>
      <c r="J544" s="55" t="s">
        <v>1429</v>
      </c>
      <c r="K544" s="56" t="s">
        <v>1429</v>
      </c>
      <c r="L544" s="54" t="s">
        <v>1429</v>
      </c>
      <c r="M544" s="55" t="s">
        <v>1580</v>
      </c>
      <c r="N544" s="55" t="s">
        <v>1429</v>
      </c>
      <c r="O544" s="55" t="s">
        <v>1429</v>
      </c>
      <c r="P544" s="56" t="s">
        <v>1429</v>
      </c>
      <c r="Q544" s="85"/>
      <c r="R544" s="85"/>
      <c r="S544" s="85"/>
      <c r="T544" s="85"/>
      <c r="U544" s="85"/>
      <c r="V544" s="146" t="s">
        <v>2986</v>
      </c>
      <c r="W544" s="51" t="s">
        <v>2932</v>
      </c>
      <c r="X544" s="130" t="s">
        <v>1429</v>
      </c>
      <c r="Y544" s="130" t="s">
        <v>1429</v>
      </c>
      <c r="Z544" s="51"/>
      <c r="AA544" s="51" t="s">
        <v>2612</v>
      </c>
      <c r="AB544" s="146"/>
      <c r="AC544" s="146" t="s">
        <v>1429</v>
      </c>
      <c r="AD544" s="98"/>
      <c r="AE544" s="83"/>
      <c r="AF544" s="83"/>
      <c r="AG544" s="83"/>
      <c r="AH544" s="86"/>
      <c r="AI544" s="86"/>
      <c r="AJ544" s="87"/>
      <c r="AK544" s="87"/>
      <c r="AL544" s="87"/>
      <c r="AM544" s="87"/>
      <c r="AN544" s="87"/>
      <c r="AO544" s="87"/>
      <c r="AP544" s="87"/>
      <c r="AQ544" s="229" t="s">
        <v>789</v>
      </c>
      <c r="AR544" s="5"/>
      <c r="AS544" s="5"/>
      <c r="AT544" s="5"/>
      <c r="AU544" s="5"/>
      <c r="AV544" s="5"/>
      <c r="AW544" s="5"/>
      <c r="AX544" s="284"/>
      <c r="AY544" s="5"/>
      <c r="AZ544" s="5"/>
      <c r="BA544" s="230"/>
      <c r="BB544" s="5"/>
      <c r="BC544" s="232" t="s">
        <v>3536</v>
      </c>
      <c r="BD544" s="257"/>
      <c r="BE544" s="249"/>
      <c r="BF544" s="249"/>
      <c r="BG544" s="249"/>
      <c r="BH544" s="249"/>
      <c r="BI544" s="249"/>
      <c r="BJ544" s="249"/>
      <c r="BK544" s="249"/>
      <c r="BL544" s="249"/>
      <c r="BM544" s="249"/>
      <c r="BN544" s="249"/>
      <c r="BO544" s="249"/>
      <c r="BP544" s="249"/>
      <c r="BQ544" s="249"/>
      <c r="BR544" s="249"/>
      <c r="BS544" s="249"/>
      <c r="BT544" s="249"/>
      <c r="BU544" s="249"/>
      <c r="BV544" s="249"/>
      <c r="BW544" s="249"/>
      <c r="BX544" s="249"/>
      <c r="BY544" s="249"/>
      <c r="BZ544" s="249"/>
      <c r="CA544" s="249"/>
      <c r="CB544" s="249"/>
      <c r="CC544" s="249"/>
      <c r="CD544" s="249"/>
      <c r="CE544" s="249"/>
    </row>
    <row r="545" spans="1:83" s="84" customFormat="1" ht="12.95" customHeight="1">
      <c r="A545" s="1"/>
      <c r="B545" s="1"/>
      <c r="C545" s="21" t="s">
        <v>790</v>
      </c>
      <c r="D545" s="52" t="s">
        <v>2946</v>
      </c>
      <c r="E545" s="52" t="s">
        <v>2987</v>
      </c>
      <c r="F545" s="53" t="s">
        <v>1084</v>
      </c>
      <c r="G545" s="179" t="s">
        <v>1429</v>
      </c>
      <c r="H545" s="180" t="s">
        <v>790</v>
      </c>
      <c r="I545" s="55" t="s">
        <v>1429</v>
      </c>
      <c r="J545" s="55" t="s">
        <v>1429</v>
      </c>
      <c r="K545" s="56" t="s">
        <v>1429</v>
      </c>
      <c r="L545" s="54" t="s">
        <v>1429</v>
      </c>
      <c r="M545" s="55" t="s">
        <v>1580</v>
      </c>
      <c r="N545" s="55" t="s">
        <v>1429</v>
      </c>
      <c r="O545" s="55" t="s">
        <v>1429</v>
      </c>
      <c r="P545" s="56" t="s">
        <v>1429</v>
      </c>
      <c r="Q545" s="85"/>
      <c r="R545" s="85"/>
      <c r="S545" s="85"/>
      <c r="T545" s="85"/>
      <c r="U545" s="85"/>
      <c r="V545" s="146" t="s">
        <v>2988</v>
      </c>
      <c r="W545" s="51" t="s">
        <v>2932</v>
      </c>
      <c r="X545" s="130" t="s">
        <v>1429</v>
      </c>
      <c r="Y545" s="130" t="s">
        <v>1429</v>
      </c>
      <c r="Z545" s="51"/>
      <c r="AA545" s="51" t="s">
        <v>2612</v>
      </c>
      <c r="AB545" s="146"/>
      <c r="AC545" s="146" t="s">
        <v>1429</v>
      </c>
      <c r="AD545" s="98"/>
      <c r="AE545" s="83"/>
      <c r="AF545" s="83"/>
      <c r="AG545" s="83"/>
      <c r="AH545" s="86"/>
      <c r="AI545" s="86"/>
      <c r="AJ545" s="87"/>
      <c r="AK545" s="87"/>
      <c r="AL545" s="87"/>
      <c r="AM545" s="87"/>
      <c r="AN545" s="87"/>
      <c r="AO545" s="87"/>
      <c r="AP545" s="87"/>
      <c r="AQ545" s="229" t="s">
        <v>790</v>
      </c>
      <c r="AR545" s="5"/>
      <c r="AS545" s="5"/>
      <c r="AT545" s="5"/>
      <c r="AU545" s="5"/>
      <c r="AV545" s="5"/>
      <c r="AW545" s="5"/>
      <c r="AX545" s="284"/>
      <c r="AY545" s="5"/>
      <c r="AZ545" s="5"/>
      <c r="BA545" s="230"/>
      <c r="BB545" s="5"/>
      <c r="BC545" s="232" t="s">
        <v>3536</v>
      </c>
      <c r="BD545" s="257"/>
      <c r="BE545" s="249"/>
      <c r="BF545" s="249"/>
      <c r="BG545" s="249"/>
      <c r="BH545" s="249"/>
      <c r="BI545" s="249"/>
      <c r="BJ545" s="249"/>
      <c r="BK545" s="249"/>
      <c r="BL545" s="249"/>
      <c r="BM545" s="249"/>
      <c r="BN545" s="249"/>
      <c r="BO545" s="249"/>
      <c r="BP545" s="249"/>
      <c r="BQ545" s="249"/>
      <c r="BR545" s="249"/>
      <c r="BS545" s="249"/>
      <c r="BT545" s="249"/>
      <c r="BU545" s="249"/>
      <c r="BV545" s="249"/>
      <c r="BW545" s="249"/>
      <c r="BX545" s="249"/>
      <c r="BY545" s="249"/>
      <c r="BZ545" s="249"/>
      <c r="CA545" s="249"/>
      <c r="CB545" s="249"/>
      <c r="CC545" s="249"/>
      <c r="CD545" s="249"/>
      <c r="CE545" s="249"/>
    </row>
    <row r="546" spans="1:83" s="84" customFormat="1" ht="12.95" customHeight="1">
      <c r="A546" s="1"/>
      <c r="B546" s="1"/>
      <c r="C546" s="18" t="s">
        <v>791</v>
      </c>
      <c r="D546" s="52" t="s">
        <v>2989</v>
      </c>
      <c r="E546" s="52" t="s">
        <v>2990</v>
      </c>
      <c r="F546" s="53" t="s">
        <v>1085</v>
      </c>
      <c r="G546" s="179" t="s">
        <v>1429</v>
      </c>
      <c r="H546" s="180" t="s">
        <v>791</v>
      </c>
      <c r="I546" s="55" t="s">
        <v>1429</v>
      </c>
      <c r="J546" s="55" t="s">
        <v>1429</v>
      </c>
      <c r="K546" s="56" t="s">
        <v>1429</v>
      </c>
      <c r="L546" s="54" t="s">
        <v>1429</v>
      </c>
      <c r="M546" s="55" t="s">
        <v>1580</v>
      </c>
      <c r="N546" s="55" t="s">
        <v>1429</v>
      </c>
      <c r="O546" s="55" t="s">
        <v>1429</v>
      </c>
      <c r="P546" s="56" t="s">
        <v>1429</v>
      </c>
      <c r="Q546" s="85"/>
      <c r="R546" s="85"/>
      <c r="S546" s="85"/>
      <c r="T546" s="85"/>
      <c r="U546" s="85"/>
      <c r="V546" s="146" t="s">
        <v>2991</v>
      </c>
      <c r="W546" s="51" t="s">
        <v>2932</v>
      </c>
      <c r="X546" s="130" t="s">
        <v>1429</v>
      </c>
      <c r="Y546" s="130" t="s">
        <v>1429</v>
      </c>
      <c r="Z546" s="51"/>
      <c r="AA546" s="51" t="s">
        <v>2612</v>
      </c>
      <c r="AB546" s="146"/>
      <c r="AC546" s="146" t="s">
        <v>1429</v>
      </c>
      <c r="AD546" s="98"/>
      <c r="AE546" s="83"/>
      <c r="AF546" s="83"/>
      <c r="AG546" s="83"/>
      <c r="AH546" s="86"/>
      <c r="AI546" s="86"/>
      <c r="AJ546" s="87"/>
      <c r="AK546" s="87"/>
      <c r="AL546" s="87"/>
      <c r="AM546" s="87"/>
      <c r="AN546" s="87"/>
      <c r="AO546" s="87"/>
      <c r="AP546" s="87"/>
      <c r="AQ546" s="229" t="s">
        <v>791</v>
      </c>
      <c r="AR546" s="5"/>
      <c r="AS546" s="5"/>
      <c r="AT546" s="5"/>
      <c r="AU546" s="5"/>
      <c r="AV546" s="5"/>
      <c r="AW546" s="5"/>
      <c r="AX546" s="284"/>
      <c r="AY546" s="5"/>
      <c r="AZ546" s="5"/>
      <c r="BA546" s="230"/>
      <c r="BB546" s="5"/>
      <c r="BC546" s="232" t="s">
        <v>3536</v>
      </c>
      <c r="BD546" s="257"/>
      <c r="BE546" s="249"/>
      <c r="BF546" s="249"/>
      <c r="BG546" s="249"/>
      <c r="BH546" s="249"/>
      <c r="BI546" s="249"/>
      <c r="BJ546" s="249"/>
      <c r="BK546" s="249"/>
      <c r="BL546" s="249"/>
      <c r="BM546" s="249"/>
      <c r="BN546" s="249"/>
      <c r="BO546" s="249"/>
      <c r="BP546" s="249"/>
      <c r="BQ546" s="249"/>
      <c r="BR546" s="249"/>
      <c r="BS546" s="249"/>
      <c r="BT546" s="249"/>
      <c r="BU546" s="249"/>
      <c r="BV546" s="249"/>
      <c r="BW546" s="249"/>
      <c r="BX546" s="249"/>
      <c r="BY546" s="249"/>
      <c r="BZ546" s="249"/>
      <c r="CA546" s="249"/>
      <c r="CB546" s="249"/>
      <c r="CC546" s="249"/>
      <c r="CD546" s="249"/>
      <c r="CE546" s="249"/>
    </row>
    <row r="547" spans="1:83" s="84" customFormat="1" ht="12.95" customHeight="1">
      <c r="A547" s="1"/>
      <c r="B547" s="1"/>
      <c r="C547" s="18" t="s">
        <v>792</v>
      </c>
      <c r="D547" s="52" t="s">
        <v>2992</v>
      </c>
      <c r="E547" s="52" t="s">
        <v>2993</v>
      </c>
      <c r="F547" s="53" t="s">
        <v>1086</v>
      </c>
      <c r="G547" s="179" t="s">
        <v>1429</v>
      </c>
      <c r="H547" s="180" t="s">
        <v>792</v>
      </c>
      <c r="I547" s="55" t="s">
        <v>1429</v>
      </c>
      <c r="J547" s="55" t="s">
        <v>1429</v>
      </c>
      <c r="K547" s="56" t="s">
        <v>1429</v>
      </c>
      <c r="L547" s="54" t="s">
        <v>1429</v>
      </c>
      <c r="M547" s="55" t="s">
        <v>1580</v>
      </c>
      <c r="N547" s="55" t="s">
        <v>1429</v>
      </c>
      <c r="O547" s="55" t="s">
        <v>1429</v>
      </c>
      <c r="P547" s="56" t="s">
        <v>1429</v>
      </c>
      <c r="Q547" s="85"/>
      <c r="R547" s="85"/>
      <c r="S547" s="85"/>
      <c r="T547" s="85"/>
      <c r="U547" s="85"/>
      <c r="V547" s="146" t="s">
        <v>2994</v>
      </c>
      <c r="W547" s="51" t="s">
        <v>2932</v>
      </c>
      <c r="X547" s="130" t="s">
        <v>1429</v>
      </c>
      <c r="Y547" s="130" t="s">
        <v>1429</v>
      </c>
      <c r="Z547" s="51"/>
      <c r="AA547" s="51" t="s">
        <v>2612</v>
      </c>
      <c r="AB547" s="146"/>
      <c r="AC547" s="146" t="s">
        <v>1429</v>
      </c>
      <c r="AD547" s="98"/>
      <c r="AE547" s="83"/>
      <c r="AF547" s="83"/>
      <c r="AG547" s="83"/>
      <c r="AH547" s="86"/>
      <c r="AI547" s="86"/>
      <c r="AJ547" s="87"/>
      <c r="AK547" s="87"/>
      <c r="AL547" s="87"/>
      <c r="AM547" s="87"/>
      <c r="AN547" s="87"/>
      <c r="AO547" s="87"/>
      <c r="AP547" s="87"/>
      <c r="AQ547" s="229" t="s">
        <v>792</v>
      </c>
      <c r="AR547" s="5"/>
      <c r="AS547" s="5"/>
      <c r="AT547" s="5"/>
      <c r="AU547" s="5"/>
      <c r="AV547" s="5"/>
      <c r="AW547" s="5"/>
      <c r="AX547" s="284"/>
      <c r="AY547" s="5"/>
      <c r="AZ547" s="5"/>
      <c r="BA547" s="230"/>
      <c r="BB547" s="5"/>
      <c r="BC547" s="232" t="s">
        <v>3536</v>
      </c>
      <c r="BD547" s="257"/>
      <c r="BE547" s="249"/>
      <c r="BF547" s="249"/>
      <c r="BG547" s="249"/>
      <c r="BH547" s="249"/>
      <c r="BI547" s="249"/>
      <c r="BJ547" s="249"/>
      <c r="BK547" s="249"/>
      <c r="BL547" s="249"/>
      <c r="BM547" s="249"/>
      <c r="BN547" s="249"/>
      <c r="BO547" s="249"/>
      <c r="BP547" s="249"/>
      <c r="BQ547" s="249"/>
      <c r="BR547" s="249"/>
      <c r="BS547" s="249"/>
      <c r="BT547" s="249"/>
      <c r="BU547" s="249"/>
      <c r="BV547" s="249"/>
      <c r="BW547" s="249"/>
      <c r="BX547" s="249"/>
      <c r="BY547" s="249"/>
      <c r="BZ547" s="249"/>
      <c r="CA547" s="249"/>
      <c r="CB547" s="249"/>
      <c r="CC547" s="249"/>
      <c r="CD547" s="249"/>
      <c r="CE547" s="249"/>
    </row>
    <row r="548" spans="1:83" s="84" customFormat="1" ht="12.95" customHeight="1">
      <c r="A548" s="1"/>
      <c r="B548" s="1"/>
      <c r="C548" s="18" t="s">
        <v>793</v>
      </c>
      <c r="D548" s="52" t="s">
        <v>2995</v>
      </c>
      <c r="E548" s="52" t="s">
        <v>2996</v>
      </c>
      <c r="F548" s="53" t="s">
        <v>1087</v>
      </c>
      <c r="G548" s="179" t="s">
        <v>1429</v>
      </c>
      <c r="H548" s="180" t="s">
        <v>793</v>
      </c>
      <c r="I548" s="55" t="s">
        <v>1429</v>
      </c>
      <c r="J548" s="55" t="s">
        <v>1429</v>
      </c>
      <c r="K548" s="56" t="s">
        <v>1429</v>
      </c>
      <c r="L548" s="54" t="s">
        <v>1429</v>
      </c>
      <c r="M548" s="55" t="s">
        <v>1580</v>
      </c>
      <c r="N548" s="55" t="s">
        <v>1429</v>
      </c>
      <c r="O548" s="55" t="s">
        <v>1429</v>
      </c>
      <c r="P548" s="56" t="s">
        <v>1429</v>
      </c>
      <c r="Q548" s="85"/>
      <c r="R548" s="85"/>
      <c r="S548" s="85"/>
      <c r="T548" s="85"/>
      <c r="U548" s="85"/>
      <c r="V548" s="146" t="s">
        <v>2997</v>
      </c>
      <c r="W548" s="51" t="s">
        <v>2932</v>
      </c>
      <c r="X548" s="130" t="s">
        <v>1429</v>
      </c>
      <c r="Y548" s="130" t="s">
        <v>1429</v>
      </c>
      <c r="Z548" s="51"/>
      <c r="AA548" s="51" t="s">
        <v>2612</v>
      </c>
      <c r="AB548" s="146"/>
      <c r="AC548" s="146" t="s">
        <v>1429</v>
      </c>
      <c r="AD548" s="98"/>
      <c r="AE548" s="83"/>
      <c r="AF548" s="83"/>
      <c r="AG548" s="83"/>
      <c r="AH548" s="86"/>
      <c r="AI548" s="86"/>
      <c r="AJ548" s="87"/>
      <c r="AK548" s="87"/>
      <c r="AL548" s="87"/>
      <c r="AM548" s="87"/>
      <c r="AN548" s="87"/>
      <c r="AO548" s="87"/>
      <c r="AP548" s="87"/>
      <c r="AQ548" s="229" t="s">
        <v>793</v>
      </c>
      <c r="AR548" s="5"/>
      <c r="AS548" s="5"/>
      <c r="AT548" s="5"/>
      <c r="AU548" s="5"/>
      <c r="AV548" s="5"/>
      <c r="AW548" s="5"/>
      <c r="AX548" s="284"/>
      <c r="AY548" s="5"/>
      <c r="AZ548" s="5"/>
      <c r="BA548" s="230"/>
      <c r="BB548" s="5"/>
      <c r="BC548" s="232" t="s">
        <v>3536</v>
      </c>
      <c r="BD548" s="257"/>
      <c r="BE548" s="249"/>
      <c r="BF548" s="249"/>
      <c r="BG548" s="249"/>
      <c r="BH548" s="249"/>
      <c r="BI548" s="249"/>
      <c r="BJ548" s="249"/>
      <c r="BK548" s="249"/>
      <c r="BL548" s="249"/>
      <c r="BM548" s="249"/>
      <c r="BN548" s="249"/>
      <c r="BO548" s="249"/>
      <c r="BP548" s="249"/>
      <c r="BQ548" s="249"/>
      <c r="BR548" s="249"/>
      <c r="BS548" s="249"/>
      <c r="BT548" s="249"/>
      <c r="BU548" s="249"/>
      <c r="BV548" s="249"/>
      <c r="BW548" s="249"/>
      <c r="BX548" s="249"/>
      <c r="BY548" s="249"/>
      <c r="BZ548" s="249"/>
      <c r="CA548" s="249"/>
      <c r="CB548" s="249"/>
      <c r="CC548" s="249"/>
      <c r="CD548" s="249"/>
      <c r="CE548" s="249"/>
    </row>
    <row r="549" spans="1:83" s="84" customFormat="1" ht="12.95" customHeight="1">
      <c r="A549" s="1"/>
      <c r="B549" s="1"/>
      <c r="C549" s="18" t="s">
        <v>794</v>
      </c>
      <c r="D549" s="52" t="s">
        <v>2998</v>
      </c>
      <c r="E549" s="52" t="s">
        <v>2999</v>
      </c>
      <c r="F549" s="53" t="s">
        <v>1088</v>
      </c>
      <c r="G549" s="179" t="s">
        <v>1429</v>
      </c>
      <c r="H549" s="180" t="s">
        <v>794</v>
      </c>
      <c r="I549" s="55" t="s">
        <v>1429</v>
      </c>
      <c r="J549" s="55" t="s">
        <v>1429</v>
      </c>
      <c r="K549" s="56" t="s">
        <v>1429</v>
      </c>
      <c r="L549" s="54" t="s">
        <v>1429</v>
      </c>
      <c r="M549" s="55" t="s">
        <v>1580</v>
      </c>
      <c r="N549" s="55" t="s">
        <v>1429</v>
      </c>
      <c r="O549" s="55" t="s">
        <v>1429</v>
      </c>
      <c r="P549" s="56" t="s">
        <v>1429</v>
      </c>
      <c r="Q549" s="85"/>
      <c r="R549" s="85"/>
      <c r="S549" s="85"/>
      <c r="T549" s="85"/>
      <c r="U549" s="85"/>
      <c r="V549" s="146" t="s">
        <v>3000</v>
      </c>
      <c r="W549" s="51" t="s">
        <v>2932</v>
      </c>
      <c r="X549" s="130" t="s">
        <v>1429</v>
      </c>
      <c r="Y549" s="130" t="s">
        <v>1429</v>
      </c>
      <c r="Z549" s="51"/>
      <c r="AA549" s="51" t="s">
        <v>2612</v>
      </c>
      <c r="AB549" s="146"/>
      <c r="AC549" s="146" t="s">
        <v>1429</v>
      </c>
      <c r="AD549" s="98"/>
      <c r="AE549" s="83"/>
      <c r="AF549" s="83"/>
      <c r="AG549" s="83"/>
      <c r="AH549" s="86"/>
      <c r="AI549" s="86"/>
      <c r="AJ549" s="87"/>
      <c r="AK549" s="87"/>
      <c r="AL549" s="87"/>
      <c r="AM549" s="87"/>
      <c r="AN549" s="87"/>
      <c r="AO549" s="87"/>
      <c r="AP549" s="87"/>
      <c r="AQ549" s="229" t="s">
        <v>794</v>
      </c>
      <c r="AR549" s="5"/>
      <c r="AS549" s="5"/>
      <c r="AT549" s="5"/>
      <c r="AU549" s="5"/>
      <c r="AV549" s="5"/>
      <c r="AW549" s="5"/>
      <c r="AX549" s="284"/>
      <c r="AY549" s="5"/>
      <c r="AZ549" s="5"/>
      <c r="BA549" s="230"/>
      <c r="BB549" s="5"/>
      <c r="BC549" s="232" t="s">
        <v>3536</v>
      </c>
      <c r="BD549" s="257"/>
      <c r="BE549" s="249"/>
      <c r="BF549" s="249"/>
      <c r="BG549" s="249"/>
      <c r="BH549" s="249"/>
      <c r="BI549" s="249"/>
      <c r="BJ549" s="249"/>
      <c r="BK549" s="249"/>
      <c r="BL549" s="249"/>
      <c r="BM549" s="249"/>
      <c r="BN549" s="249"/>
      <c r="BO549" s="249"/>
      <c r="BP549" s="249"/>
      <c r="BQ549" s="249"/>
      <c r="BR549" s="249"/>
      <c r="BS549" s="249"/>
      <c r="BT549" s="249"/>
      <c r="BU549" s="249"/>
      <c r="BV549" s="249"/>
      <c r="BW549" s="249"/>
      <c r="BX549" s="249"/>
      <c r="BY549" s="249"/>
      <c r="BZ549" s="249"/>
      <c r="CA549" s="249"/>
      <c r="CB549" s="249"/>
      <c r="CC549" s="249"/>
      <c r="CD549" s="249"/>
      <c r="CE549" s="249"/>
    </row>
    <row r="550" spans="1:83" s="84" customFormat="1" ht="12.95" customHeight="1">
      <c r="A550" s="1"/>
      <c r="B550" s="1"/>
      <c r="C550" s="18" t="s">
        <v>795</v>
      </c>
      <c r="D550" s="52" t="s">
        <v>3001</v>
      </c>
      <c r="E550" s="52" t="s">
        <v>3002</v>
      </c>
      <c r="F550" s="53" t="s">
        <v>1089</v>
      </c>
      <c r="G550" s="179" t="s">
        <v>1429</v>
      </c>
      <c r="H550" s="180" t="s">
        <v>795</v>
      </c>
      <c r="I550" s="55" t="s">
        <v>1429</v>
      </c>
      <c r="J550" s="55" t="s">
        <v>1429</v>
      </c>
      <c r="K550" s="56" t="s">
        <v>1429</v>
      </c>
      <c r="L550" s="54" t="s">
        <v>1429</v>
      </c>
      <c r="M550" s="55" t="s">
        <v>1580</v>
      </c>
      <c r="N550" s="55" t="s">
        <v>1429</v>
      </c>
      <c r="O550" s="55" t="s">
        <v>1429</v>
      </c>
      <c r="P550" s="56" t="s">
        <v>1429</v>
      </c>
      <c r="Q550" s="85"/>
      <c r="R550" s="85"/>
      <c r="S550" s="85"/>
      <c r="T550" s="85"/>
      <c r="U550" s="85"/>
      <c r="V550" s="146" t="s">
        <v>3003</v>
      </c>
      <c r="W550" s="51" t="s">
        <v>2932</v>
      </c>
      <c r="X550" s="130" t="s">
        <v>1429</v>
      </c>
      <c r="Y550" s="130" t="s">
        <v>1429</v>
      </c>
      <c r="Z550" s="51"/>
      <c r="AA550" s="51" t="s">
        <v>2612</v>
      </c>
      <c r="AB550" s="146"/>
      <c r="AC550" s="146" t="s">
        <v>1429</v>
      </c>
      <c r="AD550" s="98"/>
      <c r="AE550" s="83"/>
      <c r="AF550" s="83"/>
      <c r="AG550" s="83"/>
      <c r="AH550" s="86"/>
      <c r="AI550" s="86"/>
      <c r="AJ550" s="87"/>
      <c r="AK550" s="87"/>
      <c r="AL550" s="87"/>
      <c r="AM550" s="87"/>
      <c r="AN550" s="87"/>
      <c r="AO550" s="87"/>
      <c r="AP550" s="87"/>
      <c r="AQ550" s="229" t="s">
        <v>795</v>
      </c>
      <c r="AR550" s="5"/>
      <c r="AS550" s="5"/>
      <c r="AT550" s="5"/>
      <c r="AU550" s="5"/>
      <c r="AV550" s="5"/>
      <c r="AW550" s="5"/>
      <c r="AX550" s="284"/>
      <c r="AY550" s="5"/>
      <c r="AZ550" s="5"/>
      <c r="BA550" s="230"/>
      <c r="BB550" s="5"/>
      <c r="BC550" s="232" t="s">
        <v>3536</v>
      </c>
      <c r="BD550" s="257"/>
      <c r="BE550" s="249"/>
      <c r="BF550" s="249"/>
      <c r="BG550" s="249"/>
      <c r="BH550" s="249"/>
      <c r="BI550" s="249"/>
      <c r="BJ550" s="249"/>
      <c r="BK550" s="249"/>
      <c r="BL550" s="249"/>
      <c r="BM550" s="249"/>
      <c r="BN550" s="249"/>
      <c r="BO550" s="249"/>
      <c r="BP550" s="249"/>
      <c r="BQ550" s="249"/>
      <c r="BR550" s="249"/>
      <c r="BS550" s="249"/>
      <c r="BT550" s="249"/>
      <c r="BU550" s="249"/>
      <c r="BV550" s="249"/>
      <c r="BW550" s="249"/>
      <c r="BX550" s="249"/>
      <c r="BY550" s="249"/>
      <c r="BZ550" s="249"/>
      <c r="CA550" s="249"/>
      <c r="CB550" s="249"/>
      <c r="CC550" s="249"/>
      <c r="CD550" s="249"/>
      <c r="CE550" s="249"/>
    </row>
    <row r="551" spans="1:83" s="84" customFormat="1" ht="12.95" customHeight="1">
      <c r="A551" s="1"/>
      <c r="B551" s="1"/>
      <c r="C551" s="18" t="s">
        <v>796</v>
      </c>
      <c r="D551" s="52" t="s">
        <v>3004</v>
      </c>
      <c r="E551" s="52" t="s">
        <v>3005</v>
      </c>
      <c r="F551" s="53" t="s">
        <v>1090</v>
      </c>
      <c r="G551" s="179" t="s">
        <v>1429</v>
      </c>
      <c r="H551" s="180" t="s">
        <v>796</v>
      </c>
      <c r="I551" s="55" t="s">
        <v>1429</v>
      </c>
      <c r="J551" s="55" t="s">
        <v>1429</v>
      </c>
      <c r="K551" s="56" t="s">
        <v>1429</v>
      </c>
      <c r="L551" s="54" t="s">
        <v>1429</v>
      </c>
      <c r="M551" s="55" t="s">
        <v>1580</v>
      </c>
      <c r="N551" s="55" t="s">
        <v>1429</v>
      </c>
      <c r="O551" s="55" t="s">
        <v>1429</v>
      </c>
      <c r="P551" s="56" t="s">
        <v>1429</v>
      </c>
      <c r="Q551" s="85"/>
      <c r="R551" s="85"/>
      <c r="S551" s="85"/>
      <c r="T551" s="85"/>
      <c r="U551" s="85"/>
      <c r="V551" s="146" t="s">
        <v>3006</v>
      </c>
      <c r="W551" s="51" t="s">
        <v>2932</v>
      </c>
      <c r="X551" s="130" t="s">
        <v>1429</v>
      </c>
      <c r="Y551" s="130" t="s">
        <v>1429</v>
      </c>
      <c r="Z551" s="51"/>
      <c r="AA551" s="51" t="s">
        <v>2612</v>
      </c>
      <c r="AB551" s="146"/>
      <c r="AC551" s="146" t="s">
        <v>1429</v>
      </c>
      <c r="AD551" s="98"/>
      <c r="AE551" s="83"/>
      <c r="AF551" s="83"/>
      <c r="AG551" s="83"/>
      <c r="AH551" s="86"/>
      <c r="AI551" s="86"/>
      <c r="AJ551" s="87"/>
      <c r="AK551" s="87"/>
      <c r="AL551" s="87"/>
      <c r="AM551" s="87"/>
      <c r="AN551" s="87"/>
      <c r="AO551" s="87"/>
      <c r="AP551" s="87"/>
      <c r="AQ551" s="229" t="s">
        <v>796</v>
      </c>
      <c r="AR551" s="5"/>
      <c r="AS551" s="5"/>
      <c r="AT551" s="5"/>
      <c r="AU551" s="5"/>
      <c r="AV551" s="5"/>
      <c r="AW551" s="5"/>
      <c r="AX551" s="284"/>
      <c r="AY551" s="5"/>
      <c r="AZ551" s="5"/>
      <c r="BA551" s="230"/>
      <c r="BB551" s="5"/>
      <c r="BC551" s="232" t="s">
        <v>3536</v>
      </c>
      <c r="BD551" s="257"/>
      <c r="BE551" s="249"/>
      <c r="BF551" s="249"/>
      <c r="BG551" s="249"/>
      <c r="BH551" s="249"/>
      <c r="BI551" s="249"/>
      <c r="BJ551" s="249"/>
      <c r="BK551" s="249"/>
      <c r="BL551" s="249"/>
      <c r="BM551" s="249"/>
      <c r="BN551" s="249"/>
      <c r="BO551" s="249"/>
      <c r="BP551" s="249"/>
      <c r="BQ551" s="249"/>
      <c r="BR551" s="249"/>
      <c r="BS551" s="249"/>
      <c r="BT551" s="249"/>
      <c r="BU551" s="249"/>
      <c r="BV551" s="249"/>
      <c r="BW551" s="249"/>
      <c r="BX551" s="249"/>
      <c r="BY551" s="249"/>
      <c r="BZ551" s="249"/>
      <c r="CA551" s="249"/>
      <c r="CB551" s="249"/>
      <c r="CC551" s="249"/>
      <c r="CD551" s="249"/>
      <c r="CE551" s="249"/>
    </row>
    <row r="552" spans="1:83" s="84" customFormat="1" ht="12.95" customHeight="1">
      <c r="A552" s="1"/>
      <c r="B552" s="1"/>
      <c r="C552" s="18" t="s">
        <v>797</v>
      </c>
      <c r="D552" s="52" t="s">
        <v>3007</v>
      </c>
      <c r="E552" s="52" t="s">
        <v>3007</v>
      </c>
      <c r="F552" s="53" t="s">
        <v>1091</v>
      </c>
      <c r="G552" s="179" t="s">
        <v>1429</v>
      </c>
      <c r="H552" s="180" t="s">
        <v>797</v>
      </c>
      <c r="I552" s="55" t="s">
        <v>1429</v>
      </c>
      <c r="J552" s="55" t="s">
        <v>1429</v>
      </c>
      <c r="K552" s="56" t="s">
        <v>1429</v>
      </c>
      <c r="L552" s="54" t="s">
        <v>1429</v>
      </c>
      <c r="M552" s="55" t="s">
        <v>1580</v>
      </c>
      <c r="N552" s="55" t="s">
        <v>1429</v>
      </c>
      <c r="O552" s="55" t="s">
        <v>1429</v>
      </c>
      <c r="P552" s="56" t="s">
        <v>1429</v>
      </c>
      <c r="Q552" s="85"/>
      <c r="R552" s="85"/>
      <c r="S552" s="85"/>
      <c r="T552" s="85"/>
      <c r="U552" s="85"/>
      <c r="V552" s="146" t="s">
        <v>3008</v>
      </c>
      <c r="W552" s="51" t="s">
        <v>2932</v>
      </c>
      <c r="X552" s="130" t="s">
        <v>1429</v>
      </c>
      <c r="Y552" s="130" t="s">
        <v>1429</v>
      </c>
      <c r="Z552" s="51"/>
      <c r="AA552" s="51" t="s">
        <v>2612</v>
      </c>
      <c r="AB552" s="146"/>
      <c r="AC552" s="146" t="s">
        <v>1429</v>
      </c>
      <c r="AD552" s="98"/>
      <c r="AE552" s="83"/>
      <c r="AF552" s="83"/>
      <c r="AG552" s="83"/>
      <c r="AH552" s="86"/>
      <c r="AI552" s="86"/>
      <c r="AJ552" s="87"/>
      <c r="AK552" s="87"/>
      <c r="AL552" s="87"/>
      <c r="AM552" s="87"/>
      <c r="AN552" s="87"/>
      <c r="AO552" s="87"/>
      <c r="AP552" s="87"/>
      <c r="AQ552" s="229" t="s">
        <v>797</v>
      </c>
      <c r="AR552" s="5"/>
      <c r="AS552" s="5"/>
      <c r="AT552" s="5"/>
      <c r="AU552" s="5"/>
      <c r="AV552" s="5"/>
      <c r="AW552" s="5"/>
      <c r="AX552" s="284"/>
      <c r="AY552" s="5"/>
      <c r="AZ552" s="5"/>
      <c r="BA552" s="230"/>
      <c r="BB552" s="5"/>
      <c r="BC552" s="232" t="s">
        <v>3536</v>
      </c>
      <c r="BD552" s="257"/>
      <c r="BE552" s="249"/>
      <c r="BF552" s="249"/>
      <c r="BG552" s="249"/>
      <c r="BH552" s="249"/>
      <c r="BI552" s="249"/>
      <c r="BJ552" s="249"/>
      <c r="BK552" s="249"/>
      <c r="BL552" s="249"/>
      <c r="BM552" s="249"/>
      <c r="BN552" s="249"/>
      <c r="BO552" s="249"/>
      <c r="BP552" s="249"/>
      <c r="BQ552" s="249"/>
      <c r="BR552" s="249"/>
      <c r="BS552" s="249"/>
      <c r="BT552" s="249"/>
      <c r="BU552" s="249"/>
      <c r="BV552" s="249"/>
      <c r="BW552" s="249"/>
      <c r="BX552" s="249"/>
      <c r="BY552" s="249"/>
      <c r="BZ552" s="249"/>
      <c r="CA552" s="249"/>
      <c r="CB552" s="249"/>
      <c r="CC552" s="249"/>
      <c r="CD552" s="249"/>
      <c r="CE552" s="249"/>
    </row>
    <row r="553" spans="1:83" s="84" customFormat="1" ht="12.95" customHeight="1">
      <c r="A553" s="1"/>
      <c r="B553" s="1"/>
      <c r="C553" s="18" t="s">
        <v>798</v>
      </c>
      <c r="D553" s="52" t="s">
        <v>3002</v>
      </c>
      <c r="E553" s="52" t="s">
        <v>3009</v>
      </c>
      <c r="F553" s="53" t="s">
        <v>1092</v>
      </c>
      <c r="G553" s="179" t="s">
        <v>1429</v>
      </c>
      <c r="H553" s="180" t="s">
        <v>798</v>
      </c>
      <c r="I553" s="55" t="s">
        <v>1429</v>
      </c>
      <c r="J553" s="55" t="s">
        <v>1429</v>
      </c>
      <c r="K553" s="56" t="s">
        <v>1429</v>
      </c>
      <c r="L553" s="54" t="s">
        <v>1429</v>
      </c>
      <c r="M553" s="55" t="s">
        <v>1580</v>
      </c>
      <c r="N553" s="55" t="s">
        <v>1429</v>
      </c>
      <c r="O553" s="55" t="s">
        <v>1429</v>
      </c>
      <c r="P553" s="56" t="s">
        <v>1429</v>
      </c>
      <c r="Q553" s="85"/>
      <c r="R553" s="85"/>
      <c r="S553" s="85"/>
      <c r="T553" s="85"/>
      <c r="U553" s="85"/>
      <c r="V553" s="146" t="s">
        <v>3010</v>
      </c>
      <c r="W553" s="51" t="s">
        <v>2932</v>
      </c>
      <c r="X553" s="130" t="s">
        <v>1429</v>
      </c>
      <c r="Y553" s="130" t="s">
        <v>1429</v>
      </c>
      <c r="Z553" s="51"/>
      <c r="AA553" s="51" t="s">
        <v>2612</v>
      </c>
      <c r="AB553" s="146"/>
      <c r="AC553" s="146" t="s">
        <v>1429</v>
      </c>
      <c r="AD553" s="98"/>
      <c r="AE553" s="83"/>
      <c r="AF553" s="83"/>
      <c r="AG553" s="83"/>
      <c r="AH553" s="86"/>
      <c r="AI553" s="86"/>
      <c r="AJ553" s="87"/>
      <c r="AK553" s="87"/>
      <c r="AL553" s="87"/>
      <c r="AM553" s="87"/>
      <c r="AN553" s="87"/>
      <c r="AO553" s="87"/>
      <c r="AP553" s="87"/>
      <c r="AQ553" s="229" t="s">
        <v>798</v>
      </c>
      <c r="AR553" s="5"/>
      <c r="AS553" s="5"/>
      <c r="AT553" s="5"/>
      <c r="AU553" s="5"/>
      <c r="AV553" s="5"/>
      <c r="AW553" s="5"/>
      <c r="AX553" s="284"/>
      <c r="AY553" s="5"/>
      <c r="AZ553" s="5"/>
      <c r="BA553" s="230"/>
      <c r="BB553" s="5"/>
      <c r="BC553" s="232" t="s">
        <v>3536</v>
      </c>
      <c r="BD553" s="257"/>
      <c r="BE553" s="249"/>
      <c r="BF553" s="249"/>
      <c r="BG553" s="249"/>
      <c r="BH553" s="249"/>
      <c r="BI553" s="249"/>
      <c r="BJ553" s="249"/>
      <c r="BK553" s="249"/>
      <c r="BL553" s="249"/>
      <c r="BM553" s="249"/>
      <c r="BN553" s="249"/>
      <c r="BO553" s="249"/>
      <c r="BP553" s="249"/>
      <c r="BQ553" s="249"/>
      <c r="BR553" s="249"/>
      <c r="BS553" s="249"/>
      <c r="BT553" s="249"/>
      <c r="BU553" s="249"/>
      <c r="BV553" s="249"/>
      <c r="BW553" s="249"/>
      <c r="BX553" s="249"/>
      <c r="BY553" s="249"/>
      <c r="BZ553" s="249"/>
      <c r="CA553" s="249"/>
      <c r="CB553" s="249"/>
      <c r="CC553" s="249"/>
      <c r="CD553" s="249"/>
      <c r="CE553" s="249"/>
    </row>
    <row r="554" spans="1:83" s="84" customFormat="1" ht="12.95" customHeight="1">
      <c r="A554" s="1"/>
      <c r="B554" s="1"/>
      <c r="C554" s="18" t="s">
        <v>799</v>
      </c>
      <c r="D554" s="52" t="s">
        <v>3011</v>
      </c>
      <c r="E554" s="52" t="s">
        <v>3012</v>
      </c>
      <c r="F554" s="53" t="s">
        <v>1093</v>
      </c>
      <c r="G554" s="179" t="s">
        <v>1429</v>
      </c>
      <c r="H554" s="180" t="s">
        <v>799</v>
      </c>
      <c r="I554" s="55" t="s">
        <v>1429</v>
      </c>
      <c r="J554" s="55" t="s">
        <v>1429</v>
      </c>
      <c r="K554" s="56" t="s">
        <v>1429</v>
      </c>
      <c r="L554" s="54" t="s">
        <v>1429</v>
      </c>
      <c r="M554" s="55" t="s">
        <v>1580</v>
      </c>
      <c r="N554" s="55" t="s">
        <v>1429</v>
      </c>
      <c r="O554" s="55" t="s">
        <v>1429</v>
      </c>
      <c r="P554" s="56" t="s">
        <v>1429</v>
      </c>
      <c r="Q554" s="85"/>
      <c r="R554" s="85"/>
      <c r="S554" s="85"/>
      <c r="T554" s="85"/>
      <c r="U554" s="85"/>
      <c r="V554" s="146" t="s">
        <v>3013</v>
      </c>
      <c r="W554" s="51" t="s">
        <v>2932</v>
      </c>
      <c r="X554" s="130" t="s">
        <v>1429</v>
      </c>
      <c r="Y554" s="130" t="s">
        <v>1429</v>
      </c>
      <c r="Z554" s="51"/>
      <c r="AA554" s="51" t="s">
        <v>2612</v>
      </c>
      <c r="AB554" s="146"/>
      <c r="AC554" s="146" t="s">
        <v>1429</v>
      </c>
      <c r="AD554" s="98"/>
      <c r="AE554" s="83"/>
      <c r="AF554" s="83"/>
      <c r="AG554" s="83"/>
      <c r="AH554" s="86"/>
      <c r="AI554" s="86"/>
      <c r="AJ554" s="87"/>
      <c r="AK554" s="87"/>
      <c r="AL554" s="87"/>
      <c r="AM554" s="87"/>
      <c r="AN554" s="87"/>
      <c r="AO554" s="87"/>
      <c r="AP554" s="87"/>
      <c r="AQ554" s="229" t="s">
        <v>799</v>
      </c>
      <c r="AR554" s="5"/>
      <c r="AS554" s="5"/>
      <c r="AT554" s="5"/>
      <c r="AU554" s="5"/>
      <c r="AV554" s="5"/>
      <c r="AW554" s="5"/>
      <c r="AX554" s="284"/>
      <c r="AY554" s="5"/>
      <c r="AZ554" s="5"/>
      <c r="BA554" s="230"/>
      <c r="BB554" s="5"/>
      <c r="BC554" s="232" t="s">
        <v>3536</v>
      </c>
      <c r="BD554" s="257"/>
      <c r="BE554" s="249"/>
      <c r="BF554" s="249"/>
      <c r="BG554" s="249"/>
      <c r="BH554" s="249"/>
      <c r="BI554" s="249"/>
      <c r="BJ554" s="249"/>
      <c r="BK554" s="249"/>
      <c r="BL554" s="249"/>
      <c r="BM554" s="249"/>
      <c r="BN554" s="249"/>
      <c r="BO554" s="249"/>
      <c r="BP554" s="249"/>
      <c r="BQ554" s="249"/>
      <c r="BR554" s="249"/>
      <c r="BS554" s="249"/>
      <c r="BT554" s="249"/>
      <c r="BU554" s="249"/>
      <c r="BV554" s="249"/>
      <c r="BW554" s="249"/>
      <c r="BX554" s="249"/>
      <c r="BY554" s="249"/>
      <c r="BZ554" s="249"/>
      <c r="CA554" s="249"/>
      <c r="CB554" s="249"/>
      <c r="CC554" s="249"/>
      <c r="CD554" s="249"/>
      <c r="CE554" s="249"/>
    </row>
    <row r="555" spans="1:83" s="84" customFormat="1" ht="12.95" customHeight="1">
      <c r="A555" s="1"/>
      <c r="B555" s="1"/>
      <c r="C555" s="18" t="s">
        <v>800</v>
      </c>
      <c r="D555" s="52" t="s">
        <v>3014</v>
      </c>
      <c r="E555" s="52" t="s">
        <v>3015</v>
      </c>
      <c r="F555" s="53" t="s">
        <v>1094</v>
      </c>
      <c r="G555" s="179" t="s">
        <v>1429</v>
      </c>
      <c r="H555" s="180" t="s">
        <v>800</v>
      </c>
      <c r="I555" s="55" t="s">
        <v>1429</v>
      </c>
      <c r="J555" s="55" t="s">
        <v>1429</v>
      </c>
      <c r="K555" s="56" t="s">
        <v>1429</v>
      </c>
      <c r="L555" s="54" t="s">
        <v>1429</v>
      </c>
      <c r="M555" s="55" t="s">
        <v>1580</v>
      </c>
      <c r="N555" s="55" t="s">
        <v>1429</v>
      </c>
      <c r="O555" s="55" t="s">
        <v>1429</v>
      </c>
      <c r="P555" s="56" t="s">
        <v>1429</v>
      </c>
      <c r="Q555" s="85"/>
      <c r="R555" s="85"/>
      <c r="S555" s="85"/>
      <c r="T555" s="85"/>
      <c r="U555" s="85"/>
      <c r="V555" s="146" t="s">
        <v>3016</v>
      </c>
      <c r="W555" s="51" t="s">
        <v>2932</v>
      </c>
      <c r="X555" s="130" t="s">
        <v>1429</v>
      </c>
      <c r="Y555" s="130" t="s">
        <v>1429</v>
      </c>
      <c r="Z555" s="51"/>
      <c r="AA555" s="51" t="s">
        <v>2612</v>
      </c>
      <c r="AB555" s="146"/>
      <c r="AC555" s="146" t="s">
        <v>1429</v>
      </c>
      <c r="AD555" s="98"/>
      <c r="AE555" s="83"/>
      <c r="AF555" s="83"/>
      <c r="AG555" s="83"/>
      <c r="AH555" s="86"/>
      <c r="AI555" s="86"/>
      <c r="AJ555" s="87"/>
      <c r="AK555" s="87"/>
      <c r="AL555" s="87"/>
      <c r="AM555" s="87"/>
      <c r="AN555" s="87"/>
      <c r="AO555" s="87"/>
      <c r="AP555" s="87"/>
      <c r="AQ555" s="229" t="s">
        <v>800</v>
      </c>
      <c r="AR555" s="5"/>
      <c r="AS555" s="5"/>
      <c r="AT555" s="5"/>
      <c r="AU555" s="5"/>
      <c r="AV555" s="5"/>
      <c r="AW555" s="5"/>
      <c r="AX555" s="284"/>
      <c r="AY555" s="5"/>
      <c r="AZ555" s="5"/>
      <c r="BA555" s="230"/>
      <c r="BB555" s="5"/>
      <c r="BC555" s="232" t="s">
        <v>3536</v>
      </c>
      <c r="BD555" s="257"/>
      <c r="BE555" s="249"/>
      <c r="BF555" s="249"/>
      <c r="BG555" s="249"/>
      <c r="BH555" s="249"/>
      <c r="BI555" s="249"/>
      <c r="BJ555" s="249"/>
      <c r="BK555" s="249"/>
      <c r="BL555" s="249"/>
      <c r="BM555" s="249"/>
      <c r="BN555" s="249"/>
      <c r="BO555" s="249"/>
      <c r="BP555" s="249"/>
      <c r="BQ555" s="249"/>
      <c r="BR555" s="249"/>
      <c r="BS555" s="249"/>
      <c r="BT555" s="249"/>
      <c r="BU555" s="249"/>
      <c r="BV555" s="249"/>
      <c r="BW555" s="249"/>
      <c r="BX555" s="249"/>
      <c r="BY555" s="249"/>
      <c r="BZ555" s="249"/>
      <c r="CA555" s="249"/>
      <c r="CB555" s="249"/>
      <c r="CC555" s="249"/>
      <c r="CD555" s="249"/>
      <c r="CE555" s="249"/>
    </row>
    <row r="556" spans="1:83" s="84" customFormat="1" ht="12.95" customHeight="1">
      <c r="A556" s="1"/>
      <c r="B556" s="1"/>
      <c r="C556" s="21" t="s">
        <v>801</v>
      </c>
      <c r="D556" s="52" t="s">
        <v>2969</v>
      </c>
      <c r="E556" s="52" t="s">
        <v>3017</v>
      </c>
      <c r="F556" s="53" t="s">
        <v>1095</v>
      </c>
      <c r="G556" s="179" t="s">
        <v>1429</v>
      </c>
      <c r="H556" s="180" t="s">
        <v>801</v>
      </c>
      <c r="I556" s="55" t="s">
        <v>1429</v>
      </c>
      <c r="J556" s="55" t="s">
        <v>1429</v>
      </c>
      <c r="K556" s="56" t="s">
        <v>1429</v>
      </c>
      <c r="L556" s="54" t="s">
        <v>1429</v>
      </c>
      <c r="M556" s="55" t="s">
        <v>1580</v>
      </c>
      <c r="N556" s="55" t="s">
        <v>1429</v>
      </c>
      <c r="O556" s="55" t="s">
        <v>1429</v>
      </c>
      <c r="P556" s="56" t="s">
        <v>1429</v>
      </c>
      <c r="Q556" s="85"/>
      <c r="R556" s="85"/>
      <c r="S556" s="85"/>
      <c r="T556" s="85"/>
      <c r="U556" s="85"/>
      <c r="V556" s="146" t="s">
        <v>3018</v>
      </c>
      <c r="W556" s="51" t="s">
        <v>2932</v>
      </c>
      <c r="X556" s="130" t="s">
        <v>1429</v>
      </c>
      <c r="Y556" s="130" t="s">
        <v>1429</v>
      </c>
      <c r="Z556" s="51"/>
      <c r="AA556" s="51" t="s">
        <v>2612</v>
      </c>
      <c r="AB556" s="146"/>
      <c r="AC556" s="146" t="s">
        <v>1429</v>
      </c>
      <c r="AD556" s="98"/>
      <c r="AE556" s="83"/>
      <c r="AF556" s="83"/>
      <c r="AG556" s="83"/>
      <c r="AH556" s="86"/>
      <c r="AI556" s="86"/>
      <c r="AJ556" s="87"/>
      <c r="AK556" s="87"/>
      <c r="AL556" s="87"/>
      <c r="AM556" s="87"/>
      <c r="AN556" s="87"/>
      <c r="AO556" s="87"/>
      <c r="AP556" s="87"/>
      <c r="AQ556" s="229" t="s">
        <v>801</v>
      </c>
      <c r="AR556" s="5"/>
      <c r="AS556" s="5"/>
      <c r="AT556" s="5"/>
      <c r="AU556" s="5"/>
      <c r="AV556" s="5"/>
      <c r="AW556" s="5"/>
      <c r="AX556" s="284"/>
      <c r="AY556" s="5"/>
      <c r="AZ556" s="5"/>
      <c r="BA556" s="230"/>
      <c r="BB556" s="5"/>
      <c r="BC556" s="232" t="s">
        <v>3536</v>
      </c>
      <c r="BD556" s="257"/>
      <c r="BE556" s="249"/>
      <c r="BF556" s="249"/>
      <c r="BG556" s="249"/>
      <c r="BH556" s="249"/>
      <c r="BI556" s="249"/>
      <c r="BJ556" s="249"/>
      <c r="BK556" s="249"/>
      <c r="BL556" s="249"/>
      <c r="BM556" s="249"/>
      <c r="BN556" s="249"/>
      <c r="BO556" s="249"/>
      <c r="BP556" s="249"/>
      <c r="BQ556" s="249"/>
      <c r="BR556" s="249"/>
      <c r="BS556" s="249"/>
      <c r="BT556" s="249"/>
      <c r="BU556" s="249"/>
      <c r="BV556" s="249"/>
      <c r="BW556" s="249"/>
      <c r="BX556" s="249"/>
      <c r="BY556" s="249"/>
      <c r="BZ556" s="249"/>
      <c r="CA556" s="249"/>
      <c r="CB556" s="249"/>
      <c r="CC556" s="249"/>
      <c r="CD556" s="249"/>
      <c r="CE556" s="249"/>
    </row>
    <row r="557" spans="1:83" s="84" customFormat="1" ht="12.95" customHeight="1">
      <c r="A557" s="1"/>
      <c r="B557" s="1"/>
      <c r="C557" s="21" t="s">
        <v>802</v>
      </c>
      <c r="D557" s="52" t="s">
        <v>2967</v>
      </c>
      <c r="E557" s="52" t="s">
        <v>3019</v>
      </c>
      <c r="F557" s="53" t="s">
        <v>1096</v>
      </c>
      <c r="G557" s="179" t="s">
        <v>1429</v>
      </c>
      <c r="H557" s="180" t="s">
        <v>802</v>
      </c>
      <c r="I557" s="55" t="s">
        <v>1429</v>
      </c>
      <c r="J557" s="55" t="s">
        <v>1429</v>
      </c>
      <c r="K557" s="56" t="s">
        <v>1429</v>
      </c>
      <c r="L557" s="54" t="s">
        <v>1429</v>
      </c>
      <c r="M557" s="55" t="s">
        <v>1580</v>
      </c>
      <c r="N557" s="55" t="s">
        <v>1429</v>
      </c>
      <c r="O557" s="55" t="s">
        <v>1429</v>
      </c>
      <c r="P557" s="56" t="s">
        <v>1429</v>
      </c>
      <c r="Q557" s="85"/>
      <c r="R557" s="85"/>
      <c r="S557" s="85"/>
      <c r="T557" s="85"/>
      <c r="U557" s="85"/>
      <c r="V557" s="146" t="s">
        <v>3020</v>
      </c>
      <c r="W557" s="51" t="s">
        <v>2932</v>
      </c>
      <c r="X557" s="130" t="s">
        <v>1429</v>
      </c>
      <c r="Y557" s="130" t="s">
        <v>1429</v>
      </c>
      <c r="Z557" s="51"/>
      <c r="AA557" s="51" t="s">
        <v>2612</v>
      </c>
      <c r="AB557" s="146"/>
      <c r="AC557" s="146" t="s">
        <v>1429</v>
      </c>
      <c r="AD557" s="98"/>
      <c r="AE557" s="83"/>
      <c r="AF557" s="83"/>
      <c r="AG557" s="83"/>
      <c r="AH557" s="86"/>
      <c r="AI557" s="86"/>
      <c r="AJ557" s="87"/>
      <c r="AK557" s="87"/>
      <c r="AL557" s="87"/>
      <c r="AM557" s="87"/>
      <c r="AN557" s="87"/>
      <c r="AO557" s="87"/>
      <c r="AP557" s="87"/>
      <c r="AQ557" s="229" t="s">
        <v>802</v>
      </c>
      <c r="AR557" s="5"/>
      <c r="AS557" s="5"/>
      <c r="AT557" s="5"/>
      <c r="AU557" s="5"/>
      <c r="AV557" s="5"/>
      <c r="AW557" s="5"/>
      <c r="AX557" s="284"/>
      <c r="AY557" s="5"/>
      <c r="AZ557" s="5"/>
      <c r="BA557" s="230"/>
      <c r="BB557" s="5"/>
      <c r="BC557" s="232" t="s">
        <v>3536</v>
      </c>
      <c r="BD557" s="257"/>
      <c r="BE557" s="249"/>
      <c r="BF557" s="249"/>
      <c r="BG557" s="249"/>
      <c r="BH557" s="249"/>
      <c r="BI557" s="249"/>
      <c r="BJ557" s="249"/>
      <c r="BK557" s="249"/>
      <c r="BL557" s="249"/>
      <c r="BM557" s="249"/>
      <c r="BN557" s="249"/>
      <c r="BO557" s="249"/>
      <c r="BP557" s="249"/>
      <c r="BQ557" s="249"/>
      <c r="BR557" s="249"/>
      <c r="BS557" s="249"/>
      <c r="BT557" s="249"/>
      <c r="BU557" s="249"/>
      <c r="BV557" s="249"/>
      <c r="BW557" s="249"/>
      <c r="BX557" s="249"/>
      <c r="BY557" s="249"/>
      <c r="BZ557" s="249"/>
      <c r="CA557" s="249"/>
      <c r="CB557" s="249"/>
      <c r="CC557" s="249"/>
      <c r="CD557" s="249"/>
      <c r="CE557" s="249"/>
    </row>
    <row r="558" spans="1:83" s="84" customFormat="1" ht="12.95" customHeight="1">
      <c r="A558" s="1"/>
      <c r="B558" s="1"/>
      <c r="C558" s="18" t="s">
        <v>803</v>
      </c>
      <c r="D558" s="52" t="s">
        <v>3015</v>
      </c>
      <c r="E558" s="52" t="s">
        <v>3021</v>
      </c>
      <c r="F558" s="53" t="s">
        <v>1097</v>
      </c>
      <c r="G558" s="179" t="s">
        <v>1429</v>
      </c>
      <c r="H558" s="180" t="s">
        <v>803</v>
      </c>
      <c r="I558" s="55" t="s">
        <v>1429</v>
      </c>
      <c r="J558" s="55" t="s">
        <v>1429</v>
      </c>
      <c r="K558" s="56" t="s">
        <v>1429</v>
      </c>
      <c r="L558" s="54" t="s">
        <v>1429</v>
      </c>
      <c r="M558" s="55" t="s">
        <v>1580</v>
      </c>
      <c r="N558" s="55" t="s">
        <v>1429</v>
      </c>
      <c r="O558" s="55" t="s">
        <v>1429</v>
      </c>
      <c r="P558" s="56" t="s">
        <v>1429</v>
      </c>
      <c r="Q558" s="85"/>
      <c r="R558" s="85"/>
      <c r="S558" s="85"/>
      <c r="T558" s="85"/>
      <c r="U558" s="85"/>
      <c r="V558" s="146" t="s">
        <v>3022</v>
      </c>
      <c r="W558" s="51" t="s">
        <v>2932</v>
      </c>
      <c r="X558" s="130" t="s">
        <v>1429</v>
      </c>
      <c r="Y558" s="130" t="s">
        <v>1429</v>
      </c>
      <c r="Z558" s="51"/>
      <c r="AA558" s="51" t="s">
        <v>2612</v>
      </c>
      <c r="AB558" s="146"/>
      <c r="AC558" s="146" t="s">
        <v>1429</v>
      </c>
      <c r="AD558" s="98"/>
      <c r="AE558" s="83"/>
      <c r="AF558" s="83"/>
      <c r="AG558" s="83"/>
      <c r="AH558" s="86"/>
      <c r="AI558" s="86"/>
      <c r="AJ558" s="87"/>
      <c r="AK558" s="87"/>
      <c r="AL558" s="87"/>
      <c r="AM558" s="87"/>
      <c r="AN558" s="87"/>
      <c r="AO558" s="87"/>
      <c r="AP558" s="87"/>
      <c r="AQ558" s="229" t="s">
        <v>803</v>
      </c>
      <c r="AR558" s="5"/>
      <c r="AS558" s="5"/>
      <c r="AT558" s="5"/>
      <c r="AU558" s="5"/>
      <c r="AV558" s="5"/>
      <c r="AW558" s="5"/>
      <c r="AX558" s="284"/>
      <c r="AY558" s="5"/>
      <c r="AZ558" s="5"/>
      <c r="BA558" s="230"/>
      <c r="BB558" s="5"/>
      <c r="BC558" s="232" t="s">
        <v>3536</v>
      </c>
      <c r="BD558" s="257"/>
      <c r="BE558" s="249"/>
      <c r="BF558" s="249"/>
      <c r="BG558" s="249"/>
      <c r="BH558" s="249"/>
      <c r="BI558" s="249"/>
      <c r="BJ558" s="249"/>
      <c r="BK558" s="249"/>
      <c r="BL558" s="249"/>
      <c r="BM558" s="249"/>
      <c r="BN558" s="249"/>
      <c r="BO558" s="249"/>
      <c r="BP558" s="249"/>
      <c r="BQ558" s="249"/>
      <c r="BR558" s="249"/>
      <c r="BS558" s="249"/>
      <c r="BT558" s="249"/>
      <c r="BU558" s="249"/>
      <c r="BV558" s="249"/>
      <c r="BW558" s="249"/>
      <c r="BX558" s="249"/>
      <c r="BY558" s="249"/>
      <c r="BZ558" s="249"/>
      <c r="CA558" s="249"/>
      <c r="CB558" s="249"/>
      <c r="CC558" s="249"/>
      <c r="CD558" s="249"/>
      <c r="CE558" s="249"/>
    </row>
    <row r="559" spans="1:83" s="84" customFormat="1" ht="12.95" customHeight="1">
      <c r="A559" s="1"/>
      <c r="B559" s="1"/>
      <c r="C559" s="18" t="s">
        <v>804</v>
      </c>
      <c r="D559" s="52" t="s">
        <v>3023</v>
      </c>
      <c r="E559" s="52" t="s">
        <v>3024</v>
      </c>
      <c r="F559" s="53" t="s">
        <v>1098</v>
      </c>
      <c r="G559" s="179" t="s">
        <v>1429</v>
      </c>
      <c r="H559" s="180" t="s">
        <v>804</v>
      </c>
      <c r="I559" s="55" t="s">
        <v>1429</v>
      </c>
      <c r="J559" s="55" t="s">
        <v>1429</v>
      </c>
      <c r="K559" s="56" t="s">
        <v>1429</v>
      </c>
      <c r="L559" s="54" t="s">
        <v>1429</v>
      </c>
      <c r="M559" s="55" t="s">
        <v>1580</v>
      </c>
      <c r="N559" s="55" t="s">
        <v>1429</v>
      </c>
      <c r="O559" s="55" t="s">
        <v>1429</v>
      </c>
      <c r="P559" s="56" t="s">
        <v>1429</v>
      </c>
      <c r="Q559" s="85"/>
      <c r="R559" s="85"/>
      <c r="S559" s="85"/>
      <c r="T559" s="85"/>
      <c r="U559" s="85"/>
      <c r="V559" s="146" t="s">
        <v>3025</v>
      </c>
      <c r="W559" s="51" t="s">
        <v>2932</v>
      </c>
      <c r="X559" s="130" t="s">
        <v>1429</v>
      </c>
      <c r="Y559" s="130" t="s">
        <v>1429</v>
      </c>
      <c r="Z559" s="51"/>
      <c r="AA559" s="51" t="s">
        <v>2612</v>
      </c>
      <c r="AB559" s="146"/>
      <c r="AC559" s="146" t="s">
        <v>1429</v>
      </c>
      <c r="AD559" s="98"/>
      <c r="AE559" s="83"/>
      <c r="AF559" s="83"/>
      <c r="AG559" s="83"/>
      <c r="AH559" s="86"/>
      <c r="AI559" s="86"/>
      <c r="AJ559" s="87"/>
      <c r="AK559" s="87"/>
      <c r="AL559" s="87"/>
      <c r="AM559" s="87"/>
      <c r="AN559" s="87"/>
      <c r="AO559" s="87"/>
      <c r="AP559" s="87"/>
      <c r="AQ559" s="229" t="s">
        <v>804</v>
      </c>
      <c r="AR559" s="5"/>
      <c r="AS559" s="5"/>
      <c r="AT559" s="5"/>
      <c r="AU559" s="5"/>
      <c r="AV559" s="5"/>
      <c r="AW559" s="5"/>
      <c r="AX559" s="284"/>
      <c r="AY559" s="5"/>
      <c r="AZ559" s="5"/>
      <c r="BA559" s="230"/>
      <c r="BB559" s="5"/>
      <c r="BC559" s="232" t="s">
        <v>3536</v>
      </c>
      <c r="BD559" s="257"/>
      <c r="BE559" s="249"/>
      <c r="BF559" s="249"/>
      <c r="BG559" s="249"/>
      <c r="BH559" s="249"/>
      <c r="BI559" s="249"/>
      <c r="BJ559" s="249"/>
      <c r="BK559" s="249"/>
      <c r="BL559" s="249"/>
      <c r="BM559" s="249"/>
      <c r="BN559" s="249"/>
      <c r="BO559" s="249"/>
      <c r="BP559" s="249"/>
      <c r="BQ559" s="249"/>
      <c r="BR559" s="249"/>
      <c r="BS559" s="249"/>
      <c r="BT559" s="249"/>
      <c r="BU559" s="249"/>
      <c r="BV559" s="249"/>
      <c r="BW559" s="249"/>
      <c r="BX559" s="249"/>
      <c r="BY559" s="249"/>
      <c r="BZ559" s="249"/>
      <c r="CA559" s="249"/>
      <c r="CB559" s="249"/>
      <c r="CC559" s="249"/>
      <c r="CD559" s="249"/>
      <c r="CE559" s="249"/>
    </row>
    <row r="560" spans="1:83" s="84" customFormat="1" ht="12.95" customHeight="1">
      <c r="A560" s="1"/>
      <c r="B560" s="1"/>
      <c r="C560" s="18" t="s">
        <v>805</v>
      </c>
      <c r="D560" s="52" t="s">
        <v>3026</v>
      </c>
      <c r="E560" s="52" t="s">
        <v>3027</v>
      </c>
      <c r="F560" s="53" t="s">
        <v>1099</v>
      </c>
      <c r="G560" s="179" t="s">
        <v>1429</v>
      </c>
      <c r="H560" s="180" t="s">
        <v>805</v>
      </c>
      <c r="I560" s="55" t="s">
        <v>1429</v>
      </c>
      <c r="J560" s="55" t="s">
        <v>1429</v>
      </c>
      <c r="K560" s="56" t="s">
        <v>1429</v>
      </c>
      <c r="L560" s="54" t="s">
        <v>1429</v>
      </c>
      <c r="M560" s="55" t="s">
        <v>1580</v>
      </c>
      <c r="N560" s="55" t="s">
        <v>1429</v>
      </c>
      <c r="O560" s="55" t="s">
        <v>1429</v>
      </c>
      <c r="P560" s="56" t="s">
        <v>1429</v>
      </c>
      <c r="Q560" s="85"/>
      <c r="R560" s="85"/>
      <c r="S560" s="85"/>
      <c r="T560" s="85"/>
      <c r="U560" s="85"/>
      <c r="V560" s="146" t="s">
        <v>3028</v>
      </c>
      <c r="W560" s="51" t="s">
        <v>2932</v>
      </c>
      <c r="X560" s="130" t="s">
        <v>1429</v>
      </c>
      <c r="Y560" s="130" t="s">
        <v>1429</v>
      </c>
      <c r="Z560" s="51"/>
      <c r="AA560" s="51" t="s">
        <v>2612</v>
      </c>
      <c r="AB560" s="146"/>
      <c r="AC560" s="146" t="s">
        <v>1429</v>
      </c>
      <c r="AD560" s="98"/>
      <c r="AE560" s="83"/>
      <c r="AF560" s="83"/>
      <c r="AG560" s="83"/>
      <c r="AH560" s="86"/>
      <c r="AI560" s="86"/>
      <c r="AJ560" s="87"/>
      <c r="AK560" s="87"/>
      <c r="AL560" s="87"/>
      <c r="AM560" s="87"/>
      <c r="AN560" s="87"/>
      <c r="AO560" s="87"/>
      <c r="AP560" s="87"/>
      <c r="AQ560" s="229" t="s">
        <v>805</v>
      </c>
      <c r="AR560" s="5"/>
      <c r="AS560" s="5"/>
      <c r="AT560" s="5"/>
      <c r="AU560" s="5"/>
      <c r="AV560" s="5"/>
      <c r="AW560" s="5"/>
      <c r="AX560" s="284"/>
      <c r="AY560" s="5"/>
      <c r="AZ560" s="5"/>
      <c r="BA560" s="230"/>
      <c r="BB560" s="5"/>
      <c r="BC560" s="232" t="s">
        <v>3536</v>
      </c>
      <c r="BD560" s="257"/>
      <c r="BE560" s="249"/>
      <c r="BF560" s="249"/>
      <c r="BG560" s="249"/>
      <c r="BH560" s="249"/>
      <c r="BI560" s="249"/>
      <c r="BJ560" s="249"/>
      <c r="BK560" s="249"/>
      <c r="BL560" s="249"/>
      <c r="BM560" s="249"/>
      <c r="BN560" s="249"/>
      <c r="BO560" s="249"/>
      <c r="BP560" s="249"/>
      <c r="BQ560" s="249"/>
      <c r="BR560" s="249"/>
      <c r="BS560" s="249"/>
      <c r="BT560" s="249"/>
      <c r="BU560" s="249"/>
      <c r="BV560" s="249"/>
      <c r="BW560" s="249"/>
      <c r="BX560" s="249"/>
      <c r="BY560" s="249"/>
      <c r="BZ560" s="249"/>
      <c r="CA560" s="249"/>
      <c r="CB560" s="249"/>
      <c r="CC560" s="249"/>
      <c r="CD560" s="249"/>
      <c r="CE560" s="249"/>
    </row>
    <row r="561" spans="1:83" s="84" customFormat="1" ht="12.95" customHeight="1">
      <c r="A561" s="1"/>
      <c r="B561" s="1"/>
      <c r="C561" s="18" t="s">
        <v>806</v>
      </c>
      <c r="D561" s="52" t="s">
        <v>3029</v>
      </c>
      <c r="E561" s="52" t="s">
        <v>3030</v>
      </c>
      <c r="F561" s="53" t="s">
        <v>1100</v>
      </c>
      <c r="G561" s="179" t="s">
        <v>1429</v>
      </c>
      <c r="H561" s="180" t="s">
        <v>806</v>
      </c>
      <c r="I561" s="55" t="s">
        <v>1429</v>
      </c>
      <c r="J561" s="55" t="s">
        <v>1429</v>
      </c>
      <c r="K561" s="56" t="s">
        <v>1429</v>
      </c>
      <c r="L561" s="54" t="s">
        <v>1429</v>
      </c>
      <c r="M561" s="55" t="s">
        <v>1580</v>
      </c>
      <c r="N561" s="55" t="s">
        <v>1429</v>
      </c>
      <c r="O561" s="55" t="s">
        <v>1429</v>
      </c>
      <c r="P561" s="56" t="s">
        <v>1429</v>
      </c>
      <c r="Q561" s="85"/>
      <c r="R561" s="85"/>
      <c r="S561" s="85"/>
      <c r="T561" s="85"/>
      <c r="U561" s="85"/>
      <c r="V561" s="146" t="s">
        <v>3031</v>
      </c>
      <c r="W561" s="51" t="s">
        <v>2932</v>
      </c>
      <c r="X561" s="130" t="s">
        <v>1429</v>
      </c>
      <c r="Y561" s="130" t="s">
        <v>1429</v>
      </c>
      <c r="Z561" s="51"/>
      <c r="AA561" s="51" t="s">
        <v>2612</v>
      </c>
      <c r="AB561" s="146"/>
      <c r="AC561" s="146" t="s">
        <v>1429</v>
      </c>
      <c r="AD561" s="98"/>
      <c r="AE561" s="83"/>
      <c r="AF561" s="83"/>
      <c r="AG561" s="83"/>
      <c r="AH561" s="86"/>
      <c r="AI561" s="86"/>
      <c r="AJ561" s="87"/>
      <c r="AK561" s="87"/>
      <c r="AL561" s="87"/>
      <c r="AM561" s="87"/>
      <c r="AN561" s="87"/>
      <c r="AO561" s="87"/>
      <c r="AP561" s="87"/>
      <c r="AQ561" s="229" t="s">
        <v>806</v>
      </c>
      <c r="AR561" s="5"/>
      <c r="AS561" s="5"/>
      <c r="AT561" s="5"/>
      <c r="AU561" s="5"/>
      <c r="AV561" s="5"/>
      <c r="AW561" s="5"/>
      <c r="AX561" s="284"/>
      <c r="AY561" s="5"/>
      <c r="AZ561" s="5"/>
      <c r="BA561" s="230"/>
      <c r="BB561" s="5"/>
      <c r="BC561" s="232" t="s">
        <v>3536</v>
      </c>
      <c r="BD561" s="257"/>
      <c r="BE561" s="249"/>
      <c r="BF561" s="249"/>
      <c r="BG561" s="249"/>
      <c r="BH561" s="249"/>
      <c r="BI561" s="249"/>
      <c r="BJ561" s="249"/>
      <c r="BK561" s="249"/>
      <c r="BL561" s="249"/>
      <c r="BM561" s="249"/>
      <c r="BN561" s="249"/>
      <c r="BO561" s="249"/>
      <c r="BP561" s="249"/>
      <c r="BQ561" s="249"/>
      <c r="BR561" s="249"/>
      <c r="BS561" s="249"/>
      <c r="BT561" s="249"/>
      <c r="BU561" s="249"/>
      <c r="BV561" s="249"/>
      <c r="BW561" s="249"/>
      <c r="BX561" s="249"/>
      <c r="BY561" s="249"/>
      <c r="BZ561" s="249"/>
      <c r="CA561" s="249"/>
      <c r="CB561" s="249"/>
      <c r="CC561" s="249"/>
      <c r="CD561" s="249"/>
      <c r="CE561" s="249"/>
    </row>
    <row r="562" spans="1:83" s="84" customFormat="1" ht="12.95" customHeight="1">
      <c r="A562" s="1"/>
      <c r="B562" s="1"/>
      <c r="C562" s="18" t="s">
        <v>807</v>
      </c>
      <c r="D562" s="52" t="s">
        <v>3032</v>
      </c>
      <c r="E562" s="52" t="s">
        <v>3033</v>
      </c>
      <c r="F562" s="53" t="s">
        <v>1101</v>
      </c>
      <c r="G562" s="179" t="s">
        <v>1429</v>
      </c>
      <c r="H562" s="180" t="s">
        <v>807</v>
      </c>
      <c r="I562" s="55" t="s">
        <v>1429</v>
      </c>
      <c r="J562" s="55" t="s">
        <v>1429</v>
      </c>
      <c r="K562" s="56" t="s">
        <v>1429</v>
      </c>
      <c r="L562" s="54" t="s">
        <v>1429</v>
      </c>
      <c r="M562" s="55" t="s">
        <v>1580</v>
      </c>
      <c r="N562" s="55" t="s">
        <v>1429</v>
      </c>
      <c r="O562" s="55" t="s">
        <v>1429</v>
      </c>
      <c r="P562" s="56" t="s">
        <v>1429</v>
      </c>
      <c r="Q562" s="85"/>
      <c r="R562" s="85"/>
      <c r="S562" s="85"/>
      <c r="T562" s="85"/>
      <c r="U562" s="85"/>
      <c r="V562" s="146" t="s">
        <v>3034</v>
      </c>
      <c r="W562" s="51" t="s">
        <v>2932</v>
      </c>
      <c r="X562" s="130" t="s">
        <v>1429</v>
      </c>
      <c r="Y562" s="130" t="s">
        <v>1429</v>
      </c>
      <c r="Z562" s="51"/>
      <c r="AA562" s="51" t="s">
        <v>2612</v>
      </c>
      <c r="AB562" s="146"/>
      <c r="AC562" s="146" t="s">
        <v>1429</v>
      </c>
      <c r="AD562" s="98"/>
      <c r="AE562" s="83"/>
      <c r="AF562" s="83"/>
      <c r="AG562" s="83"/>
      <c r="AH562" s="86"/>
      <c r="AI562" s="86"/>
      <c r="AJ562" s="87"/>
      <c r="AK562" s="87"/>
      <c r="AL562" s="87"/>
      <c r="AM562" s="87"/>
      <c r="AN562" s="87"/>
      <c r="AO562" s="87"/>
      <c r="AP562" s="87"/>
      <c r="AQ562" s="229" t="s">
        <v>807</v>
      </c>
      <c r="AR562" s="5"/>
      <c r="AS562" s="5"/>
      <c r="AT562" s="5"/>
      <c r="AU562" s="5"/>
      <c r="AV562" s="5"/>
      <c r="AW562" s="5"/>
      <c r="AX562" s="284"/>
      <c r="AY562" s="5"/>
      <c r="AZ562" s="5"/>
      <c r="BA562" s="230"/>
      <c r="BB562" s="5"/>
      <c r="BC562" s="232" t="s">
        <v>3536</v>
      </c>
      <c r="BD562" s="257"/>
      <c r="BE562" s="249"/>
      <c r="BF562" s="249"/>
      <c r="BG562" s="249"/>
      <c r="BH562" s="249"/>
      <c r="BI562" s="249"/>
      <c r="BJ562" s="249"/>
      <c r="BK562" s="249"/>
      <c r="BL562" s="249"/>
      <c r="BM562" s="249"/>
      <c r="BN562" s="249"/>
      <c r="BO562" s="249"/>
      <c r="BP562" s="249"/>
      <c r="BQ562" s="249"/>
      <c r="BR562" s="249"/>
      <c r="BS562" s="249"/>
      <c r="BT562" s="249"/>
      <c r="BU562" s="249"/>
      <c r="BV562" s="249"/>
      <c r="BW562" s="249"/>
      <c r="BX562" s="249"/>
      <c r="BY562" s="249"/>
      <c r="BZ562" s="249"/>
      <c r="CA562" s="249"/>
      <c r="CB562" s="249"/>
      <c r="CC562" s="249"/>
      <c r="CD562" s="249"/>
      <c r="CE562" s="249"/>
    </row>
    <row r="563" spans="1:83" s="84" customFormat="1" ht="12.95" customHeight="1">
      <c r="A563" s="1"/>
      <c r="B563" s="1"/>
      <c r="C563" s="18" t="s">
        <v>808</v>
      </c>
      <c r="D563" s="52" t="s">
        <v>3035</v>
      </c>
      <c r="E563" s="52" t="s">
        <v>3036</v>
      </c>
      <c r="F563" s="53" t="s">
        <v>1102</v>
      </c>
      <c r="G563" s="179" t="s">
        <v>1429</v>
      </c>
      <c r="H563" s="180" t="s">
        <v>808</v>
      </c>
      <c r="I563" s="55" t="s">
        <v>1429</v>
      </c>
      <c r="J563" s="55" t="s">
        <v>1429</v>
      </c>
      <c r="K563" s="56" t="s">
        <v>1429</v>
      </c>
      <c r="L563" s="54" t="s">
        <v>1429</v>
      </c>
      <c r="M563" s="55" t="s">
        <v>1580</v>
      </c>
      <c r="N563" s="55" t="s">
        <v>1429</v>
      </c>
      <c r="O563" s="55" t="s">
        <v>1429</v>
      </c>
      <c r="P563" s="56" t="s">
        <v>1429</v>
      </c>
      <c r="Q563" s="85"/>
      <c r="R563" s="85"/>
      <c r="S563" s="85"/>
      <c r="T563" s="85"/>
      <c r="U563" s="85"/>
      <c r="V563" s="146" t="s">
        <v>3037</v>
      </c>
      <c r="W563" s="51" t="s">
        <v>2932</v>
      </c>
      <c r="X563" s="130" t="s">
        <v>1429</v>
      </c>
      <c r="Y563" s="130" t="s">
        <v>1429</v>
      </c>
      <c r="Z563" s="51"/>
      <c r="AA563" s="51" t="s">
        <v>2612</v>
      </c>
      <c r="AB563" s="146"/>
      <c r="AC563" s="146" t="s">
        <v>1429</v>
      </c>
      <c r="AD563" s="98"/>
      <c r="AE563" s="83"/>
      <c r="AF563" s="83"/>
      <c r="AG563" s="83"/>
      <c r="AH563" s="86"/>
      <c r="AI563" s="86"/>
      <c r="AJ563" s="87"/>
      <c r="AK563" s="87"/>
      <c r="AL563" s="87"/>
      <c r="AM563" s="87"/>
      <c r="AN563" s="87"/>
      <c r="AO563" s="87"/>
      <c r="AP563" s="87"/>
      <c r="AQ563" s="229" t="s">
        <v>808</v>
      </c>
      <c r="AR563" s="5"/>
      <c r="AS563" s="5"/>
      <c r="AT563" s="5"/>
      <c r="AU563" s="5"/>
      <c r="AV563" s="5"/>
      <c r="AW563" s="5"/>
      <c r="AX563" s="284"/>
      <c r="AY563" s="5"/>
      <c r="AZ563" s="5"/>
      <c r="BA563" s="230"/>
      <c r="BB563" s="5"/>
      <c r="BC563" s="232" t="s">
        <v>3536</v>
      </c>
      <c r="BD563" s="257"/>
      <c r="BE563" s="249"/>
      <c r="BF563" s="249"/>
      <c r="BG563" s="249"/>
      <c r="BH563" s="249"/>
      <c r="BI563" s="249"/>
      <c r="BJ563" s="249"/>
      <c r="BK563" s="249"/>
      <c r="BL563" s="249"/>
      <c r="BM563" s="249"/>
      <c r="BN563" s="249"/>
      <c r="BO563" s="249"/>
      <c r="BP563" s="249"/>
      <c r="BQ563" s="249"/>
      <c r="BR563" s="249"/>
      <c r="BS563" s="249"/>
      <c r="BT563" s="249"/>
      <c r="BU563" s="249"/>
      <c r="BV563" s="249"/>
      <c r="BW563" s="249"/>
      <c r="BX563" s="249"/>
      <c r="BY563" s="249"/>
      <c r="BZ563" s="249"/>
      <c r="CA563" s="249"/>
      <c r="CB563" s="249"/>
      <c r="CC563" s="249"/>
      <c r="CD563" s="249"/>
      <c r="CE563" s="249"/>
    </row>
    <row r="564" spans="1:83" s="84" customFormat="1" ht="12.95" customHeight="1">
      <c r="A564" s="1"/>
      <c r="B564" s="1"/>
      <c r="C564" s="18" t="s">
        <v>809</v>
      </c>
      <c r="D564" s="52" t="s">
        <v>3038</v>
      </c>
      <c r="E564" s="52" t="s">
        <v>3039</v>
      </c>
      <c r="F564" s="53" t="s">
        <v>1103</v>
      </c>
      <c r="G564" s="179" t="s">
        <v>1429</v>
      </c>
      <c r="H564" s="180" t="s">
        <v>809</v>
      </c>
      <c r="I564" s="55" t="s">
        <v>1429</v>
      </c>
      <c r="J564" s="55" t="s">
        <v>1429</v>
      </c>
      <c r="K564" s="56" t="s">
        <v>1429</v>
      </c>
      <c r="L564" s="54" t="s">
        <v>1429</v>
      </c>
      <c r="M564" s="55" t="s">
        <v>1580</v>
      </c>
      <c r="N564" s="55" t="s">
        <v>1429</v>
      </c>
      <c r="O564" s="55" t="s">
        <v>1429</v>
      </c>
      <c r="P564" s="56" t="s">
        <v>1429</v>
      </c>
      <c r="Q564" s="85"/>
      <c r="R564" s="85"/>
      <c r="S564" s="85"/>
      <c r="T564" s="85"/>
      <c r="U564" s="85"/>
      <c r="V564" s="146" t="s">
        <v>3040</v>
      </c>
      <c r="W564" s="51" t="s">
        <v>2932</v>
      </c>
      <c r="X564" s="130" t="s">
        <v>1429</v>
      </c>
      <c r="Y564" s="130" t="s">
        <v>1429</v>
      </c>
      <c r="Z564" s="51"/>
      <c r="AA564" s="51" t="s">
        <v>2612</v>
      </c>
      <c r="AB564" s="146"/>
      <c r="AC564" s="146" t="s">
        <v>1429</v>
      </c>
      <c r="AD564" s="98"/>
      <c r="AE564" s="83"/>
      <c r="AF564" s="83"/>
      <c r="AG564" s="83"/>
      <c r="AH564" s="86"/>
      <c r="AI564" s="86"/>
      <c r="AJ564" s="87"/>
      <c r="AK564" s="87"/>
      <c r="AL564" s="87"/>
      <c r="AM564" s="87"/>
      <c r="AN564" s="87"/>
      <c r="AO564" s="87"/>
      <c r="AP564" s="87"/>
      <c r="AQ564" s="229" t="s">
        <v>809</v>
      </c>
      <c r="AR564" s="5"/>
      <c r="AS564" s="5"/>
      <c r="AT564" s="5"/>
      <c r="AU564" s="5"/>
      <c r="AV564" s="5"/>
      <c r="AW564" s="5"/>
      <c r="AX564" s="284"/>
      <c r="AY564" s="5"/>
      <c r="AZ564" s="5"/>
      <c r="BA564" s="230"/>
      <c r="BB564" s="5"/>
      <c r="BC564" s="232" t="s">
        <v>3536</v>
      </c>
      <c r="BD564" s="257"/>
      <c r="BE564" s="249"/>
      <c r="BF564" s="249"/>
      <c r="BG564" s="249"/>
      <c r="BH564" s="249"/>
      <c r="BI564" s="249"/>
      <c r="BJ564" s="249"/>
      <c r="BK564" s="249"/>
      <c r="BL564" s="249"/>
      <c r="BM564" s="249"/>
      <c r="BN564" s="249"/>
      <c r="BO564" s="249"/>
      <c r="BP564" s="249"/>
      <c r="BQ564" s="249"/>
      <c r="BR564" s="249"/>
      <c r="BS564" s="249"/>
      <c r="BT564" s="249"/>
      <c r="BU564" s="249"/>
      <c r="BV564" s="249"/>
      <c r="BW564" s="249"/>
      <c r="BX564" s="249"/>
      <c r="BY564" s="249"/>
      <c r="BZ564" s="249"/>
      <c r="CA564" s="249"/>
      <c r="CB564" s="249"/>
      <c r="CC564" s="249"/>
      <c r="CD564" s="249"/>
      <c r="CE564" s="249"/>
    </row>
    <row r="565" spans="1:83" s="84" customFormat="1" ht="12.95" customHeight="1">
      <c r="A565" s="1"/>
      <c r="B565" s="1"/>
      <c r="C565" s="18" t="s">
        <v>810</v>
      </c>
      <c r="D565" s="52" t="s">
        <v>3041</v>
      </c>
      <c r="E565" s="52" t="s">
        <v>3042</v>
      </c>
      <c r="F565" s="53" t="s">
        <v>1104</v>
      </c>
      <c r="G565" s="179" t="s">
        <v>1429</v>
      </c>
      <c r="H565" s="180" t="s">
        <v>810</v>
      </c>
      <c r="I565" s="55" t="s">
        <v>1429</v>
      </c>
      <c r="J565" s="55" t="s">
        <v>1429</v>
      </c>
      <c r="K565" s="56" t="s">
        <v>1429</v>
      </c>
      <c r="L565" s="54" t="s">
        <v>1429</v>
      </c>
      <c r="M565" s="55" t="s">
        <v>1580</v>
      </c>
      <c r="N565" s="55" t="s">
        <v>1429</v>
      </c>
      <c r="O565" s="55" t="s">
        <v>1429</v>
      </c>
      <c r="P565" s="56" t="s">
        <v>1429</v>
      </c>
      <c r="Q565" s="85"/>
      <c r="R565" s="85"/>
      <c r="S565" s="85"/>
      <c r="T565" s="85"/>
      <c r="U565" s="85"/>
      <c r="V565" s="146" t="s">
        <v>3043</v>
      </c>
      <c r="W565" s="51" t="s">
        <v>2932</v>
      </c>
      <c r="X565" s="130" t="s">
        <v>1429</v>
      </c>
      <c r="Y565" s="130" t="s">
        <v>1429</v>
      </c>
      <c r="Z565" s="51"/>
      <c r="AA565" s="51" t="s">
        <v>2612</v>
      </c>
      <c r="AB565" s="146"/>
      <c r="AC565" s="146" t="s">
        <v>1429</v>
      </c>
      <c r="AD565" s="98"/>
      <c r="AE565" s="83"/>
      <c r="AF565" s="83"/>
      <c r="AG565" s="83"/>
      <c r="AH565" s="86"/>
      <c r="AI565" s="86"/>
      <c r="AJ565" s="87"/>
      <c r="AK565" s="87"/>
      <c r="AL565" s="87"/>
      <c r="AM565" s="87"/>
      <c r="AN565" s="87"/>
      <c r="AO565" s="87"/>
      <c r="AP565" s="87"/>
      <c r="AQ565" s="229" t="s">
        <v>810</v>
      </c>
      <c r="AR565" s="5"/>
      <c r="AS565" s="5"/>
      <c r="AT565" s="5"/>
      <c r="AU565" s="5"/>
      <c r="AV565" s="5"/>
      <c r="AW565" s="5"/>
      <c r="AX565" s="284"/>
      <c r="AY565" s="5"/>
      <c r="AZ565" s="5"/>
      <c r="BA565" s="230"/>
      <c r="BB565" s="5"/>
      <c r="BC565" s="232" t="s">
        <v>3536</v>
      </c>
      <c r="BD565" s="257"/>
      <c r="BE565" s="249"/>
      <c r="BF565" s="249"/>
      <c r="BG565" s="249"/>
      <c r="BH565" s="249"/>
      <c r="BI565" s="249"/>
      <c r="BJ565" s="249"/>
      <c r="BK565" s="249"/>
      <c r="BL565" s="249"/>
      <c r="BM565" s="249"/>
      <c r="BN565" s="249"/>
      <c r="BO565" s="249"/>
      <c r="BP565" s="249"/>
      <c r="BQ565" s="249"/>
      <c r="BR565" s="249"/>
      <c r="BS565" s="249"/>
      <c r="BT565" s="249"/>
      <c r="BU565" s="249"/>
      <c r="BV565" s="249"/>
      <c r="BW565" s="249"/>
      <c r="BX565" s="249"/>
      <c r="BY565" s="249"/>
      <c r="BZ565" s="249"/>
      <c r="CA565" s="249"/>
      <c r="CB565" s="249"/>
      <c r="CC565" s="249"/>
      <c r="CD565" s="249"/>
      <c r="CE565" s="249"/>
    </row>
    <row r="566" spans="1:83" s="84" customFormat="1" ht="12.95" customHeight="1">
      <c r="A566" s="1"/>
      <c r="B566" s="1"/>
      <c r="C566" s="18" t="s">
        <v>811</v>
      </c>
      <c r="D566" s="52" t="s">
        <v>3033</v>
      </c>
      <c r="E566" s="52" t="s">
        <v>3044</v>
      </c>
      <c r="F566" s="53" t="s">
        <v>1105</v>
      </c>
      <c r="G566" s="179" t="s">
        <v>1429</v>
      </c>
      <c r="H566" s="180" t="s">
        <v>811</v>
      </c>
      <c r="I566" s="55" t="s">
        <v>1429</v>
      </c>
      <c r="J566" s="55" t="s">
        <v>1429</v>
      </c>
      <c r="K566" s="56" t="s">
        <v>1429</v>
      </c>
      <c r="L566" s="54" t="s">
        <v>1429</v>
      </c>
      <c r="M566" s="55" t="s">
        <v>1580</v>
      </c>
      <c r="N566" s="55" t="s">
        <v>1429</v>
      </c>
      <c r="O566" s="55" t="s">
        <v>1429</v>
      </c>
      <c r="P566" s="56" t="s">
        <v>1429</v>
      </c>
      <c r="Q566" s="85"/>
      <c r="R566" s="85"/>
      <c r="S566" s="85"/>
      <c r="T566" s="85"/>
      <c r="U566" s="85"/>
      <c r="V566" s="146" t="s">
        <v>3045</v>
      </c>
      <c r="W566" s="51" t="s">
        <v>2932</v>
      </c>
      <c r="X566" s="130" t="s">
        <v>1429</v>
      </c>
      <c r="Y566" s="130" t="s">
        <v>1429</v>
      </c>
      <c r="Z566" s="51"/>
      <c r="AA566" s="51" t="s">
        <v>2612</v>
      </c>
      <c r="AB566" s="146"/>
      <c r="AC566" s="146" t="s">
        <v>1429</v>
      </c>
      <c r="AD566" s="98"/>
      <c r="AE566" s="83"/>
      <c r="AF566" s="83"/>
      <c r="AG566" s="83"/>
      <c r="AH566" s="86"/>
      <c r="AI566" s="86"/>
      <c r="AJ566" s="87"/>
      <c r="AK566" s="87"/>
      <c r="AL566" s="87"/>
      <c r="AM566" s="87"/>
      <c r="AN566" s="87"/>
      <c r="AO566" s="87"/>
      <c r="AP566" s="87"/>
      <c r="AQ566" s="229" t="s">
        <v>811</v>
      </c>
      <c r="AR566" s="5"/>
      <c r="AS566" s="5"/>
      <c r="AT566" s="5"/>
      <c r="AU566" s="5"/>
      <c r="AV566" s="5"/>
      <c r="AW566" s="5"/>
      <c r="AX566" s="284"/>
      <c r="AY566" s="5"/>
      <c r="AZ566" s="5"/>
      <c r="BA566" s="230"/>
      <c r="BB566" s="5"/>
      <c r="BC566" s="232" t="s">
        <v>3536</v>
      </c>
      <c r="BD566" s="257"/>
      <c r="BE566" s="249"/>
      <c r="BF566" s="249"/>
      <c r="BG566" s="249"/>
      <c r="BH566" s="249"/>
      <c r="BI566" s="249"/>
      <c r="BJ566" s="249"/>
      <c r="BK566" s="249"/>
      <c r="BL566" s="249"/>
      <c r="BM566" s="249"/>
      <c r="BN566" s="249"/>
      <c r="BO566" s="249"/>
      <c r="BP566" s="249"/>
      <c r="BQ566" s="249"/>
      <c r="BR566" s="249"/>
      <c r="BS566" s="249"/>
      <c r="BT566" s="249"/>
      <c r="BU566" s="249"/>
      <c r="BV566" s="249"/>
      <c r="BW566" s="249"/>
      <c r="BX566" s="249"/>
      <c r="BY566" s="249"/>
      <c r="BZ566" s="249"/>
      <c r="CA566" s="249"/>
      <c r="CB566" s="249"/>
      <c r="CC566" s="249"/>
      <c r="CD566" s="249"/>
      <c r="CE566" s="249"/>
    </row>
    <row r="567" spans="1:83" s="84" customFormat="1" ht="12.95" customHeight="1">
      <c r="A567" s="1"/>
      <c r="B567" s="1"/>
      <c r="C567" s="18" t="s">
        <v>812</v>
      </c>
      <c r="D567" s="52" t="s">
        <v>3044</v>
      </c>
      <c r="E567" s="52" t="s">
        <v>3032</v>
      </c>
      <c r="F567" s="53" t="s">
        <v>1106</v>
      </c>
      <c r="G567" s="179" t="s">
        <v>1429</v>
      </c>
      <c r="H567" s="180" t="s">
        <v>812</v>
      </c>
      <c r="I567" s="55" t="s">
        <v>1429</v>
      </c>
      <c r="J567" s="55" t="s">
        <v>1429</v>
      </c>
      <c r="K567" s="56" t="s">
        <v>1429</v>
      </c>
      <c r="L567" s="54" t="s">
        <v>1429</v>
      </c>
      <c r="M567" s="55" t="s">
        <v>1580</v>
      </c>
      <c r="N567" s="55" t="s">
        <v>1429</v>
      </c>
      <c r="O567" s="55" t="s">
        <v>1429</v>
      </c>
      <c r="P567" s="56" t="s">
        <v>1429</v>
      </c>
      <c r="Q567" s="85"/>
      <c r="R567" s="85"/>
      <c r="S567" s="85"/>
      <c r="T567" s="85"/>
      <c r="U567" s="85"/>
      <c r="V567" s="146" t="s">
        <v>3046</v>
      </c>
      <c r="W567" s="51" t="s">
        <v>2932</v>
      </c>
      <c r="X567" s="130" t="s">
        <v>1429</v>
      </c>
      <c r="Y567" s="130" t="s">
        <v>1429</v>
      </c>
      <c r="Z567" s="51"/>
      <c r="AA567" s="51" t="s">
        <v>2612</v>
      </c>
      <c r="AB567" s="146"/>
      <c r="AC567" s="146" t="s">
        <v>1429</v>
      </c>
      <c r="AD567" s="98"/>
      <c r="AE567" s="83"/>
      <c r="AF567" s="83"/>
      <c r="AG567" s="83"/>
      <c r="AH567" s="86"/>
      <c r="AI567" s="86"/>
      <c r="AJ567" s="87"/>
      <c r="AK567" s="87"/>
      <c r="AL567" s="87"/>
      <c r="AM567" s="87"/>
      <c r="AN567" s="87"/>
      <c r="AO567" s="87"/>
      <c r="AP567" s="87"/>
      <c r="AQ567" s="229" t="s">
        <v>812</v>
      </c>
      <c r="AR567" s="5"/>
      <c r="AS567" s="5"/>
      <c r="AT567" s="5"/>
      <c r="AU567" s="5"/>
      <c r="AV567" s="5"/>
      <c r="AW567" s="5"/>
      <c r="AX567" s="284"/>
      <c r="AY567" s="5"/>
      <c r="AZ567" s="5"/>
      <c r="BA567" s="230"/>
      <c r="BB567" s="5"/>
      <c r="BC567" s="232" t="s">
        <v>3536</v>
      </c>
      <c r="BD567" s="257"/>
      <c r="BE567" s="249"/>
      <c r="BF567" s="249"/>
      <c r="BG567" s="249"/>
      <c r="BH567" s="249"/>
      <c r="BI567" s="249"/>
      <c r="BJ567" s="249"/>
      <c r="BK567" s="249"/>
      <c r="BL567" s="249"/>
      <c r="BM567" s="249"/>
      <c r="BN567" s="249"/>
      <c r="BO567" s="249"/>
      <c r="BP567" s="249"/>
      <c r="BQ567" s="249"/>
      <c r="BR567" s="249"/>
      <c r="BS567" s="249"/>
      <c r="BT567" s="249"/>
      <c r="BU567" s="249"/>
      <c r="BV567" s="249"/>
      <c r="BW567" s="249"/>
      <c r="BX567" s="249"/>
      <c r="BY567" s="249"/>
      <c r="BZ567" s="249"/>
      <c r="CA567" s="249"/>
      <c r="CB567" s="249"/>
      <c r="CC567" s="249"/>
      <c r="CD567" s="249"/>
      <c r="CE567" s="249"/>
    </row>
    <row r="568" spans="1:83" s="84" customFormat="1" ht="12.95" customHeight="1">
      <c r="A568" s="1"/>
      <c r="B568" s="1"/>
      <c r="C568" s="21" t="s">
        <v>813</v>
      </c>
      <c r="D568" s="52" t="s">
        <v>3047</v>
      </c>
      <c r="E568" s="52" t="s">
        <v>3048</v>
      </c>
      <c r="F568" s="53" t="s">
        <v>1107</v>
      </c>
      <c r="G568" s="179" t="s">
        <v>1429</v>
      </c>
      <c r="H568" s="180" t="s">
        <v>813</v>
      </c>
      <c r="I568" s="55" t="s">
        <v>1429</v>
      </c>
      <c r="J568" s="55" t="s">
        <v>1429</v>
      </c>
      <c r="K568" s="56" t="s">
        <v>1429</v>
      </c>
      <c r="L568" s="54" t="s">
        <v>1429</v>
      </c>
      <c r="M568" s="55" t="s">
        <v>1580</v>
      </c>
      <c r="N568" s="55" t="s">
        <v>1429</v>
      </c>
      <c r="O568" s="55" t="s">
        <v>1429</v>
      </c>
      <c r="P568" s="56" t="s">
        <v>1429</v>
      </c>
      <c r="Q568" s="85"/>
      <c r="R568" s="85"/>
      <c r="S568" s="85"/>
      <c r="T568" s="85"/>
      <c r="U568" s="85"/>
      <c r="V568" s="146" t="s">
        <v>3049</v>
      </c>
      <c r="W568" s="51" t="s">
        <v>2932</v>
      </c>
      <c r="X568" s="130" t="s">
        <v>1429</v>
      </c>
      <c r="Y568" s="130" t="s">
        <v>1429</v>
      </c>
      <c r="Z568" s="51"/>
      <c r="AA568" s="51" t="s">
        <v>2612</v>
      </c>
      <c r="AB568" s="146"/>
      <c r="AC568" s="146" t="s">
        <v>1429</v>
      </c>
      <c r="AD568" s="98"/>
      <c r="AE568" s="83"/>
      <c r="AF568" s="83"/>
      <c r="AG568" s="83"/>
      <c r="AH568" s="86"/>
      <c r="AI568" s="86"/>
      <c r="AJ568" s="87"/>
      <c r="AK568" s="87"/>
      <c r="AL568" s="87"/>
      <c r="AM568" s="87"/>
      <c r="AN568" s="87"/>
      <c r="AO568" s="87"/>
      <c r="AP568" s="87"/>
      <c r="AQ568" s="229" t="s">
        <v>813</v>
      </c>
      <c r="AR568" s="5"/>
      <c r="AS568" s="5"/>
      <c r="AT568" s="5"/>
      <c r="AU568" s="5"/>
      <c r="AV568" s="5"/>
      <c r="AW568" s="5"/>
      <c r="AX568" s="284"/>
      <c r="AY568" s="5"/>
      <c r="AZ568" s="5"/>
      <c r="BA568" s="230"/>
      <c r="BB568" s="5"/>
      <c r="BC568" s="232" t="s">
        <v>3536</v>
      </c>
      <c r="BD568" s="257"/>
      <c r="BE568" s="249"/>
      <c r="BF568" s="249"/>
      <c r="BG568" s="249"/>
      <c r="BH568" s="249"/>
      <c r="BI568" s="249"/>
      <c r="BJ568" s="249"/>
      <c r="BK568" s="249"/>
      <c r="BL568" s="249"/>
      <c r="BM568" s="249"/>
      <c r="BN568" s="249"/>
      <c r="BO568" s="249"/>
      <c r="BP568" s="249"/>
      <c r="BQ568" s="249"/>
      <c r="BR568" s="249"/>
      <c r="BS568" s="249"/>
      <c r="BT568" s="249"/>
      <c r="BU568" s="249"/>
      <c r="BV568" s="249"/>
      <c r="BW568" s="249"/>
      <c r="BX568" s="249"/>
      <c r="BY568" s="249"/>
      <c r="BZ568" s="249"/>
      <c r="CA568" s="249"/>
      <c r="CB568" s="249"/>
      <c r="CC568" s="249"/>
      <c r="CD568" s="249"/>
      <c r="CE568" s="249"/>
    </row>
    <row r="569" spans="1:83" s="84" customFormat="1" ht="12.95" customHeight="1">
      <c r="A569" s="1"/>
      <c r="B569" s="1"/>
      <c r="C569" s="21" t="s">
        <v>814</v>
      </c>
      <c r="D569" s="52" t="s">
        <v>3050</v>
      </c>
      <c r="E569" s="52" t="s">
        <v>3051</v>
      </c>
      <c r="F569" s="53" t="s">
        <v>1108</v>
      </c>
      <c r="G569" s="179" t="s">
        <v>1429</v>
      </c>
      <c r="H569" s="180" t="s">
        <v>814</v>
      </c>
      <c r="I569" s="55" t="s">
        <v>1429</v>
      </c>
      <c r="J569" s="55" t="s">
        <v>1429</v>
      </c>
      <c r="K569" s="56" t="s">
        <v>1429</v>
      </c>
      <c r="L569" s="54" t="s">
        <v>1429</v>
      </c>
      <c r="M569" s="55" t="s">
        <v>1580</v>
      </c>
      <c r="N569" s="55" t="s">
        <v>1429</v>
      </c>
      <c r="O569" s="55" t="s">
        <v>1429</v>
      </c>
      <c r="P569" s="56" t="s">
        <v>1429</v>
      </c>
      <c r="Q569" s="85"/>
      <c r="R569" s="85"/>
      <c r="S569" s="85"/>
      <c r="T569" s="85"/>
      <c r="U569" s="85"/>
      <c r="V569" s="146" t="s">
        <v>3052</v>
      </c>
      <c r="W569" s="51" t="s">
        <v>2932</v>
      </c>
      <c r="X569" s="130" t="s">
        <v>1429</v>
      </c>
      <c r="Y569" s="130" t="s">
        <v>1429</v>
      </c>
      <c r="Z569" s="51"/>
      <c r="AA569" s="51" t="s">
        <v>2612</v>
      </c>
      <c r="AB569" s="146"/>
      <c r="AC569" s="146" t="s">
        <v>1429</v>
      </c>
      <c r="AD569" s="98"/>
      <c r="AE569" s="83"/>
      <c r="AF569" s="83"/>
      <c r="AG569" s="83"/>
      <c r="AH569" s="86"/>
      <c r="AI569" s="86"/>
      <c r="AJ569" s="87"/>
      <c r="AK569" s="87"/>
      <c r="AL569" s="87"/>
      <c r="AM569" s="87"/>
      <c r="AN569" s="87"/>
      <c r="AO569" s="87"/>
      <c r="AP569" s="87"/>
      <c r="AQ569" s="229" t="s">
        <v>814</v>
      </c>
      <c r="AR569" s="5"/>
      <c r="AS569" s="5"/>
      <c r="AT569" s="5"/>
      <c r="AU569" s="5"/>
      <c r="AV569" s="5"/>
      <c r="AW569" s="5"/>
      <c r="AX569" s="284"/>
      <c r="AY569" s="5"/>
      <c r="AZ569" s="5"/>
      <c r="BA569" s="230"/>
      <c r="BB569" s="5"/>
      <c r="BC569" s="232" t="s">
        <v>3536</v>
      </c>
      <c r="BD569" s="257"/>
      <c r="BE569" s="249"/>
      <c r="BF569" s="249"/>
      <c r="BG569" s="249"/>
      <c r="BH569" s="249"/>
      <c r="BI569" s="249"/>
      <c r="BJ569" s="249"/>
      <c r="BK569" s="249"/>
      <c r="BL569" s="249"/>
      <c r="BM569" s="249"/>
      <c r="BN569" s="249"/>
      <c r="BO569" s="249"/>
      <c r="BP569" s="249"/>
      <c r="BQ569" s="249"/>
      <c r="BR569" s="249"/>
      <c r="BS569" s="249"/>
      <c r="BT569" s="249"/>
      <c r="BU569" s="249"/>
      <c r="BV569" s="249"/>
      <c r="BW569" s="249"/>
      <c r="BX569" s="249"/>
      <c r="BY569" s="249"/>
      <c r="BZ569" s="249"/>
      <c r="CA569" s="249"/>
      <c r="CB569" s="249"/>
      <c r="CC569" s="249"/>
      <c r="CD569" s="249"/>
      <c r="CE569" s="249"/>
    </row>
    <row r="570" spans="1:83" s="84" customFormat="1" ht="12.95" customHeight="1">
      <c r="A570" s="1"/>
      <c r="B570" s="1"/>
      <c r="C570" s="18" t="s">
        <v>815</v>
      </c>
      <c r="D570" s="52" t="s">
        <v>3053</v>
      </c>
      <c r="E570" s="52" t="s">
        <v>3054</v>
      </c>
      <c r="F570" s="53" t="s">
        <v>1109</v>
      </c>
      <c r="G570" s="179" t="s">
        <v>1429</v>
      </c>
      <c r="H570" s="180" t="s">
        <v>815</v>
      </c>
      <c r="I570" s="55" t="s">
        <v>1429</v>
      </c>
      <c r="J570" s="55" t="s">
        <v>1429</v>
      </c>
      <c r="K570" s="56" t="s">
        <v>1429</v>
      </c>
      <c r="L570" s="54" t="s">
        <v>1429</v>
      </c>
      <c r="M570" s="55" t="s">
        <v>1580</v>
      </c>
      <c r="N570" s="55" t="s">
        <v>1429</v>
      </c>
      <c r="O570" s="55" t="s">
        <v>1429</v>
      </c>
      <c r="P570" s="56" t="s">
        <v>1429</v>
      </c>
      <c r="Q570" s="85"/>
      <c r="R570" s="85"/>
      <c r="S570" s="85"/>
      <c r="T570" s="85"/>
      <c r="U570" s="85"/>
      <c r="V570" s="146" t="s">
        <v>3055</v>
      </c>
      <c r="W570" s="51" t="s">
        <v>2932</v>
      </c>
      <c r="X570" s="130" t="s">
        <v>1429</v>
      </c>
      <c r="Y570" s="130" t="s">
        <v>1429</v>
      </c>
      <c r="Z570" s="51"/>
      <c r="AA570" s="51" t="s">
        <v>2612</v>
      </c>
      <c r="AB570" s="146"/>
      <c r="AC570" s="146" t="s">
        <v>1429</v>
      </c>
      <c r="AD570" s="98"/>
      <c r="AE570" s="83"/>
      <c r="AF570" s="83"/>
      <c r="AG570" s="83"/>
      <c r="AH570" s="86"/>
      <c r="AI570" s="86"/>
      <c r="AJ570" s="87"/>
      <c r="AK570" s="87"/>
      <c r="AL570" s="87"/>
      <c r="AM570" s="87"/>
      <c r="AN570" s="87"/>
      <c r="AO570" s="87"/>
      <c r="AP570" s="87"/>
      <c r="AQ570" s="229" t="s">
        <v>815</v>
      </c>
      <c r="AR570" s="5"/>
      <c r="AS570" s="5"/>
      <c r="AT570" s="5"/>
      <c r="AU570" s="5"/>
      <c r="AV570" s="5"/>
      <c r="AW570" s="5"/>
      <c r="AX570" s="284"/>
      <c r="AY570" s="5"/>
      <c r="AZ570" s="5"/>
      <c r="BA570" s="230"/>
      <c r="BB570" s="5"/>
      <c r="BC570" s="232" t="s">
        <v>3536</v>
      </c>
      <c r="BD570" s="257"/>
      <c r="BE570" s="249"/>
      <c r="BF570" s="249"/>
      <c r="BG570" s="249"/>
      <c r="BH570" s="249"/>
      <c r="BI570" s="249"/>
      <c r="BJ570" s="249"/>
      <c r="BK570" s="249"/>
      <c r="BL570" s="249"/>
      <c r="BM570" s="249"/>
      <c r="BN570" s="249"/>
      <c r="BO570" s="249"/>
      <c r="BP570" s="249"/>
      <c r="BQ570" s="249"/>
      <c r="BR570" s="249"/>
      <c r="BS570" s="249"/>
      <c r="BT570" s="249"/>
      <c r="BU570" s="249"/>
      <c r="BV570" s="249"/>
      <c r="BW570" s="249"/>
      <c r="BX570" s="249"/>
      <c r="BY570" s="249"/>
      <c r="BZ570" s="249"/>
      <c r="CA570" s="249"/>
      <c r="CB570" s="249"/>
      <c r="CC570" s="249"/>
      <c r="CD570" s="249"/>
      <c r="CE570" s="249"/>
    </row>
    <row r="571" spans="1:83" s="84" customFormat="1" ht="12.95" customHeight="1">
      <c r="A571" s="1"/>
      <c r="B571" s="1"/>
      <c r="C571" s="18" t="s">
        <v>816</v>
      </c>
      <c r="D571" s="52" t="s">
        <v>3056</v>
      </c>
      <c r="E571" s="52" t="s">
        <v>3057</v>
      </c>
      <c r="F571" s="53" t="s">
        <v>1110</v>
      </c>
      <c r="G571" s="179" t="s">
        <v>1429</v>
      </c>
      <c r="H571" s="180" t="s">
        <v>816</v>
      </c>
      <c r="I571" s="55" t="s">
        <v>1429</v>
      </c>
      <c r="J571" s="55" t="s">
        <v>1429</v>
      </c>
      <c r="K571" s="56" t="s">
        <v>1429</v>
      </c>
      <c r="L571" s="54" t="s">
        <v>1429</v>
      </c>
      <c r="M571" s="55" t="s">
        <v>1580</v>
      </c>
      <c r="N571" s="55" t="s">
        <v>1429</v>
      </c>
      <c r="O571" s="55" t="s">
        <v>1429</v>
      </c>
      <c r="P571" s="56" t="s">
        <v>1429</v>
      </c>
      <c r="Q571" s="85"/>
      <c r="R571" s="85"/>
      <c r="S571" s="85"/>
      <c r="T571" s="85"/>
      <c r="U571" s="85"/>
      <c r="V571" s="146" t="s">
        <v>3058</v>
      </c>
      <c r="W571" s="51" t="s">
        <v>2932</v>
      </c>
      <c r="X571" s="130" t="s">
        <v>1429</v>
      </c>
      <c r="Y571" s="130" t="s">
        <v>1429</v>
      </c>
      <c r="Z571" s="51"/>
      <c r="AA571" s="51" t="s">
        <v>2612</v>
      </c>
      <c r="AB571" s="146"/>
      <c r="AC571" s="146" t="s">
        <v>1429</v>
      </c>
      <c r="AD571" s="98"/>
      <c r="AE571" s="83"/>
      <c r="AF571" s="83"/>
      <c r="AG571" s="83"/>
      <c r="AH571" s="86"/>
      <c r="AI571" s="86"/>
      <c r="AJ571" s="87"/>
      <c r="AK571" s="87"/>
      <c r="AL571" s="87"/>
      <c r="AM571" s="87"/>
      <c r="AN571" s="87"/>
      <c r="AO571" s="87"/>
      <c r="AP571" s="87"/>
      <c r="AQ571" s="229" t="s">
        <v>816</v>
      </c>
      <c r="AR571" s="5"/>
      <c r="AS571" s="5"/>
      <c r="AT571" s="5"/>
      <c r="AU571" s="5"/>
      <c r="AV571" s="5"/>
      <c r="AW571" s="5"/>
      <c r="AX571" s="284"/>
      <c r="AY571" s="5"/>
      <c r="AZ571" s="5"/>
      <c r="BA571" s="230"/>
      <c r="BB571" s="5"/>
      <c r="BC571" s="232" t="s">
        <v>3536</v>
      </c>
      <c r="BD571" s="257"/>
      <c r="BE571" s="249"/>
      <c r="BF571" s="249"/>
      <c r="BG571" s="249"/>
      <c r="BH571" s="249"/>
      <c r="BI571" s="249"/>
      <c r="BJ571" s="249"/>
      <c r="BK571" s="249"/>
      <c r="BL571" s="249"/>
      <c r="BM571" s="249"/>
      <c r="BN571" s="249"/>
      <c r="BO571" s="249"/>
      <c r="BP571" s="249"/>
      <c r="BQ571" s="249"/>
      <c r="BR571" s="249"/>
      <c r="BS571" s="249"/>
      <c r="BT571" s="249"/>
      <c r="BU571" s="249"/>
      <c r="BV571" s="249"/>
      <c r="BW571" s="249"/>
      <c r="BX571" s="249"/>
      <c r="BY571" s="249"/>
      <c r="BZ571" s="249"/>
      <c r="CA571" s="249"/>
      <c r="CB571" s="249"/>
      <c r="CC571" s="249"/>
      <c r="CD571" s="249"/>
      <c r="CE571" s="249"/>
    </row>
    <row r="572" spans="1:83" s="84" customFormat="1" ht="12.95" customHeight="1">
      <c r="A572" s="1"/>
      <c r="B572" s="1"/>
      <c r="C572" s="18" t="s">
        <v>817</v>
      </c>
      <c r="D572" s="52" t="s">
        <v>3059</v>
      </c>
      <c r="E572" s="52" t="s">
        <v>3060</v>
      </c>
      <c r="F572" s="53" t="s">
        <v>1111</v>
      </c>
      <c r="G572" s="179" t="s">
        <v>1429</v>
      </c>
      <c r="H572" s="180" t="s">
        <v>817</v>
      </c>
      <c r="I572" s="55" t="s">
        <v>1429</v>
      </c>
      <c r="J572" s="55" t="s">
        <v>1429</v>
      </c>
      <c r="K572" s="56" t="s">
        <v>1429</v>
      </c>
      <c r="L572" s="54" t="s">
        <v>1429</v>
      </c>
      <c r="M572" s="55" t="s">
        <v>1580</v>
      </c>
      <c r="N572" s="55" t="s">
        <v>1429</v>
      </c>
      <c r="O572" s="55" t="s">
        <v>1429</v>
      </c>
      <c r="P572" s="56" t="s">
        <v>1429</v>
      </c>
      <c r="Q572" s="85"/>
      <c r="R572" s="85"/>
      <c r="S572" s="85"/>
      <c r="T572" s="85"/>
      <c r="U572" s="85"/>
      <c r="V572" s="146" t="s">
        <v>3061</v>
      </c>
      <c r="W572" s="51" t="s">
        <v>2932</v>
      </c>
      <c r="X572" s="130" t="s">
        <v>1429</v>
      </c>
      <c r="Y572" s="130" t="s">
        <v>1429</v>
      </c>
      <c r="Z572" s="51"/>
      <c r="AA572" s="51" t="s">
        <v>2612</v>
      </c>
      <c r="AB572" s="146"/>
      <c r="AC572" s="146" t="s">
        <v>1429</v>
      </c>
      <c r="AD572" s="98"/>
      <c r="AE572" s="83"/>
      <c r="AF572" s="83"/>
      <c r="AG572" s="83"/>
      <c r="AH572" s="86"/>
      <c r="AI572" s="86"/>
      <c r="AJ572" s="87"/>
      <c r="AK572" s="87"/>
      <c r="AL572" s="87"/>
      <c r="AM572" s="87"/>
      <c r="AN572" s="87"/>
      <c r="AO572" s="87"/>
      <c r="AP572" s="87"/>
      <c r="AQ572" s="229" t="s">
        <v>817</v>
      </c>
      <c r="AR572" s="5"/>
      <c r="AS572" s="5"/>
      <c r="AT572" s="5"/>
      <c r="AU572" s="5"/>
      <c r="AV572" s="5"/>
      <c r="AW572" s="5"/>
      <c r="AX572" s="284"/>
      <c r="AY572" s="5"/>
      <c r="AZ572" s="5"/>
      <c r="BA572" s="230"/>
      <c r="BB572" s="5"/>
      <c r="BC572" s="232" t="s">
        <v>3536</v>
      </c>
      <c r="BD572" s="257"/>
      <c r="BE572" s="249"/>
      <c r="BF572" s="249"/>
      <c r="BG572" s="249"/>
      <c r="BH572" s="249"/>
      <c r="BI572" s="249"/>
      <c r="BJ572" s="249"/>
      <c r="BK572" s="249"/>
      <c r="BL572" s="249"/>
      <c r="BM572" s="249"/>
      <c r="BN572" s="249"/>
      <c r="BO572" s="249"/>
      <c r="BP572" s="249"/>
      <c r="BQ572" s="249"/>
      <c r="BR572" s="249"/>
      <c r="BS572" s="249"/>
      <c r="BT572" s="249"/>
      <c r="BU572" s="249"/>
      <c r="BV572" s="249"/>
      <c r="BW572" s="249"/>
      <c r="BX572" s="249"/>
      <c r="BY572" s="249"/>
      <c r="BZ572" s="249"/>
      <c r="CA572" s="249"/>
      <c r="CB572" s="249"/>
      <c r="CC572" s="249"/>
      <c r="CD572" s="249"/>
      <c r="CE572" s="249"/>
    </row>
    <row r="573" spans="1:83" s="84" customFormat="1" ht="12.95" customHeight="1">
      <c r="A573" s="1"/>
      <c r="B573" s="1"/>
      <c r="C573" s="18" t="s">
        <v>818</v>
      </c>
      <c r="D573" s="52" t="s">
        <v>3062</v>
      </c>
      <c r="E573" s="52" t="s">
        <v>3063</v>
      </c>
      <c r="F573" s="53" t="s">
        <v>1112</v>
      </c>
      <c r="G573" s="179" t="s">
        <v>1429</v>
      </c>
      <c r="H573" s="180" t="s">
        <v>818</v>
      </c>
      <c r="I573" s="55" t="s">
        <v>1429</v>
      </c>
      <c r="J573" s="55" t="s">
        <v>1429</v>
      </c>
      <c r="K573" s="56" t="s">
        <v>1429</v>
      </c>
      <c r="L573" s="54" t="s">
        <v>1429</v>
      </c>
      <c r="M573" s="55" t="s">
        <v>1580</v>
      </c>
      <c r="N573" s="55" t="s">
        <v>1429</v>
      </c>
      <c r="O573" s="55" t="s">
        <v>1429</v>
      </c>
      <c r="P573" s="56" t="s">
        <v>1429</v>
      </c>
      <c r="Q573" s="85"/>
      <c r="R573" s="85"/>
      <c r="S573" s="85"/>
      <c r="T573" s="85"/>
      <c r="U573" s="85"/>
      <c r="V573" s="146" t="s">
        <v>3064</v>
      </c>
      <c r="W573" s="51" t="s">
        <v>2932</v>
      </c>
      <c r="X573" s="130" t="s">
        <v>1429</v>
      </c>
      <c r="Y573" s="130" t="s">
        <v>1429</v>
      </c>
      <c r="Z573" s="51"/>
      <c r="AA573" s="51" t="s">
        <v>2612</v>
      </c>
      <c r="AB573" s="146"/>
      <c r="AC573" s="146" t="s">
        <v>1429</v>
      </c>
      <c r="AD573" s="98"/>
      <c r="AE573" s="83"/>
      <c r="AF573" s="83"/>
      <c r="AG573" s="83"/>
      <c r="AH573" s="86"/>
      <c r="AI573" s="86"/>
      <c r="AJ573" s="87"/>
      <c r="AK573" s="87"/>
      <c r="AL573" s="87"/>
      <c r="AM573" s="87"/>
      <c r="AN573" s="87"/>
      <c r="AO573" s="87"/>
      <c r="AP573" s="87"/>
      <c r="AQ573" s="229" t="s">
        <v>818</v>
      </c>
      <c r="AR573" s="5"/>
      <c r="AS573" s="5"/>
      <c r="AT573" s="5"/>
      <c r="AU573" s="5"/>
      <c r="AV573" s="5"/>
      <c r="AW573" s="5"/>
      <c r="AX573" s="284"/>
      <c r="AY573" s="5"/>
      <c r="AZ573" s="5"/>
      <c r="BA573" s="230"/>
      <c r="BB573" s="5"/>
      <c r="BC573" s="232" t="s">
        <v>3536</v>
      </c>
      <c r="BD573" s="257"/>
      <c r="BE573" s="249"/>
      <c r="BF573" s="249"/>
      <c r="BG573" s="249"/>
      <c r="BH573" s="249"/>
      <c r="BI573" s="249"/>
      <c r="BJ573" s="249"/>
      <c r="BK573" s="249"/>
      <c r="BL573" s="249"/>
      <c r="BM573" s="249"/>
      <c r="BN573" s="249"/>
      <c r="BO573" s="249"/>
      <c r="BP573" s="249"/>
      <c r="BQ573" s="249"/>
      <c r="BR573" s="249"/>
      <c r="BS573" s="249"/>
      <c r="BT573" s="249"/>
      <c r="BU573" s="249"/>
      <c r="BV573" s="249"/>
      <c r="BW573" s="249"/>
      <c r="BX573" s="249"/>
      <c r="BY573" s="249"/>
      <c r="BZ573" s="249"/>
      <c r="CA573" s="249"/>
      <c r="CB573" s="249"/>
      <c r="CC573" s="249"/>
      <c r="CD573" s="249"/>
      <c r="CE573" s="249"/>
    </row>
    <row r="574" spans="1:83" s="84" customFormat="1" ht="12.95" customHeight="1">
      <c r="A574" s="1"/>
      <c r="B574" s="1"/>
      <c r="C574" s="18" t="s">
        <v>819</v>
      </c>
      <c r="D574" s="52" t="s">
        <v>3065</v>
      </c>
      <c r="E574" s="52" t="s">
        <v>3066</v>
      </c>
      <c r="F574" s="53" t="s">
        <v>1113</v>
      </c>
      <c r="G574" s="179" t="s">
        <v>1429</v>
      </c>
      <c r="H574" s="180" t="s">
        <v>819</v>
      </c>
      <c r="I574" s="55" t="s">
        <v>1429</v>
      </c>
      <c r="J574" s="55" t="s">
        <v>1429</v>
      </c>
      <c r="K574" s="56" t="s">
        <v>1429</v>
      </c>
      <c r="L574" s="54" t="s">
        <v>1429</v>
      </c>
      <c r="M574" s="55" t="s">
        <v>1580</v>
      </c>
      <c r="N574" s="55" t="s">
        <v>1429</v>
      </c>
      <c r="O574" s="55" t="s">
        <v>1429</v>
      </c>
      <c r="P574" s="56" t="s">
        <v>1429</v>
      </c>
      <c r="Q574" s="85"/>
      <c r="R574" s="85"/>
      <c r="S574" s="85"/>
      <c r="T574" s="85"/>
      <c r="U574" s="85"/>
      <c r="V574" s="146" t="s">
        <v>3067</v>
      </c>
      <c r="W574" s="51" t="s">
        <v>2932</v>
      </c>
      <c r="X574" s="130" t="s">
        <v>1429</v>
      </c>
      <c r="Y574" s="130" t="s">
        <v>1429</v>
      </c>
      <c r="Z574" s="51"/>
      <c r="AA574" s="51" t="s">
        <v>2612</v>
      </c>
      <c r="AB574" s="146"/>
      <c r="AC574" s="146" t="s">
        <v>1429</v>
      </c>
      <c r="AD574" s="98"/>
      <c r="AE574" s="83"/>
      <c r="AF574" s="83"/>
      <c r="AG574" s="83"/>
      <c r="AH574" s="86"/>
      <c r="AI574" s="86"/>
      <c r="AJ574" s="87"/>
      <c r="AK574" s="87"/>
      <c r="AL574" s="87"/>
      <c r="AM574" s="87"/>
      <c r="AN574" s="87"/>
      <c r="AO574" s="87"/>
      <c r="AP574" s="87"/>
      <c r="AQ574" s="229" t="s">
        <v>819</v>
      </c>
      <c r="AR574" s="5"/>
      <c r="AS574" s="5"/>
      <c r="AT574" s="5"/>
      <c r="AU574" s="5"/>
      <c r="AV574" s="5"/>
      <c r="AW574" s="5"/>
      <c r="AX574" s="284"/>
      <c r="AY574" s="5"/>
      <c r="AZ574" s="5"/>
      <c r="BA574" s="230"/>
      <c r="BB574" s="5"/>
      <c r="BC574" s="232" t="s">
        <v>3536</v>
      </c>
      <c r="BD574" s="257"/>
      <c r="BE574" s="249"/>
      <c r="BF574" s="249"/>
      <c r="BG574" s="249"/>
      <c r="BH574" s="249"/>
      <c r="BI574" s="249"/>
      <c r="BJ574" s="249"/>
      <c r="BK574" s="249"/>
      <c r="BL574" s="249"/>
      <c r="BM574" s="249"/>
      <c r="BN574" s="249"/>
      <c r="BO574" s="249"/>
      <c r="BP574" s="249"/>
      <c r="BQ574" s="249"/>
      <c r="BR574" s="249"/>
      <c r="BS574" s="249"/>
      <c r="BT574" s="249"/>
      <c r="BU574" s="249"/>
      <c r="BV574" s="249"/>
      <c r="BW574" s="249"/>
      <c r="BX574" s="249"/>
      <c r="BY574" s="249"/>
      <c r="BZ574" s="249"/>
      <c r="CA574" s="249"/>
      <c r="CB574" s="249"/>
      <c r="CC574" s="249"/>
      <c r="CD574" s="249"/>
      <c r="CE574" s="249"/>
    </row>
    <row r="575" spans="1:83" s="84" customFormat="1" ht="12.95" customHeight="1">
      <c r="A575" s="1"/>
      <c r="B575" s="1"/>
      <c r="C575" s="18" t="s">
        <v>820</v>
      </c>
      <c r="D575" s="52" t="s">
        <v>3060</v>
      </c>
      <c r="E575" s="52" t="s">
        <v>3068</v>
      </c>
      <c r="F575" s="53" t="s">
        <v>1114</v>
      </c>
      <c r="G575" s="179" t="s">
        <v>1429</v>
      </c>
      <c r="H575" s="180" t="s">
        <v>820</v>
      </c>
      <c r="I575" s="55" t="s">
        <v>1429</v>
      </c>
      <c r="J575" s="55" t="s">
        <v>1429</v>
      </c>
      <c r="K575" s="56" t="s">
        <v>1429</v>
      </c>
      <c r="L575" s="54" t="s">
        <v>1429</v>
      </c>
      <c r="M575" s="55" t="s">
        <v>1580</v>
      </c>
      <c r="N575" s="55" t="s">
        <v>1429</v>
      </c>
      <c r="O575" s="55" t="s">
        <v>1429</v>
      </c>
      <c r="P575" s="56" t="s">
        <v>1429</v>
      </c>
      <c r="Q575" s="85"/>
      <c r="R575" s="85"/>
      <c r="S575" s="85"/>
      <c r="T575" s="85"/>
      <c r="U575" s="85"/>
      <c r="V575" s="146" t="s">
        <v>3069</v>
      </c>
      <c r="W575" s="51" t="s">
        <v>2932</v>
      </c>
      <c r="X575" s="130" t="s">
        <v>1429</v>
      </c>
      <c r="Y575" s="130" t="s">
        <v>1429</v>
      </c>
      <c r="Z575" s="51"/>
      <c r="AA575" s="51" t="s">
        <v>2612</v>
      </c>
      <c r="AB575" s="146"/>
      <c r="AC575" s="146" t="s">
        <v>1429</v>
      </c>
      <c r="AD575" s="98"/>
      <c r="AE575" s="83"/>
      <c r="AF575" s="83"/>
      <c r="AG575" s="83"/>
      <c r="AH575" s="86"/>
      <c r="AI575" s="86"/>
      <c r="AJ575" s="87"/>
      <c r="AK575" s="87"/>
      <c r="AL575" s="87"/>
      <c r="AM575" s="87"/>
      <c r="AN575" s="87"/>
      <c r="AO575" s="87"/>
      <c r="AP575" s="87"/>
      <c r="AQ575" s="229" t="s">
        <v>820</v>
      </c>
      <c r="AR575" s="5"/>
      <c r="AS575" s="5"/>
      <c r="AT575" s="5"/>
      <c r="AU575" s="5"/>
      <c r="AV575" s="5"/>
      <c r="AW575" s="5"/>
      <c r="AX575" s="284"/>
      <c r="AY575" s="5"/>
      <c r="AZ575" s="5"/>
      <c r="BA575" s="230"/>
      <c r="BB575" s="5"/>
      <c r="BC575" s="232" t="s">
        <v>3536</v>
      </c>
      <c r="BD575" s="257"/>
      <c r="BE575" s="249"/>
      <c r="BF575" s="249"/>
      <c r="BG575" s="249"/>
      <c r="BH575" s="249"/>
      <c r="BI575" s="249"/>
      <c r="BJ575" s="249"/>
      <c r="BK575" s="249"/>
      <c r="BL575" s="249"/>
      <c r="BM575" s="249"/>
      <c r="BN575" s="249"/>
      <c r="BO575" s="249"/>
      <c r="BP575" s="249"/>
      <c r="BQ575" s="249"/>
      <c r="BR575" s="249"/>
      <c r="BS575" s="249"/>
      <c r="BT575" s="249"/>
      <c r="BU575" s="249"/>
      <c r="BV575" s="249"/>
      <c r="BW575" s="249"/>
      <c r="BX575" s="249"/>
      <c r="BY575" s="249"/>
      <c r="BZ575" s="249"/>
      <c r="CA575" s="249"/>
      <c r="CB575" s="249"/>
      <c r="CC575" s="249"/>
      <c r="CD575" s="249"/>
      <c r="CE575" s="249"/>
    </row>
    <row r="576" spans="1:83" s="84" customFormat="1" ht="12.95" customHeight="1">
      <c r="A576" s="1"/>
      <c r="B576" s="1"/>
      <c r="C576" s="18" t="s">
        <v>821</v>
      </c>
      <c r="D576" s="52" t="s">
        <v>3063</v>
      </c>
      <c r="E576" s="52" t="s">
        <v>3062</v>
      </c>
      <c r="F576" s="53" t="s">
        <v>1115</v>
      </c>
      <c r="G576" s="179" t="s">
        <v>1429</v>
      </c>
      <c r="H576" s="180" t="s">
        <v>821</v>
      </c>
      <c r="I576" s="55" t="s">
        <v>1429</v>
      </c>
      <c r="J576" s="55" t="s">
        <v>1429</v>
      </c>
      <c r="K576" s="56" t="s">
        <v>1429</v>
      </c>
      <c r="L576" s="54" t="s">
        <v>1429</v>
      </c>
      <c r="M576" s="55" t="s">
        <v>1580</v>
      </c>
      <c r="N576" s="55" t="s">
        <v>1429</v>
      </c>
      <c r="O576" s="55" t="s">
        <v>1429</v>
      </c>
      <c r="P576" s="56" t="s">
        <v>1429</v>
      </c>
      <c r="Q576" s="85"/>
      <c r="R576" s="85"/>
      <c r="S576" s="85"/>
      <c r="T576" s="85"/>
      <c r="U576" s="85"/>
      <c r="V576" s="146" t="s">
        <v>3070</v>
      </c>
      <c r="W576" s="51" t="s">
        <v>2932</v>
      </c>
      <c r="X576" s="130" t="s">
        <v>1429</v>
      </c>
      <c r="Y576" s="130" t="s">
        <v>1429</v>
      </c>
      <c r="Z576" s="51"/>
      <c r="AA576" s="51" t="s">
        <v>2612</v>
      </c>
      <c r="AB576" s="146"/>
      <c r="AC576" s="146" t="s">
        <v>1429</v>
      </c>
      <c r="AD576" s="98"/>
      <c r="AE576" s="83"/>
      <c r="AF576" s="83"/>
      <c r="AG576" s="83"/>
      <c r="AH576" s="86"/>
      <c r="AI576" s="86"/>
      <c r="AJ576" s="87"/>
      <c r="AK576" s="87"/>
      <c r="AL576" s="87"/>
      <c r="AM576" s="87"/>
      <c r="AN576" s="87"/>
      <c r="AO576" s="87"/>
      <c r="AP576" s="87"/>
      <c r="AQ576" s="229" t="s">
        <v>821</v>
      </c>
      <c r="AR576" s="5"/>
      <c r="AS576" s="5"/>
      <c r="AT576" s="5"/>
      <c r="AU576" s="5"/>
      <c r="AV576" s="5"/>
      <c r="AW576" s="5"/>
      <c r="AX576" s="284"/>
      <c r="AY576" s="5"/>
      <c r="AZ576" s="5"/>
      <c r="BA576" s="230"/>
      <c r="BB576" s="5"/>
      <c r="BC576" s="232" t="s">
        <v>3536</v>
      </c>
      <c r="BD576" s="257"/>
      <c r="BE576" s="249"/>
      <c r="BF576" s="249"/>
      <c r="BG576" s="249"/>
      <c r="BH576" s="249"/>
      <c r="BI576" s="249"/>
      <c r="BJ576" s="249"/>
      <c r="BK576" s="249"/>
      <c r="BL576" s="249"/>
      <c r="BM576" s="249"/>
      <c r="BN576" s="249"/>
      <c r="BO576" s="249"/>
      <c r="BP576" s="249"/>
      <c r="BQ576" s="249"/>
      <c r="BR576" s="249"/>
      <c r="BS576" s="249"/>
      <c r="BT576" s="249"/>
      <c r="BU576" s="249"/>
      <c r="BV576" s="249"/>
      <c r="BW576" s="249"/>
      <c r="BX576" s="249"/>
      <c r="BY576" s="249"/>
      <c r="BZ576" s="249"/>
      <c r="CA576" s="249"/>
      <c r="CB576" s="249"/>
      <c r="CC576" s="249"/>
      <c r="CD576" s="249"/>
      <c r="CE576" s="249"/>
    </row>
    <row r="577" spans="1:83" s="84" customFormat="1" ht="12.95" customHeight="1">
      <c r="A577" s="1"/>
      <c r="B577" s="1"/>
      <c r="C577" s="18" t="s">
        <v>822</v>
      </c>
      <c r="D577" s="52" t="s">
        <v>3066</v>
      </c>
      <c r="E577" s="52" t="s">
        <v>3071</v>
      </c>
      <c r="F577" s="53" t="s">
        <v>1116</v>
      </c>
      <c r="G577" s="179" t="s">
        <v>1429</v>
      </c>
      <c r="H577" s="180" t="s">
        <v>822</v>
      </c>
      <c r="I577" s="55" t="s">
        <v>1429</v>
      </c>
      <c r="J577" s="55" t="s">
        <v>1429</v>
      </c>
      <c r="K577" s="56" t="s">
        <v>1429</v>
      </c>
      <c r="L577" s="54" t="s">
        <v>1429</v>
      </c>
      <c r="M577" s="55" t="s">
        <v>1580</v>
      </c>
      <c r="N577" s="55" t="s">
        <v>1429</v>
      </c>
      <c r="O577" s="55" t="s">
        <v>1429</v>
      </c>
      <c r="P577" s="56" t="s">
        <v>1429</v>
      </c>
      <c r="Q577" s="85"/>
      <c r="R577" s="85"/>
      <c r="S577" s="85"/>
      <c r="T577" s="85"/>
      <c r="U577" s="85"/>
      <c r="V577" s="146" t="s">
        <v>3072</v>
      </c>
      <c r="W577" s="51" t="s">
        <v>2932</v>
      </c>
      <c r="X577" s="130" t="s">
        <v>1429</v>
      </c>
      <c r="Y577" s="130" t="s">
        <v>1429</v>
      </c>
      <c r="Z577" s="51"/>
      <c r="AA577" s="51" t="s">
        <v>2612</v>
      </c>
      <c r="AB577" s="146"/>
      <c r="AC577" s="146" t="s">
        <v>1429</v>
      </c>
      <c r="AD577" s="98"/>
      <c r="AE577" s="83"/>
      <c r="AF577" s="83"/>
      <c r="AG577" s="83"/>
      <c r="AH577" s="86"/>
      <c r="AI577" s="86"/>
      <c r="AJ577" s="87"/>
      <c r="AK577" s="87"/>
      <c r="AL577" s="87"/>
      <c r="AM577" s="87"/>
      <c r="AN577" s="87"/>
      <c r="AO577" s="87"/>
      <c r="AP577" s="87"/>
      <c r="AQ577" s="229" t="s">
        <v>822</v>
      </c>
      <c r="AR577" s="5"/>
      <c r="AS577" s="5"/>
      <c r="AT577" s="5"/>
      <c r="AU577" s="5"/>
      <c r="AV577" s="5"/>
      <c r="AW577" s="5"/>
      <c r="AX577" s="284"/>
      <c r="AY577" s="5"/>
      <c r="AZ577" s="5"/>
      <c r="BA577" s="230"/>
      <c r="BB577" s="5"/>
      <c r="BC577" s="232" t="s">
        <v>3536</v>
      </c>
      <c r="BD577" s="257"/>
      <c r="BE577" s="249"/>
      <c r="BF577" s="249"/>
      <c r="BG577" s="249"/>
      <c r="BH577" s="249"/>
      <c r="BI577" s="249"/>
      <c r="BJ577" s="249"/>
      <c r="BK577" s="249"/>
      <c r="BL577" s="249"/>
      <c r="BM577" s="249"/>
      <c r="BN577" s="249"/>
      <c r="BO577" s="249"/>
      <c r="BP577" s="249"/>
      <c r="BQ577" s="249"/>
      <c r="BR577" s="249"/>
      <c r="BS577" s="249"/>
      <c r="BT577" s="249"/>
      <c r="BU577" s="249"/>
      <c r="BV577" s="249"/>
      <c r="BW577" s="249"/>
      <c r="BX577" s="249"/>
      <c r="BY577" s="249"/>
      <c r="BZ577" s="249"/>
      <c r="CA577" s="249"/>
      <c r="CB577" s="249"/>
      <c r="CC577" s="249"/>
      <c r="CD577" s="249"/>
      <c r="CE577" s="249"/>
    </row>
    <row r="578" spans="1:83" s="84" customFormat="1" ht="12.95" customHeight="1">
      <c r="A578" s="1"/>
      <c r="B578" s="1"/>
      <c r="C578" s="18" t="s">
        <v>823</v>
      </c>
      <c r="D578" s="52" t="s">
        <v>3073</v>
      </c>
      <c r="E578" s="52" t="s">
        <v>3073</v>
      </c>
      <c r="F578" s="53" t="s">
        <v>1117</v>
      </c>
      <c r="G578" s="179" t="s">
        <v>1429</v>
      </c>
      <c r="H578" s="180" t="s">
        <v>823</v>
      </c>
      <c r="I578" s="55" t="s">
        <v>1429</v>
      </c>
      <c r="J578" s="55" t="s">
        <v>1429</v>
      </c>
      <c r="K578" s="56" t="s">
        <v>1429</v>
      </c>
      <c r="L578" s="54" t="s">
        <v>1429</v>
      </c>
      <c r="M578" s="55" t="s">
        <v>1580</v>
      </c>
      <c r="N578" s="55" t="s">
        <v>1429</v>
      </c>
      <c r="O578" s="55" t="s">
        <v>1429</v>
      </c>
      <c r="P578" s="56" t="s">
        <v>1429</v>
      </c>
      <c r="Q578" s="85"/>
      <c r="R578" s="85"/>
      <c r="S578" s="85"/>
      <c r="T578" s="85"/>
      <c r="U578" s="85"/>
      <c r="V578" s="146" t="s">
        <v>3074</v>
      </c>
      <c r="W578" s="51" t="s">
        <v>2932</v>
      </c>
      <c r="X578" s="130" t="s">
        <v>1429</v>
      </c>
      <c r="Y578" s="130" t="s">
        <v>1429</v>
      </c>
      <c r="Z578" s="51"/>
      <c r="AA578" s="51" t="s">
        <v>2612</v>
      </c>
      <c r="AB578" s="146"/>
      <c r="AC578" s="146" t="s">
        <v>1429</v>
      </c>
      <c r="AD578" s="98"/>
      <c r="AE578" s="83"/>
      <c r="AF578" s="83"/>
      <c r="AG578" s="83"/>
      <c r="AH578" s="86"/>
      <c r="AI578" s="86"/>
      <c r="AJ578" s="87"/>
      <c r="AK578" s="87"/>
      <c r="AL578" s="87"/>
      <c r="AM578" s="87"/>
      <c r="AN578" s="87"/>
      <c r="AO578" s="87"/>
      <c r="AP578" s="87"/>
      <c r="AQ578" s="229" t="s">
        <v>823</v>
      </c>
      <c r="AR578" s="5"/>
      <c r="AS578" s="5"/>
      <c r="AT578" s="5"/>
      <c r="AU578" s="5"/>
      <c r="AV578" s="5"/>
      <c r="AW578" s="5"/>
      <c r="AX578" s="284"/>
      <c r="AY578" s="5"/>
      <c r="AZ578" s="5"/>
      <c r="BA578" s="230"/>
      <c r="BB578" s="5"/>
      <c r="BC578" s="232" t="s">
        <v>3536</v>
      </c>
      <c r="BD578" s="257"/>
      <c r="BE578" s="249"/>
      <c r="BF578" s="249"/>
      <c r="BG578" s="249"/>
      <c r="BH578" s="249"/>
      <c r="BI578" s="249"/>
      <c r="BJ578" s="249"/>
      <c r="BK578" s="249"/>
      <c r="BL578" s="249"/>
      <c r="BM578" s="249"/>
      <c r="BN578" s="249"/>
      <c r="BO578" s="249"/>
      <c r="BP578" s="249"/>
      <c r="BQ578" s="249"/>
      <c r="BR578" s="249"/>
      <c r="BS578" s="249"/>
      <c r="BT578" s="249"/>
      <c r="BU578" s="249"/>
      <c r="BV578" s="249"/>
      <c r="BW578" s="249"/>
      <c r="BX578" s="249"/>
      <c r="BY578" s="249"/>
      <c r="BZ578" s="249"/>
      <c r="CA578" s="249"/>
      <c r="CB578" s="249"/>
      <c r="CC578" s="249"/>
      <c r="CD578" s="249"/>
      <c r="CE578" s="249"/>
    </row>
    <row r="579" spans="1:83" s="84" customFormat="1" ht="12.95" customHeight="1">
      <c r="A579" s="1"/>
      <c r="B579" s="1"/>
      <c r="C579" s="18" t="s">
        <v>824</v>
      </c>
      <c r="D579" s="52" t="s">
        <v>3075</v>
      </c>
      <c r="E579" s="52" t="s">
        <v>3053</v>
      </c>
      <c r="F579" s="53" t="s">
        <v>1118</v>
      </c>
      <c r="G579" s="179" t="s">
        <v>1429</v>
      </c>
      <c r="H579" s="180" t="s">
        <v>824</v>
      </c>
      <c r="I579" s="55" t="s">
        <v>1429</v>
      </c>
      <c r="J579" s="55" t="s">
        <v>1429</v>
      </c>
      <c r="K579" s="56" t="s">
        <v>1429</v>
      </c>
      <c r="L579" s="54" t="s">
        <v>1429</v>
      </c>
      <c r="M579" s="55" t="s">
        <v>1580</v>
      </c>
      <c r="N579" s="55" t="s">
        <v>1429</v>
      </c>
      <c r="O579" s="55" t="s">
        <v>1429</v>
      </c>
      <c r="P579" s="56" t="s">
        <v>1429</v>
      </c>
      <c r="Q579" s="85"/>
      <c r="R579" s="85"/>
      <c r="S579" s="85"/>
      <c r="T579" s="85"/>
      <c r="U579" s="85"/>
      <c r="V579" s="146" t="s">
        <v>3076</v>
      </c>
      <c r="W579" s="51" t="s">
        <v>2932</v>
      </c>
      <c r="X579" s="130" t="s">
        <v>1429</v>
      </c>
      <c r="Y579" s="130" t="s">
        <v>1429</v>
      </c>
      <c r="Z579" s="51"/>
      <c r="AA579" s="51" t="s">
        <v>2612</v>
      </c>
      <c r="AB579" s="146"/>
      <c r="AC579" s="146" t="s">
        <v>1429</v>
      </c>
      <c r="AD579" s="98"/>
      <c r="AE579" s="83"/>
      <c r="AF579" s="83"/>
      <c r="AG579" s="83"/>
      <c r="AH579" s="86"/>
      <c r="AI579" s="86"/>
      <c r="AJ579" s="87"/>
      <c r="AK579" s="87"/>
      <c r="AL579" s="87"/>
      <c r="AM579" s="87"/>
      <c r="AN579" s="87"/>
      <c r="AO579" s="87"/>
      <c r="AP579" s="87"/>
      <c r="AQ579" s="229" t="s">
        <v>824</v>
      </c>
      <c r="AR579" s="5"/>
      <c r="AS579" s="5"/>
      <c r="AT579" s="5"/>
      <c r="AU579" s="5"/>
      <c r="AV579" s="5"/>
      <c r="AW579" s="5"/>
      <c r="AX579" s="284"/>
      <c r="AY579" s="5"/>
      <c r="AZ579" s="5"/>
      <c r="BA579" s="230"/>
      <c r="BB579" s="5"/>
      <c r="BC579" s="232" t="s">
        <v>3536</v>
      </c>
      <c r="BD579" s="257"/>
      <c r="BE579" s="249"/>
      <c r="BF579" s="249"/>
      <c r="BG579" s="249"/>
      <c r="BH579" s="249"/>
      <c r="BI579" s="249"/>
      <c r="BJ579" s="249"/>
      <c r="BK579" s="249"/>
      <c r="BL579" s="249"/>
      <c r="BM579" s="249"/>
      <c r="BN579" s="249"/>
      <c r="BO579" s="249"/>
      <c r="BP579" s="249"/>
      <c r="BQ579" s="249"/>
      <c r="BR579" s="249"/>
      <c r="BS579" s="249"/>
      <c r="BT579" s="249"/>
      <c r="BU579" s="249"/>
      <c r="BV579" s="249"/>
      <c r="BW579" s="249"/>
      <c r="BX579" s="249"/>
      <c r="BY579" s="249"/>
      <c r="BZ579" s="249"/>
      <c r="CA579" s="249"/>
      <c r="CB579" s="249"/>
      <c r="CC579" s="249"/>
      <c r="CD579" s="249"/>
      <c r="CE579" s="249"/>
    </row>
    <row r="580" spans="1:83" s="84" customFormat="1" ht="12.95" customHeight="1">
      <c r="A580" s="1"/>
      <c r="B580" s="1"/>
      <c r="C580" s="21" t="s">
        <v>825</v>
      </c>
      <c r="D580" s="52" t="s">
        <v>3077</v>
      </c>
      <c r="E580" s="52" t="s">
        <v>3078</v>
      </c>
      <c r="F580" s="53" t="s">
        <v>1119</v>
      </c>
      <c r="G580" s="179" t="s">
        <v>1429</v>
      </c>
      <c r="H580" s="180" t="s">
        <v>825</v>
      </c>
      <c r="I580" s="55" t="s">
        <v>1429</v>
      </c>
      <c r="J580" s="55" t="s">
        <v>1429</v>
      </c>
      <c r="K580" s="56" t="s">
        <v>1429</v>
      </c>
      <c r="L580" s="54" t="s">
        <v>1429</v>
      </c>
      <c r="M580" s="55" t="s">
        <v>1580</v>
      </c>
      <c r="N580" s="55" t="s">
        <v>1429</v>
      </c>
      <c r="O580" s="55" t="s">
        <v>1429</v>
      </c>
      <c r="P580" s="56" t="s">
        <v>1429</v>
      </c>
      <c r="Q580" s="85"/>
      <c r="R580" s="85"/>
      <c r="S580" s="85"/>
      <c r="T580" s="85"/>
      <c r="U580" s="85"/>
      <c r="V580" s="146" t="s">
        <v>3079</v>
      </c>
      <c r="W580" s="51" t="s">
        <v>2932</v>
      </c>
      <c r="X580" s="130" t="s">
        <v>1429</v>
      </c>
      <c r="Y580" s="130" t="s">
        <v>1429</v>
      </c>
      <c r="Z580" s="51"/>
      <c r="AA580" s="51" t="s">
        <v>2612</v>
      </c>
      <c r="AB580" s="146"/>
      <c r="AC580" s="146" t="s">
        <v>1429</v>
      </c>
      <c r="AD580" s="98"/>
      <c r="AE580" s="83"/>
      <c r="AF580" s="83"/>
      <c r="AG580" s="83"/>
      <c r="AH580" s="86"/>
      <c r="AI580" s="86"/>
      <c r="AJ580" s="87"/>
      <c r="AK580" s="87"/>
      <c r="AL580" s="87"/>
      <c r="AM580" s="87"/>
      <c r="AN580" s="87"/>
      <c r="AO580" s="87"/>
      <c r="AP580" s="87"/>
      <c r="AQ580" s="229" t="s">
        <v>825</v>
      </c>
      <c r="AR580" s="5"/>
      <c r="AS580" s="5"/>
      <c r="AT580" s="5"/>
      <c r="AU580" s="5"/>
      <c r="AV580" s="5"/>
      <c r="AW580" s="5"/>
      <c r="AX580" s="284"/>
      <c r="AY580" s="5"/>
      <c r="AZ580" s="5"/>
      <c r="BA580" s="230"/>
      <c r="BB580" s="5"/>
      <c r="BC580" s="232" t="s">
        <v>3536</v>
      </c>
      <c r="BD580" s="257"/>
      <c r="BE580" s="249"/>
      <c r="BF580" s="249"/>
      <c r="BG580" s="249"/>
      <c r="BH580" s="249"/>
      <c r="BI580" s="249"/>
      <c r="BJ580" s="249"/>
      <c r="BK580" s="249"/>
      <c r="BL580" s="249"/>
      <c r="BM580" s="249"/>
      <c r="BN580" s="249"/>
      <c r="BO580" s="249"/>
      <c r="BP580" s="249"/>
      <c r="BQ580" s="249"/>
      <c r="BR580" s="249"/>
      <c r="BS580" s="249"/>
      <c r="BT580" s="249"/>
      <c r="BU580" s="249"/>
      <c r="BV580" s="249"/>
      <c r="BW580" s="249"/>
      <c r="BX580" s="249"/>
      <c r="BY580" s="249"/>
      <c r="BZ580" s="249"/>
      <c r="CA580" s="249"/>
      <c r="CB580" s="249"/>
      <c r="CC580" s="249"/>
      <c r="CD580" s="249"/>
      <c r="CE580" s="249"/>
    </row>
    <row r="581" spans="1:83" s="84" customFormat="1" ht="12.95" customHeight="1">
      <c r="A581" s="1"/>
      <c r="B581" s="1"/>
      <c r="C581" s="21" t="s">
        <v>826</v>
      </c>
      <c r="D581" s="52" t="s">
        <v>3080</v>
      </c>
      <c r="E581" s="52" t="s">
        <v>3081</v>
      </c>
      <c r="F581" s="53" t="s">
        <v>1120</v>
      </c>
      <c r="G581" s="179" t="s">
        <v>1429</v>
      </c>
      <c r="H581" s="180" t="s">
        <v>826</v>
      </c>
      <c r="I581" s="55" t="s">
        <v>1429</v>
      </c>
      <c r="J581" s="55" t="s">
        <v>1429</v>
      </c>
      <c r="K581" s="56" t="s">
        <v>1429</v>
      </c>
      <c r="L581" s="54" t="s">
        <v>1429</v>
      </c>
      <c r="M581" s="55" t="s">
        <v>1580</v>
      </c>
      <c r="N581" s="55" t="s">
        <v>1429</v>
      </c>
      <c r="O581" s="55" t="s">
        <v>1429</v>
      </c>
      <c r="P581" s="56" t="s">
        <v>1429</v>
      </c>
      <c r="Q581" s="85"/>
      <c r="R581" s="85"/>
      <c r="S581" s="85"/>
      <c r="T581" s="85"/>
      <c r="U581" s="85"/>
      <c r="V581" s="146" t="s">
        <v>3082</v>
      </c>
      <c r="W581" s="51" t="s">
        <v>2932</v>
      </c>
      <c r="X581" s="130" t="s">
        <v>1429</v>
      </c>
      <c r="Y581" s="130" t="s">
        <v>1429</v>
      </c>
      <c r="Z581" s="51"/>
      <c r="AA581" s="51" t="s">
        <v>2612</v>
      </c>
      <c r="AB581" s="146"/>
      <c r="AC581" s="146" t="s">
        <v>1429</v>
      </c>
      <c r="AD581" s="98"/>
      <c r="AE581" s="83"/>
      <c r="AF581" s="83"/>
      <c r="AG581" s="83"/>
      <c r="AH581" s="86"/>
      <c r="AI581" s="86"/>
      <c r="AJ581" s="87"/>
      <c r="AK581" s="87"/>
      <c r="AL581" s="87"/>
      <c r="AM581" s="87"/>
      <c r="AN581" s="87"/>
      <c r="AO581" s="87"/>
      <c r="AP581" s="87"/>
      <c r="AQ581" s="229" t="s">
        <v>826</v>
      </c>
      <c r="AR581" s="5"/>
      <c r="AS581" s="5"/>
      <c r="AT581" s="5"/>
      <c r="AU581" s="5"/>
      <c r="AV581" s="5"/>
      <c r="AW581" s="5"/>
      <c r="AX581" s="284"/>
      <c r="AY581" s="5"/>
      <c r="AZ581" s="5"/>
      <c r="BA581" s="230"/>
      <c r="BB581" s="5"/>
      <c r="BC581" s="232" t="s">
        <v>3536</v>
      </c>
      <c r="BD581" s="257"/>
      <c r="BE581" s="249"/>
      <c r="BF581" s="249"/>
      <c r="BG581" s="249"/>
      <c r="BH581" s="249"/>
      <c r="BI581" s="249"/>
      <c r="BJ581" s="249"/>
      <c r="BK581" s="249"/>
      <c r="BL581" s="249"/>
      <c r="BM581" s="249"/>
      <c r="BN581" s="249"/>
      <c r="BO581" s="249"/>
      <c r="BP581" s="249"/>
      <c r="BQ581" s="249"/>
      <c r="BR581" s="249"/>
      <c r="BS581" s="249"/>
      <c r="BT581" s="249"/>
      <c r="BU581" s="249"/>
      <c r="BV581" s="249"/>
      <c r="BW581" s="249"/>
      <c r="BX581" s="249"/>
      <c r="BY581" s="249"/>
      <c r="BZ581" s="249"/>
      <c r="CA581" s="249"/>
      <c r="CB581" s="249"/>
      <c r="CC581" s="249"/>
      <c r="CD581" s="249"/>
      <c r="CE581" s="249"/>
    </row>
    <row r="582" spans="1:83" s="84" customFormat="1" ht="12.95" customHeight="1">
      <c r="A582" s="1"/>
      <c r="B582" s="1"/>
      <c r="C582" s="18" t="s">
        <v>827</v>
      </c>
      <c r="D582" s="52" t="s">
        <v>3083</v>
      </c>
      <c r="E582" s="52" t="s">
        <v>3084</v>
      </c>
      <c r="F582" s="53" t="s">
        <v>1121</v>
      </c>
      <c r="G582" s="179" t="s">
        <v>1429</v>
      </c>
      <c r="H582" s="180" t="s">
        <v>827</v>
      </c>
      <c r="I582" s="55" t="s">
        <v>1429</v>
      </c>
      <c r="J582" s="55" t="s">
        <v>1429</v>
      </c>
      <c r="K582" s="56" t="s">
        <v>1429</v>
      </c>
      <c r="L582" s="54" t="s">
        <v>1429</v>
      </c>
      <c r="M582" s="55" t="s">
        <v>1580</v>
      </c>
      <c r="N582" s="55" t="s">
        <v>1429</v>
      </c>
      <c r="O582" s="55" t="s">
        <v>1429</v>
      </c>
      <c r="P582" s="56" t="s">
        <v>1429</v>
      </c>
      <c r="Q582" s="85"/>
      <c r="R582" s="85"/>
      <c r="S582" s="85"/>
      <c r="T582" s="85"/>
      <c r="U582" s="85"/>
      <c r="V582" s="146" t="s">
        <v>3085</v>
      </c>
      <c r="W582" s="51" t="s">
        <v>2932</v>
      </c>
      <c r="X582" s="130" t="s">
        <v>1429</v>
      </c>
      <c r="Y582" s="130" t="s">
        <v>1429</v>
      </c>
      <c r="Z582" s="51"/>
      <c r="AA582" s="51" t="s">
        <v>2612</v>
      </c>
      <c r="AB582" s="146"/>
      <c r="AC582" s="146" t="s">
        <v>1429</v>
      </c>
      <c r="AD582" s="98"/>
      <c r="AE582" s="83"/>
      <c r="AF582" s="83"/>
      <c r="AG582" s="83"/>
      <c r="AH582" s="86"/>
      <c r="AI582" s="86"/>
      <c r="AJ582" s="87"/>
      <c r="AK582" s="87"/>
      <c r="AL582" s="87"/>
      <c r="AM582" s="87"/>
      <c r="AN582" s="87"/>
      <c r="AO582" s="87"/>
      <c r="AP582" s="87"/>
      <c r="AQ582" s="229" t="s">
        <v>827</v>
      </c>
      <c r="AR582" s="5"/>
      <c r="AS582" s="5"/>
      <c r="AT582" s="5"/>
      <c r="AU582" s="5"/>
      <c r="AV582" s="5"/>
      <c r="AW582" s="5"/>
      <c r="AX582" s="284"/>
      <c r="AY582" s="5"/>
      <c r="AZ582" s="5"/>
      <c r="BA582" s="230"/>
      <c r="BB582" s="5"/>
      <c r="BC582" s="232" t="s">
        <v>3536</v>
      </c>
      <c r="BD582" s="257"/>
      <c r="BE582" s="249"/>
      <c r="BF582" s="249"/>
      <c r="BG582" s="249"/>
      <c r="BH582" s="249"/>
      <c r="BI582" s="249"/>
      <c r="BJ582" s="249"/>
      <c r="BK582" s="249"/>
      <c r="BL582" s="249"/>
      <c r="BM582" s="249"/>
      <c r="BN582" s="249"/>
      <c r="BO582" s="249"/>
      <c r="BP582" s="249"/>
      <c r="BQ582" s="249"/>
      <c r="BR582" s="249"/>
      <c r="BS582" s="249"/>
      <c r="BT582" s="249"/>
      <c r="BU582" s="249"/>
      <c r="BV582" s="249"/>
      <c r="BW582" s="249"/>
      <c r="BX582" s="249"/>
      <c r="BY582" s="249"/>
      <c r="BZ582" s="249"/>
      <c r="CA582" s="249"/>
      <c r="CB582" s="249"/>
      <c r="CC582" s="249"/>
      <c r="CD582" s="249"/>
      <c r="CE582" s="249"/>
    </row>
    <row r="583" spans="1:83" s="84" customFormat="1" ht="12.95" customHeight="1">
      <c r="A583" s="1"/>
      <c r="B583" s="1"/>
      <c r="C583" s="18" t="s">
        <v>828</v>
      </c>
      <c r="D583" s="52" t="s">
        <v>3086</v>
      </c>
      <c r="E583" s="52" t="s">
        <v>3087</v>
      </c>
      <c r="F583" s="53" t="s">
        <v>1122</v>
      </c>
      <c r="G583" s="179" t="s">
        <v>1429</v>
      </c>
      <c r="H583" s="180" t="s">
        <v>828</v>
      </c>
      <c r="I583" s="55" t="s">
        <v>1429</v>
      </c>
      <c r="J583" s="55" t="s">
        <v>1429</v>
      </c>
      <c r="K583" s="56" t="s">
        <v>1429</v>
      </c>
      <c r="L583" s="54" t="s">
        <v>1429</v>
      </c>
      <c r="M583" s="55" t="s">
        <v>1580</v>
      </c>
      <c r="N583" s="55" t="s">
        <v>1429</v>
      </c>
      <c r="O583" s="55" t="s">
        <v>1429</v>
      </c>
      <c r="P583" s="56" t="s">
        <v>1429</v>
      </c>
      <c r="Q583" s="85"/>
      <c r="R583" s="85"/>
      <c r="S583" s="85"/>
      <c r="T583" s="85"/>
      <c r="U583" s="85"/>
      <c r="V583" s="146" t="s">
        <v>3088</v>
      </c>
      <c r="W583" s="51" t="s">
        <v>2932</v>
      </c>
      <c r="X583" s="130" t="s">
        <v>1429</v>
      </c>
      <c r="Y583" s="130" t="s">
        <v>1429</v>
      </c>
      <c r="Z583" s="51"/>
      <c r="AA583" s="51" t="s">
        <v>2612</v>
      </c>
      <c r="AB583" s="146"/>
      <c r="AC583" s="146" t="s">
        <v>1429</v>
      </c>
      <c r="AD583" s="98"/>
      <c r="AE583" s="83"/>
      <c r="AF583" s="83"/>
      <c r="AG583" s="83"/>
      <c r="AH583" s="86"/>
      <c r="AI583" s="86"/>
      <c r="AJ583" s="87"/>
      <c r="AK583" s="87"/>
      <c r="AL583" s="87"/>
      <c r="AM583" s="87"/>
      <c r="AN583" s="87"/>
      <c r="AO583" s="87"/>
      <c r="AP583" s="87"/>
      <c r="AQ583" s="229" t="s">
        <v>828</v>
      </c>
      <c r="AR583" s="5"/>
      <c r="AS583" s="5"/>
      <c r="AT583" s="5"/>
      <c r="AU583" s="5"/>
      <c r="AV583" s="5"/>
      <c r="AW583" s="5"/>
      <c r="AX583" s="284"/>
      <c r="AY583" s="5"/>
      <c r="AZ583" s="5"/>
      <c r="BA583" s="230"/>
      <c r="BB583" s="5"/>
      <c r="BC583" s="232" t="s">
        <v>3536</v>
      </c>
      <c r="BD583" s="257"/>
      <c r="BE583" s="249"/>
      <c r="BF583" s="249"/>
      <c r="BG583" s="249"/>
      <c r="BH583" s="249"/>
      <c r="BI583" s="249"/>
      <c r="BJ583" s="249"/>
      <c r="BK583" s="249"/>
      <c r="BL583" s="249"/>
      <c r="BM583" s="249"/>
      <c r="BN583" s="249"/>
      <c r="BO583" s="249"/>
      <c r="BP583" s="249"/>
      <c r="BQ583" s="249"/>
      <c r="BR583" s="249"/>
      <c r="BS583" s="249"/>
      <c r="BT583" s="249"/>
      <c r="BU583" s="249"/>
      <c r="BV583" s="249"/>
      <c r="BW583" s="249"/>
      <c r="BX583" s="249"/>
      <c r="BY583" s="249"/>
      <c r="BZ583" s="249"/>
      <c r="CA583" s="249"/>
      <c r="CB583" s="249"/>
      <c r="CC583" s="249"/>
      <c r="CD583" s="249"/>
      <c r="CE583" s="249"/>
    </row>
    <row r="584" spans="1:83" s="84" customFormat="1" ht="12.95" customHeight="1">
      <c r="A584" s="1"/>
      <c r="B584" s="1"/>
      <c r="C584" s="18" t="s">
        <v>829</v>
      </c>
      <c r="D584" s="52" t="s">
        <v>3089</v>
      </c>
      <c r="E584" s="52" t="s">
        <v>3090</v>
      </c>
      <c r="F584" s="53" t="s">
        <v>1123</v>
      </c>
      <c r="G584" s="179" t="s">
        <v>1429</v>
      </c>
      <c r="H584" s="180" t="s">
        <v>829</v>
      </c>
      <c r="I584" s="55" t="s">
        <v>1429</v>
      </c>
      <c r="J584" s="55" t="s">
        <v>1429</v>
      </c>
      <c r="K584" s="56" t="s">
        <v>1429</v>
      </c>
      <c r="L584" s="54" t="s">
        <v>1429</v>
      </c>
      <c r="M584" s="55" t="s">
        <v>1580</v>
      </c>
      <c r="N584" s="55" t="s">
        <v>1429</v>
      </c>
      <c r="O584" s="55" t="s">
        <v>1429</v>
      </c>
      <c r="P584" s="56" t="s">
        <v>1429</v>
      </c>
      <c r="Q584" s="85"/>
      <c r="R584" s="85"/>
      <c r="S584" s="85"/>
      <c r="T584" s="85"/>
      <c r="U584" s="85"/>
      <c r="V584" s="146" t="s">
        <v>3091</v>
      </c>
      <c r="W584" s="51" t="s">
        <v>2932</v>
      </c>
      <c r="X584" s="130" t="s">
        <v>1429</v>
      </c>
      <c r="Y584" s="130" t="s">
        <v>1429</v>
      </c>
      <c r="Z584" s="51"/>
      <c r="AA584" s="51" t="s">
        <v>2612</v>
      </c>
      <c r="AB584" s="146"/>
      <c r="AC584" s="146" t="s">
        <v>1429</v>
      </c>
      <c r="AD584" s="98"/>
      <c r="AE584" s="83"/>
      <c r="AF584" s="83"/>
      <c r="AG584" s="83"/>
      <c r="AH584" s="86"/>
      <c r="AI584" s="86"/>
      <c r="AJ584" s="87"/>
      <c r="AK584" s="87"/>
      <c r="AL584" s="87"/>
      <c r="AM584" s="87"/>
      <c r="AN584" s="87"/>
      <c r="AO584" s="87"/>
      <c r="AP584" s="87"/>
      <c r="AQ584" s="229" t="s">
        <v>829</v>
      </c>
      <c r="AR584" s="5"/>
      <c r="AS584" s="5"/>
      <c r="AT584" s="5"/>
      <c r="AU584" s="5"/>
      <c r="AV584" s="5"/>
      <c r="AW584" s="5"/>
      <c r="AX584" s="284"/>
      <c r="AY584" s="5"/>
      <c r="AZ584" s="5"/>
      <c r="BA584" s="230"/>
      <c r="BB584" s="5"/>
      <c r="BC584" s="232" t="s">
        <v>3536</v>
      </c>
      <c r="BD584" s="257"/>
      <c r="BE584" s="249"/>
      <c r="BF584" s="249"/>
      <c r="BG584" s="249"/>
      <c r="BH584" s="249"/>
      <c r="BI584" s="249"/>
      <c r="BJ584" s="249"/>
      <c r="BK584" s="249"/>
      <c r="BL584" s="249"/>
      <c r="BM584" s="249"/>
      <c r="BN584" s="249"/>
      <c r="BO584" s="249"/>
      <c r="BP584" s="249"/>
      <c r="BQ584" s="249"/>
      <c r="BR584" s="249"/>
      <c r="BS584" s="249"/>
      <c r="BT584" s="249"/>
      <c r="BU584" s="249"/>
      <c r="BV584" s="249"/>
      <c r="BW584" s="249"/>
      <c r="BX584" s="249"/>
      <c r="BY584" s="249"/>
      <c r="BZ584" s="249"/>
      <c r="CA584" s="249"/>
      <c r="CB584" s="249"/>
      <c r="CC584" s="249"/>
      <c r="CD584" s="249"/>
      <c r="CE584" s="249"/>
    </row>
    <row r="585" spans="1:83" s="84" customFormat="1" ht="12.95" customHeight="1">
      <c r="A585" s="1"/>
      <c r="B585" s="1"/>
      <c r="C585" s="18" t="s">
        <v>830</v>
      </c>
      <c r="D585" s="52" t="s">
        <v>3092</v>
      </c>
      <c r="E585" s="52" t="s">
        <v>3093</v>
      </c>
      <c r="F585" s="53" t="s">
        <v>1124</v>
      </c>
      <c r="G585" s="179" t="s">
        <v>1429</v>
      </c>
      <c r="H585" s="180" t="s">
        <v>830</v>
      </c>
      <c r="I585" s="55" t="s">
        <v>1429</v>
      </c>
      <c r="J585" s="55" t="s">
        <v>1429</v>
      </c>
      <c r="K585" s="56" t="s">
        <v>1429</v>
      </c>
      <c r="L585" s="54" t="s">
        <v>1429</v>
      </c>
      <c r="M585" s="55" t="s">
        <v>1580</v>
      </c>
      <c r="N585" s="55" t="s">
        <v>1429</v>
      </c>
      <c r="O585" s="55" t="s">
        <v>1429</v>
      </c>
      <c r="P585" s="56" t="s">
        <v>1429</v>
      </c>
      <c r="Q585" s="85"/>
      <c r="R585" s="85"/>
      <c r="S585" s="85"/>
      <c r="T585" s="85"/>
      <c r="U585" s="85"/>
      <c r="V585" s="146" t="s">
        <v>3094</v>
      </c>
      <c r="W585" s="51" t="s">
        <v>2932</v>
      </c>
      <c r="X585" s="130" t="s">
        <v>1429</v>
      </c>
      <c r="Y585" s="130" t="s">
        <v>1429</v>
      </c>
      <c r="Z585" s="51"/>
      <c r="AA585" s="51" t="s">
        <v>2612</v>
      </c>
      <c r="AB585" s="146"/>
      <c r="AC585" s="146" t="s">
        <v>1429</v>
      </c>
      <c r="AD585" s="98"/>
      <c r="AE585" s="83"/>
      <c r="AF585" s="83"/>
      <c r="AG585" s="83"/>
      <c r="AH585" s="86"/>
      <c r="AI585" s="86"/>
      <c r="AJ585" s="87"/>
      <c r="AK585" s="87"/>
      <c r="AL585" s="87"/>
      <c r="AM585" s="87"/>
      <c r="AN585" s="87"/>
      <c r="AO585" s="87"/>
      <c r="AP585" s="87"/>
      <c r="AQ585" s="229" t="s">
        <v>830</v>
      </c>
      <c r="AR585" s="5"/>
      <c r="AS585" s="5"/>
      <c r="AT585" s="5"/>
      <c r="AU585" s="5"/>
      <c r="AV585" s="5"/>
      <c r="AW585" s="5"/>
      <c r="AX585" s="284"/>
      <c r="AY585" s="5"/>
      <c r="AZ585" s="5"/>
      <c r="BA585" s="230"/>
      <c r="BB585" s="5"/>
      <c r="BC585" s="232" t="s">
        <v>3536</v>
      </c>
      <c r="BD585" s="257"/>
      <c r="BE585" s="249"/>
      <c r="BF585" s="249"/>
      <c r="BG585" s="249"/>
      <c r="BH585" s="249"/>
      <c r="BI585" s="249"/>
      <c r="BJ585" s="249"/>
      <c r="BK585" s="249"/>
      <c r="BL585" s="249"/>
      <c r="BM585" s="249"/>
      <c r="BN585" s="249"/>
      <c r="BO585" s="249"/>
      <c r="BP585" s="249"/>
      <c r="BQ585" s="249"/>
      <c r="BR585" s="249"/>
      <c r="BS585" s="249"/>
      <c r="BT585" s="249"/>
      <c r="BU585" s="249"/>
      <c r="BV585" s="249"/>
      <c r="BW585" s="249"/>
      <c r="BX585" s="249"/>
      <c r="BY585" s="249"/>
      <c r="BZ585" s="249"/>
      <c r="CA585" s="249"/>
      <c r="CB585" s="249"/>
      <c r="CC585" s="249"/>
      <c r="CD585" s="249"/>
      <c r="CE585" s="249"/>
    </row>
    <row r="586" spans="1:83" s="84" customFormat="1" ht="12.95" customHeight="1">
      <c r="A586" s="1"/>
      <c r="B586" s="1"/>
      <c r="C586" s="18" t="s">
        <v>831</v>
      </c>
      <c r="D586" s="52" t="s">
        <v>3095</v>
      </c>
      <c r="E586" s="52" t="s">
        <v>3096</v>
      </c>
      <c r="F586" s="53" t="s">
        <v>1125</v>
      </c>
      <c r="G586" s="179" t="s">
        <v>1429</v>
      </c>
      <c r="H586" s="180" t="s">
        <v>831</v>
      </c>
      <c r="I586" s="55" t="s">
        <v>1429</v>
      </c>
      <c r="J586" s="55" t="s">
        <v>1429</v>
      </c>
      <c r="K586" s="56" t="s">
        <v>1429</v>
      </c>
      <c r="L586" s="54" t="s">
        <v>1429</v>
      </c>
      <c r="M586" s="55" t="s">
        <v>1580</v>
      </c>
      <c r="N586" s="55" t="s">
        <v>1429</v>
      </c>
      <c r="O586" s="55" t="s">
        <v>1429</v>
      </c>
      <c r="P586" s="56" t="s">
        <v>1429</v>
      </c>
      <c r="Q586" s="85"/>
      <c r="R586" s="85"/>
      <c r="S586" s="85"/>
      <c r="T586" s="85"/>
      <c r="U586" s="85"/>
      <c r="V586" s="146" t="s">
        <v>3097</v>
      </c>
      <c r="W586" s="51" t="s">
        <v>2932</v>
      </c>
      <c r="X586" s="130" t="s">
        <v>1429</v>
      </c>
      <c r="Y586" s="130" t="s">
        <v>1429</v>
      </c>
      <c r="Z586" s="51"/>
      <c r="AA586" s="51" t="s">
        <v>2612</v>
      </c>
      <c r="AB586" s="146"/>
      <c r="AC586" s="146" t="s">
        <v>1429</v>
      </c>
      <c r="AD586" s="98"/>
      <c r="AE586" s="83"/>
      <c r="AF586" s="83"/>
      <c r="AG586" s="83"/>
      <c r="AH586" s="86"/>
      <c r="AI586" s="86"/>
      <c r="AJ586" s="87"/>
      <c r="AK586" s="87"/>
      <c r="AL586" s="87"/>
      <c r="AM586" s="87"/>
      <c r="AN586" s="87"/>
      <c r="AO586" s="87"/>
      <c r="AP586" s="87"/>
      <c r="AQ586" s="229" t="s">
        <v>831</v>
      </c>
      <c r="AR586" s="5"/>
      <c r="AS586" s="5"/>
      <c r="AT586" s="5"/>
      <c r="AU586" s="5"/>
      <c r="AV586" s="5"/>
      <c r="AW586" s="5"/>
      <c r="AX586" s="284"/>
      <c r="AY586" s="5"/>
      <c r="AZ586" s="5"/>
      <c r="BA586" s="230"/>
      <c r="BB586" s="5"/>
      <c r="BC586" s="232" t="s">
        <v>3536</v>
      </c>
      <c r="BD586" s="257"/>
      <c r="BE586" s="249"/>
      <c r="BF586" s="249"/>
      <c r="BG586" s="249"/>
      <c r="BH586" s="249"/>
      <c r="BI586" s="249"/>
      <c r="BJ586" s="249"/>
      <c r="BK586" s="249"/>
      <c r="BL586" s="249"/>
      <c r="BM586" s="249"/>
      <c r="BN586" s="249"/>
      <c r="BO586" s="249"/>
      <c r="BP586" s="249"/>
      <c r="BQ586" s="249"/>
      <c r="BR586" s="249"/>
      <c r="BS586" s="249"/>
      <c r="BT586" s="249"/>
      <c r="BU586" s="249"/>
      <c r="BV586" s="249"/>
      <c r="BW586" s="249"/>
      <c r="BX586" s="249"/>
      <c r="BY586" s="249"/>
      <c r="BZ586" s="249"/>
      <c r="CA586" s="249"/>
      <c r="CB586" s="249"/>
      <c r="CC586" s="249"/>
      <c r="CD586" s="249"/>
      <c r="CE586" s="249"/>
    </row>
    <row r="587" spans="1:83" s="84" customFormat="1" ht="12.95" customHeight="1">
      <c r="A587" s="1"/>
      <c r="B587" s="1"/>
      <c r="C587" s="18" t="s">
        <v>832</v>
      </c>
      <c r="D587" s="52" t="s">
        <v>3098</v>
      </c>
      <c r="E587" s="52" t="s">
        <v>3099</v>
      </c>
      <c r="F587" s="53" t="s">
        <v>1126</v>
      </c>
      <c r="G587" s="179" t="s">
        <v>1429</v>
      </c>
      <c r="H587" s="180" t="s">
        <v>832</v>
      </c>
      <c r="I587" s="55" t="s">
        <v>1429</v>
      </c>
      <c r="J587" s="55" t="s">
        <v>1429</v>
      </c>
      <c r="K587" s="56" t="s">
        <v>1429</v>
      </c>
      <c r="L587" s="54" t="s">
        <v>1429</v>
      </c>
      <c r="M587" s="55" t="s">
        <v>1580</v>
      </c>
      <c r="N587" s="55" t="s">
        <v>1429</v>
      </c>
      <c r="O587" s="55" t="s">
        <v>1429</v>
      </c>
      <c r="P587" s="56" t="s">
        <v>1429</v>
      </c>
      <c r="Q587" s="85"/>
      <c r="R587" s="85"/>
      <c r="S587" s="85"/>
      <c r="T587" s="85"/>
      <c r="U587" s="85"/>
      <c r="V587" s="146" t="s">
        <v>3100</v>
      </c>
      <c r="W587" s="51" t="s">
        <v>2932</v>
      </c>
      <c r="X587" s="130" t="s">
        <v>1429</v>
      </c>
      <c r="Y587" s="130" t="s">
        <v>1429</v>
      </c>
      <c r="Z587" s="51"/>
      <c r="AA587" s="51" t="s">
        <v>2612</v>
      </c>
      <c r="AB587" s="146"/>
      <c r="AC587" s="146" t="s">
        <v>1429</v>
      </c>
      <c r="AD587" s="98"/>
      <c r="AE587" s="83"/>
      <c r="AF587" s="83"/>
      <c r="AG587" s="83"/>
      <c r="AH587" s="86"/>
      <c r="AI587" s="86"/>
      <c r="AJ587" s="87"/>
      <c r="AK587" s="87"/>
      <c r="AL587" s="87"/>
      <c r="AM587" s="87"/>
      <c r="AN587" s="87"/>
      <c r="AO587" s="87"/>
      <c r="AP587" s="87"/>
      <c r="AQ587" s="229" t="s">
        <v>832</v>
      </c>
      <c r="AR587" s="5"/>
      <c r="AS587" s="5"/>
      <c r="AT587" s="5"/>
      <c r="AU587" s="5"/>
      <c r="AV587" s="5"/>
      <c r="AW587" s="5"/>
      <c r="AX587" s="284"/>
      <c r="AY587" s="5"/>
      <c r="AZ587" s="5"/>
      <c r="BA587" s="230"/>
      <c r="BB587" s="5"/>
      <c r="BC587" s="232" t="s">
        <v>3536</v>
      </c>
      <c r="BD587" s="257"/>
      <c r="BE587" s="249"/>
      <c r="BF587" s="249"/>
      <c r="BG587" s="249"/>
      <c r="BH587" s="249"/>
      <c r="BI587" s="249"/>
      <c r="BJ587" s="249"/>
      <c r="BK587" s="249"/>
      <c r="BL587" s="249"/>
      <c r="BM587" s="249"/>
      <c r="BN587" s="249"/>
      <c r="BO587" s="249"/>
      <c r="BP587" s="249"/>
      <c r="BQ587" s="249"/>
      <c r="BR587" s="249"/>
      <c r="BS587" s="249"/>
      <c r="BT587" s="249"/>
      <c r="BU587" s="249"/>
      <c r="BV587" s="249"/>
      <c r="BW587" s="249"/>
      <c r="BX587" s="249"/>
      <c r="BY587" s="249"/>
      <c r="BZ587" s="249"/>
      <c r="CA587" s="249"/>
      <c r="CB587" s="249"/>
      <c r="CC587" s="249"/>
      <c r="CD587" s="249"/>
      <c r="CE587" s="249"/>
    </row>
    <row r="588" spans="1:83" s="84" customFormat="1" ht="12.95" customHeight="1">
      <c r="A588" s="1"/>
      <c r="B588" s="1"/>
      <c r="C588" s="18" t="s">
        <v>833</v>
      </c>
      <c r="D588" s="52" t="s">
        <v>3101</v>
      </c>
      <c r="E588" s="52" t="s">
        <v>3102</v>
      </c>
      <c r="F588" s="53" t="s">
        <v>1127</v>
      </c>
      <c r="G588" s="179" t="s">
        <v>1429</v>
      </c>
      <c r="H588" s="180" t="s">
        <v>833</v>
      </c>
      <c r="I588" s="55" t="s">
        <v>1429</v>
      </c>
      <c r="J588" s="55" t="s">
        <v>1429</v>
      </c>
      <c r="K588" s="56" t="s">
        <v>1429</v>
      </c>
      <c r="L588" s="54" t="s">
        <v>1429</v>
      </c>
      <c r="M588" s="55" t="s">
        <v>1580</v>
      </c>
      <c r="N588" s="55" t="s">
        <v>1429</v>
      </c>
      <c r="O588" s="55" t="s">
        <v>1429</v>
      </c>
      <c r="P588" s="56" t="s">
        <v>1429</v>
      </c>
      <c r="Q588" s="85"/>
      <c r="R588" s="85"/>
      <c r="S588" s="85"/>
      <c r="T588" s="85"/>
      <c r="U588" s="85"/>
      <c r="V588" s="146" t="s">
        <v>3103</v>
      </c>
      <c r="W588" s="51" t="s">
        <v>2932</v>
      </c>
      <c r="X588" s="130" t="s">
        <v>1429</v>
      </c>
      <c r="Y588" s="130" t="s">
        <v>1429</v>
      </c>
      <c r="Z588" s="51"/>
      <c r="AA588" s="51" t="s">
        <v>2612</v>
      </c>
      <c r="AB588" s="146"/>
      <c r="AC588" s="146" t="s">
        <v>1429</v>
      </c>
      <c r="AD588" s="98"/>
      <c r="AE588" s="83"/>
      <c r="AF588" s="83"/>
      <c r="AG588" s="83"/>
      <c r="AH588" s="86"/>
      <c r="AI588" s="86"/>
      <c r="AJ588" s="87"/>
      <c r="AK588" s="87"/>
      <c r="AL588" s="87"/>
      <c r="AM588" s="87"/>
      <c r="AN588" s="87"/>
      <c r="AO588" s="87"/>
      <c r="AP588" s="87"/>
      <c r="AQ588" s="229" t="s">
        <v>833</v>
      </c>
      <c r="AR588" s="5"/>
      <c r="AS588" s="5"/>
      <c r="AT588" s="5"/>
      <c r="AU588" s="5"/>
      <c r="AV588" s="5"/>
      <c r="AW588" s="5"/>
      <c r="AX588" s="284"/>
      <c r="AY588" s="5"/>
      <c r="AZ588" s="5"/>
      <c r="BA588" s="230"/>
      <c r="BB588" s="5"/>
      <c r="BC588" s="232" t="s">
        <v>3536</v>
      </c>
      <c r="BD588" s="257"/>
      <c r="BE588" s="249"/>
      <c r="BF588" s="249"/>
      <c r="BG588" s="249"/>
      <c r="BH588" s="249"/>
      <c r="BI588" s="249"/>
      <c r="BJ588" s="249"/>
      <c r="BK588" s="249"/>
      <c r="BL588" s="249"/>
      <c r="BM588" s="249"/>
      <c r="BN588" s="249"/>
      <c r="BO588" s="249"/>
      <c r="BP588" s="249"/>
      <c r="BQ588" s="249"/>
      <c r="BR588" s="249"/>
      <c r="BS588" s="249"/>
      <c r="BT588" s="249"/>
      <c r="BU588" s="249"/>
      <c r="BV588" s="249"/>
      <c r="BW588" s="249"/>
      <c r="BX588" s="249"/>
      <c r="BY588" s="249"/>
      <c r="BZ588" s="249"/>
      <c r="CA588" s="249"/>
      <c r="CB588" s="249"/>
      <c r="CC588" s="249"/>
      <c r="CD588" s="249"/>
      <c r="CE588" s="249"/>
    </row>
    <row r="589" spans="1:83" s="84" customFormat="1" ht="12.95" customHeight="1">
      <c r="A589" s="1"/>
      <c r="B589" s="1"/>
      <c r="C589" s="18" t="s">
        <v>834</v>
      </c>
      <c r="D589" s="52" t="s">
        <v>3104</v>
      </c>
      <c r="E589" s="52" t="s">
        <v>3105</v>
      </c>
      <c r="F589" s="53" t="s">
        <v>1128</v>
      </c>
      <c r="G589" s="179" t="s">
        <v>1429</v>
      </c>
      <c r="H589" s="180" t="s">
        <v>834</v>
      </c>
      <c r="I589" s="55" t="s">
        <v>1429</v>
      </c>
      <c r="J589" s="55" t="s">
        <v>1429</v>
      </c>
      <c r="K589" s="56" t="s">
        <v>1429</v>
      </c>
      <c r="L589" s="54" t="s">
        <v>1429</v>
      </c>
      <c r="M589" s="55" t="s">
        <v>1580</v>
      </c>
      <c r="N589" s="55" t="s">
        <v>1429</v>
      </c>
      <c r="O589" s="55" t="s">
        <v>1429</v>
      </c>
      <c r="P589" s="56" t="s">
        <v>1429</v>
      </c>
      <c r="Q589" s="85"/>
      <c r="R589" s="85"/>
      <c r="S589" s="85"/>
      <c r="T589" s="85"/>
      <c r="U589" s="85"/>
      <c r="V589" s="146" t="s">
        <v>3106</v>
      </c>
      <c r="W589" s="51" t="s">
        <v>2932</v>
      </c>
      <c r="X589" s="130" t="s">
        <v>1429</v>
      </c>
      <c r="Y589" s="130" t="s">
        <v>1429</v>
      </c>
      <c r="Z589" s="51"/>
      <c r="AA589" s="51" t="s">
        <v>2612</v>
      </c>
      <c r="AB589" s="146"/>
      <c r="AC589" s="146" t="s">
        <v>1429</v>
      </c>
      <c r="AD589" s="98"/>
      <c r="AE589" s="83"/>
      <c r="AF589" s="83"/>
      <c r="AG589" s="83"/>
      <c r="AH589" s="86"/>
      <c r="AI589" s="86"/>
      <c r="AJ589" s="87"/>
      <c r="AK589" s="87"/>
      <c r="AL589" s="87"/>
      <c r="AM589" s="87"/>
      <c r="AN589" s="87"/>
      <c r="AO589" s="87"/>
      <c r="AP589" s="87"/>
      <c r="AQ589" s="229" t="s">
        <v>834</v>
      </c>
      <c r="AR589" s="5"/>
      <c r="AS589" s="5"/>
      <c r="AT589" s="5"/>
      <c r="AU589" s="5"/>
      <c r="AV589" s="5"/>
      <c r="AW589" s="5"/>
      <c r="AX589" s="284"/>
      <c r="AY589" s="5"/>
      <c r="AZ589" s="5"/>
      <c r="BA589" s="230"/>
      <c r="BB589" s="5"/>
      <c r="BC589" s="232" t="s">
        <v>3536</v>
      </c>
      <c r="BD589" s="257"/>
      <c r="BE589" s="249"/>
      <c r="BF589" s="249"/>
      <c r="BG589" s="249"/>
      <c r="BH589" s="249"/>
      <c r="BI589" s="249"/>
      <c r="BJ589" s="249"/>
      <c r="BK589" s="249"/>
      <c r="BL589" s="249"/>
      <c r="BM589" s="249"/>
      <c r="BN589" s="249"/>
      <c r="BO589" s="249"/>
      <c r="BP589" s="249"/>
      <c r="BQ589" s="249"/>
      <c r="BR589" s="249"/>
      <c r="BS589" s="249"/>
      <c r="BT589" s="249"/>
      <c r="BU589" s="249"/>
      <c r="BV589" s="249"/>
      <c r="BW589" s="249"/>
      <c r="BX589" s="249"/>
      <c r="BY589" s="249"/>
      <c r="BZ589" s="249"/>
      <c r="CA589" s="249"/>
      <c r="CB589" s="249"/>
      <c r="CC589" s="249"/>
      <c r="CD589" s="249"/>
      <c r="CE589" s="249"/>
    </row>
    <row r="590" spans="1:83" s="84" customFormat="1" ht="12.95" customHeight="1">
      <c r="A590" s="1"/>
      <c r="B590" s="1"/>
      <c r="C590" s="18" t="s">
        <v>835</v>
      </c>
      <c r="D590" s="52" t="s">
        <v>3107</v>
      </c>
      <c r="E590" s="52" t="s">
        <v>3065</v>
      </c>
      <c r="F590" s="53" t="s">
        <v>1129</v>
      </c>
      <c r="G590" s="179" t="s">
        <v>1429</v>
      </c>
      <c r="H590" s="180" t="s">
        <v>835</v>
      </c>
      <c r="I590" s="55" t="s">
        <v>1429</v>
      </c>
      <c r="J590" s="55" t="s">
        <v>1429</v>
      </c>
      <c r="K590" s="56" t="s">
        <v>1429</v>
      </c>
      <c r="L590" s="54" t="s">
        <v>1429</v>
      </c>
      <c r="M590" s="55" t="s">
        <v>1580</v>
      </c>
      <c r="N590" s="55" t="s">
        <v>1429</v>
      </c>
      <c r="O590" s="55" t="s">
        <v>1429</v>
      </c>
      <c r="P590" s="56" t="s">
        <v>1429</v>
      </c>
      <c r="Q590" s="85"/>
      <c r="R590" s="85"/>
      <c r="S590" s="85"/>
      <c r="T590" s="85"/>
      <c r="U590" s="85"/>
      <c r="V590" s="146" t="s">
        <v>3108</v>
      </c>
      <c r="W590" s="51" t="s">
        <v>2932</v>
      </c>
      <c r="X590" s="130" t="s">
        <v>1429</v>
      </c>
      <c r="Y590" s="130" t="s">
        <v>1429</v>
      </c>
      <c r="Z590" s="51"/>
      <c r="AA590" s="51" t="s">
        <v>2612</v>
      </c>
      <c r="AB590" s="146"/>
      <c r="AC590" s="146" t="s">
        <v>1429</v>
      </c>
      <c r="AD590" s="98"/>
      <c r="AE590" s="83"/>
      <c r="AF590" s="83"/>
      <c r="AG590" s="83"/>
      <c r="AH590" s="86"/>
      <c r="AI590" s="86"/>
      <c r="AJ590" s="87"/>
      <c r="AK590" s="87"/>
      <c r="AL590" s="87"/>
      <c r="AM590" s="87"/>
      <c r="AN590" s="87"/>
      <c r="AO590" s="87"/>
      <c r="AP590" s="87"/>
      <c r="AQ590" s="229" t="s">
        <v>835</v>
      </c>
      <c r="AR590" s="5"/>
      <c r="AS590" s="5"/>
      <c r="AT590" s="5"/>
      <c r="AU590" s="5"/>
      <c r="AV590" s="5"/>
      <c r="AW590" s="5"/>
      <c r="AX590" s="284"/>
      <c r="AY590" s="5"/>
      <c r="AZ590" s="5"/>
      <c r="BA590" s="230"/>
      <c r="BB590" s="5"/>
      <c r="BC590" s="232" t="s">
        <v>3536</v>
      </c>
      <c r="BD590" s="257"/>
      <c r="BE590" s="249"/>
      <c r="BF590" s="249"/>
      <c r="BG590" s="249"/>
      <c r="BH590" s="249"/>
      <c r="BI590" s="249"/>
      <c r="BJ590" s="249"/>
      <c r="BK590" s="249"/>
      <c r="BL590" s="249"/>
      <c r="BM590" s="249"/>
      <c r="BN590" s="249"/>
      <c r="BO590" s="249"/>
      <c r="BP590" s="249"/>
      <c r="BQ590" s="249"/>
      <c r="BR590" s="249"/>
      <c r="BS590" s="249"/>
      <c r="BT590" s="249"/>
      <c r="BU590" s="249"/>
      <c r="BV590" s="249"/>
      <c r="BW590" s="249"/>
      <c r="BX590" s="249"/>
      <c r="BY590" s="249"/>
      <c r="BZ590" s="249"/>
      <c r="CA590" s="249"/>
      <c r="CB590" s="249"/>
      <c r="CC590" s="249"/>
      <c r="CD590" s="249"/>
      <c r="CE590" s="249"/>
    </row>
    <row r="591" spans="1:83" s="84" customFormat="1" ht="12.95" customHeight="1">
      <c r="A591" s="1"/>
      <c r="B591" s="1"/>
      <c r="C591" s="18" t="s">
        <v>836</v>
      </c>
      <c r="D591" s="52" t="s">
        <v>3109</v>
      </c>
      <c r="E591" s="52" t="s">
        <v>3083</v>
      </c>
      <c r="F591" s="53" t="s">
        <v>1130</v>
      </c>
      <c r="G591" s="179" t="s">
        <v>1429</v>
      </c>
      <c r="H591" s="180" t="s">
        <v>836</v>
      </c>
      <c r="I591" s="55" t="s">
        <v>1429</v>
      </c>
      <c r="J591" s="55" t="s">
        <v>1429</v>
      </c>
      <c r="K591" s="56" t="s">
        <v>1429</v>
      </c>
      <c r="L591" s="54" t="s">
        <v>1429</v>
      </c>
      <c r="M591" s="55" t="s">
        <v>1580</v>
      </c>
      <c r="N591" s="55" t="s">
        <v>1429</v>
      </c>
      <c r="O591" s="55" t="s">
        <v>1429</v>
      </c>
      <c r="P591" s="56" t="s">
        <v>1429</v>
      </c>
      <c r="Q591" s="85"/>
      <c r="R591" s="85"/>
      <c r="S591" s="85"/>
      <c r="T591" s="85"/>
      <c r="U591" s="85"/>
      <c r="V591" s="146" t="s">
        <v>3110</v>
      </c>
      <c r="W591" s="51" t="s">
        <v>2932</v>
      </c>
      <c r="X591" s="130" t="s">
        <v>1429</v>
      </c>
      <c r="Y591" s="130" t="s">
        <v>1429</v>
      </c>
      <c r="Z591" s="51"/>
      <c r="AA591" s="51" t="s">
        <v>2612</v>
      </c>
      <c r="AB591" s="146"/>
      <c r="AC591" s="146" t="s">
        <v>1429</v>
      </c>
      <c r="AD591" s="98"/>
      <c r="AE591" s="83"/>
      <c r="AF591" s="83"/>
      <c r="AG591" s="83"/>
      <c r="AH591" s="86"/>
      <c r="AI591" s="86"/>
      <c r="AJ591" s="87"/>
      <c r="AK591" s="87"/>
      <c r="AL591" s="87"/>
      <c r="AM591" s="87"/>
      <c r="AN591" s="87"/>
      <c r="AO591" s="87"/>
      <c r="AP591" s="87"/>
      <c r="AQ591" s="229" t="s">
        <v>836</v>
      </c>
      <c r="AR591" s="5"/>
      <c r="AS591" s="5"/>
      <c r="AT591" s="5"/>
      <c r="AU591" s="5"/>
      <c r="AV591" s="5"/>
      <c r="AW591" s="5"/>
      <c r="AX591" s="284"/>
      <c r="AY591" s="5"/>
      <c r="AZ591" s="5"/>
      <c r="BA591" s="230"/>
      <c r="BB591" s="5"/>
      <c r="BC591" s="232" t="s">
        <v>3536</v>
      </c>
      <c r="BD591" s="257"/>
      <c r="BE591" s="249"/>
      <c r="BF591" s="249"/>
      <c r="BG591" s="249"/>
      <c r="BH591" s="249"/>
      <c r="BI591" s="249"/>
      <c r="BJ591" s="249"/>
      <c r="BK591" s="249"/>
      <c r="BL591" s="249"/>
      <c r="BM591" s="249"/>
      <c r="BN591" s="249"/>
      <c r="BO591" s="249"/>
      <c r="BP591" s="249"/>
      <c r="BQ591" s="249"/>
      <c r="BR591" s="249"/>
      <c r="BS591" s="249"/>
      <c r="BT591" s="249"/>
      <c r="BU591" s="249"/>
      <c r="BV591" s="249"/>
      <c r="BW591" s="249"/>
      <c r="BX591" s="249"/>
      <c r="BY591" s="249"/>
      <c r="BZ591" s="249"/>
      <c r="CA591" s="249"/>
      <c r="CB591" s="249"/>
      <c r="CC591" s="249"/>
      <c r="CD591" s="249"/>
      <c r="CE591" s="249"/>
    </row>
    <row r="592" spans="1:83" s="84" customFormat="1" ht="12.95" customHeight="1">
      <c r="A592" s="1"/>
      <c r="B592" s="1"/>
      <c r="C592" s="21" t="s">
        <v>837</v>
      </c>
      <c r="D592" s="52" t="s">
        <v>3096</v>
      </c>
      <c r="E592" s="52" t="s">
        <v>3111</v>
      </c>
      <c r="F592" s="53" t="s">
        <v>1131</v>
      </c>
      <c r="G592" s="179" t="s">
        <v>1429</v>
      </c>
      <c r="H592" s="180" t="s">
        <v>837</v>
      </c>
      <c r="I592" s="55" t="s">
        <v>1429</v>
      </c>
      <c r="J592" s="55" t="s">
        <v>1429</v>
      </c>
      <c r="K592" s="56" t="s">
        <v>1429</v>
      </c>
      <c r="L592" s="54" t="s">
        <v>1429</v>
      </c>
      <c r="M592" s="55" t="s">
        <v>1580</v>
      </c>
      <c r="N592" s="55" t="s">
        <v>1429</v>
      </c>
      <c r="O592" s="55" t="s">
        <v>1429</v>
      </c>
      <c r="P592" s="56" t="s">
        <v>1429</v>
      </c>
      <c r="Q592" s="85"/>
      <c r="R592" s="85"/>
      <c r="S592" s="85"/>
      <c r="T592" s="85"/>
      <c r="U592" s="85"/>
      <c r="V592" s="146" t="s">
        <v>3112</v>
      </c>
      <c r="W592" s="51" t="s">
        <v>2932</v>
      </c>
      <c r="X592" s="130" t="s">
        <v>1429</v>
      </c>
      <c r="Y592" s="130" t="s">
        <v>1429</v>
      </c>
      <c r="Z592" s="51"/>
      <c r="AA592" s="51" t="s">
        <v>2612</v>
      </c>
      <c r="AB592" s="146"/>
      <c r="AC592" s="146" t="s">
        <v>1429</v>
      </c>
      <c r="AD592" s="98"/>
      <c r="AE592" s="83"/>
      <c r="AF592" s="83"/>
      <c r="AG592" s="83"/>
      <c r="AH592" s="86"/>
      <c r="AI592" s="86"/>
      <c r="AJ592" s="87"/>
      <c r="AK592" s="87"/>
      <c r="AL592" s="87"/>
      <c r="AM592" s="87"/>
      <c r="AN592" s="87"/>
      <c r="AO592" s="87"/>
      <c r="AP592" s="87"/>
      <c r="AQ592" s="229" t="s">
        <v>837</v>
      </c>
      <c r="AR592" s="5"/>
      <c r="AS592" s="5"/>
      <c r="AT592" s="5"/>
      <c r="AU592" s="5"/>
      <c r="AV592" s="5"/>
      <c r="AW592" s="5"/>
      <c r="AX592" s="284"/>
      <c r="AY592" s="5"/>
      <c r="AZ592" s="5"/>
      <c r="BA592" s="230"/>
      <c r="BB592" s="5"/>
      <c r="BC592" s="232" t="s">
        <v>3536</v>
      </c>
      <c r="BD592" s="257"/>
      <c r="BE592" s="249"/>
      <c r="BF592" s="249"/>
      <c r="BG592" s="249"/>
      <c r="BH592" s="249"/>
      <c r="BI592" s="249"/>
      <c r="BJ592" s="249"/>
      <c r="BK592" s="249"/>
      <c r="BL592" s="249"/>
      <c r="BM592" s="249"/>
      <c r="BN592" s="249"/>
      <c r="BO592" s="249"/>
      <c r="BP592" s="249"/>
      <c r="BQ592" s="249"/>
      <c r="BR592" s="249"/>
      <c r="BS592" s="249"/>
      <c r="BT592" s="249"/>
      <c r="BU592" s="249"/>
      <c r="BV592" s="249"/>
      <c r="BW592" s="249"/>
      <c r="BX592" s="249"/>
      <c r="BY592" s="249"/>
      <c r="BZ592" s="249"/>
      <c r="CA592" s="249"/>
      <c r="CB592" s="249"/>
      <c r="CC592" s="249"/>
      <c r="CD592" s="249"/>
      <c r="CE592" s="249"/>
    </row>
    <row r="593" spans="1:83" s="84" customFormat="1" ht="12.95" customHeight="1">
      <c r="A593" s="1"/>
      <c r="B593" s="1"/>
      <c r="C593" s="21" t="s">
        <v>838</v>
      </c>
      <c r="D593" s="52" t="s">
        <v>3113</v>
      </c>
      <c r="E593" s="52" t="s">
        <v>3114</v>
      </c>
      <c r="F593" s="53" t="s">
        <v>1132</v>
      </c>
      <c r="G593" s="179" t="s">
        <v>1429</v>
      </c>
      <c r="H593" s="180" t="s">
        <v>838</v>
      </c>
      <c r="I593" s="55" t="s">
        <v>1429</v>
      </c>
      <c r="J593" s="55" t="s">
        <v>1429</v>
      </c>
      <c r="K593" s="56" t="s">
        <v>1429</v>
      </c>
      <c r="L593" s="54" t="s">
        <v>1429</v>
      </c>
      <c r="M593" s="55" t="s">
        <v>1580</v>
      </c>
      <c r="N593" s="55" t="s">
        <v>1429</v>
      </c>
      <c r="O593" s="55" t="s">
        <v>1429</v>
      </c>
      <c r="P593" s="56" t="s">
        <v>1429</v>
      </c>
      <c r="Q593" s="85"/>
      <c r="R593" s="85"/>
      <c r="S593" s="85"/>
      <c r="T593" s="85"/>
      <c r="U593" s="85"/>
      <c r="V593" s="146" t="s">
        <v>3115</v>
      </c>
      <c r="W593" s="51" t="s">
        <v>2932</v>
      </c>
      <c r="X593" s="130" t="s">
        <v>1429</v>
      </c>
      <c r="Y593" s="130" t="s">
        <v>1429</v>
      </c>
      <c r="Z593" s="51"/>
      <c r="AA593" s="51" t="s">
        <v>2612</v>
      </c>
      <c r="AB593" s="146"/>
      <c r="AC593" s="146" t="s">
        <v>1429</v>
      </c>
      <c r="AD593" s="98"/>
      <c r="AE593" s="83"/>
      <c r="AF593" s="83"/>
      <c r="AG593" s="83"/>
      <c r="AH593" s="86"/>
      <c r="AI593" s="86"/>
      <c r="AJ593" s="87"/>
      <c r="AK593" s="87"/>
      <c r="AL593" s="87"/>
      <c r="AM593" s="87"/>
      <c r="AN593" s="87"/>
      <c r="AO593" s="87"/>
      <c r="AP593" s="87"/>
      <c r="AQ593" s="229" t="s">
        <v>838</v>
      </c>
      <c r="AR593" s="5"/>
      <c r="AS593" s="5"/>
      <c r="AT593" s="5"/>
      <c r="AU593" s="5"/>
      <c r="AV593" s="5"/>
      <c r="AW593" s="5"/>
      <c r="AX593" s="284"/>
      <c r="AY593" s="5"/>
      <c r="AZ593" s="5"/>
      <c r="BA593" s="230"/>
      <c r="BB593" s="5"/>
      <c r="BC593" s="232" t="s">
        <v>3536</v>
      </c>
      <c r="BD593" s="257"/>
      <c r="BE593" s="249"/>
      <c r="BF593" s="249"/>
      <c r="BG593" s="249"/>
      <c r="BH593" s="249"/>
      <c r="BI593" s="249"/>
      <c r="BJ593" s="249"/>
      <c r="BK593" s="249"/>
      <c r="BL593" s="249"/>
      <c r="BM593" s="249"/>
      <c r="BN593" s="249"/>
      <c r="BO593" s="249"/>
      <c r="BP593" s="249"/>
      <c r="BQ593" s="249"/>
      <c r="BR593" s="249"/>
      <c r="BS593" s="249"/>
      <c r="BT593" s="249"/>
      <c r="BU593" s="249"/>
      <c r="BV593" s="249"/>
      <c r="BW593" s="249"/>
      <c r="BX593" s="249"/>
      <c r="BY593" s="249"/>
      <c r="BZ593" s="249"/>
      <c r="CA593" s="249"/>
      <c r="CB593" s="249"/>
      <c r="CC593" s="249"/>
      <c r="CD593" s="249"/>
      <c r="CE593" s="249"/>
    </row>
    <row r="594" spans="1:83" s="84" customFormat="1" ht="12.95" customHeight="1">
      <c r="A594" s="1"/>
      <c r="B594" s="1"/>
      <c r="C594" s="18" t="s">
        <v>839</v>
      </c>
      <c r="D594" s="52" t="s">
        <v>3116</v>
      </c>
      <c r="E594" s="52" t="s">
        <v>3117</v>
      </c>
      <c r="F594" s="53" t="s">
        <v>1133</v>
      </c>
      <c r="G594" s="179" t="s">
        <v>1429</v>
      </c>
      <c r="H594" s="180" t="s">
        <v>839</v>
      </c>
      <c r="I594" s="55" t="s">
        <v>1429</v>
      </c>
      <c r="J594" s="55" t="s">
        <v>1429</v>
      </c>
      <c r="K594" s="56" t="s">
        <v>1429</v>
      </c>
      <c r="L594" s="54" t="s">
        <v>1429</v>
      </c>
      <c r="M594" s="55" t="s">
        <v>1580</v>
      </c>
      <c r="N594" s="55" t="s">
        <v>1429</v>
      </c>
      <c r="O594" s="55" t="s">
        <v>1429</v>
      </c>
      <c r="P594" s="56" t="s">
        <v>1429</v>
      </c>
      <c r="Q594" s="85"/>
      <c r="R594" s="85"/>
      <c r="S594" s="85"/>
      <c r="T594" s="85"/>
      <c r="U594" s="85"/>
      <c r="V594" s="146" t="s">
        <v>3118</v>
      </c>
      <c r="W594" s="51" t="s">
        <v>2932</v>
      </c>
      <c r="X594" s="130" t="s">
        <v>1429</v>
      </c>
      <c r="Y594" s="130" t="s">
        <v>1429</v>
      </c>
      <c r="Z594" s="51"/>
      <c r="AA594" s="51" t="s">
        <v>2612</v>
      </c>
      <c r="AB594" s="146"/>
      <c r="AC594" s="146" t="s">
        <v>1429</v>
      </c>
      <c r="AD594" s="98"/>
      <c r="AE594" s="83"/>
      <c r="AF594" s="83"/>
      <c r="AG594" s="83"/>
      <c r="AH594" s="86"/>
      <c r="AI594" s="86"/>
      <c r="AJ594" s="87"/>
      <c r="AK594" s="87"/>
      <c r="AL594" s="87"/>
      <c r="AM594" s="87"/>
      <c r="AN594" s="87"/>
      <c r="AO594" s="87"/>
      <c r="AP594" s="87"/>
      <c r="AQ594" s="229" t="s">
        <v>839</v>
      </c>
      <c r="AR594" s="5"/>
      <c r="AS594" s="5"/>
      <c r="AT594" s="5"/>
      <c r="AU594" s="5"/>
      <c r="AV594" s="5"/>
      <c r="AW594" s="5"/>
      <c r="AX594" s="284"/>
      <c r="AY594" s="5"/>
      <c r="AZ594" s="5"/>
      <c r="BA594" s="230"/>
      <c r="BB594" s="5"/>
      <c r="BC594" s="232" t="s">
        <v>3536</v>
      </c>
      <c r="BD594" s="257"/>
      <c r="BE594" s="249"/>
      <c r="BF594" s="249"/>
      <c r="BG594" s="249"/>
      <c r="BH594" s="249"/>
      <c r="BI594" s="249"/>
      <c r="BJ594" s="249"/>
      <c r="BK594" s="249"/>
      <c r="BL594" s="249"/>
      <c r="BM594" s="249"/>
      <c r="BN594" s="249"/>
      <c r="BO594" s="249"/>
      <c r="BP594" s="249"/>
      <c r="BQ594" s="249"/>
      <c r="BR594" s="249"/>
      <c r="BS594" s="249"/>
      <c r="BT594" s="249"/>
      <c r="BU594" s="249"/>
      <c r="BV594" s="249"/>
      <c r="BW594" s="249"/>
      <c r="BX594" s="249"/>
      <c r="BY594" s="249"/>
      <c r="BZ594" s="249"/>
      <c r="CA594" s="249"/>
      <c r="CB594" s="249"/>
      <c r="CC594" s="249"/>
      <c r="CD594" s="249"/>
      <c r="CE594" s="249"/>
    </row>
    <row r="595" spans="1:83" s="84" customFormat="1" ht="12.95" customHeight="1">
      <c r="A595" s="1"/>
      <c r="B595" s="1"/>
      <c r="C595" s="18" t="s">
        <v>840</v>
      </c>
      <c r="D595" s="52" t="s">
        <v>3119</v>
      </c>
      <c r="E595" s="52" t="s">
        <v>3120</v>
      </c>
      <c r="F595" s="53" t="s">
        <v>1134</v>
      </c>
      <c r="G595" s="179" t="s">
        <v>1429</v>
      </c>
      <c r="H595" s="180" t="s">
        <v>840</v>
      </c>
      <c r="I595" s="55" t="s">
        <v>1429</v>
      </c>
      <c r="J595" s="55" t="s">
        <v>1429</v>
      </c>
      <c r="K595" s="56" t="s">
        <v>1429</v>
      </c>
      <c r="L595" s="54" t="s">
        <v>1429</v>
      </c>
      <c r="M595" s="55" t="s">
        <v>1580</v>
      </c>
      <c r="N595" s="55" t="s">
        <v>1429</v>
      </c>
      <c r="O595" s="55" t="s">
        <v>1429</v>
      </c>
      <c r="P595" s="56" t="s">
        <v>1429</v>
      </c>
      <c r="Q595" s="85"/>
      <c r="R595" s="85"/>
      <c r="S595" s="85"/>
      <c r="T595" s="85"/>
      <c r="U595" s="85"/>
      <c r="V595" s="146" t="s">
        <v>3121</v>
      </c>
      <c r="W595" s="51" t="s">
        <v>2932</v>
      </c>
      <c r="X595" s="130" t="s">
        <v>1429</v>
      </c>
      <c r="Y595" s="130" t="s">
        <v>1429</v>
      </c>
      <c r="Z595" s="51"/>
      <c r="AA595" s="51" t="s">
        <v>2612</v>
      </c>
      <c r="AB595" s="146"/>
      <c r="AC595" s="146" t="s">
        <v>1429</v>
      </c>
      <c r="AD595" s="98"/>
      <c r="AE595" s="83"/>
      <c r="AF595" s="83"/>
      <c r="AG595" s="83"/>
      <c r="AH595" s="86"/>
      <c r="AI595" s="86"/>
      <c r="AJ595" s="87"/>
      <c r="AK595" s="87"/>
      <c r="AL595" s="87"/>
      <c r="AM595" s="87"/>
      <c r="AN595" s="87"/>
      <c r="AO595" s="87"/>
      <c r="AP595" s="87"/>
      <c r="AQ595" s="229" t="s">
        <v>840</v>
      </c>
      <c r="AR595" s="5"/>
      <c r="AS595" s="5"/>
      <c r="AT595" s="5"/>
      <c r="AU595" s="5"/>
      <c r="AV595" s="5"/>
      <c r="AW595" s="5"/>
      <c r="AX595" s="284"/>
      <c r="AY595" s="5"/>
      <c r="AZ595" s="5"/>
      <c r="BA595" s="230"/>
      <c r="BB595" s="5"/>
      <c r="BC595" s="232" t="s">
        <v>3536</v>
      </c>
      <c r="BD595" s="257"/>
      <c r="BE595" s="249"/>
      <c r="BF595" s="249"/>
      <c r="BG595" s="249"/>
      <c r="BH595" s="249"/>
      <c r="BI595" s="249"/>
      <c r="BJ595" s="249"/>
      <c r="BK595" s="249"/>
      <c r="BL595" s="249"/>
      <c r="BM595" s="249"/>
      <c r="BN595" s="249"/>
      <c r="BO595" s="249"/>
      <c r="BP595" s="249"/>
      <c r="BQ595" s="249"/>
      <c r="BR595" s="249"/>
      <c r="BS595" s="249"/>
      <c r="BT595" s="249"/>
      <c r="BU595" s="249"/>
      <c r="BV595" s="249"/>
      <c r="BW595" s="249"/>
      <c r="BX595" s="249"/>
      <c r="BY595" s="249"/>
      <c r="BZ595" s="249"/>
      <c r="CA595" s="249"/>
      <c r="CB595" s="249"/>
      <c r="CC595" s="249"/>
      <c r="CD595" s="249"/>
      <c r="CE595" s="249"/>
    </row>
    <row r="596" spans="1:83" s="84" customFormat="1" ht="12.95" customHeight="1">
      <c r="A596" s="1"/>
      <c r="B596" s="1"/>
      <c r="C596" s="18" t="s">
        <v>841</v>
      </c>
      <c r="D596" s="52" t="s">
        <v>3122</v>
      </c>
      <c r="E596" s="52" t="s">
        <v>3104</v>
      </c>
      <c r="F596" s="53" t="s">
        <v>1135</v>
      </c>
      <c r="G596" s="179" t="s">
        <v>1429</v>
      </c>
      <c r="H596" s="180" t="s">
        <v>841</v>
      </c>
      <c r="I596" s="55" t="s">
        <v>1429</v>
      </c>
      <c r="J596" s="55" t="s">
        <v>1429</v>
      </c>
      <c r="K596" s="56" t="s">
        <v>1429</v>
      </c>
      <c r="L596" s="54" t="s">
        <v>1429</v>
      </c>
      <c r="M596" s="55" t="s">
        <v>1580</v>
      </c>
      <c r="N596" s="55" t="s">
        <v>1429</v>
      </c>
      <c r="O596" s="55" t="s">
        <v>1429</v>
      </c>
      <c r="P596" s="56" t="s">
        <v>1429</v>
      </c>
      <c r="Q596" s="85"/>
      <c r="R596" s="85"/>
      <c r="S596" s="85"/>
      <c r="T596" s="85"/>
      <c r="U596" s="85"/>
      <c r="V596" s="146" t="s">
        <v>3123</v>
      </c>
      <c r="W596" s="51" t="s">
        <v>2932</v>
      </c>
      <c r="X596" s="130" t="s">
        <v>1429</v>
      </c>
      <c r="Y596" s="130" t="s">
        <v>1429</v>
      </c>
      <c r="Z596" s="51"/>
      <c r="AA596" s="51" t="s">
        <v>2612</v>
      </c>
      <c r="AB596" s="146"/>
      <c r="AC596" s="146" t="s">
        <v>1429</v>
      </c>
      <c r="AD596" s="98"/>
      <c r="AE596" s="83"/>
      <c r="AF596" s="83"/>
      <c r="AG596" s="83"/>
      <c r="AH596" s="86"/>
      <c r="AI596" s="86"/>
      <c r="AJ596" s="87"/>
      <c r="AK596" s="87"/>
      <c r="AL596" s="87"/>
      <c r="AM596" s="87"/>
      <c r="AN596" s="87"/>
      <c r="AO596" s="87"/>
      <c r="AP596" s="87"/>
      <c r="AQ596" s="229" t="s">
        <v>841</v>
      </c>
      <c r="AR596" s="5"/>
      <c r="AS596" s="5"/>
      <c r="AT596" s="5"/>
      <c r="AU596" s="5"/>
      <c r="AV596" s="5"/>
      <c r="AW596" s="5"/>
      <c r="AX596" s="284"/>
      <c r="AY596" s="5"/>
      <c r="AZ596" s="5"/>
      <c r="BA596" s="230"/>
      <c r="BB596" s="5"/>
      <c r="BC596" s="232" t="s">
        <v>3536</v>
      </c>
      <c r="BD596" s="257"/>
      <c r="BE596" s="249"/>
      <c r="BF596" s="249"/>
      <c r="BG596" s="249"/>
      <c r="BH596" s="249"/>
      <c r="BI596" s="249"/>
      <c r="BJ596" s="249"/>
      <c r="BK596" s="249"/>
      <c r="BL596" s="249"/>
      <c r="BM596" s="249"/>
      <c r="BN596" s="249"/>
      <c r="BO596" s="249"/>
      <c r="BP596" s="249"/>
      <c r="BQ596" s="249"/>
      <c r="BR596" s="249"/>
      <c r="BS596" s="249"/>
      <c r="BT596" s="249"/>
      <c r="BU596" s="249"/>
      <c r="BV596" s="249"/>
      <c r="BW596" s="249"/>
      <c r="BX596" s="249"/>
      <c r="BY596" s="249"/>
      <c r="BZ596" s="249"/>
      <c r="CA596" s="249"/>
      <c r="CB596" s="249"/>
      <c r="CC596" s="249"/>
      <c r="CD596" s="249"/>
      <c r="CE596" s="249"/>
    </row>
    <row r="597" spans="1:83" s="84" customFormat="1" ht="12.95" customHeight="1">
      <c r="A597" s="1"/>
      <c r="B597" s="1"/>
      <c r="C597" s="18" t="s">
        <v>842</v>
      </c>
      <c r="D597" s="52" t="s">
        <v>3124</v>
      </c>
      <c r="E597" s="52" t="s">
        <v>3125</v>
      </c>
      <c r="F597" s="53" t="s">
        <v>1136</v>
      </c>
      <c r="G597" s="179" t="s">
        <v>1429</v>
      </c>
      <c r="H597" s="180" t="s">
        <v>842</v>
      </c>
      <c r="I597" s="55" t="s">
        <v>1429</v>
      </c>
      <c r="J597" s="55" t="s">
        <v>1429</v>
      </c>
      <c r="K597" s="56" t="s">
        <v>1429</v>
      </c>
      <c r="L597" s="54" t="s">
        <v>1429</v>
      </c>
      <c r="M597" s="55" t="s">
        <v>1580</v>
      </c>
      <c r="N597" s="55" t="s">
        <v>1429</v>
      </c>
      <c r="O597" s="55" t="s">
        <v>1429</v>
      </c>
      <c r="P597" s="56" t="s">
        <v>1429</v>
      </c>
      <c r="Q597" s="85"/>
      <c r="R597" s="85"/>
      <c r="S597" s="85"/>
      <c r="T597" s="85"/>
      <c r="U597" s="85"/>
      <c r="V597" s="146" t="s">
        <v>3126</v>
      </c>
      <c r="W597" s="51" t="s">
        <v>2932</v>
      </c>
      <c r="X597" s="130" t="s">
        <v>1429</v>
      </c>
      <c r="Y597" s="130" t="s">
        <v>1429</v>
      </c>
      <c r="Z597" s="51"/>
      <c r="AA597" s="51" t="s">
        <v>2612</v>
      </c>
      <c r="AB597" s="146"/>
      <c r="AC597" s="146" t="s">
        <v>1429</v>
      </c>
      <c r="AD597" s="98"/>
      <c r="AE597" s="83"/>
      <c r="AF597" s="83"/>
      <c r="AG597" s="83"/>
      <c r="AH597" s="86"/>
      <c r="AI597" s="86"/>
      <c r="AJ597" s="87"/>
      <c r="AK597" s="87"/>
      <c r="AL597" s="87"/>
      <c r="AM597" s="87"/>
      <c r="AN597" s="87"/>
      <c r="AO597" s="87"/>
      <c r="AP597" s="87"/>
      <c r="AQ597" s="229" t="s">
        <v>842</v>
      </c>
      <c r="AR597" s="5"/>
      <c r="AS597" s="5"/>
      <c r="AT597" s="5"/>
      <c r="AU597" s="5"/>
      <c r="AV597" s="5"/>
      <c r="AW597" s="5"/>
      <c r="AX597" s="284"/>
      <c r="AY597" s="5"/>
      <c r="AZ597" s="5"/>
      <c r="BA597" s="230"/>
      <c r="BB597" s="5"/>
      <c r="BC597" s="232" t="s">
        <v>3536</v>
      </c>
      <c r="BD597" s="257"/>
      <c r="BE597" s="249"/>
      <c r="BF597" s="249"/>
      <c r="BG597" s="249"/>
      <c r="BH597" s="249"/>
      <c r="BI597" s="249"/>
      <c r="BJ597" s="249"/>
      <c r="BK597" s="249"/>
      <c r="BL597" s="249"/>
      <c r="BM597" s="249"/>
      <c r="BN597" s="249"/>
      <c r="BO597" s="249"/>
      <c r="BP597" s="249"/>
      <c r="BQ597" s="249"/>
      <c r="BR597" s="249"/>
      <c r="BS597" s="249"/>
      <c r="BT597" s="249"/>
      <c r="BU597" s="249"/>
      <c r="BV597" s="249"/>
      <c r="BW597" s="249"/>
      <c r="BX597" s="249"/>
      <c r="BY597" s="249"/>
      <c r="BZ597" s="249"/>
      <c r="CA597" s="249"/>
      <c r="CB597" s="249"/>
      <c r="CC597" s="249"/>
      <c r="CD597" s="249"/>
      <c r="CE597" s="249"/>
    </row>
    <row r="598" spans="1:83" s="84" customFormat="1" ht="12.95" customHeight="1">
      <c r="A598" s="1"/>
      <c r="B598" s="1"/>
      <c r="C598" s="18" t="s">
        <v>843</v>
      </c>
      <c r="D598" s="52" t="s">
        <v>3127</v>
      </c>
      <c r="E598" s="52" t="s">
        <v>3098</v>
      </c>
      <c r="F598" s="53" t="s">
        <v>1137</v>
      </c>
      <c r="G598" s="179" t="s">
        <v>1429</v>
      </c>
      <c r="H598" s="180" t="s">
        <v>843</v>
      </c>
      <c r="I598" s="55" t="s">
        <v>1429</v>
      </c>
      <c r="J598" s="55" t="s">
        <v>1429</v>
      </c>
      <c r="K598" s="56" t="s">
        <v>1429</v>
      </c>
      <c r="L598" s="54" t="s">
        <v>1429</v>
      </c>
      <c r="M598" s="55" t="s">
        <v>1580</v>
      </c>
      <c r="N598" s="55" t="s">
        <v>1429</v>
      </c>
      <c r="O598" s="55" t="s">
        <v>1429</v>
      </c>
      <c r="P598" s="56" t="s">
        <v>1429</v>
      </c>
      <c r="Q598" s="85"/>
      <c r="R598" s="85"/>
      <c r="S598" s="85"/>
      <c r="T598" s="85"/>
      <c r="U598" s="85"/>
      <c r="V598" s="146" t="s">
        <v>3128</v>
      </c>
      <c r="W598" s="51" t="s">
        <v>2932</v>
      </c>
      <c r="X598" s="130" t="s">
        <v>1429</v>
      </c>
      <c r="Y598" s="130" t="s">
        <v>1429</v>
      </c>
      <c r="Z598" s="51"/>
      <c r="AA598" s="51" t="s">
        <v>2612</v>
      </c>
      <c r="AB598" s="146"/>
      <c r="AC598" s="146" t="s">
        <v>1429</v>
      </c>
      <c r="AD598" s="98"/>
      <c r="AE598" s="83"/>
      <c r="AF598" s="83"/>
      <c r="AG598" s="83"/>
      <c r="AH598" s="86"/>
      <c r="AI598" s="86"/>
      <c r="AJ598" s="87"/>
      <c r="AK598" s="87"/>
      <c r="AL598" s="87"/>
      <c r="AM598" s="87"/>
      <c r="AN598" s="87"/>
      <c r="AO598" s="87"/>
      <c r="AP598" s="87"/>
      <c r="AQ598" s="229" t="s">
        <v>843</v>
      </c>
      <c r="AR598" s="5"/>
      <c r="AS598" s="5"/>
      <c r="AT598" s="5"/>
      <c r="AU598" s="5"/>
      <c r="AV598" s="5"/>
      <c r="AW598" s="5"/>
      <c r="AX598" s="284"/>
      <c r="AY598" s="5"/>
      <c r="AZ598" s="5"/>
      <c r="BA598" s="230"/>
      <c r="BB598" s="5"/>
      <c r="BC598" s="232" t="s">
        <v>3536</v>
      </c>
      <c r="BD598" s="257"/>
      <c r="BE598" s="249"/>
      <c r="BF598" s="249"/>
      <c r="BG598" s="249"/>
      <c r="BH598" s="249"/>
      <c r="BI598" s="249"/>
      <c r="BJ598" s="249"/>
      <c r="BK598" s="249"/>
      <c r="BL598" s="249"/>
      <c r="BM598" s="249"/>
      <c r="BN598" s="249"/>
      <c r="BO598" s="249"/>
      <c r="BP598" s="249"/>
      <c r="BQ598" s="249"/>
      <c r="BR598" s="249"/>
      <c r="BS598" s="249"/>
      <c r="BT598" s="249"/>
      <c r="BU598" s="249"/>
      <c r="BV598" s="249"/>
      <c r="BW598" s="249"/>
      <c r="BX598" s="249"/>
      <c r="BY598" s="249"/>
      <c r="BZ598" s="249"/>
      <c r="CA598" s="249"/>
      <c r="CB598" s="249"/>
      <c r="CC598" s="249"/>
      <c r="CD598" s="249"/>
      <c r="CE598" s="249"/>
    </row>
    <row r="599" spans="1:83" s="84" customFormat="1" ht="12.95" customHeight="1">
      <c r="A599" s="1"/>
      <c r="B599" s="1"/>
      <c r="C599" s="18" t="s">
        <v>844</v>
      </c>
      <c r="D599" s="52" t="s">
        <v>3129</v>
      </c>
      <c r="E599" s="52" t="s">
        <v>3130</v>
      </c>
      <c r="F599" s="53" t="s">
        <v>1138</v>
      </c>
      <c r="G599" s="179" t="s">
        <v>1429</v>
      </c>
      <c r="H599" s="180" t="s">
        <v>844</v>
      </c>
      <c r="I599" s="55" t="s">
        <v>1429</v>
      </c>
      <c r="J599" s="55" t="s">
        <v>1429</v>
      </c>
      <c r="K599" s="56" t="s">
        <v>1429</v>
      </c>
      <c r="L599" s="54" t="s">
        <v>1429</v>
      </c>
      <c r="M599" s="55" t="s">
        <v>1580</v>
      </c>
      <c r="N599" s="55" t="s">
        <v>1429</v>
      </c>
      <c r="O599" s="55" t="s">
        <v>1429</v>
      </c>
      <c r="P599" s="56" t="s">
        <v>1429</v>
      </c>
      <c r="Q599" s="85"/>
      <c r="R599" s="85"/>
      <c r="S599" s="85"/>
      <c r="T599" s="85"/>
      <c r="U599" s="85"/>
      <c r="V599" s="146" t="s">
        <v>3131</v>
      </c>
      <c r="W599" s="51" t="s">
        <v>2932</v>
      </c>
      <c r="X599" s="130" t="s">
        <v>1429</v>
      </c>
      <c r="Y599" s="130" t="s">
        <v>1429</v>
      </c>
      <c r="Z599" s="51"/>
      <c r="AA599" s="51" t="s">
        <v>2612</v>
      </c>
      <c r="AB599" s="146"/>
      <c r="AC599" s="146" t="s">
        <v>1429</v>
      </c>
      <c r="AD599" s="98"/>
      <c r="AE599" s="83"/>
      <c r="AF599" s="83"/>
      <c r="AG599" s="83"/>
      <c r="AH599" s="86"/>
      <c r="AI599" s="86"/>
      <c r="AJ599" s="87"/>
      <c r="AK599" s="87"/>
      <c r="AL599" s="87"/>
      <c r="AM599" s="87"/>
      <c r="AN599" s="87"/>
      <c r="AO599" s="87"/>
      <c r="AP599" s="87"/>
      <c r="AQ599" s="229" t="s">
        <v>844</v>
      </c>
      <c r="AR599" s="5"/>
      <c r="AS599" s="5"/>
      <c r="AT599" s="5"/>
      <c r="AU599" s="5"/>
      <c r="AV599" s="5"/>
      <c r="AW599" s="5"/>
      <c r="AX599" s="284"/>
      <c r="AY599" s="5"/>
      <c r="AZ599" s="5"/>
      <c r="BA599" s="230"/>
      <c r="BB599" s="5"/>
      <c r="BC599" s="232" t="s">
        <v>3536</v>
      </c>
      <c r="BD599" s="257"/>
      <c r="BE599" s="249"/>
      <c r="BF599" s="249"/>
      <c r="BG599" s="249"/>
      <c r="BH599" s="249"/>
      <c r="BI599" s="249"/>
      <c r="BJ599" s="249"/>
      <c r="BK599" s="249"/>
      <c r="BL599" s="249"/>
      <c r="BM599" s="249"/>
      <c r="BN599" s="249"/>
      <c r="BO599" s="249"/>
      <c r="BP599" s="249"/>
      <c r="BQ599" s="249"/>
      <c r="BR599" s="249"/>
      <c r="BS599" s="249"/>
      <c r="BT599" s="249"/>
      <c r="BU599" s="249"/>
      <c r="BV599" s="249"/>
      <c r="BW599" s="249"/>
      <c r="BX599" s="249"/>
      <c r="BY599" s="249"/>
      <c r="BZ599" s="249"/>
      <c r="CA599" s="249"/>
      <c r="CB599" s="249"/>
      <c r="CC599" s="249"/>
      <c r="CD599" s="249"/>
      <c r="CE599" s="249"/>
    </row>
    <row r="600" spans="1:83" s="84" customFormat="1" ht="12.95" customHeight="1">
      <c r="A600" s="1"/>
      <c r="B600" s="1"/>
      <c r="C600" s="18" t="s">
        <v>845</v>
      </c>
      <c r="D600" s="52" t="s">
        <v>3132</v>
      </c>
      <c r="E600" s="52" t="s">
        <v>3113</v>
      </c>
      <c r="F600" s="53" t="s">
        <v>1139</v>
      </c>
      <c r="G600" s="179" t="s">
        <v>1429</v>
      </c>
      <c r="H600" s="180" t="s">
        <v>845</v>
      </c>
      <c r="I600" s="55" t="s">
        <v>1429</v>
      </c>
      <c r="J600" s="55" t="s">
        <v>1429</v>
      </c>
      <c r="K600" s="56" t="s">
        <v>1429</v>
      </c>
      <c r="L600" s="54" t="s">
        <v>1429</v>
      </c>
      <c r="M600" s="55" t="s">
        <v>1580</v>
      </c>
      <c r="N600" s="55" t="s">
        <v>1429</v>
      </c>
      <c r="O600" s="55" t="s">
        <v>1429</v>
      </c>
      <c r="P600" s="56" t="s">
        <v>1429</v>
      </c>
      <c r="Q600" s="85"/>
      <c r="R600" s="85"/>
      <c r="S600" s="85"/>
      <c r="T600" s="85"/>
      <c r="U600" s="85"/>
      <c r="V600" s="146" t="s">
        <v>3133</v>
      </c>
      <c r="W600" s="51" t="s">
        <v>2932</v>
      </c>
      <c r="X600" s="130" t="s">
        <v>1429</v>
      </c>
      <c r="Y600" s="130" t="s">
        <v>1429</v>
      </c>
      <c r="Z600" s="51"/>
      <c r="AA600" s="51" t="s">
        <v>2612</v>
      </c>
      <c r="AB600" s="146"/>
      <c r="AC600" s="146" t="s">
        <v>1429</v>
      </c>
      <c r="AD600" s="98"/>
      <c r="AE600" s="83"/>
      <c r="AF600" s="83"/>
      <c r="AG600" s="83"/>
      <c r="AH600" s="86"/>
      <c r="AI600" s="86"/>
      <c r="AJ600" s="87"/>
      <c r="AK600" s="87"/>
      <c r="AL600" s="87"/>
      <c r="AM600" s="87"/>
      <c r="AN600" s="87"/>
      <c r="AO600" s="87"/>
      <c r="AP600" s="87"/>
      <c r="AQ600" s="229" t="s">
        <v>845</v>
      </c>
      <c r="AR600" s="5"/>
      <c r="AS600" s="5"/>
      <c r="AT600" s="5"/>
      <c r="AU600" s="5"/>
      <c r="AV600" s="5"/>
      <c r="AW600" s="5"/>
      <c r="AX600" s="284"/>
      <c r="AY600" s="5"/>
      <c r="AZ600" s="5"/>
      <c r="BA600" s="230"/>
      <c r="BB600" s="5"/>
      <c r="BC600" s="232" t="s">
        <v>3536</v>
      </c>
      <c r="BD600" s="257"/>
      <c r="BE600" s="249"/>
      <c r="BF600" s="249"/>
      <c r="BG600" s="249"/>
      <c r="BH600" s="249"/>
      <c r="BI600" s="249"/>
      <c r="BJ600" s="249"/>
      <c r="BK600" s="249"/>
      <c r="BL600" s="249"/>
      <c r="BM600" s="249"/>
      <c r="BN600" s="249"/>
      <c r="BO600" s="249"/>
      <c r="BP600" s="249"/>
      <c r="BQ600" s="249"/>
      <c r="BR600" s="249"/>
      <c r="BS600" s="249"/>
      <c r="BT600" s="249"/>
      <c r="BU600" s="249"/>
      <c r="BV600" s="249"/>
      <c r="BW600" s="249"/>
      <c r="BX600" s="249"/>
      <c r="BY600" s="249"/>
      <c r="BZ600" s="249"/>
      <c r="CA600" s="249"/>
      <c r="CB600" s="249"/>
      <c r="CC600" s="249"/>
      <c r="CD600" s="249"/>
      <c r="CE600" s="249"/>
    </row>
    <row r="601" spans="1:83" s="84" customFormat="1" ht="12.95" customHeight="1">
      <c r="A601" s="1"/>
      <c r="B601" s="1"/>
      <c r="C601" s="18" t="s">
        <v>846</v>
      </c>
      <c r="D601" s="52" t="s">
        <v>3134</v>
      </c>
      <c r="E601" s="52" t="s">
        <v>3135</v>
      </c>
      <c r="F601" s="53" t="s">
        <v>1140</v>
      </c>
      <c r="G601" s="179" t="s">
        <v>1429</v>
      </c>
      <c r="H601" s="180" t="s">
        <v>846</v>
      </c>
      <c r="I601" s="55" t="s">
        <v>1429</v>
      </c>
      <c r="J601" s="55" t="s">
        <v>1429</v>
      </c>
      <c r="K601" s="56" t="s">
        <v>1429</v>
      </c>
      <c r="L601" s="54" t="s">
        <v>1429</v>
      </c>
      <c r="M601" s="55" t="s">
        <v>1580</v>
      </c>
      <c r="N601" s="55" t="s">
        <v>1429</v>
      </c>
      <c r="O601" s="55" t="s">
        <v>1429</v>
      </c>
      <c r="P601" s="56" t="s">
        <v>1429</v>
      </c>
      <c r="Q601" s="85"/>
      <c r="R601" s="85"/>
      <c r="S601" s="85"/>
      <c r="T601" s="85"/>
      <c r="U601" s="85"/>
      <c r="V601" s="146" t="s">
        <v>3136</v>
      </c>
      <c r="W601" s="51" t="s">
        <v>2932</v>
      </c>
      <c r="X601" s="130" t="s">
        <v>1429</v>
      </c>
      <c r="Y601" s="130" t="s">
        <v>1429</v>
      </c>
      <c r="Z601" s="51"/>
      <c r="AA601" s="51" t="s">
        <v>2612</v>
      </c>
      <c r="AB601" s="146"/>
      <c r="AC601" s="146" t="s">
        <v>1429</v>
      </c>
      <c r="AD601" s="98"/>
      <c r="AE601" s="83"/>
      <c r="AF601" s="83"/>
      <c r="AG601" s="83"/>
      <c r="AH601" s="86"/>
      <c r="AI601" s="86"/>
      <c r="AJ601" s="87"/>
      <c r="AK601" s="87"/>
      <c r="AL601" s="87"/>
      <c r="AM601" s="87"/>
      <c r="AN601" s="87"/>
      <c r="AO601" s="87"/>
      <c r="AP601" s="87"/>
      <c r="AQ601" s="229" t="s">
        <v>846</v>
      </c>
      <c r="AR601" s="5"/>
      <c r="AS601" s="5"/>
      <c r="AT601" s="5"/>
      <c r="AU601" s="5"/>
      <c r="AV601" s="5"/>
      <c r="AW601" s="5"/>
      <c r="AX601" s="284"/>
      <c r="AY601" s="5"/>
      <c r="AZ601" s="5"/>
      <c r="BA601" s="230"/>
      <c r="BB601" s="5"/>
      <c r="BC601" s="232" t="s">
        <v>3536</v>
      </c>
      <c r="BD601" s="257"/>
      <c r="BE601" s="249"/>
      <c r="BF601" s="249"/>
      <c r="BG601" s="249"/>
      <c r="BH601" s="249"/>
      <c r="BI601" s="249"/>
      <c r="BJ601" s="249"/>
      <c r="BK601" s="249"/>
      <c r="BL601" s="249"/>
      <c r="BM601" s="249"/>
      <c r="BN601" s="249"/>
      <c r="BO601" s="249"/>
      <c r="BP601" s="249"/>
      <c r="BQ601" s="249"/>
      <c r="BR601" s="249"/>
      <c r="BS601" s="249"/>
      <c r="BT601" s="249"/>
      <c r="BU601" s="249"/>
      <c r="BV601" s="249"/>
      <c r="BW601" s="249"/>
      <c r="BX601" s="249"/>
      <c r="BY601" s="249"/>
      <c r="BZ601" s="249"/>
      <c r="CA601" s="249"/>
      <c r="CB601" s="249"/>
      <c r="CC601" s="249"/>
      <c r="CD601" s="249"/>
      <c r="CE601" s="249"/>
    </row>
    <row r="602" spans="1:83" s="84" customFormat="1" ht="12.95" customHeight="1">
      <c r="A602" s="1"/>
      <c r="B602" s="1"/>
      <c r="C602" s="18" t="s">
        <v>847</v>
      </c>
      <c r="D602" s="52" t="s">
        <v>3137</v>
      </c>
      <c r="E602" s="52" t="s">
        <v>3138</v>
      </c>
      <c r="F602" s="53" t="s">
        <v>1141</v>
      </c>
      <c r="G602" s="179" t="s">
        <v>1429</v>
      </c>
      <c r="H602" s="180" t="s">
        <v>847</v>
      </c>
      <c r="I602" s="55" t="s">
        <v>1429</v>
      </c>
      <c r="J602" s="55" t="s">
        <v>1429</v>
      </c>
      <c r="K602" s="56" t="s">
        <v>1429</v>
      </c>
      <c r="L602" s="54" t="s">
        <v>1429</v>
      </c>
      <c r="M602" s="55" t="s">
        <v>1580</v>
      </c>
      <c r="N602" s="55" t="s">
        <v>1429</v>
      </c>
      <c r="O602" s="55" t="s">
        <v>1429</v>
      </c>
      <c r="P602" s="56" t="s">
        <v>1429</v>
      </c>
      <c r="Q602" s="85"/>
      <c r="R602" s="85"/>
      <c r="S602" s="85"/>
      <c r="T602" s="85"/>
      <c r="U602" s="85"/>
      <c r="V602" s="146" t="s">
        <v>3139</v>
      </c>
      <c r="W602" s="51" t="s">
        <v>2932</v>
      </c>
      <c r="X602" s="130" t="s">
        <v>1429</v>
      </c>
      <c r="Y602" s="130" t="s">
        <v>1429</v>
      </c>
      <c r="Z602" s="51"/>
      <c r="AA602" s="51" t="s">
        <v>2612</v>
      </c>
      <c r="AB602" s="146"/>
      <c r="AC602" s="146" t="s">
        <v>1429</v>
      </c>
      <c r="AD602" s="98"/>
      <c r="AE602" s="83"/>
      <c r="AF602" s="83"/>
      <c r="AG602" s="83"/>
      <c r="AH602" s="86"/>
      <c r="AI602" s="86"/>
      <c r="AJ602" s="87"/>
      <c r="AK602" s="87"/>
      <c r="AL602" s="87"/>
      <c r="AM602" s="87"/>
      <c r="AN602" s="87"/>
      <c r="AO602" s="87"/>
      <c r="AP602" s="87"/>
      <c r="AQ602" s="229" t="s">
        <v>847</v>
      </c>
      <c r="AR602" s="5"/>
      <c r="AS602" s="5"/>
      <c r="AT602" s="5"/>
      <c r="AU602" s="5"/>
      <c r="AV602" s="5"/>
      <c r="AW602" s="5"/>
      <c r="AX602" s="284"/>
      <c r="AY602" s="5"/>
      <c r="AZ602" s="5"/>
      <c r="BA602" s="230"/>
      <c r="BB602" s="5"/>
      <c r="BC602" s="232" t="s">
        <v>3536</v>
      </c>
      <c r="BD602" s="257"/>
      <c r="BE602" s="249"/>
      <c r="BF602" s="249"/>
      <c r="BG602" s="249"/>
      <c r="BH602" s="249"/>
      <c r="BI602" s="249"/>
      <c r="BJ602" s="249"/>
      <c r="BK602" s="249"/>
      <c r="BL602" s="249"/>
      <c r="BM602" s="249"/>
      <c r="BN602" s="249"/>
      <c r="BO602" s="249"/>
      <c r="BP602" s="249"/>
      <c r="BQ602" s="249"/>
      <c r="BR602" s="249"/>
      <c r="BS602" s="249"/>
      <c r="BT602" s="249"/>
      <c r="BU602" s="249"/>
      <c r="BV602" s="249"/>
      <c r="BW602" s="249"/>
      <c r="BX602" s="249"/>
      <c r="BY602" s="249"/>
      <c r="BZ602" s="249"/>
      <c r="CA602" s="249"/>
      <c r="CB602" s="249"/>
      <c r="CC602" s="249"/>
      <c r="CD602" s="249"/>
      <c r="CE602" s="249"/>
    </row>
    <row r="603" spans="1:83" s="84" customFormat="1" ht="12.95" customHeight="1">
      <c r="A603" s="1"/>
      <c r="B603" s="1"/>
      <c r="C603" s="18" t="s">
        <v>848</v>
      </c>
      <c r="D603" s="52" t="s">
        <v>3140</v>
      </c>
      <c r="E603" s="52" t="s">
        <v>3119</v>
      </c>
      <c r="F603" s="53" t="s">
        <v>1142</v>
      </c>
      <c r="G603" s="179" t="s">
        <v>1429</v>
      </c>
      <c r="H603" s="180" t="s">
        <v>848</v>
      </c>
      <c r="I603" s="55" t="s">
        <v>1429</v>
      </c>
      <c r="J603" s="55" t="s">
        <v>1429</v>
      </c>
      <c r="K603" s="56" t="s">
        <v>1429</v>
      </c>
      <c r="L603" s="54" t="s">
        <v>1429</v>
      </c>
      <c r="M603" s="55" t="s">
        <v>1580</v>
      </c>
      <c r="N603" s="55" t="s">
        <v>1429</v>
      </c>
      <c r="O603" s="55" t="s">
        <v>1429</v>
      </c>
      <c r="P603" s="56" t="s">
        <v>1429</v>
      </c>
      <c r="Q603" s="85"/>
      <c r="R603" s="85"/>
      <c r="S603" s="85"/>
      <c r="T603" s="85"/>
      <c r="U603" s="85"/>
      <c r="V603" s="146" t="s">
        <v>3141</v>
      </c>
      <c r="W603" s="51" t="s">
        <v>2932</v>
      </c>
      <c r="X603" s="130" t="s">
        <v>1429</v>
      </c>
      <c r="Y603" s="130" t="s">
        <v>1429</v>
      </c>
      <c r="Z603" s="51"/>
      <c r="AA603" s="51" t="s">
        <v>2612</v>
      </c>
      <c r="AB603" s="146"/>
      <c r="AC603" s="146" t="s">
        <v>1429</v>
      </c>
      <c r="AD603" s="98"/>
      <c r="AE603" s="83"/>
      <c r="AF603" s="83"/>
      <c r="AG603" s="83"/>
      <c r="AH603" s="86"/>
      <c r="AI603" s="86"/>
      <c r="AJ603" s="87"/>
      <c r="AK603" s="87"/>
      <c r="AL603" s="87"/>
      <c r="AM603" s="87"/>
      <c r="AN603" s="87"/>
      <c r="AO603" s="87"/>
      <c r="AP603" s="87"/>
      <c r="AQ603" s="229" t="s">
        <v>848</v>
      </c>
      <c r="AR603" s="5"/>
      <c r="AS603" s="5"/>
      <c r="AT603" s="5"/>
      <c r="AU603" s="5"/>
      <c r="AV603" s="5"/>
      <c r="AW603" s="5"/>
      <c r="AX603" s="284"/>
      <c r="AY603" s="5"/>
      <c r="AZ603" s="5"/>
      <c r="BA603" s="230"/>
      <c r="BB603" s="5"/>
      <c r="BC603" s="232" t="s">
        <v>3536</v>
      </c>
      <c r="BD603" s="257"/>
      <c r="BE603" s="249"/>
      <c r="BF603" s="249"/>
      <c r="BG603" s="249"/>
      <c r="BH603" s="249"/>
      <c r="BI603" s="249"/>
      <c r="BJ603" s="249"/>
      <c r="BK603" s="249"/>
      <c r="BL603" s="249"/>
      <c r="BM603" s="249"/>
      <c r="BN603" s="249"/>
      <c r="BO603" s="249"/>
      <c r="BP603" s="249"/>
      <c r="BQ603" s="249"/>
      <c r="BR603" s="249"/>
      <c r="BS603" s="249"/>
      <c r="BT603" s="249"/>
      <c r="BU603" s="249"/>
      <c r="BV603" s="249"/>
      <c r="BW603" s="249"/>
      <c r="BX603" s="249"/>
      <c r="BY603" s="249"/>
      <c r="BZ603" s="249"/>
      <c r="CA603" s="249"/>
      <c r="CB603" s="249"/>
      <c r="CC603" s="249"/>
      <c r="CD603" s="249"/>
      <c r="CE603" s="249"/>
    </row>
    <row r="604" spans="1:83" s="84" customFormat="1" ht="12.95" customHeight="1">
      <c r="A604" s="1"/>
      <c r="B604" s="1"/>
      <c r="C604" s="21" t="s">
        <v>849</v>
      </c>
      <c r="D604" s="52" t="s">
        <v>3142</v>
      </c>
      <c r="E604" s="52" t="s">
        <v>3143</v>
      </c>
      <c r="F604" s="53" t="s">
        <v>1143</v>
      </c>
      <c r="G604" s="179" t="s">
        <v>1429</v>
      </c>
      <c r="H604" s="180" t="s">
        <v>849</v>
      </c>
      <c r="I604" s="55" t="s">
        <v>1429</v>
      </c>
      <c r="J604" s="55" t="s">
        <v>1429</v>
      </c>
      <c r="K604" s="56" t="s">
        <v>1429</v>
      </c>
      <c r="L604" s="54" t="s">
        <v>1429</v>
      </c>
      <c r="M604" s="55" t="s">
        <v>1580</v>
      </c>
      <c r="N604" s="55" t="s">
        <v>1429</v>
      </c>
      <c r="O604" s="55" t="s">
        <v>1429</v>
      </c>
      <c r="P604" s="56" t="s">
        <v>1429</v>
      </c>
      <c r="Q604" s="85"/>
      <c r="R604" s="85"/>
      <c r="S604" s="85"/>
      <c r="T604" s="85"/>
      <c r="U604" s="85"/>
      <c r="V604" s="146" t="s">
        <v>3144</v>
      </c>
      <c r="W604" s="51" t="s">
        <v>2932</v>
      </c>
      <c r="X604" s="130" t="s">
        <v>1429</v>
      </c>
      <c r="Y604" s="130" t="s">
        <v>1429</v>
      </c>
      <c r="Z604" s="51"/>
      <c r="AA604" s="51" t="s">
        <v>2612</v>
      </c>
      <c r="AB604" s="146"/>
      <c r="AC604" s="146" t="s">
        <v>1429</v>
      </c>
      <c r="AD604" s="98"/>
      <c r="AE604" s="83"/>
      <c r="AF604" s="83"/>
      <c r="AG604" s="83"/>
      <c r="AH604" s="86"/>
      <c r="AI604" s="86"/>
      <c r="AJ604" s="87"/>
      <c r="AK604" s="87"/>
      <c r="AL604" s="87"/>
      <c r="AM604" s="87"/>
      <c r="AN604" s="87"/>
      <c r="AO604" s="87"/>
      <c r="AP604" s="87"/>
      <c r="AQ604" s="229" t="s">
        <v>849</v>
      </c>
      <c r="AR604" s="5"/>
      <c r="AS604" s="5"/>
      <c r="AT604" s="5"/>
      <c r="AU604" s="5"/>
      <c r="AV604" s="5"/>
      <c r="AW604" s="5"/>
      <c r="AX604" s="284"/>
      <c r="AY604" s="5"/>
      <c r="AZ604" s="5"/>
      <c r="BA604" s="230"/>
      <c r="BB604" s="5"/>
      <c r="BC604" s="232" t="s">
        <v>3536</v>
      </c>
      <c r="BD604" s="257"/>
      <c r="BE604" s="249"/>
      <c r="BF604" s="249"/>
      <c r="BG604" s="249"/>
      <c r="BH604" s="249"/>
      <c r="BI604" s="249"/>
      <c r="BJ604" s="249"/>
      <c r="BK604" s="249"/>
      <c r="BL604" s="249"/>
      <c r="BM604" s="249"/>
      <c r="BN604" s="249"/>
      <c r="BO604" s="249"/>
      <c r="BP604" s="249"/>
      <c r="BQ604" s="249"/>
      <c r="BR604" s="249"/>
      <c r="BS604" s="249"/>
      <c r="BT604" s="249"/>
      <c r="BU604" s="249"/>
      <c r="BV604" s="249"/>
      <c r="BW604" s="249"/>
      <c r="BX604" s="249"/>
      <c r="BY604" s="249"/>
      <c r="BZ604" s="249"/>
      <c r="CA604" s="249"/>
      <c r="CB604" s="249"/>
      <c r="CC604" s="249"/>
      <c r="CD604" s="249"/>
      <c r="CE604" s="249"/>
    </row>
    <row r="605" spans="1:83" s="84" customFormat="1" ht="12.95" customHeight="1">
      <c r="A605" s="1"/>
      <c r="B605" s="1"/>
      <c r="C605" s="21" t="s">
        <v>850</v>
      </c>
      <c r="D605" s="52" t="s">
        <v>3145</v>
      </c>
      <c r="E605" s="52" t="s">
        <v>3146</v>
      </c>
      <c r="F605" s="53" t="s">
        <v>1144</v>
      </c>
      <c r="G605" s="179" t="s">
        <v>1429</v>
      </c>
      <c r="H605" s="180" t="s">
        <v>850</v>
      </c>
      <c r="I605" s="55" t="s">
        <v>1429</v>
      </c>
      <c r="J605" s="55" t="s">
        <v>1429</v>
      </c>
      <c r="K605" s="56" t="s">
        <v>1429</v>
      </c>
      <c r="L605" s="54" t="s">
        <v>1429</v>
      </c>
      <c r="M605" s="55" t="s">
        <v>1580</v>
      </c>
      <c r="N605" s="55" t="s">
        <v>1429</v>
      </c>
      <c r="O605" s="55" t="s">
        <v>1429</v>
      </c>
      <c r="P605" s="56" t="s">
        <v>1429</v>
      </c>
      <c r="Q605" s="85"/>
      <c r="R605" s="85"/>
      <c r="S605" s="85"/>
      <c r="T605" s="85"/>
      <c r="U605" s="85"/>
      <c r="V605" s="146" t="s">
        <v>3147</v>
      </c>
      <c r="W605" s="51" t="s">
        <v>2932</v>
      </c>
      <c r="X605" s="130" t="s">
        <v>1429</v>
      </c>
      <c r="Y605" s="130" t="s">
        <v>1429</v>
      </c>
      <c r="Z605" s="51"/>
      <c r="AA605" s="51" t="s">
        <v>2612</v>
      </c>
      <c r="AB605" s="146"/>
      <c r="AC605" s="146" t="s">
        <v>1429</v>
      </c>
      <c r="AD605" s="98"/>
      <c r="AE605" s="83"/>
      <c r="AF605" s="83"/>
      <c r="AG605" s="83"/>
      <c r="AH605" s="86"/>
      <c r="AI605" s="86"/>
      <c r="AJ605" s="87"/>
      <c r="AK605" s="87"/>
      <c r="AL605" s="87"/>
      <c r="AM605" s="87"/>
      <c r="AN605" s="87"/>
      <c r="AO605" s="87"/>
      <c r="AP605" s="87"/>
      <c r="AQ605" s="229" t="s">
        <v>850</v>
      </c>
      <c r="AR605" s="5"/>
      <c r="AS605" s="5"/>
      <c r="AT605" s="5"/>
      <c r="AU605" s="5"/>
      <c r="AV605" s="5"/>
      <c r="AW605" s="5"/>
      <c r="AX605" s="284"/>
      <c r="AY605" s="5"/>
      <c r="AZ605" s="5"/>
      <c r="BA605" s="230"/>
      <c r="BB605" s="5"/>
      <c r="BC605" s="232" t="s">
        <v>3536</v>
      </c>
      <c r="BD605" s="257"/>
      <c r="BE605" s="249"/>
      <c r="BF605" s="249"/>
      <c r="BG605" s="249"/>
      <c r="BH605" s="249"/>
      <c r="BI605" s="249"/>
      <c r="BJ605" s="249"/>
      <c r="BK605" s="249"/>
      <c r="BL605" s="249"/>
      <c r="BM605" s="249"/>
      <c r="BN605" s="249"/>
      <c r="BO605" s="249"/>
      <c r="BP605" s="249"/>
      <c r="BQ605" s="249"/>
      <c r="BR605" s="249"/>
      <c r="BS605" s="249"/>
      <c r="BT605" s="249"/>
      <c r="BU605" s="249"/>
      <c r="BV605" s="249"/>
      <c r="BW605" s="249"/>
      <c r="BX605" s="249"/>
      <c r="BY605" s="249"/>
      <c r="BZ605" s="249"/>
      <c r="CA605" s="249"/>
      <c r="CB605" s="249"/>
      <c r="CC605" s="249"/>
      <c r="CD605" s="249"/>
      <c r="CE605" s="249"/>
    </row>
    <row r="606" spans="1:83" s="84" customFormat="1" ht="12.75" customHeight="1">
      <c r="A606" s="1"/>
      <c r="B606" s="1"/>
      <c r="C606" s="18" t="s">
        <v>851</v>
      </c>
      <c r="D606" s="52" t="s">
        <v>3148</v>
      </c>
      <c r="E606" s="52" t="s">
        <v>3149</v>
      </c>
      <c r="F606" s="53" t="s">
        <v>1145</v>
      </c>
      <c r="G606" s="179" t="s">
        <v>1429</v>
      </c>
      <c r="H606" s="180" t="s">
        <v>851</v>
      </c>
      <c r="I606" s="55" t="s">
        <v>1429</v>
      </c>
      <c r="J606" s="55" t="s">
        <v>1429</v>
      </c>
      <c r="K606" s="56" t="s">
        <v>1429</v>
      </c>
      <c r="L606" s="54" t="s">
        <v>1429</v>
      </c>
      <c r="M606" s="55" t="s">
        <v>1580</v>
      </c>
      <c r="N606" s="55" t="s">
        <v>1429</v>
      </c>
      <c r="O606" s="55" t="s">
        <v>1429</v>
      </c>
      <c r="P606" s="56" t="s">
        <v>1429</v>
      </c>
      <c r="Q606" s="85"/>
      <c r="R606" s="85"/>
      <c r="S606" s="85"/>
      <c r="T606" s="85"/>
      <c r="U606" s="85"/>
      <c r="V606" s="146" t="s">
        <v>3150</v>
      </c>
      <c r="W606" s="51" t="s">
        <v>2932</v>
      </c>
      <c r="X606" s="130" t="s">
        <v>1429</v>
      </c>
      <c r="Y606" s="130" t="s">
        <v>1429</v>
      </c>
      <c r="Z606" s="51"/>
      <c r="AA606" s="51" t="s">
        <v>2612</v>
      </c>
      <c r="AB606" s="146"/>
      <c r="AC606" s="146" t="s">
        <v>1429</v>
      </c>
      <c r="AD606" s="98"/>
      <c r="AE606" s="83"/>
      <c r="AF606" s="83"/>
      <c r="AG606" s="83"/>
      <c r="AH606" s="86"/>
      <c r="AI606" s="86"/>
      <c r="AJ606" s="87"/>
      <c r="AK606" s="87"/>
      <c r="AL606" s="87"/>
      <c r="AM606" s="87"/>
      <c r="AN606" s="87"/>
      <c r="AO606" s="87"/>
      <c r="AP606" s="87"/>
      <c r="AQ606" s="229" t="s">
        <v>851</v>
      </c>
      <c r="AR606" s="5"/>
      <c r="AS606" s="5"/>
      <c r="AT606" s="5"/>
      <c r="AU606" s="5"/>
      <c r="AV606" s="5"/>
      <c r="AW606" s="5"/>
      <c r="AX606" s="284"/>
      <c r="AY606" s="5"/>
      <c r="AZ606" s="5"/>
      <c r="BA606" s="230"/>
      <c r="BB606" s="5"/>
      <c r="BC606" s="232" t="s">
        <v>3536</v>
      </c>
      <c r="BD606" s="257"/>
      <c r="BE606" s="249"/>
      <c r="BF606" s="249"/>
      <c r="BG606" s="249"/>
      <c r="BH606" s="249"/>
      <c r="BI606" s="249"/>
      <c r="BJ606" s="249"/>
      <c r="BK606" s="249"/>
      <c r="BL606" s="249"/>
      <c r="BM606" s="249"/>
      <c r="BN606" s="249"/>
      <c r="BO606" s="249"/>
      <c r="BP606" s="249"/>
      <c r="BQ606" s="249"/>
      <c r="BR606" s="249"/>
      <c r="BS606" s="249"/>
      <c r="BT606" s="249"/>
      <c r="BU606" s="249"/>
      <c r="BV606" s="249"/>
      <c r="BW606" s="249"/>
      <c r="BX606" s="249"/>
      <c r="BY606" s="249"/>
      <c r="BZ606" s="249"/>
      <c r="CA606" s="249"/>
      <c r="CB606" s="249"/>
      <c r="CC606" s="249"/>
      <c r="CD606" s="249"/>
      <c r="CE606" s="249"/>
    </row>
    <row r="607" spans="1:83" s="84" customFormat="1" ht="12.95" customHeight="1">
      <c r="A607" s="1"/>
      <c r="B607" s="1"/>
      <c r="C607" s="18" t="s">
        <v>852</v>
      </c>
      <c r="D607" s="52" t="s">
        <v>3151</v>
      </c>
      <c r="E607" s="52" t="s">
        <v>3152</v>
      </c>
      <c r="F607" s="53" t="s">
        <v>1146</v>
      </c>
      <c r="G607" s="179" t="s">
        <v>1429</v>
      </c>
      <c r="H607" s="180" t="s">
        <v>852</v>
      </c>
      <c r="I607" s="55" t="s">
        <v>1429</v>
      </c>
      <c r="J607" s="55" t="s">
        <v>1429</v>
      </c>
      <c r="K607" s="56" t="s">
        <v>1429</v>
      </c>
      <c r="L607" s="54" t="s">
        <v>1429</v>
      </c>
      <c r="M607" s="55" t="s">
        <v>1580</v>
      </c>
      <c r="N607" s="55" t="s">
        <v>1429</v>
      </c>
      <c r="O607" s="55" t="s">
        <v>1429</v>
      </c>
      <c r="P607" s="56" t="s">
        <v>1429</v>
      </c>
      <c r="Q607" s="85"/>
      <c r="R607" s="85"/>
      <c r="S607" s="85"/>
      <c r="T607" s="85"/>
      <c r="U607" s="85"/>
      <c r="V607" s="146" t="s">
        <v>3153</v>
      </c>
      <c r="W607" s="51" t="s">
        <v>2932</v>
      </c>
      <c r="X607" s="130" t="s">
        <v>1429</v>
      </c>
      <c r="Y607" s="130" t="s">
        <v>1429</v>
      </c>
      <c r="Z607" s="51"/>
      <c r="AA607" s="51" t="s">
        <v>2612</v>
      </c>
      <c r="AB607" s="146"/>
      <c r="AC607" s="146" t="s">
        <v>1429</v>
      </c>
      <c r="AD607" s="98"/>
      <c r="AE607" s="83"/>
      <c r="AF607" s="83"/>
      <c r="AG607" s="83"/>
      <c r="AH607" s="86"/>
      <c r="AI607" s="86"/>
      <c r="AJ607" s="87"/>
      <c r="AK607" s="87"/>
      <c r="AL607" s="87"/>
      <c r="AM607" s="87"/>
      <c r="AN607" s="87"/>
      <c r="AO607" s="87"/>
      <c r="AP607" s="87"/>
      <c r="AQ607" s="229" t="s">
        <v>852</v>
      </c>
      <c r="AR607" s="5"/>
      <c r="AS607" s="5"/>
      <c r="AT607" s="5"/>
      <c r="AU607" s="5"/>
      <c r="AV607" s="5"/>
      <c r="AW607" s="5"/>
      <c r="AX607" s="284"/>
      <c r="AY607" s="5"/>
      <c r="AZ607" s="5"/>
      <c r="BA607" s="230"/>
      <c r="BB607" s="5"/>
      <c r="BC607" s="232" t="s">
        <v>3536</v>
      </c>
      <c r="BD607" s="257"/>
      <c r="BE607" s="249"/>
      <c r="BF607" s="249"/>
      <c r="BG607" s="249"/>
      <c r="BH607" s="249"/>
      <c r="BI607" s="249"/>
      <c r="BJ607" s="249"/>
      <c r="BK607" s="249"/>
      <c r="BL607" s="249"/>
      <c r="BM607" s="249"/>
      <c r="BN607" s="249"/>
      <c r="BO607" s="249"/>
      <c r="BP607" s="249"/>
      <c r="BQ607" s="249"/>
      <c r="BR607" s="249"/>
      <c r="BS607" s="249"/>
      <c r="BT607" s="249"/>
      <c r="BU607" s="249"/>
      <c r="BV607" s="249"/>
      <c r="BW607" s="249"/>
      <c r="BX607" s="249"/>
      <c r="BY607" s="249"/>
      <c r="BZ607" s="249"/>
      <c r="CA607" s="249"/>
      <c r="CB607" s="249"/>
      <c r="CC607" s="249"/>
      <c r="CD607" s="249"/>
      <c r="CE607" s="249"/>
    </row>
    <row r="608" spans="1:83" s="84" customFormat="1" ht="12.95" customHeight="1">
      <c r="A608" s="1"/>
      <c r="B608" s="1"/>
      <c r="C608" s="18" t="s">
        <v>853</v>
      </c>
      <c r="D608" s="52" t="s">
        <v>3154</v>
      </c>
      <c r="E608" s="52" t="s">
        <v>3134</v>
      </c>
      <c r="F608" s="53" t="s">
        <v>1147</v>
      </c>
      <c r="G608" s="179" t="s">
        <v>1429</v>
      </c>
      <c r="H608" s="180" t="s">
        <v>853</v>
      </c>
      <c r="I608" s="55" t="s">
        <v>1429</v>
      </c>
      <c r="J608" s="55" t="s">
        <v>1429</v>
      </c>
      <c r="K608" s="56" t="s">
        <v>1429</v>
      </c>
      <c r="L608" s="54" t="s">
        <v>1429</v>
      </c>
      <c r="M608" s="55" t="s">
        <v>1580</v>
      </c>
      <c r="N608" s="55" t="s">
        <v>1429</v>
      </c>
      <c r="O608" s="55" t="s">
        <v>1429</v>
      </c>
      <c r="P608" s="56" t="s">
        <v>1429</v>
      </c>
      <c r="Q608" s="85"/>
      <c r="R608" s="85"/>
      <c r="S608" s="85"/>
      <c r="T608" s="85"/>
      <c r="U608" s="85"/>
      <c r="V608" s="146" t="s">
        <v>3155</v>
      </c>
      <c r="W608" s="51" t="s">
        <v>2932</v>
      </c>
      <c r="X608" s="130" t="s">
        <v>1429</v>
      </c>
      <c r="Y608" s="130" t="s">
        <v>1429</v>
      </c>
      <c r="Z608" s="51"/>
      <c r="AA608" s="51" t="s">
        <v>2612</v>
      </c>
      <c r="AB608" s="146"/>
      <c r="AC608" s="146" t="s">
        <v>1429</v>
      </c>
      <c r="AD608" s="98"/>
      <c r="AE608" s="83"/>
      <c r="AF608" s="83"/>
      <c r="AG608" s="83"/>
      <c r="AH608" s="86"/>
      <c r="AI608" s="86"/>
      <c r="AJ608" s="87"/>
      <c r="AK608" s="87"/>
      <c r="AL608" s="87"/>
      <c r="AM608" s="87"/>
      <c r="AN608" s="87"/>
      <c r="AO608" s="87"/>
      <c r="AP608" s="87"/>
      <c r="AQ608" s="229" t="s">
        <v>853</v>
      </c>
      <c r="AR608" s="5"/>
      <c r="AS608" s="5"/>
      <c r="AT608" s="5"/>
      <c r="AU608" s="5"/>
      <c r="AV608" s="5"/>
      <c r="AW608" s="5"/>
      <c r="AX608" s="284"/>
      <c r="AY608" s="5"/>
      <c r="AZ608" s="5"/>
      <c r="BA608" s="230"/>
      <c r="BB608" s="5"/>
      <c r="BC608" s="232" t="s">
        <v>3536</v>
      </c>
      <c r="BD608" s="257"/>
      <c r="BE608" s="249"/>
      <c r="BF608" s="249"/>
      <c r="BG608" s="249"/>
      <c r="BH608" s="249"/>
      <c r="BI608" s="249"/>
      <c r="BJ608" s="249"/>
      <c r="BK608" s="249"/>
      <c r="BL608" s="249"/>
      <c r="BM608" s="249"/>
      <c r="BN608" s="249"/>
      <c r="BO608" s="249"/>
      <c r="BP608" s="249"/>
      <c r="BQ608" s="249"/>
      <c r="BR608" s="249"/>
      <c r="BS608" s="249"/>
      <c r="BT608" s="249"/>
      <c r="BU608" s="249"/>
      <c r="BV608" s="249"/>
      <c r="BW608" s="249"/>
      <c r="BX608" s="249"/>
      <c r="BY608" s="249"/>
      <c r="BZ608" s="249"/>
      <c r="CA608" s="249"/>
      <c r="CB608" s="249"/>
      <c r="CC608" s="249"/>
      <c r="CD608" s="249"/>
      <c r="CE608" s="249"/>
    </row>
    <row r="609" spans="1:83" s="84" customFormat="1" ht="12.95" customHeight="1">
      <c r="A609" s="1"/>
      <c r="B609" s="1"/>
      <c r="C609" s="18" t="s">
        <v>854</v>
      </c>
      <c r="D609" s="52" t="s">
        <v>3156</v>
      </c>
      <c r="E609" s="52" t="s">
        <v>3132</v>
      </c>
      <c r="F609" s="53" t="s">
        <v>1148</v>
      </c>
      <c r="G609" s="179" t="s">
        <v>1429</v>
      </c>
      <c r="H609" s="180" t="s">
        <v>854</v>
      </c>
      <c r="I609" s="55" t="s">
        <v>1429</v>
      </c>
      <c r="J609" s="55" t="s">
        <v>1429</v>
      </c>
      <c r="K609" s="56" t="s">
        <v>1429</v>
      </c>
      <c r="L609" s="54" t="s">
        <v>1429</v>
      </c>
      <c r="M609" s="55" t="s">
        <v>1580</v>
      </c>
      <c r="N609" s="55" t="s">
        <v>1429</v>
      </c>
      <c r="O609" s="55" t="s">
        <v>1429</v>
      </c>
      <c r="P609" s="56" t="s">
        <v>1429</v>
      </c>
      <c r="Q609" s="85"/>
      <c r="R609" s="85"/>
      <c r="S609" s="85"/>
      <c r="T609" s="85"/>
      <c r="U609" s="85"/>
      <c r="V609" s="146" t="s">
        <v>3157</v>
      </c>
      <c r="W609" s="51" t="s">
        <v>2932</v>
      </c>
      <c r="X609" s="130" t="s">
        <v>1429</v>
      </c>
      <c r="Y609" s="130" t="s">
        <v>1429</v>
      </c>
      <c r="Z609" s="51"/>
      <c r="AA609" s="51" t="s">
        <v>2612</v>
      </c>
      <c r="AB609" s="146"/>
      <c r="AC609" s="146" t="s">
        <v>1429</v>
      </c>
      <c r="AD609" s="98"/>
      <c r="AE609" s="83"/>
      <c r="AF609" s="83"/>
      <c r="AG609" s="83"/>
      <c r="AH609" s="86"/>
      <c r="AI609" s="86"/>
      <c r="AJ609" s="87"/>
      <c r="AK609" s="87"/>
      <c r="AL609" s="87"/>
      <c r="AM609" s="87"/>
      <c r="AN609" s="87"/>
      <c r="AO609" s="87"/>
      <c r="AP609" s="87"/>
      <c r="AQ609" s="229" t="s">
        <v>854</v>
      </c>
      <c r="AR609" s="5"/>
      <c r="AS609" s="5"/>
      <c r="AT609" s="5"/>
      <c r="AU609" s="5"/>
      <c r="AV609" s="5"/>
      <c r="AW609" s="5"/>
      <c r="AX609" s="284"/>
      <c r="AY609" s="5"/>
      <c r="AZ609" s="5"/>
      <c r="BA609" s="230"/>
      <c r="BB609" s="5"/>
      <c r="BC609" s="232" t="s">
        <v>3536</v>
      </c>
      <c r="BD609" s="257"/>
      <c r="BE609" s="249"/>
      <c r="BF609" s="249"/>
      <c r="BG609" s="249"/>
      <c r="BH609" s="249"/>
      <c r="BI609" s="249"/>
      <c r="BJ609" s="249"/>
      <c r="BK609" s="249"/>
      <c r="BL609" s="249"/>
      <c r="BM609" s="249"/>
      <c r="BN609" s="249"/>
      <c r="BO609" s="249"/>
      <c r="BP609" s="249"/>
      <c r="BQ609" s="249"/>
      <c r="BR609" s="249"/>
      <c r="BS609" s="249"/>
      <c r="BT609" s="249"/>
      <c r="BU609" s="249"/>
      <c r="BV609" s="249"/>
      <c r="BW609" s="249"/>
      <c r="BX609" s="249"/>
      <c r="BY609" s="249"/>
      <c r="BZ609" s="249"/>
      <c r="CA609" s="249"/>
      <c r="CB609" s="249"/>
      <c r="CC609" s="249"/>
      <c r="CD609" s="249"/>
      <c r="CE609" s="249"/>
    </row>
    <row r="610" spans="1:83" s="84" customFormat="1" ht="12.95" customHeight="1">
      <c r="A610" s="1"/>
      <c r="B610" s="1"/>
      <c r="C610" s="18" t="s">
        <v>855</v>
      </c>
      <c r="D610" s="52" t="s">
        <v>3158</v>
      </c>
      <c r="E610" s="52" t="s">
        <v>3159</v>
      </c>
      <c r="F610" s="53" t="s">
        <v>1149</v>
      </c>
      <c r="G610" s="179" t="s">
        <v>1429</v>
      </c>
      <c r="H610" s="180" t="s">
        <v>855</v>
      </c>
      <c r="I610" s="55" t="s">
        <v>1429</v>
      </c>
      <c r="J610" s="55" t="s">
        <v>1429</v>
      </c>
      <c r="K610" s="56" t="s">
        <v>1429</v>
      </c>
      <c r="L610" s="54" t="s">
        <v>1429</v>
      </c>
      <c r="M610" s="55" t="s">
        <v>1580</v>
      </c>
      <c r="N610" s="55" t="s">
        <v>1429</v>
      </c>
      <c r="O610" s="55" t="s">
        <v>1429</v>
      </c>
      <c r="P610" s="56" t="s">
        <v>1429</v>
      </c>
      <c r="Q610" s="85"/>
      <c r="R610" s="85"/>
      <c r="S610" s="85"/>
      <c r="T610" s="85"/>
      <c r="U610" s="85"/>
      <c r="V610" s="146" t="s">
        <v>3160</v>
      </c>
      <c r="W610" s="51" t="s">
        <v>2932</v>
      </c>
      <c r="X610" s="130" t="s">
        <v>1429</v>
      </c>
      <c r="Y610" s="130" t="s">
        <v>1429</v>
      </c>
      <c r="Z610" s="51"/>
      <c r="AA610" s="51" t="s">
        <v>2612</v>
      </c>
      <c r="AB610" s="146"/>
      <c r="AC610" s="146" t="s">
        <v>1429</v>
      </c>
      <c r="AD610" s="98"/>
      <c r="AE610" s="83"/>
      <c r="AF610" s="83"/>
      <c r="AG610" s="83"/>
      <c r="AH610" s="86"/>
      <c r="AI610" s="86"/>
      <c r="AJ610" s="87"/>
      <c r="AK610" s="87"/>
      <c r="AL610" s="87"/>
      <c r="AM610" s="87"/>
      <c r="AN610" s="87"/>
      <c r="AO610" s="87"/>
      <c r="AP610" s="87"/>
      <c r="AQ610" s="229" t="s">
        <v>855</v>
      </c>
      <c r="AR610" s="5"/>
      <c r="AS610" s="5"/>
      <c r="AT610" s="5"/>
      <c r="AU610" s="5"/>
      <c r="AV610" s="5"/>
      <c r="AW610" s="5"/>
      <c r="AX610" s="284"/>
      <c r="AY610" s="5"/>
      <c r="AZ610" s="5"/>
      <c r="BA610" s="230"/>
      <c r="BB610" s="5"/>
      <c r="BC610" s="232" t="s">
        <v>3536</v>
      </c>
      <c r="BD610" s="257"/>
      <c r="BE610" s="249"/>
      <c r="BF610" s="249"/>
      <c r="BG610" s="249"/>
      <c r="BH610" s="249"/>
      <c r="BI610" s="249"/>
      <c r="BJ610" s="249"/>
      <c r="BK610" s="249"/>
      <c r="BL610" s="249"/>
      <c r="BM610" s="249"/>
      <c r="BN610" s="249"/>
      <c r="BO610" s="249"/>
      <c r="BP610" s="249"/>
      <c r="BQ610" s="249"/>
      <c r="BR610" s="249"/>
      <c r="BS610" s="249"/>
      <c r="BT610" s="249"/>
      <c r="BU610" s="249"/>
      <c r="BV610" s="249"/>
      <c r="BW610" s="249"/>
      <c r="BX610" s="249"/>
      <c r="BY610" s="249"/>
      <c r="BZ610" s="249"/>
      <c r="CA610" s="249"/>
      <c r="CB610" s="249"/>
      <c r="CC610" s="249"/>
      <c r="CD610" s="249"/>
      <c r="CE610" s="249"/>
    </row>
    <row r="611" spans="1:83" s="84" customFormat="1" ht="12.95" customHeight="1">
      <c r="A611" s="1"/>
      <c r="B611" s="1"/>
      <c r="C611" s="18" t="s">
        <v>856</v>
      </c>
      <c r="D611" s="52" t="s">
        <v>3161</v>
      </c>
      <c r="E611" s="52" t="s">
        <v>3162</v>
      </c>
      <c r="F611" s="53" t="s">
        <v>1150</v>
      </c>
      <c r="G611" s="179" t="s">
        <v>1429</v>
      </c>
      <c r="H611" s="180" t="s">
        <v>856</v>
      </c>
      <c r="I611" s="55" t="s">
        <v>1429</v>
      </c>
      <c r="J611" s="55" t="s">
        <v>1429</v>
      </c>
      <c r="K611" s="56" t="s">
        <v>1429</v>
      </c>
      <c r="L611" s="54" t="s">
        <v>1429</v>
      </c>
      <c r="M611" s="55" t="s">
        <v>1580</v>
      </c>
      <c r="N611" s="55" t="s">
        <v>1429</v>
      </c>
      <c r="O611" s="55" t="s">
        <v>1429</v>
      </c>
      <c r="P611" s="56" t="s">
        <v>1429</v>
      </c>
      <c r="Q611" s="85"/>
      <c r="R611" s="85"/>
      <c r="S611" s="85"/>
      <c r="T611" s="85"/>
      <c r="U611" s="85"/>
      <c r="V611" s="146" t="s">
        <v>3163</v>
      </c>
      <c r="W611" s="51" t="s">
        <v>2932</v>
      </c>
      <c r="X611" s="130" t="s">
        <v>1429</v>
      </c>
      <c r="Y611" s="130" t="s">
        <v>1429</v>
      </c>
      <c r="Z611" s="51"/>
      <c r="AA611" s="51" t="s">
        <v>2612</v>
      </c>
      <c r="AB611" s="146"/>
      <c r="AC611" s="146" t="s">
        <v>1429</v>
      </c>
      <c r="AD611" s="98"/>
      <c r="AE611" s="83"/>
      <c r="AF611" s="83"/>
      <c r="AG611" s="83"/>
      <c r="AH611" s="86"/>
      <c r="AI611" s="86"/>
      <c r="AJ611" s="87"/>
      <c r="AK611" s="87"/>
      <c r="AL611" s="87"/>
      <c r="AM611" s="87"/>
      <c r="AN611" s="87"/>
      <c r="AO611" s="87"/>
      <c r="AP611" s="87"/>
      <c r="AQ611" s="229" t="s">
        <v>856</v>
      </c>
      <c r="AR611" s="5"/>
      <c r="AS611" s="5"/>
      <c r="AT611" s="5"/>
      <c r="AU611" s="5"/>
      <c r="AV611" s="5"/>
      <c r="AW611" s="5"/>
      <c r="AX611" s="284"/>
      <c r="AY611" s="5"/>
      <c r="AZ611" s="5"/>
      <c r="BA611" s="230"/>
      <c r="BB611" s="5"/>
      <c r="BC611" s="232" t="s">
        <v>3536</v>
      </c>
      <c r="BD611" s="257"/>
      <c r="BE611" s="249"/>
      <c r="BF611" s="249"/>
      <c r="BG611" s="249"/>
      <c r="BH611" s="249"/>
      <c r="BI611" s="249"/>
      <c r="BJ611" s="249"/>
      <c r="BK611" s="249"/>
      <c r="BL611" s="249"/>
      <c r="BM611" s="249"/>
      <c r="BN611" s="249"/>
      <c r="BO611" s="249"/>
      <c r="BP611" s="249"/>
      <c r="BQ611" s="249"/>
      <c r="BR611" s="249"/>
      <c r="BS611" s="249"/>
      <c r="BT611" s="249"/>
      <c r="BU611" s="249"/>
      <c r="BV611" s="249"/>
      <c r="BW611" s="249"/>
      <c r="BX611" s="249"/>
      <c r="BY611" s="249"/>
      <c r="BZ611" s="249"/>
      <c r="CA611" s="249"/>
      <c r="CB611" s="249"/>
      <c r="CC611" s="249"/>
      <c r="CD611" s="249"/>
      <c r="CE611" s="249"/>
    </row>
    <row r="612" spans="1:83" s="84" customFormat="1" ht="12.95" customHeight="1">
      <c r="A612" s="1"/>
      <c r="B612" s="1"/>
      <c r="C612" s="18" t="s">
        <v>857</v>
      </c>
      <c r="D612" s="52" t="s">
        <v>3164</v>
      </c>
      <c r="E612" s="52" t="s">
        <v>3129</v>
      </c>
      <c r="F612" s="53" t="s">
        <v>1151</v>
      </c>
      <c r="G612" s="179" t="s">
        <v>1429</v>
      </c>
      <c r="H612" s="180" t="s">
        <v>857</v>
      </c>
      <c r="I612" s="55" t="s">
        <v>1429</v>
      </c>
      <c r="J612" s="55" t="s">
        <v>1429</v>
      </c>
      <c r="K612" s="56" t="s">
        <v>1429</v>
      </c>
      <c r="L612" s="54" t="s">
        <v>1429</v>
      </c>
      <c r="M612" s="55" t="s">
        <v>1580</v>
      </c>
      <c r="N612" s="55" t="s">
        <v>1429</v>
      </c>
      <c r="O612" s="55" t="s">
        <v>1429</v>
      </c>
      <c r="P612" s="56" t="s">
        <v>1429</v>
      </c>
      <c r="Q612" s="85"/>
      <c r="R612" s="85"/>
      <c r="S612" s="85"/>
      <c r="T612" s="85"/>
      <c r="U612" s="85"/>
      <c r="V612" s="146" t="s">
        <v>3165</v>
      </c>
      <c r="W612" s="51" t="s">
        <v>2932</v>
      </c>
      <c r="X612" s="130" t="s">
        <v>1429</v>
      </c>
      <c r="Y612" s="130" t="s">
        <v>1429</v>
      </c>
      <c r="Z612" s="51"/>
      <c r="AA612" s="51" t="s">
        <v>2612</v>
      </c>
      <c r="AB612" s="146"/>
      <c r="AC612" s="146" t="s">
        <v>1429</v>
      </c>
      <c r="AD612" s="98"/>
      <c r="AE612" s="83"/>
      <c r="AF612" s="83"/>
      <c r="AG612" s="83"/>
      <c r="AH612" s="86"/>
      <c r="AI612" s="86"/>
      <c r="AJ612" s="87"/>
      <c r="AK612" s="87"/>
      <c r="AL612" s="87"/>
      <c r="AM612" s="87"/>
      <c r="AN612" s="87"/>
      <c r="AO612" s="87"/>
      <c r="AP612" s="87"/>
      <c r="AQ612" s="229" t="s">
        <v>857</v>
      </c>
      <c r="AR612" s="5"/>
      <c r="AS612" s="5"/>
      <c r="AT612" s="5"/>
      <c r="AU612" s="5"/>
      <c r="AV612" s="5"/>
      <c r="AW612" s="5"/>
      <c r="AX612" s="284"/>
      <c r="AY612" s="5"/>
      <c r="AZ612" s="5"/>
      <c r="BA612" s="230"/>
      <c r="BB612" s="5"/>
      <c r="BC612" s="232" t="s">
        <v>3536</v>
      </c>
      <c r="BD612" s="257"/>
      <c r="BE612" s="249"/>
      <c r="BF612" s="249"/>
      <c r="BG612" s="249"/>
      <c r="BH612" s="249"/>
      <c r="BI612" s="249"/>
      <c r="BJ612" s="249"/>
      <c r="BK612" s="249"/>
      <c r="BL612" s="249"/>
      <c r="BM612" s="249"/>
      <c r="BN612" s="249"/>
      <c r="BO612" s="249"/>
      <c r="BP612" s="249"/>
      <c r="BQ612" s="249"/>
      <c r="BR612" s="249"/>
      <c r="BS612" s="249"/>
      <c r="BT612" s="249"/>
      <c r="BU612" s="249"/>
      <c r="BV612" s="249"/>
      <c r="BW612" s="249"/>
      <c r="BX612" s="249"/>
      <c r="BY612" s="249"/>
      <c r="BZ612" s="249"/>
      <c r="CA612" s="249"/>
      <c r="CB612" s="249"/>
      <c r="CC612" s="249"/>
      <c r="CD612" s="249"/>
      <c r="CE612" s="249"/>
    </row>
    <row r="613" spans="1:83" s="84" customFormat="1" ht="12.95" customHeight="1">
      <c r="A613" s="1"/>
      <c r="B613" s="1"/>
      <c r="C613" s="18" t="s">
        <v>858</v>
      </c>
      <c r="D613" s="52" t="s">
        <v>3166</v>
      </c>
      <c r="E613" s="52" t="s">
        <v>3167</v>
      </c>
      <c r="F613" s="53" t="s">
        <v>1152</v>
      </c>
      <c r="G613" s="179" t="s">
        <v>1429</v>
      </c>
      <c r="H613" s="180" t="s">
        <v>858</v>
      </c>
      <c r="I613" s="55" t="s">
        <v>1429</v>
      </c>
      <c r="J613" s="55" t="s">
        <v>1429</v>
      </c>
      <c r="K613" s="56" t="s">
        <v>1429</v>
      </c>
      <c r="L613" s="54" t="s">
        <v>1429</v>
      </c>
      <c r="M613" s="55" t="s">
        <v>1580</v>
      </c>
      <c r="N613" s="55" t="s">
        <v>1429</v>
      </c>
      <c r="O613" s="55" t="s">
        <v>1429</v>
      </c>
      <c r="P613" s="56" t="s">
        <v>1429</v>
      </c>
      <c r="Q613" s="85"/>
      <c r="R613" s="85"/>
      <c r="S613" s="85"/>
      <c r="T613" s="85"/>
      <c r="U613" s="85"/>
      <c r="V613" s="146" t="s">
        <v>3168</v>
      </c>
      <c r="W613" s="51" t="s">
        <v>2932</v>
      </c>
      <c r="X613" s="130" t="s">
        <v>1429</v>
      </c>
      <c r="Y613" s="130" t="s">
        <v>1429</v>
      </c>
      <c r="Z613" s="51"/>
      <c r="AA613" s="51" t="s">
        <v>2612</v>
      </c>
      <c r="AB613" s="146"/>
      <c r="AC613" s="146" t="s">
        <v>1429</v>
      </c>
      <c r="AD613" s="98"/>
      <c r="AE613" s="83"/>
      <c r="AF613" s="83"/>
      <c r="AG613" s="83"/>
      <c r="AH613" s="86"/>
      <c r="AI613" s="86"/>
      <c r="AJ613" s="87"/>
      <c r="AK613" s="87"/>
      <c r="AL613" s="87"/>
      <c r="AM613" s="87"/>
      <c r="AN613" s="87"/>
      <c r="AO613" s="87"/>
      <c r="AP613" s="87"/>
      <c r="AQ613" s="229" t="s">
        <v>858</v>
      </c>
      <c r="AR613" s="5"/>
      <c r="AS613" s="5"/>
      <c r="AT613" s="5"/>
      <c r="AU613" s="5"/>
      <c r="AV613" s="5"/>
      <c r="AW613" s="5"/>
      <c r="AX613" s="284"/>
      <c r="AY613" s="5"/>
      <c r="AZ613" s="5"/>
      <c r="BA613" s="230"/>
      <c r="BB613" s="5"/>
      <c r="BC613" s="232" t="s">
        <v>3536</v>
      </c>
      <c r="BD613" s="257"/>
      <c r="BE613" s="249"/>
      <c r="BF613" s="249"/>
      <c r="BG613" s="249"/>
      <c r="BH613" s="249"/>
      <c r="BI613" s="249"/>
      <c r="BJ613" s="249"/>
      <c r="BK613" s="249"/>
      <c r="BL613" s="249"/>
      <c r="BM613" s="249"/>
      <c r="BN613" s="249"/>
      <c r="BO613" s="249"/>
      <c r="BP613" s="249"/>
      <c r="BQ613" s="249"/>
      <c r="BR613" s="249"/>
      <c r="BS613" s="249"/>
      <c r="BT613" s="249"/>
      <c r="BU613" s="249"/>
      <c r="BV613" s="249"/>
      <c r="BW613" s="249"/>
      <c r="BX613" s="249"/>
      <c r="BY613" s="249"/>
      <c r="BZ613" s="249"/>
      <c r="CA613" s="249"/>
      <c r="CB613" s="249"/>
      <c r="CC613" s="249"/>
      <c r="CD613" s="249"/>
      <c r="CE613" s="249"/>
    </row>
    <row r="614" spans="1:83" s="84" customFormat="1" ht="12.95" customHeight="1">
      <c r="A614" s="1"/>
      <c r="B614" s="1"/>
      <c r="C614" s="18" t="s">
        <v>859</v>
      </c>
      <c r="D614" s="52" t="s">
        <v>3169</v>
      </c>
      <c r="E614" s="52" t="s">
        <v>3170</v>
      </c>
      <c r="F614" s="53" t="s">
        <v>1153</v>
      </c>
      <c r="G614" s="179" t="s">
        <v>1429</v>
      </c>
      <c r="H614" s="180" t="s">
        <v>859</v>
      </c>
      <c r="I614" s="55" t="s">
        <v>1429</v>
      </c>
      <c r="J614" s="55" t="s">
        <v>1429</v>
      </c>
      <c r="K614" s="56" t="s">
        <v>1429</v>
      </c>
      <c r="L614" s="54" t="s">
        <v>1429</v>
      </c>
      <c r="M614" s="55" t="s">
        <v>1580</v>
      </c>
      <c r="N614" s="55" t="s">
        <v>1429</v>
      </c>
      <c r="O614" s="55" t="s">
        <v>1429</v>
      </c>
      <c r="P614" s="56" t="s">
        <v>1429</v>
      </c>
      <c r="Q614" s="85"/>
      <c r="R614" s="85"/>
      <c r="S614" s="85"/>
      <c r="T614" s="85"/>
      <c r="U614" s="85"/>
      <c r="V614" s="146" t="s">
        <v>3171</v>
      </c>
      <c r="W614" s="51" t="s">
        <v>2932</v>
      </c>
      <c r="X614" s="130" t="s">
        <v>1429</v>
      </c>
      <c r="Y614" s="130" t="s">
        <v>1429</v>
      </c>
      <c r="Z614" s="51"/>
      <c r="AA614" s="51" t="s">
        <v>2612</v>
      </c>
      <c r="AB614" s="146"/>
      <c r="AC614" s="146" t="s">
        <v>1429</v>
      </c>
      <c r="AD614" s="98"/>
      <c r="AE614" s="83"/>
      <c r="AF614" s="83"/>
      <c r="AG614" s="83"/>
      <c r="AH614" s="86"/>
      <c r="AI614" s="86"/>
      <c r="AJ614" s="87"/>
      <c r="AK614" s="87"/>
      <c r="AL614" s="87"/>
      <c r="AM614" s="87"/>
      <c r="AN614" s="87"/>
      <c r="AO614" s="87"/>
      <c r="AP614" s="87"/>
      <c r="AQ614" s="229" t="s">
        <v>859</v>
      </c>
      <c r="AR614" s="5"/>
      <c r="AS614" s="5"/>
      <c r="AT614" s="5"/>
      <c r="AU614" s="5"/>
      <c r="AV614" s="5"/>
      <c r="AW614" s="5"/>
      <c r="AX614" s="284"/>
      <c r="AY614" s="5"/>
      <c r="AZ614" s="5"/>
      <c r="BA614" s="230"/>
      <c r="BB614" s="5"/>
      <c r="BC614" s="232" t="s">
        <v>3536</v>
      </c>
      <c r="BD614" s="257"/>
      <c r="BE614" s="249"/>
      <c r="BF614" s="249"/>
      <c r="BG614" s="249"/>
      <c r="BH614" s="249"/>
      <c r="BI614" s="249"/>
      <c r="BJ614" s="249"/>
      <c r="BK614" s="249"/>
      <c r="BL614" s="249"/>
      <c r="BM614" s="249"/>
      <c r="BN614" s="249"/>
      <c r="BO614" s="249"/>
      <c r="BP614" s="249"/>
      <c r="BQ614" s="249"/>
      <c r="BR614" s="249"/>
      <c r="BS614" s="249"/>
      <c r="BT614" s="249"/>
      <c r="BU614" s="249"/>
      <c r="BV614" s="249"/>
      <c r="BW614" s="249"/>
      <c r="BX614" s="249"/>
      <c r="BY614" s="249"/>
      <c r="BZ614" s="249"/>
      <c r="CA614" s="249"/>
      <c r="CB614" s="249"/>
      <c r="CC614" s="249"/>
      <c r="CD614" s="249"/>
      <c r="CE614" s="249"/>
    </row>
    <row r="615" spans="1:83" s="84" customFormat="1" ht="12.95" customHeight="1">
      <c r="A615" s="1"/>
      <c r="B615" s="1"/>
      <c r="C615" s="18" t="s">
        <v>860</v>
      </c>
      <c r="D615" s="52" t="s">
        <v>3172</v>
      </c>
      <c r="E615" s="52" t="s">
        <v>3158</v>
      </c>
      <c r="F615" s="53" t="s">
        <v>1154</v>
      </c>
      <c r="G615" s="179" t="s">
        <v>1429</v>
      </c>
      <c r="H615" s="180" t="s">
        <v>860</v>
      </c>
      <c r="I615" s="55" t="s">
        <v>1429</v>
      </c>
      <c r="J615" s="55" t="s">
        <v>1429</v>
      </c>
      <c r="K615" s="56" t="s">
        <v>1429</v>
      </c>
      <c r="L615" s="54" t="s">
        <v>1429</v>
      </c>
      <c r="M615" s="55" t="s">
        <v>1580</v>
      </c>
      <c r="N615" s="55" t="s">
        <v>1429</v>
      </c>
      <c r="O615" s="55" t="s">
        <v>1429</v>
      </c>
      <c r="P615" s="56" t="s">
        <v>1429</v>
      </c>
      <c r="Q615" s="85"/>
      <c r="R615" s="85"/>
      <c r="S615" s="85"/>
      <c r="T615" s="85"/>
      <c r="U615" s="85"/>
      <c r="V615" s="146" t="s">
        <v>3173</v>
      </c>
      <c r="W615" s="51" t="s">
        <v>2932</v>
      </c>
      <c r="X615" s="130" t="s">
        <v>1429</v>
      </c>
      <c r="Y615" s="130" t="s">
        <v>1429</v>
      </c>
      <c r="Z615" s="51"/>
      <c r="AA615" s="51" t="s">
        <v>2612</v>
      </c>
      <c r="AB615" s="146"/>
      <c r="AC615" s="146" t="s">
        <v>1429</v>
      </c>
      <c r="AD615" s="98"/>
      <c r="AE615" s="83"/>
      <c r="AF615" s="83"/>
      <c r="AG615" s="83"/>
      <c r="AH615" s="86"/>
      <c r="AI615" s="86"/>
      <c r="AJ615" s="87"/>
      <c r="AK615" s="87"/>
      <c r="AL615" s="87"/>
      <c r="AM615" s="87"/>
      <c r="AN615" s="87"/>
      <c r="AO615" s="87"/>
      <c r="AP615" s="87"/>
      <c r="AQ615" s="229" t="s">
        <v>860</v>
      </c>
      <c r="AR615" s="5"/>
      <c r="AS615" s="5"/>
      <c r="AT615" s="5"/>
      <c r="AU615" s="5"/>
      <c r="AV615" s="5"/>
      <c r="AW615" s="5"/>
      <c r="AX615" s="284"/>
      <c r="AY615" s="5"/>
      <c r="AZ615" s="5"/>
      <c r="BA615" s="230"/>
      <c r="BB615" s="5"/>
      <c r="BC615" s="232" t="s">
        <v>3536</v>
      </c>
      <c r="BD615" s="257"/>
      <c r="BE615" s="249"/>
      <c r="BF615" s="249"/>
      <c r="BG615" s="249"/>
      <c r="BH615" s="249"/>
      <c r="BI615" s="249"/>
      <c r="BJ615" s="249"/>
      <c r="BK615" s="249"/>
      <c r="BL615" s="249"/>
      <c r="BM615" s="249"/>
      <c r="BN615" s="249"/>
      <c r="BO615" s="249"/>
      <c r="BP615" s="249"/>
      <c r="BQ615" s="249"/>
      <c r="BR615" s="249"/>
      <c r="BS615" s="249"/>
      <c r="BT615" s="249"/>
      <c r="BU615" s="249"/>
      <c r="BV615" s="249"/>
      <c r="BW615" s="249"/>
      <c r="BX615" s="249"/>
      <c r="BY615" s="249"/>
      <c r="BZ615" s="249"/>
      <c r="CA615" s="249"/>
      <c r="CB615" s="249"/>
      <c r="CC615" s="249"/>
      <c r="CD615" s="249"/>
      <c r="CE615" s="249"/>
    </row>
    <row r="616" spans="1:83" s="84" customFormat="1" ht="12.95" customHeight="1">
      <c r="A616" s="1"/>
      <c r="B616" s="1"/>
      <c r="C616" s="21" t="s">
        <v>861</v>
      </c>
      <c r="D616" s="52" t="s">
        <v>3167</v>
      </c>
      <c r="E616" s="52" t="s">
        <v>3174</v>
      </c>
      <c r="F616" s="53" t="s">
        <v>1155</v>
      </c>
      <c r="G616" s="179" t="s">
        <v>1429</v>
      </c>
      <c r="H616" s="180" t="s">
        <v>861</v>
      </c>
      <c r="I616" s="55" t="s">
        <v>1429</v>
      </c>
      <c r="J616" s="55" t="s">
        <v>1429</v>
      </c>
      <c r="K616" s="56" t="s">
        <v>1429</v>
      </c>
      <c r="L616" s="54" t="s">
        <v>1429</v>
      </c>
      <c r="M616" s="55" t="s">
        <v>1580</v>
      </c>
      <c r="N616" s="55" t="s">
        <v>1429</v>
      </c>
      <c r="O616" s="55" t="s">
        <v>1429</v>
      </c>
      <c r="P616" s="56" t="s">
        <v>1429</v>
      </c>
      <c r="Q616" s="85"/>
      <c r="R616" s="85"/>
      <c r="S616" s="85"/>
      <c r="T616" s="85"/>
      <c r="U616" s="85"/>
      <c r="V616" s="146" t="s">
        <v>3175</v>
      </c>
      <c r="W616" s="51" t="s">
        <v>2932</v>
      </c>
      <c r="X616" s="130" t="s">
        <v>1429</v>
      </c>
      <c r="Y616" s="130" t="s">
        <v>1429</v>
      </c>
      <c r="Z616" s="51"/>
      <c r="AA616" s="51" t="s">
        <v>2612</v>
      </c>
      <c r="AB616" s="146"/>
      <c r="AC616" s="146" t="s">
        <v>1429</v>
      </c>
      <c r="AD616" s="98"/>
      <c r="AE616" s="83"/>
      <c r="AF616" s="83"/>
      <c r="AG616" s="83"/>
      <c r="AH616" s="86"/>
      <c r="AI616" s="86"/>
      <c r="AJ616" s="87"/>
      <c r="AK616" s="87"/>
      <c r="AL616" s="87"/>
      <c r="AM616" s="87"/>
      <c r="AN616" s="87"/>
      <c r="AO616" s="87"/>
      <c r="AP616" s="87"/>
      <c r="AQ616" s="229" t="s">
        <v>861</v>
      </c>
      <c r="AR616" s="5"/>
      <c r="AS616" s="5"/>
      <c r="AT616" s="5"/>
      <c r="AU616" s="5"/>
      <c r="AV616" s="5"/>
      <c r="AW616" s="5"/>
      <c r="AX616" s="284"/>
      <c r="AY616" s="5"/>
      <c r="AZ616" s="5"/>
      <c r="BA616" s="230"/>
      <c r="BB616" s="5"/>
      <c r="BC616" s="232" t="s">
        <v>3536</v>
      </c>
      <c r="BD616" s="257"/>
      <c r="BE616" s="249"/>
      <c r="BF616" s="249"/>
      <c r="BG616" s="249"/>
      <c r="BH616" s="249"/>
      <c r="BI616" s="249"/>
      <c r="BJ616" s="249"/>
      <c r="BK616" s="249"/>
      <c r="BL616" s="249"/>
      <c r="BM616" s="249"/>
      <c r="BN616" s="249"/>
      <c r="BO616" s="249"/>
      <c r="BP616" s="249"/>
      <c r="BQ616" s="249"/>
      <c r="BR616" s="249"/>
      <c r="BS616" s="249"/>
      <c r="BT616" s="249"/>
      <c r="BU616" s="249"/>
      <c r="BV616" s="249"/>
      <c r="BW616" s="249"/>
      <c r="BX616" s="249"/>
      <c r="BY616" s="249"/>
      <c r="BZ616" s="249"/>
      <c r="CA616" s="249"/>
      <c r="CB616" s="249"/>
      <c r="CC616" s="249"/>
      <c r="CD616" s="249"/>
      <c r="CE616" s="249"/>
    </row>
    <row r="617" spans="1:83" s="84" customFormat="1" ht="12.95" customHeight="1">
      <c r="A617" s="1"/>
      <c r="B617" s="1"/>
      <c r="C617" s="21" t="s">
        <v>862</v>
      </c>
      <c r="D617" s="52" t="s">
        <v>3170</v>
      </c>
      <c r="E617" s="52" t="s">
        <v>3176</v>
      </c>
      <c r="F617" s="53" t="s">
        <v>1156</v>
      </c>
      <c r="G617" s="179" t="s">
        <v>1429</v>
      </c>
      <c r="H617" s="180" t="s">
        <v>862</v>
      </c>
      <c r="I617" s="55" t="s">
        <v>1429</v>
      </c>
      <c r="J617" s="55" t="s">
        <v>1429</v>
      </c>
      <c r="K617" s="56" t="s">
        <v>1429</v>
      </c>
      <c r="L617" s="54" t="s">
        <v>1429</v>
      </c>
      <c r="M617" s="55" t="s">
        <v>1580</v>
      </c>
      <c r="N617" s="55" t="s">
        <v>1429</v>
      </c>
      <c r="O617" s="55" t="s">
        <v>1429</v>
      </c>
      <c r="P617" s="56" t="s">
        <v>1429</v>
      </c>
      <c r="Q617" s="85"/>
      <c r="R617" s="85"/>
      <c r="S617" s="85"/>
      <c r="T617" s="85"/>
      <c r="U617" s="85"/>
      <c r="V617" s="146" t="s">
        <v>3177</v>
      </c>
      <c r="W617" s="51" t="s">
        <v>2932</v>
      </c>
      <c r="X617" s="130" t="s">
        <v>1429</v>
      </c>
      <c r="Y617" s="130" t="s">
        <v>1429</v>
      </c>
      <c r="Z617" s="51"/>
      <c r="AA617" s="51" t="s">
        <v>2612</v>
      </c>
      <c r="AB617" s="146"/>
      <c r="AC617" s="146" t="s">
        <v>1429</v>
      </c>
      <c r="AD617" s="98"/>
      <c r="AE617" s="83"/>
      <c r="AF617" s="83"/>
      <c r="AG617" s="83"/>
      <c r="AH617" s="86"/>
      <c r="AI617" s="86"/>
      <c r="AJ617" s="87"/>
      <c r="AK617" s="87"/>
      <c r="AL617" s="87"/>
      <c r="AM617" s="87"/>
      <c r="AN617" s="87"/>
      <c r="AO617" s="87"/>
      <c r="AP617" s="87"/>
      <c r="AQ617" s="229" t="s">
        <v>862</v>
      </c>
      <c r="AR617" s="5"/>
      <c r="AS617" s="5"/>
      <c r="AT617" s="5"/>
      <c r="AU617" s="5"/>
      <c r="AV617" s="5"/>
      <c r="AW617" s="5"/>
      <c r="AX617" s="284"/>
      <c r="AY617" s="5"/>
      <c r="AZ617" s="5"/>
      <c r="BA617" s="230"/>
      <c r="BB617" s="5"/>
      <c r="BC617" s="232" t="s">
        <v>3536</v>
      </c>
      <c r="BD617" s="257"/>
      <c r="BE617" s="249"/>
      <c r="BF617" s="249"/>
      <c r="BG617" s="249"/>
      <c r="BH617" s="249"/>
      <c r="BI617" s="249"/>
      <c r="BJ617" s="249"/>
      <c r="BK617" s="249"/>
      <c r="BL617" s="249"/>
      <c r="BM617" s="249"/>
      <c r="BN617" s="249"/>
      <c r="BO617" s="249"/>
      <c r="BP617" s="249"/>
      <c r="BQ617" s="249"/>
      <c r="BR617" s="249"/>
      <c r="BS617" s="249"/>
      <c r="BT617" s="249"/>
      <c r="BU617" s="249"/>
      <c r="BV617" s="249"/>
      <c r="BW617" s="249"/>
      <c r="BX617" s="249"/>
      <c r="BY617" s="249"/>
      <c r="BZ617" s="249"/>
      <c r="CA617" s="249"/>
      <c r="CB617" s="249"/>
      <c r="CC617" s="249"/>
      <c r="CD617" s="249"/>
      <c r="CE617" s="249"/>
    </row>
    <row r="618" spans="1:83" s="84" customFormat="1" ht="12.95" customHeight="1">
      <c r="A618" s="1"/>
      <c r="B618" s="1"/>
      <c r="C618" s="18" t="s">
        <v>863</v>
      </c>
      <c r="D618" s="52" t="s">
        <v>3178</v>
      </c>
      <c r="E618" s="52" t="s">
        <v>3179</v>
      </c>
      <c r="F618" s="53" t="s">
        <v>1157</v>
      </c>
      <c r="G618" s="179" t="s">
        <v>1429</v>
      </c>
      <c r="H618" s="180" t="s">
        <v>863</v>
      </c>
      <c r="I618" s="55" t="s">
        <v>1429</v>
      </c>
      <c r="J618" s="55" t="s">
        <v>1429</v>
      </c>
      <c r="K618" s="56" t="s">
        <v>1429</v>
      </c>
      <c r="L618" s="54" t="s">
        <v>1429</v>
      </c>
      <c r="M618" s="55" t="s">
        <v>1580</v>
      </c>
      <c r="N618" s="55" t="s">
        <v>1429</v>
      </c>
      <c r="O618" s="55" t="s">
        <v>1429</v>
      </c>
      <c r="P618" s="56" t="s">
        <v>1429</v>
      </c>
      <c r="Q618" s="85"/>
      <c r="R618" s="85"/>
      <c r="S618" s="85"/>
      <c r="T618" s="85"/>
      <c r="U618" s="85"/>
      <c r="V618" s="146" t="s">
        <v>3180</v>
      </c>
      <c r="W618" s="51" t="s">
        <v>2932</v>
      </c>
      <c r="X618" s="130" t="s">
        <v>1429</v>
      </c>
      <c r="Y618" s="130" t="s">
        <v>1429</v>
      </c>
      <c r="Z618" s="51"/>
      <c r="AA618" s="51" t="s">
        <v>2612</v>
      </c>
      <c r="AB618" s="146"/>
      <c r="AC618" s="146" t="s">
        <v>1429</v>
      </c>
      <c r="AD618" s="98"/>
      <c r="AE618" s="83"/>
      <c r="AF618" s="83"/>
      <c r="AG618" s="83"/>
      <c r="AH618" s="86"/>
      <c r="AI618" s="86"/>
      <c r="AJ618" s="87"/>
      <c r="AK618" s="87"/>
      <c r="AL618" s="87"/>
      <c r="AM618" s="87"/>
      <c r="AN618" s="87"/>
      <c r="AO618" s="87"/>
      <c r="AP618" s="87"/>
      <c r="AQ618" s="229" t="s">
        <v>863</v>
      </c>
      <c r="AR618" s="5"/>
      <c r="AS618" s="5"/>
      <c r="AT618" s="5"/>
      <c r="AU618" s="5"/>
      <c r="AV618" s="5"/>
      <c r="AW618" s="5"/>
      <c r="AX618" s="284"/>
      <c r="AY618" s="5"/>
      <c r="AZ618" s="5"/>
      <c r="BA618" s="230"/>
      <c r="BB618" s="5"/>
      <c r="BC618" s="232" t="s">
        <v>3536</v>
      </c>
      <c r="BD618" s="257"/>
      <c r="BE618" s="249"/>
      <c r="BF618" s="249"/>
      <c r="BG618" s="249"/>
      <c r="BH618" s="249"/>
      <c r="BI618" s="249"/>
      <c r="BJ618" s="249"/>
      <c r="BK618" s="249"/>
      <c r="BL618" s="249"/>
      <c r="BM618" s="249"/>
      <c r="BN618" s="249"/>
      <c r="BO618" s="249"/>
      <c r="BP618" s="249"/>
      <c r="BQ618" s="249"/>
      <c r="BR618" s="249"/>
      <c r="BS618" s="249"/>
      <c r="BT618" s="249"/>
      <c r="BU618" s="249"/>
      <c r="BV618" s="249"/>
      <c r="BW618" s="249"/>
      <c r="BX618" s="249"/>
      <c r="BY618" s="249"/>
      <c r="BZ618" s="249"/>
      <c r="CA618" s="249"/>
      <c r="CB618" s="249"/>
      <c r="CC618" s="249"/>
      <c r="CD618" s="249"/>
      <c r="CE618" s="249"/>
    </row>
    <row r="619" spans="1:83" s="84" customFormat="1" ht="12.95" customHeight="1">
      <c r="A619" s="1"/>
      <c r="B619" s="1"/>
      <c r="C619" s="18" t="s">
        <v>864</v>
      </c>
      <c r="D619" s="52" t="s">
        <v>3181</v>
      </c>
      <c r="E619" s="52" t="s">
        <v>3182</v>
      </c>
      <c r="F619" s="53" t="s">
        <v>1158</v>
      </c>
      <c r="G619" s="179" t="s">
        <v>1429</v>
      </c>
      <c r="H619" s="180" t="s">
        <v>864</v>
      </c>
      <c r="I619" s="55" t="s">
        <v>1429</v>
      </c>
      <c r="J619" s="55" t="s">
        <v>1429</v>
      </c>
      <c r="K619" s="56" t="s">
        <v>1429</v>
      </c>
      <c r="L619" s="54" t="s">
        <v>1429</v>
      </c>
      <c r="M619" s="55" t="s">
        <v>1580</v>
      </c>
      <c r="N619" s="55" t="s">
        <v>1429</v>
      </c>
      <c r="O619" s="55" t="s">
        <v>1429</v>
      </c>
      <c r="P619" s="56" t="s">
        <v>1429</v>
      </c>
      <c r="Q619" s="85"/>
      <c r="R619" s="85"/>
      <c r="S619" s="85"/>
      <c r="T619" s="85"/>
      <c r="U619" s="85"/>
      <c r="V619" s="146" t="s">
        <v>3183</v>
      </c>
      <c r="W619" s="51" t="s">
        <v>2932</v>
      </c>
      <c r="X619" s="130" t="s">
        <v>1429</v>
      </c>
      <c r="Y619" s="130" t="s">
        <v>1429</v>
      </c>
      <c r="Z619" s="51"/>
      <c r="AA619" s="51" t="s">
        <v>2612</v>
      </c>
      <c r="AB619" s="146"/>
      <c r="AC619" s="146" t="s">
        <v>1429</v>
      </c>
      <c r="AD619" s="98"/>
      <c r="AE619" s="83"/>
      <c r="AF619" s="83"/>
      <c r="AG619" s="83"/>
      <c r="AH619" s="86"/>
      <c r="AI619" s="86"/>
      <c r="AJ619" s="87"/>
      <c r="AK619" s="87"/>
      <c r="AL619" s="87"/>
      <c r="AM619" s="87"/>
      <c r="AN619" s="87"/>
      <c r="AO619" s="87"/>
      <c r="AP619" s="87"/>
      <c r="AQ619" s="229" t="s">
        <v>864</v>
      </c>
      <c r="AR619" s="5"/>
      <c r="AS619" s="5"/>
      <c r="AT619" s="5"/>
      <c r="AU619" s="5"/>
      <c r="AV619" s="5"/>
      <c r="AW619" s="5"/>
      <c r="AX619" s="284"/>
      <c r="AY619" s="5"/>
      <c r="AZ619" s="5"/>
      <c r="BA619" s="230"/>
      <c r="BB619" s="5"/>
      <c r="BC619" s="232" t="s">
        <v>3536</v>
      </c>
      <c r="BD619" s="257"/>
      <c r="BE619" s="249"/>
      <c r="BF619" s="249"/>
      <c r="BG619" s="249"/>
      <c r="BH619" s="249"/>
      <c r="BI619" s="249"/>
      <c r="BJ619" s="249"/>
      <c r="BK619" s="249"/>
      <c r="BL619" s="249"/>
      <c r="BM619" s="249"/>
      <c r="BN619" s="249"/>
      <c r="BO619" s="249"/>
      <c r="BP619" s="249"/>
      <c r="BQ619" s="249"/>
      <c r="BR619" s="249"/>
      <c r="BS619" s="249"/>
      <c r="BT619" s="249"/>
      <c r="BU619" s="249"/>
      <c r="BV619" s="249"/>
      <c r="BW619" s="249"/>
      <c r="BX619" s="249"/>
      <c r="BY619" s="249"/>
      <c r="BZ619" s="249"/>
      <c r="CA619" s="249"/>
      <c r="CB619" s="249"/>
      <c r="CC619" s="249"/>
      <c r="CD619" s="249"/>
      <c r="CE619" s="249"/>
    </row>
    <row r="620" spans="1:83" s="84" customFormat="1" ht="12.95" customHeight="1">
      <c r="A620" s="1"/>
      <c r="B620" s="1"/>
      <c r="C620" s="18" t="s">
        <v>865</v>
      </c>
      <c r="D620" s="52" t="s">
        <v>3184</v>
      </c>
      <c r="E620" s="52" t="s">
        <v>3185</v>
      </c>
      <c r="F620" s="53" t="s">
        <v>1159</v>
      </c>
      <c r="G620" s="179" t="s">
        <v>1429</v>
      </c>
      <c r="H620" s="180" t="s">
        <v>865</v>
      </c>
      <c r="I620" s="55" t="s">
        <v>1429</v>
      </c>
      <c r="J620" s="55" t="s">
        <v>1429</v>
      </c>
      <c r="K620" s="56" t="s">
        <v>1429</v>
      </c>
      <c r="L620" s="54" t="s">
        <v>1429</v>
      </c>
      <c r="M620" s="55" t="s">
        <v>1580</v>
      </c>
      <c r="N620" s="55" t="s">
        <v>1429</v>
      </c>
      <c r="O620" s="55" t="s">
        <v>1429</v>
      </c>
      <c r="P620" s="56" t="s">
        <v>1429</v>
      </c>
      <c r="Q620" s="85"/>
      <c r="R620" s="85"/>
      <c r="S620" s="85"/>
      <c r="T620" s="85"/>
      <c r="U620" s="85"/>
      <c r="V620" s="146" t="s">
        <v>3186</v>
      </c>
      <c r="W620" s="51" t="s">
        <v>2932</v>
      </c>
      <c r="X620" s="130" t="s">
        <v>1429</v>
      </c>
      <c r="Y620" s="130" t="s">
        <v>1429</v>
      </c>
      <c r="Z620" s="51"/>
      <c r="AA620" s="51" t="s">
        <v>2612</v>
      </c>
      <c r="AB620" s="146"/>
      <c r="AC620" s="146" t="s">
        <v>1429</v>
      </c>
      <c r="AD620" s="98"/>
      <c r="AE620" s="83"/>
      <c r="AF620" s="83"/>
      <c r="AG620" s="83"/>
      <c r="AH620" s="86"/>
      <c r="AI620" s="86"/>
      <c r="AJ620" s="87"/>
      <c r="AK620" s="87"/>
      <c r="AL620" s="87"/>
      <c r="AM620" s="87"/>
      <c r="AN620" s="87"/>
      <c r="AO620" s="87"/>
      <c r="AP620" s="87"/>
      <c r="AQ620" s="229" t="s">
        <v>865</v>
      </c>
      <c r="AR620" s="5"/>
      <c r="AS620" s="5"/>
      <c r="AT620" s="5"/>
      <c r="AU620" s="5"/>
      <c r="AV620" s="5"/>
      <c r="AW620" s="5"/>
      <c r="AX620" s="284"/>
      <c r="AY620" s="5"/>
      <c r="AZ620" s="5"/>
      <c r="BA620" s="230"/>
      <c r="BB620" s="5"/>
      <c r="BC620" s="232" t="s">
        <v>3536</v>
      </c>
      <c r="BD620" s="257"/>
      <c r="BE620" s="249"/>
      <c r="BF620" s="249"/>
      <c r="BG620" s="249"/>
      <c r="BH620" s="249"/>
      <c r="BI620" s="249"/>
      <c r="BJ620" s="249"/>
      <c r="BK620" s="249"/>
      <c r="BL620" s="249"/>
      <c r="BM620" s="249"/>
      <c r="BN620" s="249"/>
      <c r="BO620" s="249"/>
      <c r="BP620" s="249"/>
      <c r="BQ620" s="249"/>
      <c r="BR620" s="249"/>
      <c r="BS620" s="249"/>
      <c r="BT620" s="249"/>
      <c r="BU620" s="249"/>
      <c r="BV620" s="249"/>
      <c r="BW620" s="249"/>
      <c r="BX620" s="249"/>
      <c r="BY620" s="249"/>
      <c r="BZ620" s="249"/>
      <c r="CA620" s="249"/>
      <c r="CB620" s="249"/>
      <c r="CC620" s="249"/>
      <c r="CD620" s="249"/>
      <c r="CE620" s="249"/>
    </row>
    <row r="621" spans="1:83" s="84" customFormat="1" ht="12.95" customHeight="1">
      <c r="A621" s="1"/>
      <c r="B621" s="1"/>
      <c r="C621" s="18" t="s">
        <v>866</v>
      </c>
      <c r="D621" s="52" t="s">
        <v>3187</v>
      </c>
      <c r="E621" s="52" t="s">
        <v>3188</v>
      </c>
      <c r="F621" s="53" t="s">
        <v>1160</v>
      </c>
      <c r="G621" s="179" t="s">
        <v>1429</v>
      </c>
      <c r="H621" s="180" t="s">
        <v>866</v>
      </c>
      <c r="I621" s="55" t="s">
        <v>1429</v>
      </c>
      <c r="J621" s="55" t="s">
        <v>1429</v>
      </c>
      <c r="K621" s="56" t="s">
        <v>1429</v>
      </c>
      <c r="L621" s="54" t="s">
        <v>1429</v>
      </c>
      <c r="M621" s="55" t="s">
        <v>1580</v>
      </c>
      <c r="N621" s="55" t="s">
        <v>1429</v>
      </c>
      <c r="O621" s="55" t="s">
        <v>1429</v>
      </c>
      <c r="P621" s="56" t="s">
        <v>1429</v>
      </c>
      <c r="Q621" s="85"/>
      <c r="R621" s="85"/>
      <c r="S621" s="85"/>
      <c r="T621" s="85"/>
      <c r="U621" s="85"/>
      <c r="V621" s="146" t="s">
        <v>3189</v>
      </c>
      <c r="W621" s="51" t="s">
        <v>2932</v>
      </c>
      <c r="X621" s="130" t="s">
        <v>1429</v>
      </c>
      <c r="Y621" s="130" t="s">
        <v>1429</v>
      </c>
      <c r="Z621" s="51"/>
      <c r="AA621" s="51" t="s">
        <v>2612</v>
      </c>
      <c r="AB621" s="146"/>
      <c r="AC621" s="146" t="s">
        <v>1429</v>
      </c>
      <c r="AD621" s="98"/>
      <c r="AE621" s="83"/>
      <c r="AF621" s="83"/>
      <c r="AG621" s="83"/>
      <c r="AH621" s="86"/>
      <c r="AI621" s="86"/>
      <c r="AJ621" s="87"/>
      <c r="AK621" s="87"/>
      <c r="AL621" s="87"/>
      <c r="AM621" s="87"/>
      <c r="AN621" s="87"/>
      <c r="AO621" s="87"/>
      <c r="AP621" s="87"/>
      <c r="AQ621" s="229" t="s">
        <v>866</v>
      </c>
      <c r="AR621" s="5"/>
      <c r="AS621" s="5"/>
      <c r="AT621" s="5"/>
      <c r="AU621" s="5"/>
      <c r="AV621" s="5"/>
      <c r="AW621" s="5"/>
      <c r="AX621" s="284"/>
      <c r="AY621" s="5"/>
      <c r="AZ621" s="5"/>
      <c r="BA621" s="230"/>
      <c r="BB621" s="5"/>
      <c r="BC621" s="232" t="s">
        <v>3536</v>
      </c>
      <c r="BD621" s="257"/>
      <c r="BE621" s="249"/>
      <c r="BF621" s="249"/>
      <c r="BG621" s="249"/>
      <c r="BH621" s="249"/>
      <c r="BI621" s="249"/>
      <c r="BJ621" s="249"/>
      <c r="BK621" s="249"/>
      <c r="BL621" s="249"/>
      <c r="BM621" s="249"/>
      <c r="BN621" s="249"/>
      <c r="BO621" s="249"/>
      <c r="BP621" s="249"/>
      <c r="BQ621" s="249"/>
      <c r="BR621" s="249"/>
      <c r="BS621" s="249"/>
      <c r="BT621" s="249"/>
      <c r="BU621" s="249"/>
      <c r="BV621" s="249"/>
      <c r="BW621" s="249"/>
      <c r="BX621" s="249"/>
      <c r="BY621" s="249"/>
      <c r="BZ621" s="249"/>
      <c r="CA621" s="249"/>
      <c r="CB621" s="249"/>
      <c r="CC621" s="249"/>
      <c r="CD621" s="249"/>
      <c r="CE621" s="249"/>
    </row>
    <row r="622" spans="1:83" s="84" customFormat="1" ht="12.95" customHeight="1">
      <c r="A622" s="1"/>
      <c r="B622" s="1"/>
      <c r="C622" s="18" t="s">
        <v>867</v>
      </c>
      <c r="D622" s="52" t="s">
        <v>3190</v>
      </c>
      <c r="E622" s="52" t="s">
        <v>3191</v>
      </c>
      <c r="F622" s="53" t="s">
        <v>1161</v>
      </c>
      <c r="G622" s="179" t="s">
        <v>1429</v>
      </c>
      <c r="H622" s="180" t="s">
        <v>867</v>
      </c>
      <c r="I622" s="55" t="s">
        <v>1429</v>
      </c>
      <c r="J622" s="55" t="s">
        <v>1429</v>
      </c>
      <c r="K622" s="56" t="s">
        <v>1429</v>
      </c>
      <c r="L622" s="54" t="s">
        <v>1429</v>
      </c>
      <c r="M622" s="55" t="s">
        <v>1580</v>
      </c>
      <c r="N622" s="55" t="s">
        <v>1429</v>
      </c>
      <c r="O622" s="55" t="s">
        <v>1429</v>
      </c>
      <c r="P622" s="56" t="s">
        <v>1429</v>
      </c>
      <c r="Q622" s="85"/>
      <c r="R622" s="85"/>
      <c r="S622" s="85"/>
      <c r="T622" s="85"/>
      <c r="U622" s="85"/>
      <c r="V622" s="146" t="s">
        <v>3192</v>
      </c>
      <c r="W622" s="51" t="s">
        <v>2932</v>
      </c>
      <c r="X622" s="130" t="s">
        <v>1429</v>
      </c>
      <c r="Y622" s="130" t="s">
        <v>1429</v>
      </c>
      <c r="Z622" s="51"/>
      <c r="AA622" s="51" t="s">
        <v>2612</v>
      </c>
      <c r="AB622" s="146"/>
      <c r="AC622" s="146" t="s">
        <v>1429</v>
      </c>
      <c r="AD622" s="98"/>
      <c r="AE622" s="83"/>
      <c r="AF622" s="83"/>
      <c r="AG622" s="83"/>
      <c r="AH622" s="86"/>
      <c r="AI622" s="86"/>
      <c r="AJ622" s="87"/>
      <c r="AK622" s="87"/>
      <c r="AL622" s="87"/>
      <c r="AM622" s="87"/>
      <c r="AN622" s="87"/>
      <c r="AO622" s="87"/>
      <c r="AP622" s="87"/>
      <c r="AQ622" s="229" t="s">
        <v>867</v>
      </c>
      <c r="AR622" s="5"/>
      <c r="AS622" s="5"/>
      <c r="AT622" s="5"/>
      <c r="AU622" s="5"/>
      <c r="AV622" s="5"/>
      <c r="AW622" s="5"/>
      <c r="AX622" s="284"/>
      <c r="AY622" s="5"/>
      <c r="AZ622" s="5"/>
      <c r="BA622" s="230"/>
      <c r="BB622" s="5"/>
      <c r="BC622" s="232" t="s">
        <v>3536</v>
      </c>
      <c r="BD622" s="257"/>
      <c r="BE622" s="249"/>
      <c r="BF622" s="249"/>
      <c r="BG622" s="249"/>
      <c r="BH622" s="249"/>
      <c r="BI622" s="249"/>
      <c r="BJ622" s="249"/>
      <c r="BK622" s="249"/>
      <c r="BL622" s="249"/>
      <c r="BM622" s="249"/>
      <c r="BN622" s="249"/>
      <c r="BO622" s="249"/>
      <c r="BP622" s="249"/>
      <c r="BQ622" s="249"/>
      <c r="BR622" s="249"/>
      <c r="BS622" s="249"/>
      <c r="BT622" s="249"/>
      <c r="BU622" s="249"/>
      <c r="BV622" s="249"/>
      <c r="BW622" s="249"/>
      <c r="BX622" s="249"/>
      <c r="BY622" s="249"/>
      <c r="BZ622" s="249"/>
      <c r="CA622" s="249"/>
      <c r="CB622" s="249"/>
      <c r="CC622" s="249"/>
      <c r="CD622" s="249"/>
      <c r="CE622" s="249"/>
    </row>
    <row r="623" spans="1:83" s="84" customFormat="1" ht="12.95" customHeight="1">
      <c r="A623" s="1"/>
      <c r="B623" s="1"/>
      <c r="C623" s="18" t="s">
        <v>868</v>
      </c>
      <c r="D623" s="52" t="s">
        <v>3193</v>
      </c>
      <c r="E623" s="52" t="s">
        <v>3194</v>
      </c>
      <c r="F623" s="53" t="s">
        <v>1162</v>
      </c>
      <c r="G623" s="179" t="s">
        <v>1429</v>
      </c>
      <c r="H623" s="180" t="s">
        <v>868</v>
      </c>
      <c r="I623" s="55" t="s">
        <v>1429</v>
      </c>
      <c r="J623" s="55" t="s">
        <v>1429</v>
      </c>
      <c r="K623" s="56" t="s">
        <v>1429</v>
      </c>
      <c r="L623" s="54" t="s">
        <v>1429</v>
      </c>
      <c r="M623" s="55" t="s">
        <v>1580</v>
      </c>
      <c r="N623" s="55" t="s">
        <v>1429</v>
      </c>
      <c r="O623" s="55" t="s">
        <v>1429</v>
      </c>
      <c r="P623" s="56" t="s">
        <v>1429</v>
      </c>
      <c r="Q623" s="85"/>
      <c r="R623" s="85"/>
      <c r="S623" s="85"/>
      <c r="T623" s="85"/>
      <c r="U623" s="85"/>
      <c r="V623" s="146" t="s">
        <v>3195</v>
      </c>
      <c r="W623" s="51" t="s">
        <v>2932</v>
      </c>
      <c r="X623" s="130" t="s">
        <v>1429</v>
      </c>
      <c r="Y623" s="130" t="s">
        <v>1429</v>
      </c>
      <c r="Z623" s="51"/>
      <c r="AA623" s="51" t="s">
        <v>2612</v>
      </c>
      <c r="AB623" s="146"/>
      <c r="AC623" s="146" t="s">
        <v>1429</v>
      </c>
      <c r="AD623" s="98"/>
      <c r="AE623" s="83"/>
      <c r="AF623" s="83"/>
      <c r="AG623" s="83"/>
      <c r="AH623" s="86"/>
      <c r="AI623" s="86"/>
      <c r="AJ623" s="87"/>
      <c r="AK623" s="87"/>
      <c r="AL623" s="87"/>
      <c r="AM623" s="87"/>
      <c r="AN623" s="87"/>
      <c r="AO623" s="87"/>
      <c r="AP623" s="87"/>
      <c r="AQ623" s="229" t="s">
        <v>868</v>
      </c>
      <c r="AR623" s="5"/>
      <c r="AS623" s="5"/>
      <c r="AT623" s="5"/>
      <c r="AU623" s="5"/>
      <c r="AV623" s="5"/>
      <c r="AW623" s="5"/>
      <c r="AX623" s="284"/>
      <c r="AY623" s="5"/>
      <c r="AZ623" s="5"/>
      <c r="BA623" s="230"/>
      <c r="BB623" s="5"/>
      <c r="BC623" s="232" t="s">
        <v>3536</v>
      </c>
      <c r="BD623" s="257"/>
      <c r="BE623" s="249"/>
      <c r="BF623" s="249"/>
      <c r="BG623" s="249"/>
      <c r="BH623" s="249"/>
      <c r="BI623" s="249"/>
      <c r="BJ623" s="249"/>
      <c r="BK623" s="249"/>
      <c r="BL623" s="249"/>
      <c r="BM623" s="249"/>
      <c r="BN623" s="249"/>
      <c r="BO623" s="249"/>
      <c r="BP623" s="249"/>
      <c r="BQ623" s="249"/>
      <c r="BR623" s="249"/>
      <c r="BS623" s="249"/>
      <c r="BT623" s="249"/>
      <c r="BU623" s="249"/>
      <c r="BV623" s="249"/>
      <c r="BW623" s="249"/>
      <c r="BX623" s="249"/>
      <c r="BY623" s="249"/>
      <c r="BZ623" s="249"/>
      <c r="CA623" s="249"/>
      <c r="CB623" s="249"/>
      <c r="CC623" s="249"/>
      <c r="CD623" s="249"/>
      <c r="CE623" s="249"/>
    </row>
    <row r="624" spans="1:83" s="84" customFormat="1" ht="12.95" customHeight="1">
      <c r="A624" s="1"/>
      <c r="B624" s="1"/>
      <c r="C624" s="18" t="s">
        <v>869</v>
      </c>
      <c r="D624" s="52" t="s">
        <v>3196</v>
      </c>
      <c r="E624" s="52" t="s">
        <v>3197</v>
      </c>
      <c r="F624" s="53" t="s">
        <v>1163</v>
      </c>
      <c r="G624" s="179" t="s">
        <v>1429</v>
      </c>
      <c r="H624" s="180" t="s">
        <v>869</v>
      </c>
      <c r="I624" s="55" t="s">
        <v>1429</v>
      </c>
      <c r="J624" s="55" t="s">
        <v>1429</v>
      </c>
      <c r="K624" s="56" t="s">
        <v>1429</v>
      </c>
      <c r="L624" s="54" t="s">
        <v>1429</v>
      </c>
      <c r="M624" s="55" t="s">
        <v>1580</v>
      </c>
      <c r="N624" s="55" t="s">
        <v>1429</v>
      </c>
      <c r="O624" s="55" t="s">
        <v>1429</v>
      </c>
      <c r="P624" s="56" t="s">
        <v>1429</v>
      </c>
      <c r="Q624" s="85"/>
      <c r="R624" s="85"/>
      <c r="S624" s="85"/>
      <c r="T624" s="85"/>
      <c r="U624" s="85"/>
      <c r="V624" s="146" t="s">
        <v>3198</v>
      </c>
      <c r="W624" s="51" t="s">
        <v>2932</v>
      </c>
      <c r="X624" s="130" t="s">
        <v>1429</v>
      </c>
      <c r="Y624" s="130" t="s">
        <v>1429</v>
      </c>
      <c r="Z624" s="51"/>
      <c r="AA624" s="51" t="s">
        <v>2612</v>
      </c>
      <c r="AB624" s="146"/>
      <c r="AC624" s="146" t="s">
        <v>1429</v>
      </c>
      <c r="AD624" s="98"/>
      <c r="AE624" s="83"/>
      <c r="AF624" s="83"/>
      <c r="AG624" s="83"/>
      <c r="AH624" s="86"/>
      <c r="AI624" s="86"/>
      <c r="AJ624" s="87"/>
      <c r="AK624" s="87"/>
      <c r="AL624" s="87"/>
      <c r="AM624" s="87"/>
      <c r="AN624" s="87"/>
      <c r="AO624" s="87"/>
      <c r="AP624" s="87"/>
      <c r="AQ624" s="229" t="s">
        <v>869</v>
      </c>
      <c r="AR624" s="5"/>
      <c r="AS624" s="5"/>
      <c r="AT624" s="5"/>
      <c r="AU624" s="5"/>
      <c r="AV624" s="5"/>
      <c r="AW624" s="5"/>
      <c r="AX624" s="284"/>
      <c r="AY624" s="5"/>
      <c r="AZ624" s="5"/>
      <c r="BA624" s="230"/>
      <c r="BB624" s="5"/>
      <c r="BC624" s="232" t="s">
        <v>3536</v>
      </c>
      <c r="BD624" s="257"/>
      <c r="BE624" s="249"/>
      <c r="BF624" s="249"/>
      <c r="BG624" s="249"/>
      <c r="BH624" s="249"/>
      <c r="BI624" s="249"/>
      <c r="BJ624" s="249"/>
      <c r="BK624" s="249"/>
      <c r="BL624" s="249"/>
      <c r="BM624" s="249"/>
      <c r="BN624" s="249"/>
      <c r="BO624" s="249"/>
      <c r="BP624" s="249"/>
      <c r="BQ624" s="249"/>
      <c r="BR624" s="249"/>
      <c r="BS624" s="249"/>
      <c r="BT624" s="249"/>
      <c r="BU624" s="249"/>
      <c r="BV624" s="249"/>
      <c r="BW624" s="249"/>
      <c r="BX624" s="249"/>
      <c r="BY624" s="249"/>
      <c r="BZ624" s="249"/>
      <c r="CA624" s="249"/>
      <c r="CB624" s="249"/>
      <c r="CC624" s="249"/>
      <c r="CD624" s="249"/>
      <c r="CE624" s="249"/>
    </row>
    <row r="625" spans="1:83" s="84" customFormat="1" ht="12.95" customHeight="1">
      <c r="A625" s="1"/>
      <c r="B625" s="1"/>
      <c r="C625" s="18" t="s">
        <v>870</v>
      </c>
      <c r="D625" s="52" t="s">
        <v>3199</v>
      </c>
      <c r="E625" s="52" t="s">
        <v>3200</v>
      </c>
      <c r="F625" s="53" t="s">
        <v>1164</v>
      </c>
      <c r="G625" s="179" t="s">
        <v>1429</v>
      </c>
      <c r="H625" s="180" t="s">
        <v>870</v>
      </c>
      <c r="I625" s="55" t="s">
        <v>1429</v>
      </c>
      <c r="J625" s="55" t="s">
        <v>1429</v>
      </c>
      <c r="K625" s="56" t="s">
        <v>1429</v>
      </c>
      <c r="L625" s="54" t="s">
        <v>1429</v>
      </c>
      <c r="M625" s="55" t="s">
        <v>1580</v>
      </c>
      <c r="N625" s="55" t="s">
        <v>1429</v>
      </c>
      <c r="O625" s="55" t="s">
        <v>1429</v>
      </c>
      <c r="P625" s="56" t="s">
        <v>1429</v>
      </c>
      <c r="Q625" s="85"/>
      <c r="R625" s="85"/>
      <c r="S625" s="85"/>
      <c r="T625" s="85"/>
      <c r="U625" s="85"/>
      <c r="V625" s="146" t="s">
        <v>3201</v>
      </c>
      <c r="W625" s="51" t="s">
        <v>2932</v>
      </c>
      <c r="X625" s="130" t="s">
        <v>1429</v>
      </c>
      <c r="Y625" s="130" t="s">
        <v>1429</v>
      </c>
      <c r="Z625" s="51"/>
      <c r="AA625" s="51" t="s">
        <v>2612</v>
      </c>
      <c r="AB625" s="146"/>
      <c r="AC625" s="146" t="s">
        <v>1429</v>
      </c>
      <c r="AD625" s="98"/>
      <c r="AE625" s="83"/>
      <c r="AF625" s="83"/>
      <c r="AG625" s="83"/>
      <c r="AH625" s="86"/>
      <c r="AI625" s="86"/>
      <c r="AJ625" s="87"/>
      <c r="AK625" s="87"/>
      <c r="AL625" s="87"/>
      <c r="AM625" s="87"/>
      <c r="AN625" s="87"/>
      <c r="AO625" s="87"/>
      <c r="AP625" s="87"/>
      <c r="AQ625" s="229" t="s">
        <v>870</v>
      </c>
      <c r="AR625" s="5"/>
      <c r="AS625" s="5"/>
      <c r="AT625" s="5"/>
      <c r="AU625" s="5"/>
      <c r="AV625" s="5"/>
      <c r="AW625" s="5"/>
      <c r="AX625" s="284"/>
      <c r="AY625" s="5"/>
      <c r="AZ625" s="5"/>
      <c r="BA625" s="230"/>
      <c r="BB625" s="5"/>
      <c r="BC625" s="232" t="s">
        <v>3536</v>
      </c>
      <c r="BD625" s="257"/>
      <c r="BE625" s="249"/>
      <c r="BF625" s="249"/>
      <c r="BG625" s="249"/>
      <c r="BH625" s="249"/>
      <c r="BI625" s="249"/>
      <c r="BJ625" s="249"/>
      <c r="BK625" s="249"/>
      <c r="BL625" s="249"/>
      <c r="BM625" s="249"/>
      <c r="BN625" s="249"/>
      <c r="BO625" s="249"/>
      <c r="BP625" s="249"/>
      <c r="BQ625" s="249"/>
      <c r="BR625" s="249"/>
      <c r="BS625" s="249"/>
      <c r="BT625" s="249"/>
      <c r="BU625" s="249"/>
      <c r="BV625" s="249"/>
      <c r="BW625" s="249"/>
      <c r="BX625" s="249"/>
      <c r="BY625" s="249"/>
      <c r="BZ625" s="249"/>
      <c r="CA625" s="249"/>
      <c r="CB625" s="249"/>
      <c r="CC625" s="249"/>
      <c r="CD625" s="249"/>
      <c r="CE625" s="249"/>
    </row>
    <row r="626" spans="1:83" s="84" customFormat="1" ht="12.95" customHeight="1">
      <c r="A626" s="1"/>
      <c r="B626" s="1"/>
      <c r="C626" s="18" t="s">
        <v>871</v>
      </c>
      <c r="D626" s="52" t="s">
        <v>3202</v>
      </c>
      <c r="E626" s="52" t="s">
        <v>3203</v>
      </c>
      <c r="F626" s="53" t="s">
        <v>1165</v>
      </c>
      <c r="G626" s="179" t="s">
        <v>1429</v>
      </c>
      <c r="H626" s="180" t="s">
        <v>871</v>
      </c>
      <c r="I626" s="55" t="s">
        <v>1429</v>
      </c>
      <c r="J626" s="55" t="s">
        <v>1429</v>
      </c>
      <c r="K626" s="56" t="s">
        <v>1429</v>
      </c>
      <c r="L626" s="54" t="s">
        <v>1429</v>
      </c>
      <c r="M626" s="55" t="s">
        <v>1580</v>
      </c>
      <c r="N626" s="55" t="s">
        <v>1429</v>
      </c>
      <c r="O626" s="55" t="s">
        <v>1429</v>
      </c>
      <c r="P626" s="56" t="s">
        <v>1429</v>
      </c>
      <c r="Q626" s="85"/>
      <c r="R626" s="85"/>
      <c r="S626" s="85"/>
      <c r="T626" s="85"/>
      <c r="U626" s="85"/>
      <c r="V626" s="146" t="s">
        <v>3204</v>
      </c>
      <c r="W626" s="51" t="s">
        <v>2932</v>
      </c>
      <c r="X626" s="130" t="s">
        <v>1429</v>
      </c>
      <c r="Y626" s="130" t="s">
        <v>1429</v>
      </c>
      <c r="Z626" s="51"/>
      <c r="AA626" s="51" t="s">
        <v>2612</v>
      </c>
      <c r="AB626" s="146"/>
      <c r="AC626" s="146" t="s">
        <v>1429</v>
      </c>
      <c r="AD626" s="98"/>
      <c r="AE626" s="83"/>
      <c r="AF626" s="83"/>
      <c r="AG626" s="83"/>
      <c r="AH626" s="86"/>
      <c r="AI626" s="86"/>
      <c r="AJ626" s="87"/>
      <c r="AK626" s="87"/>
      <c r="AL626" s="87"/>
      <c r="AM626" s="87"/>
      <c r="AN626" s="87"/>
      <c r="AO626" s="87"/>
      <c r="AP626" s="87"/>
      <c r="AQ626" s="229" t="s">
        <v>871</v>
      </c>
      <c r="AR626" s="5"/>
      <c r="AS626" s="5"/>
      <c r="AT626" s="5"/>
      <c r="AU626" s="5"/>
      <c r="AV626" s="5"/>
      <c r="AW626" s="5"/>
      <c r="AX626" s="284"/>
      <c r="AY626" s="5"/>
      <c r="AZ626" s="5"/>
      <c r="BA626" s="230"/>
      <c r="BB626" s="5"/>
      <c r="BC626" s="232" t="s">
        <v>3536</v>
      </c>
      <c r="BD626" s="257"/>
      <c r="BE626" s="249"/>
      <c r="BF626" s="249"/>
      <c r="BG626" s="249"/>
      <c r="BH626" s="249"/>
      <c r="BI626" s="249"/>
      <c r="BJ626" s="249"/>
      <c r="BK626" s="249"/>
      <c r="BL626" s="249"/>
      <c r="BM626" s="249"/>
      <c r="BN626" s="249"/>
      <c r="BO626" s="249"/>
      <c r="BP626" s="249"/>
      <c r="BQ626" s="249"/>
      <c r="BR626" s="249"/>
      <c r="BS626" s="249"/>
      <c r="BT626" s="249"/>
      <c r="BU626" s="249"/>
      <c r="BV626" s="249"/>
      <c r="BW626" s="249"/>
      <c r="BX626" s="249"/>
      <c r="BY626" s="249"/>
      <c r="BZ626" s="249"/>
      <c r="CA626" s="249"/>
      <c r="CB626" s="249"/>
      <c r="CC626" s="249"/>
      <c r="CD626" s="249"/>
      <c r="CE626" s="249"/>
    </row>
    <row r="627" spans="1:83" s="84" customFormat="1" ht="12.95" customHeight="1">
      <c r="A627" s="1"/>
      <c r="B627" s="1"/>
      <c r="C627" s="18" t="s">
        <v>872</v>
      </c>
      <c r="D627" s="52" t="s">
        <v>3205</v>
      </c>
      <c r="E627" s="52" t="s">
        <v>3206</v>
      </c>
      <c r="F627" s="53" t="s">
        <v>1166</v>
      </c>
      <c r="G627" s="179" t="s">
        <v>1429</v>
      </c>
      <c r="H627" s="180" t="s">
        <v>872</v>
      </c>
      <c r="I627" s="55" t="s">
        <v>1429</v>
      </c>
      <c r="J627" s="55" t="s">
        <v>1429</v>
      </c>
      <c r="K627" s="56" t="s">
        <v>1429</v>
      </c>
      <c r="L627" s="54" t="s">
        <v>1429</v>
      </c>
      <c r="M627" s="55" t="s">
        <v>1580</v>
      </c>
      <c r="N627" s="55" t="s">
        <v>1429</v>
      </c>
      <c r="O627" s="55" t="s">
        <v>1429</v>
      </c>
      <c r="P627" s="56" t="s">
        <v>1429</v>
      </c>
      <c r="Q627" s="85"/>
      <c r="R627" s="85"/>
      <c r="S627" s="85"/>
      <c r="T627" s="85"/>
      <c r="U627" s="85"/>
      <c r="V627" s="146" t="s">
        <v>3207</v>
      </c>
      <c r="W627" s="51" t="s">
        <v>2932</v>
      </c>
      <c r="X627" s="130" t="s">
        <v>1429</v>
      </c>
      <c r="Y627" s="130" t="s">
        <v>1429</v>
      </c>
      <c r="Z627" s="51"/>
      <c r="AA627" s="51" t="s">
        <v>2612</v>
      </c>
      <c r="AB627" s="146"/>
      <c r="AC627" s="146" t="s">
        <v>1429</v>
      </c>
      <c r="AD627" s="98"/>
      <c r="AE627" s="83"/>
      <c r="AF627" s="83"/>
      <c r="AG627" s="83"/>
      <c r="AH627" s="86"/>
      <c r="AI627" s="86"/>
      <c r="AJ627" s="87"/>
      <c r="AK627" s="87"/>
      <c r="AL627" s="87"/>
      <c r="AM627" s="87"/>
      <c r="AN627" s="87"/>
      <c r="AO627" s="87"/>
      <c r="AP627" s="87"/>
      <c r="AQ627" s="229" t="s">
        <v>872</v>
      </c>
      <c r="AR627" s="5"/>
      <c r="AS627" s="5"/>
      <c r="AT627" s="5"/>
      <c r="AU627" s="5"/>
      <c r="AV627" s="5"/>
      <c r="AW627" s="5"/>
      <c r="AX627" s="284"/>
      <c r="AY627" s="5"/>
      <c r="AZ627" s="5"/>
      <c r="BA627" s="230"/>
      <c r="BB627" s="5"/>
      <c r="BC627" s="232" t="s">
        <v>3536</v>
      </c>
      <c r="BD627" s="257"/>
      <c r="BE627" s="249"/>
      <c r="BF627" s="249"/>
      <c r="BG627" s="249"/>
      <c r="BH627" s="249"/>
      <c r="BI627" s="249"/>
      <c r="BJ627" s="249"/>
      <c r="BK627" s="249"/>
      <c r="BL627" s="249"/>
      <c r="BM627" s="249"/>
      <c r="BN627" s="249"/>
      <c r="BO627" s="249"/>
      <c r="BP627" s="249"/>
      <c r="BQ627" s="249"/>
      <c r="BR627" s="249"/>
      <c r="BS627" s="249"/>
      <c r="BT627" s="249"/>
      <c r="BU627" s="249"/>
      <c r="BV627" s="249"/>
      <c r="BW627" s="249"/>
      <c r="BX627" s="249"/>
      <c r="BY627" s="249"/>
      <c r="BZ627" s="249"/>
      <c r="CA627" s="249"/>
      <c r="CB627" s="249"/>
      <c r="CC627" s="249"/>
      <c r="CD627" s="249"/>
      <c r="CE627" s="249"/>
    </row>
    <row r="628" spans="1:83" s="84" customFormat="1" ht="12.95" customHeight="1">
      <c r="A628" s="1"/>
      <c r="B628" s="1"/>
      <c r="C628" s="21" t="s">
        <v>873</v>
      </c>
      <c r="D628" s="52" t="s">
        <v>3208</v>
      </c>
      <c r="E628" s="52" t="s">
        <v>3209</v>
      </c>
      <c r="F628" s="53" t="s">
        <v>1167</v>
      </c>
      <c r="G628" s="179" t="s">
        <v>1429</v>
      </c>
      <c r="H628" s="180" t="s">
        <v>873</v>
      </c>
      <c r="I628" s="55" t="s">
        <v>1429</v>
      </c>
      <c r="J628" s="55" t="s">
        <v>1429</v>
      </c>
      <c r="K628" s="56" t="s">
        <v>1429</v>
      </c>
      <c r="L628" s="54" t="s">
        <v>1429</v>
      </c>
      <c r="M628" s="55" t="s">
        <v>1580</v>
      </c>
      <c r="N628" s="55" t="s">
        <v>1429</v>
      </c>
      <c r="O628" s="55" t="s">
        <v>1429</v>
      </c>
      <c r="P628" s="56" t="s">
        <v>1429</v>
      </c>
      <c r="Q628" s="85"/>
      <c r="R628" s="85"/>
      <c r="S628" s="85"/>
      <c r="T628" s="85"/>
      <c r="U628" s="85"/>
      <c r="V628" s="146" t="s">
        <v>3210</v>
      </c>
      <c r="W628" s="51" t="s">
        <v>2932</v>
      </c>
      <c r="X628" s="130" t="s">
        <v>1429</v>
      </c>
      <c r="Y628" s="130" t="s">
        <v>1429</v>
      </c>
      <c r="Z628" s="51"/>
      <c r="AA628" s="51" t="s">
        <v>2612</v>
      </c>
      <c r="AB628" s="146"/>
      <c r="AC628" s="146" t="s">
        <v>1429</v>
      </c>
      <c r="AD628" s="98"/>
      <c r="AE628" s="83"/>
      <c r="AF628" s="83"/>
      <c r="AG628" s="83"/>
      <c r="AH628" s="86"/>
      <c r="AI628" s="86"/>
      <c r="AJ628" s="87"/>
      <c r="AK628" s="87"/>
      <c r="AL628" s="87"/>
      <c r="AM628" s="87"/>
      <c r="AN628" s="87"/>
      <c r="AO628" s="87"/>
      <c r="AP628" s="87"/>
      <c r="AQ628" s="229" t="s">
        <v>873</v>
      </c>
      <c r="AR628" s="5"/>
      <c r="AS628" s="5"/>
      <c r="AT628" s="5"/>
      <c r="AU628" s="5"/>
      <c r="AV628" s="5"/>
      <c r="AW628" s="5"/>
      <c r="AX628" s="284"/>
      <c r="AY628" s="5"/>
      <c r="AZ628" s="5"/>
      <c r="BA628" s="230"/>
      <c r="BB628" s="5"/>
      <c r="BC628" s="232" t="s">
        <v>3536</v>
      </c>
      <c r="BD628" s="257"/>
      <c r="BE628" s="249"/>
      <c r="BF628" s="249"/>
      <c r="BG628" s="249"/>
      <c r="BH628" s="249"/>
      <c r="BI628" s="249"/>
      <c r="BJ628" s="249"/>
      <c r="BK628" s="249"/>
      <c r="BL628" s="249"/>
      <c r="BM628" s="249"/>
      <c r="BN628" s="249"/>
      <c r="BO628" s="249"/>
      <c r="BP628" s="249"/>
      <c r="BQ628" s="249"/>
      <c r="BR628" s="249"/>
      <c r="BS628" s="249"/>
      <c r="BT628" s="249"/>
      <c r="BU628" s="249"/>
      <c r="BV628" s="249"/>
      <c r="BW628" s="249"/>
      <c r="BX628" s="249"/>
      <c r="BY628" s="249"/>
      <c r="BZ628" s="249"/>
      <c r="CA628" s="249"/>
      <c r="CB628" s="249"/>
      <c r="CC628" s="249"/>
      <c r="CD628" s="249"/>
      <c r="CE628" s="249"/>
    </row>
    <row r="629" spans="1:83" s="84" customFormat="1" ht="12.95" customHeight="1">
      <c r="A629" s="1"/>
      <c r="B629" s="1"/>
      <c r="C629" s="21" t="s">
        <v>874</v>
      </c>
      <c r="D629" s="52" t="s">
        <v>3211</v>
      </c>
      <c r="E629" s="52" t="s">
        <v>3212</v>
      </c>
      <c r="F629" s="53" t="s">
        <v>1168</v>
      </c>
      <c r="G629" s="179" t="s">
        <v>1429</v>
      </c>
      <c r="H629" s="180" t="s">
        <v>874</v>
      </c>
      <c r="I629" s="55" t="s">
        <v>1429</v>
      </c>
      <c r="J629" s="55" t="s">
        <v>1429</v>
      </c>
      <c r="K629" s="56" t="s">
        <v>1429</v>
      </c>
      <c r="L629" s="54" t="s">
        <v>1429</v>
      </c>
      <c r="M629" s="55" t="s">
        <v>1580</v>
      </c>
      <c r="N629" s="55" t="s">
        <v>1429</v>
      </c>
      <c r="O629" s="55" t="s">
        <v>1429</v>
      </c>
      <c r="P629" s="56" t="s">
        <v>1429</v>
      </c>
      <c r="Q629" s="85"/>
      <c r="R629" s="85"/>
      <c r="S629" s="85"/>
      <c r="T629" s="85"/>
      <c r="U629" s="85"/>
      <c r="V629" s="146" t="s">
        <v>3213</v>
      </c>
      <c r="W629" s="51" t="s">
        <v>2932</v>
      </c>
      <c r="X629" s="130" t="s">
        <v>1429</v>
      </c>
      <c r="Y629" s="130" t="s">
        <v>1429</v>
      </c>
      <c r="Z629" s="51"/>
      <c r="AA629" s="51" t="s">
        <v>2612</v>
      </c>
      <c r="AB629" s="146"/>
      <c r="AC629" s="146" t="s">
        <v>1429</v>
      </c>
      <c r="AD629" s="98"/>
      <c r="AE629" s="83"/>
      <c r="AF629" s="83"/>
      <c r="AG629" s="83"/>
      <c r="AH629" s="86"/>
      <c r="AI629" s="86"/>
      <c r="AJ629" s="87"/>
      <c r="AK629" s="87"/>
      <c r="AL629" s="87"/>
      <c r="AM629" s="87"/>
      <c r="AN629" s="87"/>
      <c r="AO629" s="87"/>
      <c r="AP629" s="87"/>
      <c r="AQ629" s="229" t="s">
        <v>874</v>
      </c>
      <c r="AR629" s="5"/>
      <c r="AS629" s="5"/>
      <c r="AT629" s="5"/>
      <c r="AU629" s="5"/>
      <c r="AV629" s="5"/>
      <c r="AW629" s="5"/>
      <c r="AX629" s="284"/>
      <c r="AY629" s="5"/>
      <c r="AZ629" s="5"/>
      <c r="BA629" s="230"/>
      <c r="BB629" s="5"/>
      <c r="BC629" s="232" t="s">
        <v>3536</v>
      </c>
      <c r="BD629" s="257"/>
      <c r="BE629" s="249"/>
      <c r="BF629" s="249"/>
      <c r="BG629" s="249"/>
      <c r="BH629" s="249"/>
      <c r="BI629" s="249"/>
      <c r="BJ629" s="249"/>
      <c r="BK629" s="249"/>
      <c r="BL629" s="249"/>
      <c r="BM629" s="249"/>
      <c r="BN629" s="249"/>
      <c r="BO629" s="249"/>
      <c r="BP629" s="249"/>
      <c r="BQ629" s="249"/>
      <c r="BR629" s="249"/>
      <c r="BS629" s="249"/>
      <c r="BT629" s="249"/>
      <c r="BU629" s="249"/>
      <c r="BV629" s="249"/>
      <c r="BW629" s="249"/>
      <c r="BX629" s="249"/>
      <c r="BY629" s="249"/>
      <c r="BZ629" s="249"/>
      <c r="CA629" s="249"/>
      <c r="CB629" s="249"/>
      <c r="CC629" s="249"/>
      <c r="CD629" s="249"/>
      <c r="CE629" s="249"/>
    </row>
    <row r="630" spans="1:83" s="84" customFormat="1" ht="12.95" customHeight="1">
      <c r="A630" s="1"/>
      <c r="B630" s="1"/>
      <c r="C630" s="18" t="s">
        <v>875</v>
      </c>
      <c r="D630" s="52" t="s">
        <v>3214</v>
      </c>
      <c r="E630" s="52" t="s">
        <v>3215</v>
      </c>
      <c r="F630" s="53" t="s">
        <v>1169</v>
      </c>
      <c r="G630" s="179" t="s">
        <v>1429</v>
      </c>
      <c r="H630" s="180" t="s">
        <v>875</v>
      </c>
      <c r="I630" s="55" t="s">
        <v>1429</v>
      </c>
      <c r="J630" s="55" t="s">
        <v>1429</v>
      </c>
      <c r="K630" s="56" t="s">
        <v>1429</v>
      </c>
      <c r="L630" s="54" t="s">
        <v>1429</v>
      </c>
      <c r="M630" s="55" t="s">
        <v>1580</v>
      </c>
      <c r="N630" s="55" t="s">
        <v>1429</v>
      </c>
      <c r="O630" s="55" t="s">
        <v>1429</v>
      </c>
      <c r="P630" s="56" t="s">
        <v>1429</v>
      </c>
      <c r="Q630" s="85"/>
      <c r="R630" s="85"/>
      <c r="S630" s="85"/>
      <c r="T630" s="85"/>
      <c r="U630" s="85"/>
      <c r="V630" s="146" t="s">
        <v>3216</v>
      </c>
      <c r="W630" s="51" t="s">
        <v>2932</v>
      </c>
      <c r="X630" s="130" t="s">
        <v>1429</v>
      </c>
      <c r="Y630" s="130" t="s">
        <v>1429</v>
      </c>
      <c r="Z630" s="51"/>
      <c r="AA630" s="51" t="s">
        <v>2612</v>
      </c>
      <c r="AB630" s="146"/>
      <c r="AC630" s="146" t="s">
        <v>1429</v>
      </c>
      <c r="AD630" s="98"/>
      <c r="AE630" s="83"/>
      <c r="AF630" s="83"/>
      <c r="AG630" s="83"/>
      <c r="AH630" s="86"/>
      <c r="AI630" s="86"/>
      <c r="AJ630" s="87"/>
      <c r="AK630" s="87"/>
      <c r="AL630" s="87"/>
      <c r="AM630" s="87"/>
      <c r="AN630" s="87"/>
      <c r="AO630" s="87"/>
      <c r="AP630" s="87"/>
      <c r="AQ630" s="229" t="s">
        <v>875</v>
      </c>
      <c r="AR630" s="5"/>
      <c r="AS630" s="5"/>
      <c r="AT630" s="5"/>
      <c r="AU630" s="5"/>
      <c r="AV630" s="5"/>
      <c r="AW630" s="5"/>
      <c r="AX630" s="284"/>
      <c r="AY630" s="5"/>
      <c r="AZ630" s="5"/>
      <c r="BA630" s="230"/>
      <c r="BB630" s="5"/>
      <c r="BC630" s="232" t="s">
        <v>3536</v>
      </c>
      <c r="BD630" s="257"/>
      <c r="BE630" s="249"/>
      <c r="BF630" s="249"/>
      <c r="BG630" s="249"/>
      <c r="BH630" s="249"/>
      <c r="BI630" s="249"/>
      <c r="BJ630" s="249"/>
      <c r="BK630" s="249"/>
      <c r="BL630" s="249"/>
      <c r="BM630" s="249"/>
      <c r="BN630" s="249"/>
      <c r="BO630" s="249"/>
      <c r="BP630" s="249"/>
      <c r="BQ630" s="249"/>
      <c r="BR630" s="249"/>
      <c r="BS630" s="249"/>
      <c r="BT630" s="249"/>
      <c r="BU630" s="249"/>
      <c r="BV630" s="249"/>
      <c r="BW630" s="249"/>
      <c r="BX630" s="249"/>
      <c r="BY630" s="249"/>
      <c r="BZ630" s="249"/>
      <c r="CA630" s="249"/>
      <c r="CB630" s="249"/>
      <c r="CC630" s="249"/>
      <c r="CD630" s="249"/>
      <c r="CE630" s="249"/>
    </row>
    <row r="631" spans="1:83" s="84" customFormat="1" ht="12.95" customHeight="1">
      <c r="A631" s="1"/>
      <c r="B631" s="1"/>
      <c r="C631" s="18" t="s">
        <v>876</v>
      </c>
      <c r="D631" s="52" t="s">
        <v>3217</v>
      </c>
      <c r="E631" s="52" t="s">
        <v>3178</v>
      </c>
      <c r="F631" s="53" t="s">
        <v>1170</v>
      </c>
      <c r="G631" s="179" t="s">
        <v>1429</v>
      </c>
      <c r="H631" s="180" t="s">
        <v>876</v>
      </c>
      <c r="I631" s="55" t="s">
        <v>1429</v>
      </c>
      <c r="J631" s="55" t="s">
        <v>1429</v>
      </c>
      <c r="K631" s="56" t="s">
        <v>1429</v>
      </c>
      <c r="L631" s="54" t="s">
        <v>1429</v>
      </c>
      <c r="M631" s="55" t="s">
        <v>1580</v>
      </c>
      <c r="N631" s="55" t="s">
        <v>1429</v>
      </c>
      <c r="O631" s="55" t="s">
        <v>1429</v>
      </c>
      <c r="P631" s="56" t="s">
        <v>1429</v>
      </c>
      <c r="Q631" s="85"/>
      <c r="R631" s="85"/>
      <c r="S631" s="85"/>
      <c r="T631" s="85"/>
      <c r="U631" s="85"/>
      <c r="V631" s="146" t="s">
        <v>3218</v>
      </c>
      <c r="W631" s="51" t="s">
        <v>2932</v>
      </c>
      <c r="X631" s="130" t="s">
        <v>1429</v>
      </c>
      <c r="Y631" s="130" t="s">
        <v>1429</v>
      </c>
      <c r="Z631" s="51"/>
      <c r="AA631" s="51" t="s">
        <v>2612</v>
      </c>
      <c r="AB631" s="146"/>
      <c r="AC631" s="146" t="s">
        <v>1429</v>
      </c>
      <c r="AD631" s="98"/>
      <c r="AE631" s="83"/>
      <c r="AF631" s="83"/>
      <c r="AG631" s="83"/>
      <c r="AH631" s="86"/>
      <c r="AI631" s="86"/>
      <c r="AJ631" s="87"/>
      <c r="AK631" s="87"/>
      <c r="AL631" s="87"/>
      <c r="AM631" s="87"/>
      <c r="AN631" s="87"/>
      <c r="AO631" s="87"/>
      <c r="AP631" s="87"/>
      <c r="AQ631" s="229" t="s">
        <v>876</v>
      </c>
      <c r="AR631" s="5"/>
      <c r="AS631" s="5"/>
      <c r="AT631" s="5"/>
      <c r="AU631" s="5"/>
      <c r="AV631" s="5"/>
      <c r="AW631" s="5"/>
      <c r="AX631" s="284"/>
      <c r="AY631" s="5"/>
      <c r="AZ631" s="5"/>
      <c r="BA631" s="230"/>
      <c r="BB631" s="5"/>
      <c r="BC631" s="232" t="s">
        <v>3536</v>
      </c>
      <c r="BD631" s="257"/>
      <c r="BE631" s="249"/>
      <c r="BF631" s="249"/>
      <c r="BG631" s="249"/>
      <c r="BH631" s="249"/>
      <c r="BI631" s="249"/>
      <c r="BJ631" s="249"/>
      <c r="BK631" s="249"/>
      <c r="BL631" s="249"/>
      <c r="BM631" s="249"/>
      <c r="BN631" s="249"/>
      <c r="BO631" s="249"/>
      <c r="BP631" s="249"/>
      <c r="BQ631" s="249"/>
      <c r="BR631" s="249"/>
      <c r="BS631" s="249"/>
      <c r="BT631" s="249"/>
      <c r="BU631" s="249"/>
      <c r="BV631" s="249"/>
      <c r="BW631" s="249"/>
      <c r="BX631" s="249"/>
      <c r="BY631" s="249"/>
      <c r="BZ631" s="249"/>
      <c r="CA631" s="249"/>
      <c r="CB631" s="249"/>
      <c r="CC631" s="249"/>
      <c r="CD631" s="249"/>
      <c r="CE631" s="249"/>
    </row>
    <row r="632" spans="1:83" s="84" customFormat="1" ht="12.95" customHeight="1">
      <c r="A632" s="1"/>
      <c r="B632" s="1"/>
      <c r="C632" s="18" t="s">
        <v>877</v>
      </c>
      <c r="D632" s="52" t="s">
        <v>3219</v>
      </c>
      <c r="E632" s="52" t="s">
        <v>3220</v>
      </c>
      <c r="F632" s="53" t="s">
        <v>1171</v>
      </c>
      <c r="G632" s="179" t="s">
        <v>1429</v>
      </c>
      <c r="H632" s="180" t="s">
        <v>877</v>
      </c>
      <c r="I632" s="55" t="s">
        <v>1429</v>
      </c>
      <c r="J632" s="55" t="s">
        <v>1429</v>
      </c>
      <c r="K632" s="56" t="s">
        <v>1429</v>
      </c>
      <c r="L632" s="54" t="s">
        <v>1429</v>
      </c>
      <c r="M632" s="55" t="s">
        <v>1580</v>
      </c>
      <c r="N632" s="55" t="s">
        <v>1429</v>
      </c>
      <c r="O632" s="55" t="s">
        <v>1429</v>
      </c>
      <c r="P632" s="56" t="s">
        <v>1429</v>
      </c>
      <c r="Q632" s="85"/>
      <c r="R632" s="85"/>
      <c r="S632" s="85"/>
      <c r="T632" s="85"/>
      <c r="U632" s="85"/>
      <c r="V632" s="146" t="s">
        <v>3221</v>
      </c>
      <c r="W632" s="51" t="s">
        <v>2932</v>
      </c>
      <c r="X632" s="130" t="s">
        <v>1429</v>
      </c>
      <c r="Y632" s="130" t="s">
        <v>1429</v>
      </c>
      <c r="Z632" s="51"/>
      <c r="AA632" s="51" t="s">
        <v>2612</v>
      </c>
      <c r="AB632" s="146"/>
      <c r="AC632" s="146" t="s">
        <v>1429</v>
      </c>
      <c r="AD632" s="98"/>
      <c r="AE632" s="83"/>
      <c r="AF632" s="83"/>
      <c r="AG632" s="83"/>
      <c r="AH632" s="86"/>
      <c r="AI632" s="86"/>
      <c r="AJ632" s="87"/>
      <c r="AK632" s="87"/>
      <c r="AL632" s="87"/>
      <c r="AM632" s="87"/>
      <c r="AN632" s="87"/>
      <c r="AO632" s="87"/>
      <c r="AP632" s="87"/>
      <c r="AQ632" s="229" t="s">
        <v>877</v>
      </c>
      <c r="AR632" s="5"/>
      <c r="AS632" s="5"/>
      <c r="AT632" s="5"/>
      <c r="AU632" s="5"/>
      <c r="AV632" s="5"/>
      <c r="AW632" s="5"/>
      <c r="AX632" s="284"/>
      <c r="AY632" s="5"/>
      <c r="AZ632" s="5"/>
      <c r="BA632" s="230"/>
      <c r="BB632" s="5"/>
      <c r="BC632" s="232" t="s">
        <v>3536</v>
      </c>
      <c r="BD632" s="257"/>
      <c r="BE632" s="249"/>
      <c r="BF632" s="249"/>
      <c r="BG632" s="249"/>
      <c r="BH632" s="249"/>
      <c r="BI632" s="249"/>
      <c r="BJ632" s="249"/>
      <c r="BK632" s="249"/>
      <c r="BL632" s="249"/>
      <c r="BM632" s="249"/>
      <c r="BN632" s="249"/>
      <c r="BO632" s="249"/>
      <c r="BP632" s="249"/>
      <c r="BQ632" s="249"/>
      <c r="BR632" s="249"/>
      <c r="BS632" s="249"/>
      <c r="BT632" s="249"/>
      <c r="BU632" s="249"/>
      <c r="BV632" s="249"/>
      <c r="BW632" s="249"/>
      <c r="BX632" s="249"/>
      <c r="BY632" s="249"/>
      <c r="BZ632" s="249"/>
      <c r="CA632" s="249"/>
      <c r="CB632" s="249"/>
      <c r="CC632" s="249"/>
      <c r="CD632" s="249"/>
      <c r="CE632" s="249"/>
    </row>
    <row r="633" spans="1:83" s="84" customFormat="1" ht="12.95" customHeight="1">
      <c r="A633" s="1"/>
      <c r="B633" s="1"/>
      <c r="C633" s="18" t="s">
        <v>878</v>
      </c>
      <c r="D633" s="52" t="s">
        <v>3222</v>
      </c>
      <c r="E633" s="52" t="s">
        <v>3172</v>
      </c>
      <c r="F633" s="53" t="s">
        <v>1172</v>
      </c>
      <c r="G633" s="179" t="s">
        <v>1429</v>
      </c>
      <c r="H633" s="180" t="s">
        <v>878</v>
      </c>
      <c r="I633" s="55" t="s">
        <v>1429</v>
      </c>
      <c r="J633" s="55" t="s">
        <v>1429</v>
      </c>
      <c r="K633" s="56" t="s">
        <v>1429</v>
      </c>
      <c r="L633" s="54" t="s">
        <v>1429</v>
      </c>
      <c r="M633" s="55" t="s">
        <v>1580</v>
      </c>
      <c r="N633" s="55" t="s">
        <v>1429</v>
      </c>
      <c r="O633" s="55" t="s">
        <v>1429</v>
      </c>
      <c r="P633" s="56" t="s">
        <v>1429</v>
      </c>
      <c r="Q633" s="85"/>
      <c r="R633" s="85"/>
      <c r="S633" s="85"/>
      <c r="T633" s="85"/>
      <c r="U633" s="85"/>
      <c r="V633" s="146" t="s">
        <v>3223</v>
      </c>
      <c r="W633" s="51" t="s">
        <v>2932</v>
      </c>
      <c r="X633" s="130" t="s">
        <v>1429</v>
      </c>
      <c r="Y633" s="130" t="s">
        <v>1429</v>
      </c>
      <c r="Z633" s="51"/>
      <c r="AA633" s="51" t="s">
        <v>2612</v>
      </c>
      <c r="AB633" s="146"/>
      <c r="AC633" s="146" t="s">
        <v>1429</v>
      </c>
      <c r="AD633" s="98"/>
      <c r="AE633" s="83"/>
      <c r="AF633" s="83"/>
      <c r="AG633" s="83"/>
      <c r="AH633" s="86"/>
      <c r="AI633" s="86"/>
      <c r="AJ633" s="87"/>
      <c r="AK633" s="87"/>
      <c r="AL633" s="87"/>
      <c r="AM633" s="87"/>
      <c r="AN633" s="87"/>
      <c r="AO633" s="87"/>
      <c r="AP633" s="87"/>
      <c r="AQ633" s="229" t="s">
        <v>878</v>
      </c>
      <c r="AR633" s="5"/>
      <c r="AS633" s="5"/>
      <c r="AT633" s="5"/>
      <c r="AU633" s="5"/>
      <c r="AV633" s="5"/>
      <c r="AW633" s="5"/>
      <c r="AX633" s="284"/>
      <c r="AY633" s="5"/>
      <c r="AZ633" s="5"/>
      <c r="BA633" s="230"/>
      <c r="BB633" s="5"/>
      <c r="BC633" s="232" t="s">
        <v>3536</v>
      </c>
      <c r="BD633" s="257"/>
      <c r="BE633" s="249"/>
      <c r="BF633" s="249"/>
      <c r="BG633" s="249"/>
      <c r="BH633" s="249"/>
      <c r="BI633" s="249"/>
      <c r="BJ633" s="249"/>
      <c r="BK633" s="249"/>
      <c r="BL633" s="249"/>
      <c r="BM633" s="249"/>
      <c r="BN633" s="249"/>
      <c r="BO633" s="249"/>
      <c r="BP633" s="249"/>
      <c r="BQ633" s="249"/>
      <c r="BR633" s="249"/>
      <c r="BS633" s="249"/>
      <c r="BT633" s="249"/>
      <c r="BU633" s="249"/>
      <c r="BV633" s="249"/>
      <c r="BW633" s="249"/>
      <c r="BX633" s="249"/>
      <c r="BY633" s="249"/>
      <c r="BZ633" s="249"/>
      <c r="CA633" s="249"/>
      <c r="CB633" s="249"/>
      <c r="CC633" s="249"/>
      <c r="CD633" s="249"/>
      <c r="CE633" s="249"/>
    </row>
    <row r="634" spans="1:83" s="84" customFormat="1" ht="12.95" customHeight="1">
      <c r="A634" s="1"/>
      <c r="B634" s="1"/>
      <c r="C634" s="18" t="s">
        <v>879</v>
      </c>
      <c r="D634" s="52" t="s">
        <v>3224</v>
      </c>
      <c r="E634" s="52" t="s">
        <v>3169</v>
      </c>
      <c r="F634" s="53" t="s">
        <v>1173</v>
      </c>
      <c r="G634" s="179" t="s">
        <v>1429</v>
      </c>
      <c r="H634" s="180" t="s">
        <v>879</v>
      </c>
      <c r="I634" s="55" t="s">
        <v>1429</v>
      </c>
      <c r="J634" s="55" t="s">
        <v>1429</v>
      </c>
      <c r="K634" s="56" t="s">
        <v>1429</v>
      </c>
      <c r="L634" s="54" t="s">
        <v>1429</v>
      </c>
      <c r="M634" s="55" t="s">
        <v>1580</v>
      </c>
      <c r="N634" s="55" t="s">
        <v>1429</v>
      </c>
      <c r="O634" s="55" t="s">
        <v>1429</v>
      </c>
      <c r="P634" s="56" t="s">
        <v>1429</v>
      </c>
      <c r="Q634" s="85"/>
      <c r="R634" s="85"/>
      <c r="S634" s="85"/>
      <c r="T634" s="85"/>
      <c r="U634" s="85"/>
      <c r="V634" s="146" t="s">
        <v>3225</v>
      </c>
      <c r="W634" s="51" t="s">
        <v>2932</v>
      </c>
      <c r="X634" s="130" t="s">
        <v>1429</v>
      </c>
      <c r="Y634" s="130" t="s">
        <v>1429</v>
      </c>
      <c r="Z634" s="51"/>
      <c r="AA634" s="51" t="s">
        <v>2612</v>
      </c>
      <c r="AB634" s="146"/>
      <c r="AC634" s="146" t="s">
        <v>1429</v>
      </c>
      <c r="AD634" s="98"/>
      <c r="AE634" s="83"/>
      <c r="AF634" s="83"/>
      <c r="AG634" s="83"/>
      <c r="AH634" s="86"/>
      <c r="AI634" s="86"/>
      <c r="AJ634" s="87"/>
      <c r="AK634" s="87"/>
      <c r="AL634" s="87"/>
      <c r="AM634" s="87"/>
      <c r="AN634" s="87"/>
      <c r="AO634" s="87"/>
      <c r="AP634" s="87"/>
      <c r="AQ634" s="229" t="s">
        <v>879</v>
      </c>
      <c r="AR634" s="5"/>
      <c r="AS634" s="5"/>
      <c r="AT634" s="5"/>
      <c r="AU634" s="5"/>
      <c r="AV634" s="5"/>
      <c r="AW634" s="5"/>
      <c r="AX634" s="284"/>
      <c r="AY634" s="5"/>
      <c r="AZ634" s="5"/>
      <c r="BA634" s="230"/>
      <c r="BB634" s="5"/>
      <c r="BC634" s="232" t="s">
        <v>3536</v>
      </c>
      <c r="BD634" s="257"/>
      <c r="BE634" s="249"/>
      <c r="BF634" s="249"/>
      <c r="BG634" s="249"/>
      <c r="BH634" s="249"/>
      <c r="BI634" s="249"/>
      <c r="BJ634" s="249"/>
      <c r="BK634" s="249"/>
      <c r="BL634" s="249"/>
      <c r="BM634" s="249"/>
      <c r="BN634" s="249"/>
      <c r="BO634" s="249"/>
      <c r="BP634" s="249"/>
      <c r="BQ634" s="249"/>
      <c r="BR634" s="249"/>
      <c r="BS634" s="249"/>
      <c r="BT634" s="249"/>
      <c r="BU634" s="249"/>
      <c r="BV634" s="249"/>
      <c r="BW634" s="249"/>
      <c r="BX634" s="249"/>
      <c r="BY634" s="249"/>
      <c r="BZ634" s="249"/>
      <c r="CA634" s="249"/>
      <c r="CB634" s="249"/>
      <c r="CC634" s="249"/>
      <c r="CD634" s="249"/>
      <c r="CE634" s="249"/>
    </row>
    <row r="635" spans="1:83" s="84" customFormat="1" ht="12.95" customHeight="1">
      <c r="A635" s="1"/>
      <c r="B635" s="1"/>
      <c r="C635" s="18" t="s">
        <v>880</v>
      </c>
      <c r="D635" s="52" t="s">
        <v>3226</v>
      </c>
      <c r="E635" s="52" t="s">
        <v>3227</v>
      </c>
      <c r="F635" s="53" t="s">
        <v>1174</v>
      </c>
      <c r="G635" s="179" t="s">
        <v>1429</v>
      </c>
      <c r="H635" s="180" t="s">
        <v>880</v>
      </c>
      <c r="I635" s="55" t="s">
        <v>1429</v>
      </c>
      <c r="J635" s="55" t="s">
        <v>1429</v>
      </c>
      <c r="K635" s="56" t="s">
        <v>1429</v>
      </c>
      <c r="L635" s="54" t="s">
        <v>1429</v>
      </c>
      <c r="M635" s="55" t="s">
        <v>1580</v>
      </c>
      <c r="N635" s="55" t="s">
        <v>1429</v>
      </c>
      <c r="O635" s="55" t="s">
        <v>1429</v>
      </c>
      <c r="P635" s="56" t="s">
        <v>1429</v>
      </c>
      <c r="Q635" s="85"/>
      <c r="R635" s="85"/>
      <c r="S635" s="85"/>
      <c r="T635" s="85"/>
      <c r="U635" s="85"/>
      <c r="V635" s="146" t="s">
        <v>3228</v>
      </c>
      <c r="W635" s="51" t="s">
        <v>2932</v>
      </c>
      <c r="X635" s="130" t="s">
        <v>1429</v>
      </c>
      <c r="Y635" s="130" t="s">
        <v>1429</v>
      </c>
      <c r="Z635" s="51"/>
      <c r="AA635" s="51" t="s">
        <v>2612</v>
      </c>
      <c r="AB635" s="146"/>
      <c r="AC635" s="146" t="s">
        <v>1429</v>
      </c>
      <c r="AD635" s="98"/>
      <c r="AE635" s="83"/>
      <c r="AF635" s="83"/>
      <c r="AG635" s="83"/>
      <c r="AH635" s="86"/>
      <c r="AI635" s="86"/>
      <c r="AJ635" s="87"/>
      <c r="AK635" s="87"/>
      <c r="AL635" s="87"/>
      <c r="AM635" s="87"/>
      <c r="AN635" s="87"/>
      <c r="AO635" s="87"/>
      <c r="AP635" s="87"/>
      <c r="AQ635" s="229" t="s">
        <v>880</v>
      </c>
      <c r="AR635" s="5"/>
      <c r="AS635" s="5"/>
      <c r="AT635" s="5"/>
      <c r="AU635" s="5"/>
      <c r="AV635" s="5"/>
      <c r="AW635" s="5"/>
      <c r="AX635" s="284"/>
      <c r="AY635" s="5"/>
      <c r="AZ635" s="5"/>
      <c r="BA635" s="230"/>
      <c r="BB635" s="5"/>
      <c r="BC635" s="232" t="s">
        <v>3536</v>
      </c>
      <c r="BD635" s="257"/>
      <c r="BE635" s="249"/>
      <c r="BF635" s="249"/>
      <c r="BG635" s="249"/>
      <c r="BH635" s="249"/>
      <c r="BI635" s="249"/>
      <c r="BJ635" s="249"/>
      <c r="BK635" s="249"/>
      <c r="BL635" s="249"/>
      <c r="BM635" s="249"/>
      <c r="BN635" s="249"/>
      <c r="BO635" s="249"/>
      <c r="BP635" s="249"/>
      <c r="BQ635" s="249"/>
      <c r="BR635" s="249"/>
      <c r="BS635" s="249"/>
      <c r="BT635" s="249"/>
      <c r="BU635" s="249"/>
      <c r="BV635" s="249"/>
      <c r="BW635" s="249"/>
      <c r="BX635" s="249"/>
      <c r="BY635" s="249"/>
      <c r="BZ635" s="249"/>
      <c r="CA635" s="249"/>
      <c r="CB635" s="249"/>
      <c r="CC635" s="249"/>
      <c r="CD635" s="249"/>
      <c r="CE635" s="249"/>
    </row>
    <row r="636" spans="1:83" s="84" customFormat="1" ht="12.95" customHeight="1">
      <c r="A636" s="1"/>
      <c r="B636" s="1"/>
      <c r="C636" s="18" t="s">
        <v>881</v>
      </c>
      <c r="D636" s="52" t="s">
        <v>3229</v>
      </c>
      <c r="E636" s="52" t="s">
        <v>3190</v>
      </c>
      <c r="F636" s="53" t="s">
        <v>1175</v>
      </c>
      <c r="G636" s="179" t="s">
        <v>1429</v>
      </c>
      <c r="H636" s="180" t="s">
        <v>881</v>
      </c>
      <c r="I636" s="55" t="s">
        <v>1429</v>
      </c>
      <c r="J636" s="55" t="s">
        <v>1429</v>
      </c>
      <c r="K636" s="56" t="s">
        <v>1429</v>
      </c>
      <c r="L636" s="54" t="s">
        <v>1429</v>
      </c>
      <c r="M636" s="55" t="s">
        <v>1580</v>
      </c>
      <c r="N636" s="55" t="s">
        <v>1429</v>
      </c>
      <c r="O636" s="55" t="s">
        <v>1429</v>
      </c>
      <c r="P636" s="56" t="s">
        <v>1429</v>
      </c>
      <c r="Q636" s="85"/>
      <c r="R636" s="85"/>
      <c r="S636" s="85"/>
      <c r="T636" s="85"/>
      <c r="U636" s="85"/>
      <c r="V636" s="146" t="s">
        <v>3230</v>
      </c>
      <c r="W636" s="51" t="s">
        <v>2932</v>
      </c>
      <c r="X636" s="130" t="s">
        <v>1429</v>
      </c>
      <c r="Y636" s="130" t="s">
        <v>1429</v>
      </c>
      <c r="Z636" s="51"/>
      <c r="AA636" s="51" t="s">
        <v>2612</v>
      </c>
      <c r="AB636" s="146"/>
      <c r="AC636" s="146" t="s">
        <v>1429</v>
      </c>
      <c r="AD636" s="98"/>
      <c r="AE636" s="83"/>
      <c r="AF636" s="83"/>
      <c r="AG636" s="83"/>
      <c r="AH636" s="86"/>
      <c r="AI636" s="86"/>
      <c r="AJ636" s="87"/>
      <c r="AK636" s="87"/>
      <c r="AL636" s="87"/>
      <c r="AM636" s="87"/>
      <c r="AN636" s="87"/>
      <c r="AO636" s="87"/>
      <c r="AP636" s="87"/>
      <c r="AQ636" s="229" t="s">
        <v>881</v>
      </c>
      <c r="AR636" s="5"/>
      <c r="AS636" s="5"/>
      <c r="AT636" s="5"/>
      <c r="AU636" s="5"/>
      <c r="AV636" s="5"/>
      <c r="AW636" s="5"/>
      <c r="AX636" s="284"/>
      <c r="AY636" s="5"/>
      <c r="AZ636" s="5"/>
      <c r="BA636" s="230"/>
      <c r="BB636" s="5"/>
      <c r="BC636" s="232" t="s">
        <v>3536</v>
      </c>
      <c r="BD636" s="257"/>
      <c r="BE636" s="249"/>
      <c r="BF636" s="249"/>
      <c r="BG636" s="249"/>
      <c r="BH636" s="249"/>
      <c r="BI636" s="249"/>
      <c r="BJ636" s="249"/>
      <c r="BK636" s="249"/>
      <c r="BL636" s="249"/>
      <c r="BM636" s="249"/>
      <c r="BN636" s="249"/>
      <c r="BO636" s="249"/>
      <c r="BP636" s="249"/>
      <c r="BQ636" s="249"/>
      <c r="BR636" s="249"/>
      <c r="BS636" s="249"/>
      <c r="BT636" s="249"/>
      <c r="BU636" s="249"/>
      <c r="BV636" s="249"/>
      <c r="BW636" s="249"/>
      <c r="BX636" s="249"/>
      <c r="BY636" s="249"/>
      <c r="BZ636" s="249"/>
      <c r="CA636" s="249"/>
      <c r="CB636" s="249"/>
      <c r="CC636" s="249"/>
      <c r="CD636" s="249"/>
      <c r="CE636" s="249"/>
    </row>
    <row r="637" spans="1:83" s="84" customFormat="1" ht="12.95" customHeight="1">
      <c r="A637" s="1"/>
      <c r="B637" s="1"/>
      <c r="C637" s="18" t="s">
        <v>882</v>
      </c>
      <c r="D637" s="52" t="s">
        <v>3231</v>
      </c>
      <c r="E637" s="52" t="s">
        <v>3232</v>
      </c>
      <c r="F637" s="53" t="s">
        <v>1176</v>
      </c>
      <c r="G637" s="179" t="s">
        <v>1429</v>
      </c>
      <c r="H637" s="180" t="s">
        <v>882</v>
      </c>
      <c r="I637" s="55" t="s">
        <v>1429</v>
      </c>
      <c r="J637" s="55" t="s">
        <v>1429</v>
      </c>
      <c r="K637" s="56" t="s">
        <v>1429</v>
      </c>
      <c r="L637" s="54" t="s">
        <v>1429</v>
      </c>
      <c r="M637" s="55" t="s">
        <v>1580</v>
      </c>
      <c r="N637" s="55" t="s">
        <v>1429</v>
      </c>
      <c r="O637" s="55" t="s">
        <v>1429</v>
      </c>
      <c r="P637" s="56" t="s">
        <v>1429</v>
      </c>
      <c r="Q637" s="85"/>
      <c r="R637" s="85"/>
      <c r="S637" s="85"/>
      <c r="T637" s="85"/>
      <c r="U637" s="85"/>
      <c r="V637" s="146" t="s">
        <v>3233</v>
      </c>
      <c r="W637" s="51" t="s">
        <v>2932</v>
      </c>
      <c r="X637" s="130" t="s">
        <v>1429</v>
      </c>
      <c r="Y637" s="130" t="s">
        <v>1429</v>
      </c>
      <c r="Z637" s="51"/>
      <c r="AA637" s="51" t="s">
        <v>2612</v>
      </c>
      <c r="AB637" s="146"/>
      <c r="AC637" s="146" t="s">
        <v>1429</v>
      </c>
      <c r="AD637" s="98"/>
      <c r="AE637" s="83"/>
      <c r="AF637" s="83"/>
      <c r="AG637" s="83"/>
      <c r="AH637" s="86"/>
      <c r="AI637" s="86"/>
      <c r="AJ637" s="87"/>
      <c r="AK637" s="87"/>
      <c r="AL637" s="87"/>
      <c r="AM637" s="87"/>
      <c r="AN637" s="87"/>
      <c r="AO637" s="87"/>
      <c r="AP637" s="87"/>
      <c r="AQ637" s="229" t="s">
        <v>882</v>
      </c>
      <c r="AR637" s="5"/>
      <c r="AS637" s="5"/>
      <c r="AT637" s="5"/>
      <c r="AU637" s="5"/>
      <c r="AV637" s="5"/>
      <c r="AW637" s="5"/>
      <c r="AX637" s="284"/>
      <c r="AY637" s="5"/>
      <c r="AZ637" s="5"/>
      <c r="BA637" s="230"/>
      <c r="BB637" s="5"/>
      <c r="BC637" s="232" t="s">
        <v>3536</v>
      </c>
      <c r="BD637" s="257"/>
      <c r="BE637" s="249"/>
      <c r="BF637" s="249"/>
      <c r="BG637" s="249"/>
      <c r="BH637" s="249"/>
      <c r="BI637" s="249"/>
      <c r="BJ637" s="249"/>
      <c r="BK637" s="249"/>
      <c r="BL637" s="249"/>
      <c r="BM637" s="249"/>
      <c r="BN637" s="249"/>
      <c r="BO637" s="249"/>
      <c r="BP637" s="249"/>
      <c r="BQ637" s="249"/>
      <c r="BR637" s="249"/>
      <c r="BS637" s="249"/>
      <c r="BT637" s="249"/>
      <c r="BU637" s="249"/>
      <c r="BV637" s="249"/>
      <c r="BW637" s="249"/>
      <c r="BX637" s="249"/>
      <c r="BY637" s="249"/>
      <c r="BZ637" s="249"/>
      <c r="CA637" s="249"/>
      <c r="CB637" s="249"/>
      <c r="CC637" s="249"/>
      <c r="CD637" s="249"/>
      <c r="CE637" s="249"/>
    </row>
    <row r="638" spans="1:83" s="84" customFormat="1" ht="12.95" customHeight="1">
      <c r="A638" s="1"/>
      <c r="B638" s="1"/>
      <c r="C638" s="18" t="s">
        <v>883</v>
      </c>
      <c r="D638" s="52" t="s">
        <v>3234</v>
      </c>
      <c r="E638" s="52" t="s">
        <v>3211</v>
      </c>
      <c r="F638" s="53" t="s">
        <v>1177</v>
      </c>
      <c r="G638" s="179" t="s">
        <v>1429</v>
      </c>
      <c r="H638" s="180" t="s">
        <v>883</v>
      </c>
      <c r="I638" s="55" t="s">
        <v>1429</v>
      </c>
      <c r="J638" s="55" t="s">
        <v>1429</v>
      </c>
      <c r="K638" s="56" t="s">
        <v>1429</v>
      </c>
      <c r="L638" s="54" t="s">
        <v>1429</v>
      </c>
      <c r="M638" s="55" t="s">
        <v>1580</v>
      </c>
      <c r="N638" s="55" t="s">
        <v>1429</v>
      </c>
      <c r="O638" s="55" t="s">
        <v>1429</v>
      </c>
      <c r="P638" s="56" t="s">
        <v>1429</v>
      </c>
      <c r="Q638" s="85"/>
      <c r="R638" s="85"/>
      <c r="S638" s="85"/>
      <c r="T638" s="85"/>
      <c r="U638" s="85"/>
      <c r="V638" s="146" t="s">
        <v>3235</v>
      </c>
      <c r="W638" s="51" t="s">
        <v>2932</v>
      </c>
      <c r="X638" s="130" t="s">
        <v>1429</v>
      </c>
      <c r="Y638" s="130" t="s">
        <v>1429</v>
      </c>
      <c r="Z638" s="51"/>
      <c r="AA638" s="51" t="s">
        <v>2612</v>
      </c>
      <c r="AB638" s="146"/>
      <c r="AC638" s="146" t="s">
        <v>1429</v>
      </c>
      <c r="AD638" s="98"/>
      <c r="AE638" s="83"/>
      <c r="AF638" s="83"/>
      <c r="AG638" s="83"/>
      <c r="AH638" s="86"/>
      <c r="AI638" s="86"/>
      <c r="AJ638" s="87"/>
      <c r="AK638" s="87"/>
      <c r="AL638" s="87"/>
      <c r="AM638" s="87"/>
      <c r="AN638" s="87"/>
      <c r="AO638" s="87"/>
      <c r="AP638" s="87"/>
      <c r="AQ638" s="229" t="s">
        <v>883</v>
      </c>
      <c r="AR638" s="5"/>
      <c r="AS638" s="5"/>
      <c r="AT638" s="5"/>
      <c r="AU638" s="5"/>
      <c r="AV638" s="5"/>
      <c r="AW638" s="5"/>
      <c r="AX638" s="284"/>
      <c r="AY638" s="5"/>
      <c r="AZ638" s="5"/>
      <c r="BA638" s="230"/>
      <c r="BB638" s="5"/>
      <c r="BC638" s="232" t="s">
        <v>3536</v>
      </c>
      <c r="BD638" s="257"/>
      <c r="BE638" s="249"/>
      <c r="BF638" s="249"/>
      <c r="BG638" s="249"/>
      <c r="BH638" s="249"/>
      <c r="BI638" s="249"/>
      <c r="BJ638" s="249"/>
      <c r="BK638" s="249"/>
      <c r="BL638" s="249"/>
      <c r="BM638" s="249"/>
      <c r="BN638" s="249"/>
      <c r="BO638" s="249"/>
      <c r="BP638" s="249"/>
      <c r="BQ638" s="249"/>
      <c r="BR638" s="249"/>
      <c r="BS638" s="249"/>
      <c r="BT638" s="249"/>
      <c r="BU638" s="249"/>
      <c r="BV638" s="249"/>
      <c r="BW638" s="249"/>
      <c r="BX638" s="249"/>
      <c r="BY638" s="249"/>
      <c r="BZ638" s="249"/>
      <c r="CA638" s="249"/>
      <c r="CB638" s="249"/>
      <c r="CC638" s="249"/>
      <c r="CD638" s="249"/>
      <c r="CE638" s="249"/>
    </row>
    <row r="639" spans="1:83" s="84" customFormat="1" ht="12.95" customHeight="1">
      <c r="A639" s="1"/>
      <c r="B639" s="1"/>
      <c r="C639" s="18" t="s">
        <v>884</v>
      </c>
      <c r="D639" s="52" t="s">
        <v>3236</v>
      </c>
      <c r="E639" s="52" t="s">
        <v>3208</v>
      </c>
      <c r="F639" s="53" t="s">
        <v>1178</v>
      </c>
      <c r="G639" s="179" t="s">
        <v>1429</v>
      </c>
      <c r="H639" s="180" t="s">
        <v>884</v>
      </c>
      <c r="I639" s="55" t="s">
        <v>1429</v>
      </c>
      <c r="J639" s="55" t="s">
        <v>1429</v>
      </c>
      <c r="K639" s="56" t="s">
        <v>1429</v>
      </c>
      <c r="L639" s="54" t="s">
        <v>1429</v>
      </c>
      <c r="M639" s="55" t="s">
        <v>1580</v>
      </c>
      <c r="N639" s="55" t="s">
        <v>1429</v>
      </c>
      <c r="O639" s="55" t="s">
        <v>1429</v>
      </c>
      <c r="P639" s="56" t="s">
        <v>1429</v>
      </c>
      <c r="Q639" s="85"/>
      <c r="R639" s="85"/>
      <c r="S639" s="85"/>
      <c r="T639" s="85"/>
      <c r="U639" s="85"/>
      <c r="V639" s="146" t="s">
        <v>3237</v>
      </c>
      <c r="W639" s="51" t="s">
        <v>2932</v>
      </c>
      <c r="X639" s="130" t="s">
        <v>1429</v>
      </c>
      <c r="Y639" s="130" t="s">
        <v>1429</v>
      </c>
      <c r="Z639" s="51"/>
      <c r="AA639" s="51" t="s">
        <v>2612</v>
      </c>
      <c r="AB639" s="146"/>
      <c r="AC639" s="146" t="s">
        <v>1429</v>
      </c>
      <c r="AD639" s="98"/>
      <c r="AE639" s="83"/>
      <c r="AF639" s="83"/>
      <c r="AG639" s="83"/>
      <c r="AH639" s="86"/>
      <c r="AI639" s="86"/>
      <c r="AJ639" s="87"/>
      <c r="AK639" s="87"/>
      <c r="AL639" s="87"/>
      <c r="AM639" s="87"/>
      <c r="AN639" s="87"/>
      <c r="AO639" s="87"/>
      <c r="AP639" s="87"/>
      <c r="AQ639" s="229" t="s">
        <v>884</v>
      </c>
      <c r="AR639" s="5"/>
      <c r="AS639" s="5"/>
      <c r="AT639" s="5"/>
      <c r="AU639" s="5"/>
      <c r="AV639" s="5"/>
      <c r="AW639" s="5"/>
      <c r="AX639" s="284"/>
      <c r="AY639" s="5"/>
      <c r="AZ639" s="5"/>
      <c r="BA639" s="230"/>
      <c r="BB639" s="5"/>
      <c r="BC639" s="232" t="s">
        <v>3536</v>
      </c>
      <c r="BD639" s="257"/>
      <c r="BE639" s="249"/>
      <c r="BF639" s="249"/>
      <c r="BG639" s="249"/>
      <c r="BH639" s="249"/>
      <c r="BI639" s="249"/>
      <c r="BJ639" s="249"/>
      <c r="BK639" s="249"/>
      <c r="BL639" s="249"/>
      <c r="BM639" s="249"/>
      <c r="BN639" s="249"/>
      <c r="BO639" s="249"/>
      <c r="BP639" s="249"/>
      <c r="BQ639" s="249"/>
      <c r="BR639" s="249"/>
      <c r="BS639" s="249"/>
      <c r="BT639" s="249"/>
      <c r="BU639" s="249"/>
      <c r="BV639" s="249"/>
      <c r="BW639" s="249"/>
      <c r="BX639" s="249"/>
      <c r="BY639" s="249"/>
      <c r="BZ639" s="249"/>
      <c r="CA639" s="249"/>
      <c r="CB639" s="249"/>
      <c r="CC639" s="249"/>
      <c r="CD639" s="249"/>
      <c r="CE639" s="249"/>
    </row>
    <row r="640" spans="1:83" s="84" customFormat="1" ht="12.95" customHeight="1">
      <c r="A640" s="1"/>
      <c r="B640" s="1"/>
      <c r="C640" s="21" t="s">
        <v>885</v>
      </c>
      <c r="D640" s="52" t="s">
        <v>3238</v>
      </c>
      <c r="E640" s="52" t="s">
        <v>3239</v>
      </c>
      <c r="F640" s="53" t="s">
        <v>1179</v>
      </c>
      <c r="G640" s="179" t="s">
        <v>1429</v>
      </c>
      <c r="H640" s="180" t="s">
        <v>885</v>
      </c>
      <c r="I640" s="55" t="s">
        <v>1429</v>
      </c>
      <c r="J640" s="55" t="s">
        <v>1429</v>
      </c>
      <c r="K640" s="56" t="s">
        <v>1429</v>
      </c>
      <c r="L640" s="54" t="s">
        <v>1429</v>
      </c>
      <c r="M640" s="55" t="s">
        <v>1580</v>
      </c>
      <c r="N640" s="55" t="s">
        <v>1429</v>
      </c>
      <c r="O640" s="55" t="s">
        <v>1429</v>
      </c>
      <c r="P640" s="56" t="s">
        <v>1429</v>
      </c>
      <c r="Q640" s="85"/>
      <c r="R640" s="85"/>
      <c r="S640" s="85"/>
      <c r="T640" s="85"/>
      <c r="U640" s="85"/>
      <c r="V640" s="146" t="s">
        <v>3240</v>
      </c>
      <c r="W640" s="51" t="s">
        <v>2932</v>
      </c>
      <c r="X640" s="130" t="s">
        <v>1429</v>
      </c>
      <c r="Y640" s="130" t="s">
        <v>1429</v>
      </c>
      <c r="Z640" s="51"/>
      <c r="AA640" s="51" t="s">
        <v>2612</v>
      </c>
      <c r="AB640" s="146"/>
      <c r="AC640" s="146" t="s">
        <v>1429</v>
      </c>
      <c r="AD640" s="98"/>
      <c r="AE640" s="83"/>
      <c r="AF640" s="83"/>
      <c r="AG640" s="83"/>
      <c r="AH640" s="86"/>
      <c r="AI640" s="86"/>
      <c r="AJ640" s="87"/>
      <c r="AK640" s="87"/>
      <c r="AL640" s="87"/>
      <c r="AM640" s="87"/>
      <c r="AN640" s="87"/>
      <c r="AO640" s="87"/>
      <c r="AP640" s="87"/>
      <c r="AQ640" s="229" t="s">
        <v>885</v>
      </c>
      <c r="AR640" s="5"/>
      <c r="AS640" s="5"/>
      <c r="AT640" s="5"/>
      <c r="AU640" s="5"/>
      <c r="AV640" s="5"/>
      <c r="AW640" s="5"/>
      <c r="AX640" s="284"/>
      <c r="AY640" s="5"/>
      <c r="AZ640" s="5"/>
      <c r="BA640" s="230"/>
      <c r="BB640" s="5"/>
      <c r="BC640" s="232" t="s">
        <v>3536</v>
      </c>
      <c r="BD640" s="257"/>
      <c r="BE640" s="249"/>
      <c r="BF640" s="249"/>
      <c r="BG640" s="249"/>
      <c r="BH640" s="249"/>
      <c r="BI640" s="249"/>
      <c r="BJ640" s="249"/>
      <c r="BK640" s="249"/>
      <c r="BL640" s="249"/>
      <c r="BM640" s="249"/>
      <c r="BN640" s="249"/>
      <c r="BO640" s="249"/>
      <c r="BP640" s="249"/>
      <c r="BQ640" s="249"/>
      <c r="BR640" s="249"/>
      <c r="BS640" s="249"/>
      <c r="BT640" s="249"/>
      <c r="BU640" s="249"/>
      <c r="BV640" s="249"/>
      <c r="BW640" s="249"/>
      <c r="BX640" s="249"/>
      <c r="BY640" s="249"/>
      <c r="BZ640" s="249"/>
      <c r="CA640" s="249"/>
      <c r="CB640" s="249"/>
      <c r="CC640" s="249"/>
      <c r="CD640" s="249"/>
      <c r="CE640" s="249"/>
    </row>
    <row r="641" spans="1:83" s="84" customFormat="1" ht="12.95" customHeight="1">
      <c r="A641" s="1"/>
      <c r="B641" s="1"/>
      <c r="C641" s="21" t="s">
        <v>886</v>
      </c>
      <c r="D641" s="52" t="s">
        <v>3241</v>
      </c>
      <c r="E641" s="52" t="s">
        <v>3242</v>
      </c>
      <c r="F641" s="53" t="s">
        <v>1180</v>
      </c>
      <c r="G641" s="179" t="s">
        <v>1429</v>
      </c>
      <c r="H641" s="180" t="s">
        <v>886</v>
      </c>
      <c r="I641" s="55" t="s">
        <v>1429</v>
      </c>
      <c r="J641" s="55" t="s">
        <v>1429</v>
      </c>
      <c r="K641" s="56" t="s">
        <v>1429</v>
      </c>
      <c r="L641" s="54" t="s">
        <v>1429</v>
      </c>
      <c r="M641" s="55" t="s">
        <v>1580</v>
      </c>
      <c r="N641" s="55" t="s">
        <v>1429</v>
      </c>
      <c r="O641" s="55" t="s">
        <v>1429</v>
      </c>
      <c r="P641" s="56" t="s">
        <v>1429</v>
      </c>
      <c r="Q641" s="85"/>
      <c r="R641" s="85"/>
      <c r="S641" s="85"/>
      <c r="T641" s="85"/>
      <c r="U641" s="85"/>
      <c r="V641" s="146" t="s">
        <v>3243</v>
      </c>
      <c r="W641" s="51" t="s">
        <v>2932</v>
      </c>
      <c r="X641" s="130" t="s">
        <v>1429</v>
      </c>
      <c r="Y641" s="130" t="s">
        <v>1429</v>
      </c>
      <c r="Z641" s="51"/>
      <c r="AA641" s="51" t="s">
        <v>2612</v>
      </c>
      <c r="AB641" s="146"/>
      <c r="AC641" s="146" t="s">
        <v>1429</v>
      </c>
      <c r="AD641" s="98"/>
      <c r="AE641" s="83"/>
      <c r="AF641" s="83"/>
      <c r="AG641" s="83"/>
      <c r="AH641" s="86"/>
      <c r="AI641" s="86"/>
      <c r="AJ641" s="87"/>
      <c r="AK641" s="87"/>
      <c r="AL641" s="87"/>
      <c r="AM641" s="87"/>
      <c r="AN641" s="87"/>
      <c r="AO641" s="87"/>
      <c r="AP641" s="87"/>
      <c r="AQ641" s="229" t="s">
        <v>886</v>
      </c>
      <c r="AR641" s="5"/>
      <c r="AS641" s="5"/>
      <c r="AT641" s="5"/>
      <c r="AU641" s="5"/>
      <c r="AV641" s="5"/>
      <c r="AW641" s="5"/>
      <c r="AX641" s="284"/>
      <c r="AY641" s="5"/>
      <c r="AZ641" s="5"/>
      <c r="BA641" s="230"/>
      <c r="BB641" s="5"/>
      <c r="BC641" s="232" t="s">
        <v>3536</v>
      </c>
      <c r="BD641" s="257"/>
      <c r="BE641" s="249"/>
      <c r="BF641" s="249"/>
      <c r="BG641" s="249"/>
      <c r="BH641" s="249"/>
      <c r="BI641" s="249"/>
      <c r="BJ641" s="249"/>
      <c r="BK641" s="249"/>
      <c r="BL641" s="249"/>
      <c r="BM641" s="249"/>
      <c r="BN641" s="249"/>
      <c r="BO641" s="249"/>
      <c r="BP641" s="249"/>
      <c r="BQ641" s="249"/>
      <c r="BR641" s="249"/>
      <c r="BS641" s="249"/>
      <c r="BT641" s="249"/>
      <c r="BU641" s="249"/>
      <c r="BV641" s="249"/>
      <c r="BW641" s="249"/>
      <c r="BX641" s="249"/>
      <c r="BY641" s="249"/>
      <c r="BZ641" s="249"/>
      <c r="CA641" s="249"/>
      <c r="CB641" s="249"/>
      <c r="CC641" s="249"/>
      <c r="CD641" s="249"/>
      <c r="CE641" s="249"/>
    </row>
    <row r="642" spans="1:83" s="84" customFormat="1" ht="12.95" customHeight="1">
      <c r="A642" s="1"/>
      <c r="B642" s="1"/>
      <c r="C642" s="18" t="s">
        <v>887</v>
      </c>
      <c r="D642" s="52" t="s">
        <v>3244</v>
      </c>
      <c r="E642" s="52" t="s">
        <v>3245</v>
      </c>
      <c r="F642" s="53" t="s">
        <v>1181</v>
      </c>
      <c r="G642" s="179" t="s">
        <v>1429</v>
      </c>
      <c r="H642" s="180" t="s">
        <v>887</v>
      </c>
      <c r="I642" s="55" t="s">
        <v>1429</v>
      </c>
      <c r="J642" s="55" t="s">
        <v>1429</v>
      </c>
      <c r="K642" s="56" t="s">
        <v>1429</v>
      </c>
      <c r="L642" s="54" t="s">
        <v>1429</v>
      </c>
      <c r="M642" s="55" t="s">
        <v>1580</v>
      </c>
      <c r="N642" s="55" t="s">
        <v>1429</v>
      </c>
      <c r="O642" s="55" t="s">
        <v>1429</v>
      </c>
      <c r="P642" s="56" t="s">
        <v>1429</v>
      </c>
      <c r="Q642" s="85"/>
      <c r="R642" s="85"/>
      <c r="S642" s="85"/>
      <c r="T642" s="85"/>
      <c r="U642" s="85"/>
      <c r="V642" s="146" t="s">
        <v>3246</v>
      </c>
      <c r="W642" s="51" t="s">
        <v>2932</v>
      </c>
      <c r="X642" s="130" t="s">
        <v>1429</v>
      </c>
      <c r="Y642" s="130" t="s">
        <v>1429</v>
      </c>
      <c r="Z642" s="51"/>
      <c r="AA642" s="51" t="s">
        <v>2612</v>
      </c>
      <c r="AB642" s="146"/>
      <c r="AC642" s="146" t="s">
        <v>1429</v>
      </c>
      <c r="AD642" s="98"/>
      <c r="AE642" s="83"/>
      <c r="AF642" s="83"/>
      <c r="AG642" s="83"/>
      <c r="AH642" s="86"/>
      <c r="AI642" s="86"/>
      <c r="AJ642" s="87"/>
      <c r="AK642" s="87"/>
      <c r="AL642" s="87"/>
      <c r="AM642" s="87"/>
      <c r="AN642" s="87"/>
      <c r="AO642" s="87"/>
      <c r="AP642" s="87"/>
      <c r="AQ642" s="229" t="s">
        <v>887</v>
      </c>
      <c r="AR642" s="5"/>
      <c r="AS642" s="5"/>
      <c r="AT642" s="5"/>
      <c r="AU642" s="5"/>
      <c r="AV642" s="5"/>
      <c r="AW642" s="5"/>
      <c r="AX642" s="284"/>
      <c r="AY642" s="5"/>
      <c r="AZ642" s="5"/>
      <c r="BA642" s="230"/>
      <c r="BB642" s="5"/>
      <c r="BC642" s="232" t="s">
        <v>3536</v>
      </c>
      <c r="BD642" s="257"/>
      <c r="BE642" s="249"/>
      <c r="BF642" s="249"/>
      <c r="BG642" s="249"/>
      <c r="BH642" s="249"/>
      <c r="BI642" s="249"/>
      <c r="BJ642" s="249"/>
      <c r="BK642" s="249"/>
      <c r="BL642" s="249"/>
      <c r="BM642" s="249"/>
      <c r="BN642" s="249"/>
      <c r="BO642" s="249"/>
      <c r="BP642" s="249"/>
      <c r="BQ642" s="249"/>
      <c r="BR642" s="249"/>
      <c r="BS642" s="249"/>
      <c r="BT642" s="249"/>
      <c r="BU642" s="249"/>
      <c r="BV642" s="249"/>
      <c r="BW642" s="249"/>
      <c r="BX642" s="249"/>
      <c r="BY642" s="249"/>
      <c r="BZ642" s="249"/>
      <c r="CA642" s="249"/>
      <c r="CB642" s="249"/>
      <c r="CC642" s="249"/>
      <c r="CD642" s="249"/>
      <c r="CE642" s="249"/>
    </row>
    <row r="643" spans="1:83" s="84" customFormat="1" ht="12.95" customHeight="1">
      <c r="A643" s="1"/>
      <c r="B643" s="1"/>
      <c r="C643" s="18" t="s">
        <v>888</v>
      </c>
      <c r="D643" s="52" t="s">
        <v>3247</v>
      </c>
      <c r="E643" s="52" t="s">
        <v>3205</v>
      </c>
      <c r="F643" s="53" t="s">
        <v>1182</v>
      </c>
      <c r="G643" s="179" t="s">
        <v>1429</v>
      </c>
      <c r="H643" s="180" t="s">
        <v>888</v>
      </c>
      <c r="I643" s="55" t="s">
        <v>1429</v>
      </c>
      <c r="J643" s="55" t="s">
        <v>1429</v>
      </c>
      <c r="K643" s="56" t="s">
        <v>1429</v>
      </c>
      <c r="L643" s="54" t="s">
        <v>1429</v>
      </c>
      <c r="M643" s="55" t="s">
        <v>1580</v>
      </c>
      <c r="N643" s="55" t="s">
        <v>1429</v>
      </c>
      <c r="O643" s="55" t="s">
        <v>1429</v>
      </c>
      <c r="P643" s="56" t="s">
        <v>1429</v>
      </c>
      <c r="Q643" s="85"/>
      <c r="R643" s="85"/>
      <c r="S643" s="85"/>
      <c r="T643" s="85"/>
      <c r="U643" s="85"/>
      <c r="V643" s="146" t="s">
        <v>3248</v>
      </c>
      <c r="W643" s="51" t="s">
        <v>2932</v>
      </c>
      <c r="X643" s="130" t="s">
        <v>1429</v>
      </c>
      <c r="Y643" s="130" t="s">
        <v>1429</v>
      </c>
      <c r="Z643" s="51"/>
      <c r="AA643" s="51" t="s">
        <v>2612</v>
      </c>
      <c r="AB643" s="146"/>
      <c r="AC643" s="146" t="s">
        <v>1429</v>
      </c>
      <c r="AD643" s="98"/>
      <c r="AE643" s="83"/>
      <c r="AF643" s="83"/>
      <c r="AG643" s="83"/>
      <c r="AH643" s="86"/>
      <c r="AI643" s="86"/>
      <c r="AJ643" s="87"/>
      <c r="AK643" s="87"/>
      <c r="AL643" s="87"/>
      <c r="AM643" s="87"/>
      <c r="AN643" s="87"/>
      <c r="AO643" s="87"/>
      <c r="AP643" s="87"/>
      <c r="AQ643" s="229" t="s">
        <v>888</v>
      </c>
      <c r="AR643" s="5"/>
      <c r="AS643" s="5"/>
      <c r="AT643" s="5"/>
      <c r="AU643" s="5"/>
      <c r="AV643" s="5"/>
      <c r="AW643" s="5"/>
      <c r="AX643" s="284"/>
      <c r="AY643" s="5"/>
      <c r="AZ643" s="5"/>
      <c r="BA643" s="230"/>
      <c r="BB643" s="5"/>
      <c r="BC643" s="232" t="s">
        <v>3536</v>
      </c>
      <c r="BD643" s="257"/>
      <c r="BE643" s="249"/>
      <c r="BF643" s="249"/>
      <c r="BG643" s="249"/>
      <c r="BH643" s="249"/>
      <c r="BI643" s="249"/>
      <c r="BJ643" s="249"/>
      <c r="BK643" s="249"/>
      <c r="BL643" s="249"/>
      <c r="BM643" s="249"/>
      <c r="BN643" s="249"/>
      <c r="BO643" s="249"/>
      <c r="BP643" s="249"/>
      <c r="BQ643" s="249"/>
      <c r="BR643" s="249"/>
      <c r="BS643" s="249"/>
      <c r="BT643" s="249"/>
      <c r="BU643" s="249"/>
      <c r="BV643" s="249"/>
      <c r="BW643" s="249"/>
      <c r="BX643" s="249"/>
      <c r="BY643" s="249"/>
      <c r="BZ643" s="249"/>
      <c r="CA643" s="249"/>
      <c r="CB643" s="249"/>
      <c r="CC643" s="249"/>
      <c r="CD643" s="249"/>
      <c r="CE643" s="249"/>
    </row>
    <row r="644" spans="1:83" s="84" customFormat="1" ht="12.95" customHeight="1">
      <c r="A644" s="1"/>
      <c r="B644" s="1"/>
      <c r="C644" s="18" t="s">
        <v>889</v>
      </c>
      <c r="D644" s="52" t="s">
        <v>3249</v>
      </c>
      <c r="E644" s="52" t="s">
        <v>3196</v>
      </c>
      <c r="F644" s="53" t="s">
        <v>1183</v>
      </c>
      <c r="G644" s="179" t="s">
        <v>1429</v>
      </c>
      <c r="H644" s="180" t="s">
        <v>889</v>
      </c>
      <c r="I644" s="55" t="s">
        <v>1429</v>
      </c>
      <c r="J644" s="55" t="s">
        <v>1429</v>
      </c>
      <c r="K644" s="56" t="s">
        <v>1429</v>
      </c>
      <c r="L644" s="54" t="s">
        <v>1429</v>
      </c>
      <c r="M644" s="55" t="s">
        <v>1580</v>
      </c>
      <c r="N644" s="55" t="s">
        <v>1429</v>
      </c>
      <c r="O644" s="55" t="s">
        <v>1429</v>
      </c>
      <c r="P644" s="56" t="s">
        <v>1429</v>
      </c>
      <c r="Q644" s="85"/>
      <c r="R644" s="85"/>
      <c r="S644" s="85"/>
      <c r="T644" s="85"/>
      <c r="U644" s="85"/>
      <c r="V644" s="146" t="s">
        <v>3250</v>
      </c>
      <c r="W644" s="51" t="s">
        <v>2932</v>
      </c>
      <c r="X644" s="130" t="s">
        <v>1429</v>
      </c>
      <c r="Y644" s="130" t="s">
        <v>1429</v>
      </c>
      <c r="Z644" s="51"/>
      <c r="AA644" s="51" t="s">
        <v>2612</v>
      </c>
      <c r="AB644" s="146"/>
      <c r="AC644" s="146" t="s">
        <v>1429</v>
      </c>
      <c r="AD644" s="98"/>
      <c r="AE644" s="83"/>
      <c r="AF644" s="83"/>
      <c r="AG644" s="83"/>
      <c r="AH644" s="86"/>
      <c r="AI644" s="86"/>
      <c r="AJ644" s="87"/>
      <c r="AK644" s="87"/>
      <c r="AL644" s="87"/>
      <c r="AM644" s="87"/>
      <c r="AN644" s="87"/>
      <c r="AO644" s="87"/>
      <c r="AP644" s="87"/>
      <c r="AQ644" s="229" t="s">
        <v>889</v>
      </c>
      <c r="AR644" s="5"/>
      <c r="AS644" s="5"/>
      <c r="AT644" s="5"/>
      <c r="AU644" s="5"/>
      <c r="AV644" s="5"/>
      <c r="AW644" s="5"/>
      <c r="AX644" s="284"/>
      <c r="AY644" s="5"/>
      <c r="AZ644" s="5"/>
      <c r="BA644" s="230"/>
      <c r="BB644" s="5"/>
      <c r="BC644" s="232" t="s">
        <v>3536</v>
      </c>
      <c r="BD644" s="257"/>
      <c r="BE644" s="249"/>
      <c r="BF644" s="249"/>
      <c r="BG644" s="249"/>
      <c r="BH644" s="249"/>
      <c r="BI644" s="249"/>
      <c r="BJ644" s="249"/>
      <c r="BK644" s="249"/>
      <c r="BL644" s="249"/>
      <c r="BM644" s="249"/>
      <c r="BN644" s="249"/>
      <c r="BO644" s="249"/>
      <c r="BP644" s="249"/>
      <c r="BQ644" s="249"/>
      <c r="BR644" s="249"/>
      <c r="BS644" s="249"/>
      <c r="BT644" s="249"/>
      <c r="BU644" s="249"/>
      <c r="BV644" s="249"/>
      <c r="BW644" s="249"/>
      <c r="BX644" s="249"/>
      <c r="BY644" s="249"/>
      <c r="BZ644" s="249"/>
      <c r="CA644" s="249"/>
      <c r="CB644" s="249"/>
      <c r="CC644" s="249"/>
      <c r="CD644" s="249"/>
      <c r="CE644" s="249"/>
    </row>
    <row r="645" spans="1:83" s="84" customFormat="1" ht="12.95" customHeight="1">
      <c r="A645" s="1"/>
      <c r="B645" s="1"/>
      <c r="C645" s="18" t="s">
        <v>890</v>
      </c>
      <c r="D645" s="52" t="s">
        <v>3251</v>
      </c>
      <c r="E645" s="52" t="s">
        <v>3199</v>
      </c>
      <c r="F645" s="53" t="s">
        <v>1184</v>
      </c>
      <c r="G645" s="179" t="s">
        <v>1429</v>
      </c>
      <c r="H645" s="180" t="s">
        <v>890</v>
      </c>
      <c r="I645" s="55" t="s">
        <v>1429</v>
      </c>
      <c r="J645" s="55" t="s">
        <v>1429</v>
      </c>
      <c r="K645" s="56" t="s">
        <v>1429</v>
      </c>
      <c r="L645" s="54" t="s">
        <v>1429</v>
      </c>
      <c r="M645" s="55" t="s">
        <v>1580</v>
      </c>
      <c r="N645" s="55" t="s">
        <v>1429</v>
      </c>
      <c r="O645" s="55" t="s">
        <v>1429</v>
      </c>
      <c r="P645" s="56" t="s">
        <v>1429</v>
      </c>
      <c r="Q645" s="85"/>
      <c r="R645" s="85"/>
      <c r="S645" s="85"/>
      <c r="T645" s="85"/>
      <c r="U645" s="85"/>
      <c r="V645" s="146" t="s">
        <v>3252</v>
      </c>
      <c r="W645" s="51" t="s">
        <v>2932</v>
      </c>
      <c r="X645" s="130" t="s">
        <v>1429</v>
      </c>
      <c r="Y645" s="130" t="s">
        <v>1429</v>
      </c>
      <c r="Z645" s="51"/>
      <c r="AA645" s="51" t="s">
        <v>2612</v>
      </c>
      <c r="AB645" s="146"/>
      <c r="AC645" s="146" t="s">
        <v>1429</v>
      </c>
      <c r="AD645" s="98"/>
      <c r="AE645" s="83"/>
      <c r="AF645" s="83"/>
      <c r="AG645" s="83"/>
      <c r="AH645" s="86"/>
      <c r="AI645" s="86"/>
      <c r="AJ645" s="87"/>
      <c r="AK645" s="87"/>
      <c r="AL645" s="87"/>
      <c r="AM645" s="87"/>
      <c r="AN645" s="87"/>
      <c r="AO645" s="87"/>
      <c r="AP645" s="87"/>
      <c r="AQ645" s="229" t="s">
        <v>890</v>
      </c>
      <c r="AR645" s="5"/>
      <c r="AS645" s="5"/>
      <c r="AT645" s="5"/>
      <c r="AU645" s="5"/>
      <c r="AV645" s="5"/>
      <c r="AW645" s="5"/>
      <c r="AX645" s="284"/>
      <c r="AY645" s="5"/>
      <c r="AZ645" s="5"/>
      <c r="BA645" s="230"/>
      <c r="BB645" s="5"/>
      <c r="BC645" s="232" t="s">
        <v>3536</v>
      </c>
      <c r="BD645" s="257"/>
      <c r="BE645" s="249"/>
      <c r="BF645" s="249"/>
      <c r="BG645" s="249"/>
      <c r="BH645" s="249"/>
      <c r="BI645" s="249"/>
      <c r="BJ645" s="249"/>
      <c r="BK645" s="249"/>
      <c r="BL645" s="249"/>
      <c r="BM645" s="249"/>
      <c r="BN645" s="249"/>
      <c r="BO645" s="249"/>
      <c r="BP645" s="249"/>
      <c r="BQ645" s="249"/>
      <c r="BR645" s="249"/>
      <c r="BS645" s="249"/>
      <c r="BT645" s="249"/>
      <c r="BU645" s="249"/>
      <c r="BV645" s="249"/>
      <c r="BW645" s="249"/>
      <c r="BX645" s="249"/>
      <c r="BY645" s="249"/>
      <c r="BZ645" s="249"/>
      <c r="CA645" s="249"/>
      <c r="CB645" s="249"/>
      <c r="CC645" s="249"/>
      <c r="CD645" s="249"/>
      <c r="CE645" s="249"/>
    </row>
    <row r="646" spans="1:83" s="84" customFormat="1" ht="12.95" customHeight="1">
      <c r="A646" s="1"/>
      <c r="B646" s="1"/>
      <c r="C646" s="18" t="s">
        <v>891</v>
      </c>
      <c r="D646" s="52" t="s">
        <v>3253</v>
      </c>
      <c r="E646" s="52" t="s">
        <v>3254</v>
      </c>
      <c r="F646" s="53" t="s">
        <v>1185</v>
      </c>
      <c r="G646" s="179" t="s">
        <v>1429</v>
      </c>
      <c r="H646" s="180" t="s">
        <v>891</v>
      </c>
      <c r="I646" s="55" t="s">
        <v>1429</v>
      </c>
      <c r="J646" s="55" t="s">
        <v>1429</v>
      </c>
      <c r="K646" s="56" t="s">
        <v>1429</v>
      </c>
      <c r="L646" s="54" t="s">
        <v>1429</v>
      </c>
      <c r="M646" s="55" t="s">
        <v>1580</v>
      </c>
      <c r="N646" s="55" t="s">
        <v>1429</v>
      </c>
      <c r="O646" s="55" t="s">
        <v>1429</v>
      </c>
      <c r="P646" s="56" t="s">
        <v>1429</v>
      </c>
      <c r="Q646" s="85"/>
      <c r="R646" s="85"/>
      <c r="S646" s="85"/>
      <c r="T646" s="85"/>
      <c r="U646" s="85"/>
      <c r="V646" s="146" t="s">
        <v>3255</v>
      </c>
      <c r="W646" s="51" t="s">
        <v>2932</v>
      </c>
      <c r="X646" s="130" t="s">
        <v>1429</v>
      </c>
      <c r="Y646" s="130" t="s">
        <v>1429</v>
      </c>
      <c r="Z646" s="51"/>
      <c r="AA646" s="51" t="s">
        <v>2612</v>
      </c>
      <c r="AB646" s="146"/>
      <c r="AC646" s="146" t="s">
        <v>1429</v>
      </c>
      <c r="AD646" s="98"/>
      <c r="AE646" s="83"/>
      <c r="AF646" s="83"/>
      <c r="AG646" s="83"/>
      <c r="AH646" s="86"/>
      <c r="AI646" s="86"/>
      <c r="AJ646" s="87"/>
      <c r="AK646" s="87"/>
      <c r="AL646" s="87"/>
      <c r="AM646" s="87"/>
      <c r="AN646" s="87"/>
      <c r="AO646" s="87"/>
      <c r="AP646" s="87"/>
      <c r="AQ646" s="229" t="s">
        <v>891</v>
      </c>
      <c r="AR646" s="5"/>
      <c r="AS646" s="5"/>
      <c r="AT646" s="5"/>
      <c r="AU646" s="5"/>
      <c r="AV646" s="5"/>
      <c r="AW646" s="5"/>
      <c r="AX646" s="284"/>
      <c r="AY646" s="5"/>
      <c r="AZ646" s="5"/>
      <c r="BA646" s="230"/>
      <c r="BB646" s="5"/>
      <c r="BC646" s="232" t="s">
        <v>3536</v>
      </c>
      <c r="BD646" s="257"/>
      <c r="BE646" s="249"/>
      <c r="BF646" s="249"/>
      <c r="BG646" s="249"/>
      <c r="BH646" s="249"/>
      <c r="BI646" s="249"/>
      <c r="BJ646" s="249"/>
      <c r="BK646" s="249"/>
      <c r="BL646" s="249"/>
      <c r="BM646" s="249"/>
      <c r="BN646" s="249"/>
      <c r="BO646" s="249"/>
      <c r="BP646" s="249"/>
      <c r="BQ646" s="249"/>
      <c r="BR646" s="249"/>
      <c r="BS646" s="249"/>
      <c r="BT646" s="249"/>
      <c r="BU646" s="249"/>
      <c r="BV646" s="249"/>
      <c r="BW646" s="249"/>
      <c r="BX646" s="249"/>
      <c r="BY646" s="249"/>
      <c r="BZ646" s="249"/>
      <c r="CA646" s="249"/>
      <c r="CB646" s="249"/>
      <c r="CC646" s="249"/>
      <c r="CD646" s="249"/>
      <c r="CE646" s="249"/>
    </row>
    <row r="647" spans="1:83" s="84" customFormat="1" ht="12.95" customHeight="1">
      <c r="A647" s="1"/>
      <c r="B647" s="1"/>
      <c r="C647" s="18" t="s">
        <v>892</v>
      </c>
      <c r="D647" s="52" t="s">
        <v>3256</v>
      </c>
      <c r="E647" s="52" t="s">
        <v>3257</v>
      </c>
      <c r="F647" s="53" t="s">
        <v>1186</v>
      </c>
      <c r="G647" s="179" t="s">
        <v>1429</v>
      </c>
      <c r="H647" s="180" t="s">
        <v>892</v>
      </c>
      <c r="I647" s="55" t="s">
        <v>1429</v>
      </c>
      <c r="J647" s="55" t="s">
        <v>1429</v>
      </c>
      <c r="K647" s="56" t="s">
        <v>1429</v>
      </c>
      <c r="L647" s="54" t="s">
        <v>1429</v>
      </c>
      <c r="M647" s="55" t="s">
        <v>1580</v>
      </c>
      <c r="N647" s="55" t="s">
        <v>1429</v>
      </c>
      <c r="O647" s="55" t="s">
        <v>1429</v>
      </c>
      <c r="P647" s="56" t="s">
        <v>1429</v>
      </c>
      <c r="Q647" s="85"/>
      <c r="R647" s="85"/>
      <c r="S647" s="85"/>
      <c r="T647" s="85"/>
      <c r="U647" s="85"/>
      <c r="V647" s="146" t="s">
        <v>3258</v>
      </c>
      <c r="W647" s="51" t="s">
        <v>2932</v>
      </c>
      <c r="X647" s="130" t="s">
        <v>1429</v>
      </c>
      <c r="Y647" s="130" t="s">
        <v>1429</v>
      </c>
      <c r="Z647" s="51"/>
      <c r="AA647" s="51" t="s">
        <v>2612</v>
      </c>
      <c r="AB647" s="146"/>
      <c r="AC647" s="146" t="s">
        <v>1429</v>
      </c>
      <c r="AD647" s="98"/>
      <c r="AE647" s="83"/>
      <c r="AF647" s="83"/>
      <c r="AG647" s="83"/>
      <c r="AH647" s="86"/>
      <c r="AI647" s="86"/>
      <c r="AJ647" s="87"/>
      <c r="AK647" s="87"/>
      <c r="AL647" s="87"/>
      <c r="AM647" s="87"/>
      <c r="AN647" s="87"/>
      <c r="AO647" s="87"/>
      <c r="AP647" s="87"/>
      <c r="AQ647" s="229" t="s">
        <v>892</v>
      </c>
      <c r="AR647" s="5"/>
      <c r="AS647" s="5"/>
      <c r="AT647" s="5"/>
      <c r="AU647" s="5"/>
      <c r="AV647" s="5"/>
      <c r="AW647" s="5"/>
      <c r="AX647" s="284"/>
      <c r="AY647" s="5"/>
      <c r="AZ647" s="5"/>
      <c r="BA647" s="230"/>
      <c r="BB647" s="5"/>
      <c r="BC647" s="232" t="s">
        <v>3536</v>
      </c>
      <c r="BD647" s="257"/>
      <c r="BE647" s="249"/>
      <c r="BF647" s="249"/>
      <c r="BG647" s="249"/>
      <c r="BH647" s="249"/>
      <c r="BI647" s="249"/>
      <c r="BJ647" s="249"/>
      <c r="BK647" s="249"/>
      <c r="BL647" s="249"/>
      <c r="BM647" s="249"/>
      <c r="BN647" s="249"/>
      <c r="BO647" s="249"/>
      <c r="BP647" s="249"/>
      <c r="BQ647" s="249"/>
      <c r="BR647" s="249"/>
      <c r="BS647" s="249"/>
      <c r="BT647" s="249"/>
      <c r="BU647" s="249"/>
      <c r="BV647" s="249"/>
      <c r="BW647" s="249"/>
      <c r="BX647" s="249"/>
      <c r="BY647" s="249"/>
      <c r="BZ647" s="249"/>
      <c r="CA647" s="249"/>
      <c r="CB647" s="249"/>
      <c r="CC647" s="249"/>
      <c r="CD647" s="249"/>
      <c r="CE647" s="249"/>
    </row>
    <row r="648" spans="1:83" s="84" customFormat="1" ht="12.95" customHeight="1">
      <c r="A648" s="1"/>
      <c r="B648" s="1"/>
      <c r="C648" s="18" t="s">
        <v>893</v>
      </c>
      <c r="D648" s="52" t="s">
        <v>3259</v>
      </c>
      <c r="E648" s="52" t="s">
        <v>3226</v>
      </c>
      <c r="F648" s="53" t="s">
        <v>1187</v>
      </c>
      <c r="G648" s="179" t="s">
        <v>1429</v>
      </c>
      <c r="H648" s="180" t="s">
        <v>893</v>
      </c>
      <c r="I648" s="55" t="s">
        <v>1429</v>
      </c>
      <c r="J648" s="55" t="s">
        <v>1429</v>
      </c>
      <c r="K648" s="56" t="s">
        <v>1429</v>
      </c>
      <c r="L648" s="54" t="s">
        <v>1429</v>
      </c>
      <c r="M648" s="55" t="s">
        <v>1580</v>
      </c>
      <c r="N648" s="55" t="s">
        <v>1429</v>
      </c>
      <c r="O648" s="55" t="s">
        <v>1429</v>
      </c>
      <c r="P648" s="56" t="s">
        <v>1429</v>
      </c>
      <c r="Q648" s="85"/>
      <c r="R648" s="85"/>
      <c r="S648" s="85"/>
      <c r="T648" s="85"/>
      <c r="U648" s="85"/>
      <c r="V648" s="146" t="s">
        <v>3260</v>
      </c>
      <c r="W648" s="51" t="s">
        <v>2932</v>
      </c>
      <c r="X648" s="130" t="s">
        <v>1429</v>
      </c>
      <c r="Y648" s="130" t="s">
        <v>1429</v>
      </c>
      <c r="Z648" s="51"/>
      <c r="AA648" s="51" t="s">
        <v>2612</v>
      </c>
      <c r="AB648" s="146"/>
      <c r="AC648" s="146" t="s">
        <v>1429</v>
      </c>
      <c r="AD648" s="98"/>
      <c r="AE648" s="83"/>
      <c r="AF648" s="83"/>
      <c r="AG648" s="83"/>
      <c r="AH648" s="86"/>
      <c r="AI648" s="86"/>
      <c r="AJ648" s="87"/>
      <c r="AK648" s="87"/>
      <c r="AL648" s="87"/>
      <c r="AM648" s="87"/>
      <c r="AN648" s="87"/>
      <c r="AO648" s="87"/>
      <c r="AP648" s="87"/>
      <c r="AQ648" s="229" t="s">
        <v>893</v>
      </c>
      <c r="AR648" s="5"/>
      <c r="AS648" s="5"/>
      <c r="AT648" s="5"/>
      <c r="AU648" s="5"/>
      <c r="AV648" s="5"/>
      <c r="AW648" s="5"/>
      <c r="AX648" s="284"/>
      <c r="AY648" s="5"/>
      <c r="AZ648" s="5"/>
      <c r="BA648" s="230"/>
      <c r="BB648" s="5"/>
      <c r="BC648" s="232" t="s">
        <v>3536</v>
      </c>
      <c r="BD648" s="257"/>
      <c r="BE648" s="249"/>
      <c r="BF648" s="249"/>
      <c r="BG648" s="249"/>
      <c r="BH648" s="249"/>
      <c r="BI648" s="249"/>
      <c r="BJ648" s="249"/>
      <c r="BK648" s="249"/>
      <c r="BL648" s="249"/>
      <c r="BM648" s="249"/>
      <c r="BN648" s="249"/>
      <c r="BO648" s="249"/>
      <c r="BP648" s="249"/>
      <c r="BQ648" s="249"/>
      <c r="BR648" s="249"/>
      <c r="BS648" s="249"/>
      <c r="BT648" s="249"/>
      <c r="BU648" s="249"/>
      <c r="BV648" s="249"/>
      <c r="BW648" s="249"/>
      <c r="BX648" s="249"/>
      <c r="BY648" s="249"/>
      <c r="BZ648" s="249"/>
      <c r="CA648" s="249"/>
      <c r="CB648" s="249"/>
      <c r="CC648" s="249"/>
      <c r="CD648" s="249"/>
      <c r="CE648" s="249"/>
    </row>
    <row r="649" spans="1:83" s="84" customFormat="1" ht="12.95" customHeight="1">
      <c r="A649" s="1"/>
      <c r="B649" s="1"/>
      <c r="C649" s="18" t="s">
        <v>894</v>
      </c>
      <c r="D649" s="52" t="s">
        <v>1707</v>
      </c>
      <c r="E649" s="52" t="s">
        <v>3229</v>
      </c>
      <c r="F649" s="53" t="s">
        <v>1188</v>
      </c>
      <c r="G649" s="179" t="s">
        <v>1429</v>
      </c>
      <c r="H649" s="180" t="s">
        <v>894</v>
      </c>
      <c r="I649" s="55" t="s">
        <v>1429</v>
      </c>
      <c r="J649" s="55" t="s">
        <v>1429</v>
      </c>
      <c r="K649" s="56" t="s">
        <v>1429</v>
      </c>
      <c r="L649" s="54" t="s">
        <v>1429</v>
      </c>
      <c r="M649" s="55" t="s">
        <v>1580</v>
      </c>
      <c r="N649" s="55" t="s">
        <v>1429</v>
      </c>
      <c r="O649" s="55" t="s">
        <v>1429</v>
      </c>
      <c r="P649" s="56" t="s">
        <v>1429</v>
      </c>
      <c r="Q649" s="85"/>
      <c r="R649" s="85"/>
      <c r="S649" s="85"/>
      <c r="T649" s="85"/>
      <c r="U649" s="85"/>
      <c r="V649" s="146" t="s">
        <v>3261</v>
      </c>
      <c r="W649" s="51" t="s">
        <v>2932</v>
      </c>
      <c r="X649" s="130" t="s">
        <v>1429</v>
      </c>
      <c r="Y649" s="130" t="s">
        <v>1429</v>
      </c>
      <c r="Z649" s="51"/>
      <c r="AA649" s="51" t="s">
        <v>2612</v>
      </c>
      <c r="AB649" s="146"/>
      <c r="AC649" s="146" t="s">
        <v>1429</v>
      </c>
      <c r="AD649" s="98"/>
      <c r="AE649" s="83"/>
      <c r="AF649" s="83"/>
      <c r="AG649" s="83"/>
      <c r="AH649" s="86"/>
      <c r="AI649" s="86"/>
      <c r="AJ649" s="87"/>
      <c r="AK649" s="87"/>
      <c r="AL649" s="87"/>
      <c r="AM649" s="87"/>
      <c r="AN649" s="87"/>
      <c r="AO649" s="87"/>
      <c r="AP649" s="87"/>
      <c r="AQ649" s="229" t="s">
        <v>894</v>
      </c>
      <c r="AR649" s="5"/>
      <c r="AS649" s="5"/>
      <c r="AT649" s="5"/>
      <c r="AU649" s="5"/>
      <c r="AV649" s="5"/>
      <c r="AW649" s="5"/>
      <c r="AX649" s="284"/>
      <c r="AY649" s="5"/>
      <c r="AZ649" s="5"/>
      <c r="BA649" s="230"/>
      <c r="BB649" s="5"/>
      <c r="BC649" s="232" t="s">
        <v>3536</v>
      </c>
      <c r="BD649" s="257"/>
      <c r="BE649" s="249"/>
      <c r="BF649" s="249"/>
      <c r="BG649" s="249"/>
      <c r="BH649" s="249"/>
      <c r="BI649" s="249"/>
      <c r="BJ649" s="249"/>
      <c r="BK649" s="249"/>
      <c r="BL649" s="249"/>
      <c r="BM649" s="249"/>
      <c r="BN649" s="249"/>
      <c r="BO649" s="249"/>
      <c r="BP649" s="249"/>
      <c r="BQ649" s="249"/>
      <c r="BR649" s="249"/>
      <c r="BS649" s="249"/>
      <c r="BT649" s="249"/>
      <c r="BU649" s="249"/>
      <c r="BV649" s="249"/>
      <c r="BW649" s="249"/>
      <c r="BX649" s="249"/>
      <c r="BY649" s="249"/>
      <c r="BZ649" s="249"/>
      <c r="CA649" s="249"/>
      <c r="CB649" s="249"/>
      <c r="CC649" s="249"/>
      <c r="CD649" s="249"/>
      <c r="CE649" s="249"/>
    </row>
    <row r="650" spans="1:83" s="84" customFormat="1" ht="12.95" customHeight="1">
      <c r="A650" s="1"/>
      <c r="B650" s="1"/>
      <c r="C650" s="18" t="s">
        <v>895</v>
      </c>
      <c r="D650" s="52" t="s">
        <v>1718</v>
      </c>
      <c r="E650" s="52" t="s">
        <v>3244</v>
      </c>
      <c r="F650" s="53" t="s">
        <v>1189</v>
      </c>
      <c r="G650" s="179" t="s">
        <v>1429</v>
      </c>
      <c r="H650" s="180" t="s">
        <v>895</v>
      </c>
      <c r="I650" s="55" t="s">
        <v>1429</v>
      </c>
      <c r="J650" s="55" t="s">
        <v>1429</v>
      </c>
      <c r="K650" s="56" t="s">
        <v>1429</v>
      </c>
      <c r="L650" s="54" t="s">
        <v>1429</v>
      </c>
      <c r="M650" s="55" t="s">
        <v>1580</v>
      </c>
      <c r="N650" s="55" t="s">
        <v>1429</v>
      </c>
      <c r="O650" s="55" t="s">
        <v>1429</v>
      </c>
      <c r="P650" s="56" t="s">
        <v>1429</v>
      </c>
      <c r="Q650" s="85"/>
      <c r="R650" s="85"/>
      <c r="S650" s="85"/>
      <c r="T650" s="85"/>
      <c r="U650" s="85"/>
      <c r="V650" s="146" t="s">
        <v>3262</v>
      </c>
      <c r="W650" s="51" t="s">
        <v>2932</v>
      </c>
      <c r="X650" s="130" t="s">
        <v>1429</v>
      </c>
      <c r="Y650" s="130" t="s">
        <v>1429</v>
      </c>
      <c r="Z650" s="51"/>
      <c r="AA650" s="51" t="s">
        <v>2612</v>
      </c>
      <c r="AB650" s="146"/>
      <c r="AC650" s="146" t="s">
        <v>1429</v>
      </c>
      <c r="AD650" s="98"/>
      <c r="AE650" s="83"/>
      <c r="AF650" s="83"/>
      <c r="AG650" s="83"/>
      <c r="AH650" s="86"/>
      <c r="AI650" s="86"/>
      <c r="AJ650" s="87"/>
      <c r="AK650" s="87"/>
      <c r="AL650" s="87"/>
      <c r="AM650" s="87"/>
      <c r="AN650" s="87"/>
      <c r="AO650" s="87"/>
      <c r="AP650" s="87"/>
      <c r="AQ650" s="229" t="s">
        <v>895</v>
      </c>
      <c r="AR650" s="5"/>
      <c r="AS650" s="5"/>
      <c r="AT650" s="5"/>
      <c r="AU650" s="5"/>
      <c r="AV650" s="5"/>
      <c r="AW650" s="5"/>
      <c r="AX650" s="284"/>
      <c r="AY650" s="5"/>
      <c r="AZ650" s="5"/>
      <c r="BA650" s="230"/>
      <c r="BB650" s="5"/>
      <c r="BC650" s="232" t="s">
        <v>3536</v>
      </c>
      <c r="BD650" s="257"/>
      <c r="BE650" s="249"/>
      <c r="BF650" s="249"/>
      <c r="BG650" s="249"/>
      <c r="BH650" s="249"/>
      <c r="BI650" s="249"/>
      <c r="BJ650" s="249"/>
      <c r="BK650" s="249"/>
      <c r="BL650" s="249"/>
      <c r="BM650" s="249"/>
      <c r="BN650" s="249"/>
      <c r="BO650" s="249"/>
      <c r="BP650" s="249"/>
      <c r="BQ650" s="249"/>
      <c r="BR650" s="249"/>
      <c r="BS650" s="249"/>
      <c r="BT650" s="249"/>
      <c r="BU650" s="249"/>
      <c r="BV650" s="249"/>
      <c r="BW650" s="249"/>
      <c r="BX650" s="249"/>
      <c r="BY650" s="249"/>
      <c r="BZ650" s="249"/>
      <c r="CA650" s="249"/>
      <c r="CB650" s="249"/>
      <c r="CC650" s="249"/>
      <c r="CD650" s="249"/>
      <c r="CE650" s="249"/>
    </row>
    <row r="651" spans="1:83" s="84" customFormat="1" ht="12.95" customHeight="1">
      <c r="A651" s="1"/>
      <c r="B651" s="1"/>
      <c r="C651" s="18" t="s">
        <v>896</v>
      </c>
      <c r="D651" s="52" t="s">
        <v>3263</v>
      </c>
      <c r="E651" s="52" t="s">
        <v>3264</v>
      </c>
      <c r="F651" s="53" t="s">
        <v>1190</v>
      </c>
      <c r="G651" s="179" t="s">
        <v>1429</v>
      </c>
      <c r="H651" s="180" t="s">
        <v>896</v>
      </c>
      <c r="I651" s="55" t="s">
        <v>1429</v>
      </c>
      <c r="J651" s="55" t="s">
        <v>1429</v>
      </c>
      <c r="K651" s="56" t="s">
        <v>1429</v>
      </c>
      <c r="L651" s="54" t="s">
        <v>1429</v>
      </c>
      <c r="M651" s="55" t="s">
        <v>1580</v>
      </c>
      <c r="N651" s="55" t="s">
        <v>1429</v>
      </c>
      <c r="O651" s="55" t="s">
        <v>1429</v>
      </c>
      <c r="P651" s="56" t="s">
        <v>1429</v>
      </c>
      <c r="Q651" s="85"/>
      <c r="R651" s="85"/>
      <c r="S651" s="85"/>
      <c r="T651" s="85"/>
      <c r="U651" s="85"/>
      <c r="V651" s="146" t="s">
        <v>3265</v>
      </c>
      <c r="W651" s="51" t="s">
        <v>2932</v>
      </c>
      <c r="X651" s="130" t="s">
        <v>1429</v>
      </c>
      <c r="Y651" s="130" t="s">
        <v>1429</v>
      </c>
      <c r="Z651" s="51"/>
      <c r="AA651" s="51" t="s">
        <v>2612</v>
      </c>
      <c r="AB651" s="146"/>
      <c r="AC651" s="146" t="s">
        <v>1429</v>
      </c>
      <c r="AD651" s="98"/>
      <c r="AE651" s="83"/>
      <c r="AF651" s="83"/>
      <c r="AG651" s="83"/>
      <c r="AH651" s="86"/>
      <c r="AI651" s="86"/>
      <c r="AJ651" s="87"/>
      <c r="AK651" s="87"/>
      <c r="AL651" s="87"/>
      <c r="AM651" s="87"/>
      <c r="AN651" s="87"/>
      <c r="AO651" s="87"/>
      <c r="AP651" s="87"/>
      <c r="AQ651" s="229" t="s">
        <v>896</v>
      </c>
      <c r="AR651" s="5"/>
      <c r="AS651" s="5"/>
      <c r="AT651" s="5"/>
      <c r="AU651" s="5"/>
      <c r="AV651" s="5"/>
      <c r="AW651" s="5"/>
      <c r="AX651" s="284"/>
      <c r="AY651" s="5"/>
      <c r="AZ651" s="5"/>
      <c r="BA651" s="230"/>
      <c r="BB651" s="5"/>
      <c r="BC651" s="232" t="s">
        <v>3536</v>
      </c>
      <c r="BD651" s="257"/>
      <c r="BE651" s="249"/>
      <c r="BF651" s="249"/>
      <c r="BG651" s="249"/>
      <c r="BH651" s="249"/>
      <c r="BI651" s="249"/>
      <c r="BJ651" s="249"/>
      <c r="BK651" s="249"/>
      <c r="BL651" s="249"/>
      <c r="BM651" s="249"/>
      <c r="BN651" s="249"/>
      <c r="BO651" s="249"/>
      <c r="BP651" s="249"/>
      <c r="BQ651" s="249"/>
      <c r="BR651" s="249"/>
      <c r="BS651" s="249"/>
      <c r="BT651" s="249"/>
      <c r="BU651" s="249"/>
      <c r="BV651" s="249"/>
      <c r="BW651" s="249"/>
      <c r="BX651" s="249"/>
      <c r="BY651" s="249"/>
      <c r="BZ651" s="249"/>
      <c r="CA651" s="249"/>
      <c r="CB651" s="249"/>
      <c r="CC651" s="249"/>
      <c r="CD651" s="249"/>
      <c r="CE651" s="249"/>
    </row>
    <row r="652" spans="1:83" s="84" customFormat="1" ht="12.95" customHeight="1">
      <c r="A652" s="1"/>
      <c r="B652" s="1"/>
      <c r="C652" s="21" t="s">
        <v>897</v>
      </c>
      <c r="D652" s="52" t="s">
        <v>3266</v>
      </c>
      <c r="E652" s="52" t="s">
        <v>3267</v>
      </c>
      <c r="F652" s="53" t="s">
        <v>1191</v>
      </c>
      <c r="G652" s="179" t="s">
        <v>1429</v>
      </c>
      <c r="H652" s="180" t="s">
        <v>897</v>
      </c>
      <c r="I652" s="55" t="s">
        <v>1429</v>
      </c>
      <c r="J652" s="55" t="s">
        <v>1429</v>
      </c>
      <c r="K652" s="56" t="s">
        <v>1429</v>
      </c>
      <c r="L652" s="54" t="s">
        <v>1429</v>
      </c>
      <c r="M652" s="55" t="s">
        <v>1580</v>
      </c>
      <c r="N652" s="55" t="s">
        <v>1429</v>
      </c>
      <c r="O652" s="55" t="s">
        <v>1429</v>
      </c>
      <c r="P652" s="56" t="s">
        <v>1429</v>
      </c>
      <c r="Q652" s="85"/>
      <c r="R652" s="85"/>
      <c r="S652" s="85"/>
      <c r="T652" s="85"/>
      <c r="U652" s="85"/>
      <c r="V652" s="146" t="s">
        <v>3268</v>
      </c>
      <c r="W652" s="51" t="s">
        <v>2932</v>
      </c>
      <c r="X652" s="130" t="s">
        <v>1429</v>
      </c>
      <c r="Y652" s="130" t="s">
        <v>1429</v>
      </c>
      <c r="Z652" s="51"/>
      <c r="AA652" s="51" t="s">
        <v>2612</v>
      </c>
      <c r="AB652" s="146"/>
      <c r="AC652" s="146" t="s">
        <v>1429</v>
      </c>
      <c r="AD652" s="98"/>
      <c r="AE652" s="83"/>
      <c r="AF652" s="83"/>
      <c r="AG652" s="83"/>
      <c r="AH652" s="86"/>
      <c r="AI652" s="86"/>
      <c r="AJ652" s="87"/>
      <c r="AK652" s="87"/>
      <c r="AL652" s="87"/>
      <c r="AM652" s="87"/>
      <c r="AN652" s="87"/>
      <c r="AO652" s="87"/>
      <c r="AP652" s="87"/>
      <c r="AQ652" s="229" t="s">
        <v>897</v>
      </c>
      <c r="AR652" s="5"/>
      <c r="AS652" s="5"/>
      <c r="AT652" s="5"/>
      <c r="AU652" s="5"/>
      <c r="AV652" s="5"/>
      <c r="AW652" s="5"/>
      <c r="AX652" s="284"/>
      <c r="AY652" s="5"/>
      <c r="AZ652" s="5"/>
      <c r="BA652" s="230"/>
      <c r="BB652" s="5"/>
      <c r="BC652" s="232" t="s">
        <v>3536</v>
      </c>
      <c r="BD652" s="257"/>
      <c r="BE652" s="249"/>
      <c r="BF652" s="249"/>
      <c r="BG652" s="249"/>
      <c r="BH652" s="249"/>
      <c r="BI652" s="249"/>
      <c r="BJ652" s="249"/>
      <c r="BK652" s="249"/>
      <c r="BL652" s="249"/>
      <c r="BM652" s="249"/>
      <c r="BN652" s="249"/>
      <c r="BO652" s="249"/>
      <c r="BP652" s="249"/>
      <c r="BQ652" s="249"/>
      <c r="BR652" s="249"/>
      <c r="BS652" s="249"/>
      <c r="BT652" s="249"/>
      <c r="BU652" s="249"/>
      <c r="BV652" s="249"/>
      <c r="BW652" s="249"/>
      <c r="BX652" s="249"/>
      <c r="BY652" s="249"/>
      <c r="BZ652" s="249"/>
      <c r="CA652" s="249"/>
      <c r="CB652" s="249"/>
      <c r="CC652" s="249"/>
      <c r="CD652" s="249"/>
      <c r="CE652" s="249"/>
    </row>
    <row r="653" spans="1:83" s="84" customFormat="1" ht="12.95" customHeight="1">
      <c r="A653" s="1"/>
      <c r="B653" s="1"/>
      <c r="C653" s="21" t="s">
        <v>898</v>
      </c>
      <c r="D653" s="52" t="s">
        <v>3269</v>
      </c>
      <c r="E653" s="52" t="s">
        <v>3270</v>
      </c>
      <c r="F653" s="53" t="s">
        <v>1192</v>
      </c>
      <c r="G653" s="179" t="s">
        <v>1429</v>
      </c>
      <c r="H653" s="180" t="s">
        <v>898</v>
      </c>
      <c r="I653" s="55" t="s">
        <v>1429</v>
      </c>
      <c r="J653" s="55" t="s">
        <v>1429</v>
      </c>
      <c r="K653" s="56" t="s">
        <v>1429</v>
      </c>
      <c r="L653" s="54" t="s">
        <v>1429</v>
      </c>
      <c r="M653" s="55" t="s">
        <v>1580</v>
      </c>
      <c r="N653" s="55" t="s">
        <v>1429</v>
      </c>
      <c r="O653" s="55" t="s">
        <v>1429</v>
      </c>
      <c r="P653" s="56" t="s">
        <v>1429</v>
      </c>
      <c r="Q653" s="85"/>
      <c r="R653" s="85"/>
      <c r="S653" s="85"/>
      <c r="T653" s="85"/>
      <c r="U653" s="85"/>
      <c r="V653" s="146" t="s">
        <v>3271</v>
      </c>
      <c r="W653" s="51" t="s">
        <v>2932</v>
      </c>
      <c r="X653" s="130" t="s">
        <v>1429</v>
      </c>
      <c r="Y653" s="130" t="s">
        <v>1429</v>
      </c>
      <c r="Z653" s="51"/>
      <c r="AA653" s="51" t="s">
        <v>2612</v>
      </c>
      <c r="AB653" s="146"/>
      <c r="AC653" s="146" t="s">
        <v>1429</v>
      </c>
      <c r="AD653" s="98"/>
      <c r="AE653" s="83"/>
      <c r="AF653" s="83"/>
      <c r="AG653" s="83"/>
      <c r="AH653" s="86"/>
      <c r="AI653" s="86"/>
      <c r="AJ653" s="87"/>
      <c r="AK653" s="87"/>
      <c r="AL653" s="87"/>
      <c r="AM653" s="87"/>
      <c r="AN653" s="87"/>
      <c r="AO653" s="87"/>
      <c r="AP653" s="87"/>
      <c r="AQ653" s="229" t="s">
        <v>898</v>
      </c>
      <c r="AR653" s="5"/>
      <c r="AS653" s="5"/>
      <c r="AT653" s="5"/>
      <c r="AU653" s="5"/>
      <c r="AV653" s="5"/>
      <c r="AW653" s="5"/>
      <c r="AX653" s="284"/>
      <c r="AY653" s="5"/>
      <c r="AZ653" s="5"/>
      <c r="BA653" s="230"/>
      <c r="BB653" s="5"/>
      <c r="BC653" s="232" t="s">
        <v>3536</v>
      </c>
      <c r="BD653" s="257"/>
      <c r="BE653" s="249"/>
      <c r="BF653" s="249"/>
      <c r="BG653" s="249"/>
      <c r="BH653" s="249"/>
      <c r="BI653" s="249"/>
      <c r="BJ653" s="249"/>
      <c r="BK653" s="249"/>
      <c r="BL653" s="249"/>
      <c r="BM653" s="249"/>
      <c r="BN653" s="249"/>
      <c r="BO653" s="249"/>
      <c r="BP653" s="249"/>
      <c r="BQ653" s="249"/>
      <c r="BR653" s="249"/>
      <c r="BS653" s="249"/>
      <c r="BT653" s="249"/>
      <c r="BU653" s="249"/>
      <c r="BV653" s="249"/>
      <c r="BW653" s="249"/>
      <c r="BX653" s="249"/>
      <c r="BY653" s="249"/>
      <c r="BZ653" s="249"/>
      <c r="CA653" s="249"/>
      <c r="CB653" s="249"/>
      <c r="CC653" s="249"/>
      <c r="CD653" s="249"/>
      <c r="CE653" s="249"/>
    </row>
    <row r="654" spans="1:83" s="84" customFormat="1" ht="12.95" customHeight="1">
      <c r="A654" s="1"/>
      <c r="B654" s="1"/>
      <c r="C654" s="18" t="s">
        <v>899</v>
      </c>
      <c r="D654" s="52" t="s">
        <v>1725</v>
      </c>
      <c r="E654" s="52" t="s">
        <v>3272</v>
      </c>
      <c r="F654" s="53" t="s">
        <v>1193</v>
      </c>
      <c r="G654" s="179" t="s">
        <v>1429</v>
      </c>
      <c r="H654" s="180" t="s">
        <v>899</v>
      </c>
      <c r="I654" s="55" t="s">
        <v>1429</v>
      </c>
      <c r="J654" s="55" t="s">
        <v>1429</v>
      </c>
      <c r="K654" s="56" t="s">
        <v>1429</v>
      </c>
      <c r="L654" s="54" t="s">
        <v>1429</v>
      </c>
      <c r="M654" s="55" t="s">
        <v>1580</v>
      </c>
      <c r="N654" s="55" t="s">
        <v>1429</v>
      </c>
      <c r="O654" s="55" t="s">
        <v>1429</v>
      </c>
      <c r="P654" s="56" t="s">
        <v>1429</v>
      </c>
      <c r="Q654" s="85"/>
      <c r="R654" s="85"/>
      <c r="S654" s="85"/>
      <c r="T654" s="85"/>
      <c r="U654" s="85"/>
      <c r="V654" s="146" t="s">
        <v>3273</v>
      </c>
      <c r="W654" s="51" t="s">
        <v>2932</v>
      </c>
      <c r="X654" s="130" t="s">
        <v>1429</v>
      </c>
      <c r="Y654" s="130" t="s">
        <v>1429</v>
      </c>
      <c r="Z654" s="51"/>
      <c r="AA654" s="51" t="s">
        <v>2612</v>
      </c>
      <c r="AB654" s="146"/>
      <c r="AC654" s="146" t="s">
        <v>1429</v>
      </c>
      <c r="AD654" s="98"/>
      <c r="AE654" s="83"/>
      <c r="AF654" s="83"/>
      <c r="AG654" s="83"/>
      <c r="AH654" s="86"/>
      <c r="AI654" s="86"/>
      <c r="AJ654" s="87"/>
      <c r="AK654" s="87"/>
      <c r="AL654" s="87"/>
      <c r="AM654" s="87"/>
      <c r="AN654" s="87"/>
      <c r="AO654" s="87"/>
      <c r="AP654" s="87"/>
      <c r="AQ654" s="229" t="s">
        <v>899</v>
      </c>
      <c r="AR654" s="5"/>
      <c r="AS654" s="5"/>
      <c r="AT654" s="5"/>
      <c r="AU654" s="5"/>
      <c r="AV654" s="5"/>
      <c r="AW654" s="5"/>
      <c r="AX654" s="284"/>
      <c r="AY654" s="5"/>
      <c r="AZ654" s="5"/>
      <c r="BA654" s="230"/>
      <c r="BB654" s="5"/>
      <c r="BC654" s="232" t="s">
        <v>3536</v>
      </c>
      <c r="BD654" s="257"/>
      <c r="BE654" s="249"/>
      <c r="BF654" s="249"/>
      <c r="BG654" s="249"/>
      <c r="BH654" s="249"/>
      <c r="BI654" s="249"/>
      <c r="BJ654" s="249"/>
      <c r="BK654" s="249"/>
      <c r="BL654" s="249"/>
      <c r="BM654" s="249"/>
      <c r="BN654" s="249"/>
      <c r="BO654" s="249"/>
      <c r="BP654" s="249"/>
      <c r="BQ654" s="249"/>
      <c r="BR654" s="249"/>
      <c r="BS654" s="249"/>
      <c r="BT654" s="249"/>
      <c r="BU654" s="249"/>
      <c r="BV654" s="249"/>
      <c r="BW654" s="249"/>
      <c r="BX654" s="249"/>
      <c r="BY654" s="249"/>
      <c r="BZ654" s="249"/>
      <c r="CA654" s="249"/>
      <c r="CB654" s="249"/>
      <c r="CC654" s="249"/>
      <c r="CD654" s="249"/>
      <c r="CE654" s="249"/>
    </row>
    <row r="655" spans="1:83" s="84" customFormat="1" ht="12.95" customHeight="1">
      <c r="A655" s="1"/>
      <c r="B655" s="1"/>
      <c r="C655" s="18" t="s">
        <v>900</v>
      </c>
      <c r="D655" s="52" t="s">
        <v>3274</v>
      </c>
      <c r="E655" s="52" t="s">
        <v>3275</v>
      </c>
      <c r="F655" s="53" t="s">
        <v>1194</v>
      </c>
      <c r="G655" s="179" t="s">
        <v>1429</v>
      </c>
      <c r="H655" s="180" t="s">
        <v>900</v>
      </c>
      <c r="I655" s="55" t="s">
        <v>1429</v>
      </c>
      <c r="J655" s="55" t="s">
        <v>1429</v>
      </c>
      <c r="K655" s="56" t="s">
        <v>1429</v>
      </c>
      <c r="L655" s="54" t="s">
        <v>1429</v>
      </c>
      <c r="M655" s="55" t="s">
        <v>1580</v>
      </c>
      <c r="N655" s="55" t="s">
        <v>1429</v>
      </c>
      <c r="O655" s="55" t="s">
        <v>1429</v>
      </c>
      <c r="P655" s="56" t="s">
        <v>1429</v>
      </c>
      <c r="Q655" s="85"/>
      <c r="R655" s="85"/>
      <c r="S655" s="85"/>
      <c r="T655" s="85"/>
      <c r="U655" s="85"/>
      <c r="V655" s="146" t="s">
        <v>3276</v>
      </c>
      <c r="W655" s="51" t="s">
        <v>2932</v>
      </c>
      <c r="X655" s="130" t="s">
        <v>1429</v>
      </c>
      <c r="Y655" s="130" t="s">
        <v>1429</v>
      </c>
      <c r="Z655" s="51"/>
      <c r="AA655" s="51" t="s">
        <v>2612</v>
      </c>
      <c r="AB655" s="146"/>
      <c r="AC655" s="146" t="s">
        <v>1429</v>
      </c>
      <c r="AD655" s="98"/>
      <c r="AE655" s="83"/>
      <c r="AF655" s="83"/>
      <c r="AG655" s="83"/>
      <c r="AH655" s="86"/>
      <c r="AI655" s="86"/>
      <c r="AJ655" s="87"/>
      <c r="AK655" s="87"/>
      <c r="AL655" s="87"/>
      <c r="AM655" s="87"/>
      <c r="AN655" s="87"/>
      <c r="AO655" s="87"/>
      <c r="AP655" s="87"/>
      <c r="AQ655" s="229" t="s">
        <v>900</v>
      </c>
      <c r="AR655" s="5"/>
      <c r="AS655" s="5"/>
      <c r="AT655" s="5"/>
      <c r="AU655" s="5"/>
      <c r="AV655" s="5"/>
      <c r="AW655" s="5"/>
      <c r="AX655" s="284"/>
      <c r="AY655" s="5"/>
      <c r="AZ655" s="5"/>
      <c r="BA655" s="230"/>
      <c r="BB655" s="5"/>
      <c r="BC655" s="232" t="s">
        <v>3536</v>
      </c>
      <c r="BD655" s="257"/>
      <c r="BE655" s="249"/>
      <c r="BF655" s="249"/>
      <c r="BG655" s="249"/>
      <c r="BH655" s="249"/>
      <c r="BI655" s="249"/>
      <c r="BJ655" s="249"/>
      <c r="BK655" s="249"/>
      <c r="BL655" s="249"/>
      <c r="BM655" s="249"/>
      <c r="BN655" s="249"/>
      <c r="BO655" s="249"/>
      <c r="BP655" s="249"/>
      <c r="BQ655" s="249"/>
      <c r="BR655" s="249"/>
      <c r="BS655" s="249"/>
      <c r="BT655" s="249"/>
      <c r="BU655" s="249"/>
      <c r="BV655" s="249"/>
      <c r="BW655" s="249"/>
      <c r="BX655" s="249"/>
      <c r="BY655" s="249"/>
      <c r="BZ655" s="249"/>
      <c r="CA655" s="249"/>
      <c r="CB655" s="249"/>
      <c r="CC655" s="249"/>
      <c r="CD655" s="249"/>
      <c r="CE655" s="249"/>
    </row>
    <row r="656" spans="1:83" s="84" customFormat="1" ht="12.95" customHeight="1">
      <c r="A656" s="1"/>
      <c r="B656" s="1"/>
      <c r="C656" s="18" t="s">
        <v>901</v>
      </c>
      <c r="D656" s="52" t="s">
        <v>3277</v>
      </c>
      <c r="E656" s="52" t="s">
        <v>3251</v>
      </c>
      <c r="F656" s="53" t="s">
        <v>1195</v>
      </c>
      <c r="G656" s="179" t="s">
        <v>1429</v>
      </c>
      <c r="H656" s="180" t="s">
        <v>901</v>
      </c>
      <c r="I656" s="55" t="s">
        <v>1429</v>
      </c>
      <c r="J656" s="55" t="s">
        <v>1429</v>
      </c>
      <c r="K656" s="56" t="s">
        <v>1429</v>
      </c>
      <c r="L656" s="54" t="s">
        <v>1429</v>
      </c>
      <c r="M656" s="55" t="s">
        <v>1580</v>
      </c>
      <c r="N656" s="55" t="s">
        <v>1429</v>
      </c>
      <c r="O656" s="55" t="s">
        <v>1429</v>
      </c>
      <c r="P656" s="56" t="s">
        <v>1429</v>
      </c>
      <c r="Q656" s="85"/>
      <c r="R656" s="85"/>
      <c r="S656" s="85"/>
      <c r="T656" s="85"/>
      <c r="U656" s="85"/>
      <c r="V656" s="146" t="s">
        <v>3278</v>
      </c>
      <c r="W656" s="51" t="s">
        <v>2932</v>
      </c>
      <c r="X656" s="130" t="s">
        <v>1429</v>
      </c>
      <c r="Y656" s="130" t="s">
        <v>1429</v>
      </c>
      <c r="Z656" s="51"/>
      <c r="AA656" s="51" t="s">
        <v>2612</v>
      </c>
      <c r="AB656" s="146"/>
      <c r="AC656" s="146" t="s">
        <v>1429</v>
      </c>
      <c r="AD656" s="98"/>
      <c r="AE656" s="83"/>
      <c r="AF656" s="83"/>
      <c r="AG656" s="83"/>
      <c r="AH656" s="86"/>
      <c r="AI656" s="86"/>
      <c r="AJ656" s="87"/>
      <c r="AK656" s="87"/>
      <c r="AL656" s="87"/>
      <c r="AM656" s="87"/>
      <c r="AN656" s="87"/>
      <c r="AO656" s="87"/>
      <c r="AP656" s="87"/>
      <c r="AQ656" s="229" t="s">
        <v>901</v>
      </c>
      <c r="AR656" s="5"/>
      <c r="AS656" s="5"/>
      <c r="AT656" s="5"/>
      <c r="AU656" s="5"/>
      <c r="AV656" s="5"/>
      <c r="AW656" s="5"/>
      <c r="AX656" s="284"/>
      <c r="AY656" s="5"/>
      <c r="AZ656" s="5"/>
      <c r="BA656" s="230"/>
      <c r="BB656" s="5"/>
      <c r="BC656" s="232" t="s">
        <v>3536</v>
      </c>
      <c r="BD656" s="257"/>
      <c r="BE656" s="249"/>
      <c r="BF656" s="249"/>
      <c r="BG656" s="249"/>
      <c r="BH656" s="249"/>
      <c r="BI656" s="249"/>
      <c r="BJ656" s="249"/>
      <c r="BK656" s="249"/>
      <c r="BL656" s="249"/>
      <c r="BM656" s="249"/>
      <c r="BN656" s="249"/>
      <c r="BO656" s="249"/>
      <c r="BP656" s="249"/>
      <c r="BQ656" s="249"/>
      <c r="BR656" s="249"/>
      <c r="BS656" s="249"/>
      <c r="BT656" s="249"/>
      <c r="BU656" s="249"/>
      <c r="BV656" s="249"/>
      <c r="BW656" s="249"/>
      <c r="BX656" s="249"/>
      <c r="BY656" s="249"/>
      <c r="BZ656" s="249"/>
      <c r="CA656" s="249"/>
      <c r="CB656" s="249"/>
      <c r="CC656" s="249"/>
      <c r="CD656" s="249"/>
      <c r="CE656" s="249"/>
    </row>
    <row r="657" spans="1:83" s="84" customFormat="1" ht="12.95" customHeight="1">
      <c r="A657" s="1"/>
      <c r="B657" s="1"/>
      <c r="C657" s="18" t="s">
        <v>902</v>
      </c>
      <c r="D657" s="52" t="s">
        <v>3279</v>
      </c>
      <c r="E657" s="52" t="s">
        <v>3280</v>
      </c>
      <c r="F657" s="53" t="s">
        <v>1196</v>
      </c>
      <c r="G657" s="179" t="s">
        <v>1429</v>
      </c>
      <c r="H657" s="180" t="s">
        <v>902</v>
      </c>
      <c r="I657" s="55" t="s">
        <v>1429</v>
      </c>
      <c r="J657" s="55" t="s">
        <v>1429</v>
      </c>
      <c r="K657" s="56" t="s">
        <v>1429</v>
      </c>
      <c r="L657" s="54" t="s">
        <v>1429</v>
      </c>
      <c r="M657" s="55" t="s">
        <v>1580</v>
      </c>
      <c r="N657" s="55" t="s">
        <v>1429</v>
      </c>
      <c r="O657" s="55" t="s">
        <v>1429</v>
      </c>
      <c r="P657" s="56" t="s">
        <v>1429</v>
      </c>
      <c r="Q657" s="85"/>
      <c r="R657" s="85"/>
      <c r="S657" s="85"/>
      <c r="T657" s="85"/>
      <c r="U657" s="85"/>
      <c r="V657" s="146" t="s">
        <v>3281</v>
      </c>
      <c r="W657" s="51" t="s">
        <v>2932</v>
      </c>
      <c r="X657" s="130" t="s">
        <v>1429</v>
      </c>
      <c r="Y657" s="130" t="s">
        <v>1429</v>
      </c>
      <c r="Z657" s="51"/>
      <c r="AA657" s="51" t="s">
        <v>2612</v>
      </c>
      <c r="AB657" s="146"/>
      <c r="AC657" s="146" t="s">
        <v>1429</v>
      </c>
      <c r="AD657" s="98"/>
      <c r="AE657" s="83"/>
      <c r="AF657" s="83"/>
      <c r="AG657" s="83"/>
      <c r="AH657" s="86"/>
      <c r="AI657" s="86"/>
      <c r="AJ657" s="87"/>
      <c r="AK657" s="87"/>
      <c r="AL657" s="87"/>
      <c r="AM657" s="87"/>
      <c r="AN657" s="87"/>
      <c r="AO657" s="87"/>
      <c r="AP657" s="87"/>
      <c r="AQ657" s="229" t="s">
        <v>902</v>
      </c>
      <c r="AR657" s="5"/>
      <c r="AS657" s="5"/>
      <c r="AT657" s="5"/>
      <c r="AU657" s="5"/>
      <c r="AV657" s="5"/>
      <c r="AW657" s="5"/>
      <c r="AX657" s="284"/>
      <c r="AY657" s="5"/>
      <c r="AZ657" s="5"/>
      <c r="BA657" s="230"/>
      <c r="BB657" s="5"/>
      <c r="BC657" s="232" t="s">
        <v>3536</v>
      </c>
      <c r="BD657" s="257"/>
      <c r="BE657" s="249"/>
      <c r="BF657" s="249"/>
      <c r="BG657" s="249"/>
      <c r="BH657" s="249"/>
      <c r="BI657" s="249"/>
      <c r="BJ657" s="249"/>
      <c r="BK657" s="249"/>
      <c r="BL657" s="249"/>
      <c r="BM657" s="249"/>
      <c r="BN657" s="249"/>
      <c r="BO657" s="249"/>
      <c r="BP657" s="249"/>
      <c r="BQ657" s="249"/>
      <c r="BR657" s="249"/>
      <c r="BS657" s="249"/>
      <c r="BT657" s="249"/>
      <c r="BU657" s="249"/>
      <c r="BV657" s="249"/>
      <c r="BW657" s="249"/>
      <c r="BX657" s="249"/>
      <c r="BY657" s="249"/>
      <c r="BZ657" s="249"/>
      <c r="CA657" s="249"/>
      <c r="CB657" s="249"/>
      <c r="CC657" s="249"/>
      <c r="CD657" s="249"/>
      <c r="CE657" s="249"/>
    </row>
    <row r="658" spans="1:83" s="84" customFormat="1" ht="12.95" customHeight="1">
      <c r="A658" s="1"/>
      <c r="B658" s="1"/>
      <c r="C658" s="18" t="s">
        <v>903</v>
      </c>
      <c r="D658" s="52" t="s">
        <v>3282</v>
      </c>
      <c r="E658" s="52" t="s">
        <v>3259</v>
      </c>
      <c r="F658" s="53" t="s">
        <v>1197</v>
      </c>
      <c r="G658" s="179" t="s">
        <v>1429</v>
      </c>
      <c r="H658" s="180" t="s">
        <v>903</v>
      </c>
      <c r="I658" s="55" t="s">
        <v>1429</v>
      </c>
      <c r="J658" s="55" t="s">
        <v>1429</v>
      </c>
      <c r="K658" s="56" t="s">
        <v>1429</v>
      </c>
      <c r="L658" s="54" t="s">
        <v>1429</v>
      </c>
      <c r="M658" s="55" t="s">
        <v>1580</v>
      </c>
      <c r="N658" s="55" t="s">
        <v>1429</v>
      </c>
      <c r="O658" s="55" t="s">
        <v>1429</v>
      </c>
      <c r="P658" s="56" t="s">
        <v>1429</v>
      </c>
      <c r="Q658" s="85"/>
      <c r="R658" s="85"/>
      <c r="S658" s="85"/>
      <c r="T658" s="85"/>
      <c r="U658" s="85"/>
      <c r="V658" s="146" t="s">
        <v>3283</v>
      </c>
      <c r="W658" s="51" t="s">
        <v>2932</v>
      </c>
      <c r="X658" s="130" t="s">
        <v>1429</v>
      </c>
      <c r="Y658" s="130" t="s">
        <v>1429</v>
      </c>
      <c r="Z658" s="51"/>
      <c r="AA658" s="51" t="s">
        <v>2612</v>
      </c>
      <c r="AB658" s="146"/>
      <c r="AC658" s="146" t="s">
        <v>1429</v>
      </c>
      <c r="AD658" s="98"/>
      <c r="AE658" s="83"/>
      <c r="AF658" s="83"/>
      <c r="AG658" s="83"/>
      <c r="AH658" s="86"/>
      <c r="AI658" s="86"/>
      <c r="AJ658" s="87"/>
      <c r="AK658" s="87"/>
      <c r="AL658" s="87"/>
      <c r="AM658" s="87"/>
      <c r="AN658" s="87"/>
      <c r="AO658" s="87"/>
      <c r="AP658" s="87"/>
      <c r="AQ658" s="229" t="s">
        <v>903</v>
      </c>
      <c r="AR658" s="5"/>
      <c r="AS658" s="5"/>
      <c r="AT658" s="5"/>
      <c r="AU658" s="5"/>
      <c r="AV658" s="5"/>
      <c r="AW658" s="5"/>
      <c r="AX658" s="284"/>
      <c r="AY658" s="5"/>
      <c r="AZ658" s="5"/>
      <c r="BA658" s="230"/>
      <c r="BB658" s="5"/>
      <c r="BC658" s="232" t="s">
        <v>3536</v>
      </c>
      <c r="BD658" s="257"/>
      <c r="BE658" s="249"/>
      <c r="BF658" s="249"/>
      <c r="BG658" s="249"/>
      <c r="BH658" s="249"/>
      <c r="BI658" s="249"/>
      <c r="BJ658" s="249"/>
      <c r="BK658" s="249"/>
      <c r="BL658" s="249"/>
      <c r="BM658" s="249"/>
      <c r="BN658" s="249"/>
      <c r="BO658" s="249"/>
      <c r="BP658" s="249"/>
      <c r="BQ658" s="249"/>
      <c r="BR658" s="249"/>
      <c r="BS658" s="249"/>
      <c r="BT658" s="249"/>
      <c r="BU658" s="249"/>
      <c r="BV658" s="249"/>
      <c r="BW658" s="249"/>
      <c r="BX658" s="249"/>
      <c r="BY658" s="249"/>
      <c r="BZ658" s="249"/>
      <c r="CA658" s="249"/>
      <c r="CB658" s="249"/>
      <c r="CC658" s="249"/>
      <c r="CD658" s="249"/>
      <c r="CE658" s="249"/>
    </row>
    <row r="659" spans="1:83" s="84" customFormat="1" ht="12.95" customHeight="1">
      <c r="A659" s="1"/>
      <c r="B659" s="1"/>
      <c r="C659" s="18" t="s">
        <v>904</v>
      </c>
      <c r="D659" s="52" t="s">
        <v>2211</v>
      </c>
      <c r="E659" s="52" t="s">
        <v>3284</v>
      </c>
      <c r="F659" s="53" t="s">
        <v>1198</v>
      </c>
      <c r="G659" s="179" t="s">
        <v>1429</v>
      </c>
      <c r="H659" s="180" t="s">
        <v>904</v>
      </c>
      <c r="I659" s="55" t="s">
        <v>1429</v>
      </c>
      <c r="J659" s="55" t="s">
        <v>1429</v>
      </c>
      <c r="K659" s="56" t="s">
        <v>1429</v>
      </c>
      <c r="L659" s="54" t="s">
        <v>1429</v>
      </c>
      <c r="M659" s="55" t="s">
        <v>1580</v>
      </c>
      <c r="N659" s="55" t="s">
        <v>1429</v>
      </c>
      <c r="O659" s="55" t="s">
        <v>1429</v>
      </c>
      <c r="P659" s="56" t="s">
        <v>1429</v>
      </c>
      <c r="Q659" s="85"/>
      <c r="R659" s="85"/>
      <c r="S659" s="85"/>
      <c r="T659" s="85"/>
      <c r="U659" s="85"/>
      <c r="V659" s="146" t="s">
        <v>3285</v>
      </c>
      <c r="W659" s="51" t="s">
        <v>2932</v>
      </c>
      <c r="X659" s="130" t="s">
        <v>1429</v>
      </c>
      <c r="Y659" s="130" t="s">
        <v>1429</v>
      </c>
      <c r="Z659" s="51"/>
      <c r="AA659" s="51" t="s">
        <v>2612</v>
      </c>
      <c r="AB659" s="146"/>
      <c r="AC659" s="146" t="s">
        <v>1429</v>
      </c>
      <c r="AD659" s="98"/>
      <c r="AE659" s="83"/>
      <c r="AF659" s="83"/>
      <c r="AG659" s="83"/>
      <c r="AH659" s="86"/>
      <c r="AI659" s="86"/>
      <c r="AJ659" s="87"/>
      <c r="AK659" s="87"/>
      <c r="AL659" s="87"/>
      <c r="AM659" s="87"/>
      <c r="AN659" s="87"/>
      <c r="AO659" s="87"/>
      <c r="AP659" s="87"/>
      <c r="AQ659" s="229" t="s">
        <v>904</v>
      </c>
      <c r="AR659" s="5"/>
      <c r="AS659" s="5"/>
      <c r="AT659" s="5"/>
      <c r="AU659" s="5"/>
      <c r="AV659" s="5"/>
      <c r="AW659" s="5"/>
      <c r="AX659" s="284"/>
      <c r="AY659" s="5"/>
      <c r="AZ659" s="5"/>
      <c r="BA659" s="230"/>
      <c r="BB659" s="5"/>
      <c r="BC659" s="232" t="s">
        <v>3536</v>
      </c>
      <c r="BD659" s="257"/>
      <c r="BE659" s="249"/>
      <c r="BF659" s="249"/>
      <c r="BG659" s="249"/>
      <c r="BH659" s="249"/>
      <c r="BI659" s="249"/>
      <c r="BJ659" s="249"/>
      <c r="BK659" s="249"/>
      <c r="BL659" s="249"/>
      <c r="BM659" s="249"/>
      <c r="BN659" s="249"/>
      <c r="BO659" s="249"/>
      <c r="BP659" s="249"/>
      <c r="BQ659" s="249"/>
      <c r="BR659" s="249"/>
      <c r="BS659" s="249"/>
      <c r="BT659" s="249"/>
      <c r="BU659" s="249"/>
      <c r="BV659" s="249"/>
      <c r="BW659" s="249"/>
      <c r="BX659" s="249"/>
      <c r="BY659" s="249"/>
      <c r="BZ659" s="249"/>
      <c r="CA659" s="249"/>
      <c r="CB659" s="249"/>
      <c r="CC659" s="249"/>
      <c r="CD659" s="249"/>
      <c r="CE659" s="249"/>
    </row>
    <row r="660" spans="1:83" s="84" customFormat="1" ht="12.95" customHeight="1">
      <c r="A660" s="1"/>
      <c r="B660" s="1"/>
      <c r="C660" s="18" t="s">
        <v>905</v>
      </c>
      <c r="D660" s="52" t="s">
        <v>3286</v>
      </c>
      <c r="E660" s="52" t="s">
        <v>3263</v>
      </c>
      <c r="F660" s="53" t="s">
        <v>1199</v>
      </c>
      <c r="G660" s="179" t="s">
        <v>1429</v>
      </c>
      <c r="H660" s="180" t="s">
        <v>905</v>
      </c>
      <c r="I660" s="55" t="s">
        <v>1429</v>
      </c>
      <c r="J660" s="55" t="s">
        <v>1429</v>
      </c>
      <c r="K660" s="56" t="s">
        <v>1429</v>
      </c>
      <c r="L660" s="54" t="s">
        <v>1429</v>
      </c>
      <c r="M660" s="55" t="s">
        <v>1580</v>
      </c>
      <c r="N660" s="55" t="s">
        <v>1429</v>
      </c>
      <c r="O660" s="55" t="s">
        <v>1429</v>
      </c>
      <c r="P660" s="56" t="s">
        <v>1429</v>
      </c>
      <c r="Q660" s="85"/>
      <c r="R660" s="85"/>
      <c r="S660" s="85"/>
      <c r="T660" s="85"/>
      <c r="U660" s="85"/>
      <c r="V660" s="146" t="s">
        <v>3287</v>
      </c>
      <c r="W660" s="51" t="s">
        <v>2932</v>
      </c>
      <c r="X660" s="130" t="s">
        <v>1429</v>
      </c>
      <c r="Y660" s="130" t="s">
        <v>1429</v>
      </c>
      <c r="Z660" s="51"/>
      <c r="AA660" s="51" t="s">
        <v>2612</v>
      </c>
      <c r="AB660" s="146"/>
      <c r="AC660" s="146" t="s">
        <v>1429</v>
      </c>
      <c r="AD660" s="98"/>
      <c r="AE660" s="83"/>
      <c r="AF660" s="83"/>
      <c r="AG660" s="83"/>
      <c r="AH660" s="86"/>
      <c r="AI660" s="86"/>
      <c r="AJ660" s="87"/>
      <c r="AK660" s="87"/>
      <c r="AL660" s="87"/>
      <c r="AM660" s="87"/>
      <c r="AN660" s="87"/>
      <c r="AO660" s="87"/>
      <c r="AP660" s="87"/>
      <c r="AQ660" s="229" t="s">
        <v>905</v>
      </c>
      <c r="AR660" s="5"/>
      <c r="AS660" s="5"/>
      <c r="AT660" s="5"/>
      <c r="AU660" s="5"/>
      <c r="AV660" s="5"/>
      <c r="AW660" s="5"/>
      <c r="AX660" s="284"/>
      <c r="AY660" s="5"/>
      <c r="AZ660" s="5"/>
      <c r="BA660" s="230"/>
      <c r="BB660" s="5"/>
      <c r="BC660" s="232" t="s">
        <v>3536</v>
      </c>
      <c r="BD660" s="257"/>
      <c r="BE660" s="249"/>
      <c r="BF660" s="249"/>
      <c r="BG660" s="249"/>
      <c r="BH660" s="249"/>
      <c r="BI660" s="249"/>
      <c r="BJ660" s="249"/>
      <c r="BK660" s="249"/>
      <c r="BL660" s="249"/>
      <c r="BM660" s="249"/>
      <c r="BN660" s="249"/>
      <c r="BO660" s="249"/>
      <c r="BP660" s="249"/>
      <c r="BQ660" s="249"/>
      <c r="BR660" s="249"/>
      <c r="BS660" s="249"/>
      <c r="BT660" s="249"/>
      <c r="BU660" s="249"/>
      <c r="BV660" s="249"/>
      <c r="BW660" s="249"/>
      <c r="BX660" s="249"/>
      <c r="BY660" s="249"/>
      <c r="BZ660" s="249"/>
      <c r="CA660" s="249"/>
      <c r="CB660" s="249"/>
      <c r="CC660" s="249"/>
      <c r="CD660" s="249"/>
      <c r="CE660" s="249"/>
    </row>
    <row r="661" spans="1:83" s="84" customFormat="1" ht="12.95" customHeight="1">
      <c r="A661" s="1"/>
      <c r="B661" s="1"/>
      <c r="C661" s="18" t="s">
        <v>906</v>
      </c>
      <c r="D661" s="52" t="s">
        <v>1715</v>
      </c>
      <c r="E661" s="52" t="s">
        <v>3288</v>
      </c>
      <c r="F661" s="53" t="s">
        <v>1200</v>
      </c>
      <c r="G661" s="179" t="s">
        <v>1429</v>
      </c>
      <c r="H661" s="180" t="s">
        <v>906</v>
      </c>
      <c r="I661" s="55" t="s">
        <v>1429</v>
      </c>
      <c r="J661" s="55" t="s">
        <v>1429</v>
      </c>
      <c r="K661" s="56" t="s">
        <v>1429</v>
      </c>
      <c r="L661" s="54" t="s">
        <v>1429</v>
      </c>
      <c r="M661" s="55" t="s">
        <v>1580</v>
      </c>
      <c r="N661" s="55" t="s">
        <v>1429</v>
      </c>
      <c r="O661" s="55" t="s">
        <v>1429</v>
      </c>
      <c r="P661" s="56" t="s">
        <v>1429</v>
      </c>
      <c r="Q661" s="85"/>
      <c r="R661" s="85"/>
      <c r="S661" s="85"/>
      <c r="T661" s="85"/>
      <c r="U661" s="85"/>
      <c r="V661" s="146" t="s">
        <v>3289</v>
      </c>
      <c r="W661" s="51" t="s">
        <v>2932</v>
      </c>
      <c r="X661" s="130" t="s">
        <v>1429</v>
      </c>
      <c r="Y661" s="130" t="s">
        <v>1429</v>
      </c>
      <c r="Z661" s="51"/>
      <c r="AA661" s="51" t="s">
        <v>2612</v>
      </c>
      <c r="AB661" s="146"/>
      <c r="AC661" s="146" t="s">
        <v>1429</v>
      </c>
      <c r="AD661" s="98"/>
      <c r="AE661" s="83"/>
      <c r="AF661" s="83"/>
      <c r="AG661" s="83"/>
      <c r="AH661" s="86"/>
      <c r="AI661" s="86"/>
      <c r="AJ661" s="87"/>
      <c r="AK661" s="87"/>
      <c r="AL661" s="87"/>
      <c r="AM661" s="87"/>
      <c r="AN661" s="87"/>
      <c r="AO661" s="87"/>
      <c r="AP661" s="87"/>
      <c r="AQ661" s="229" t="s">
        <v>906</v>
      </c>
      <c r="AR661" s="5"/>
      <c r="AS661" s="5"/>
      <c r="AT661" s="5"/>
      <c r="AU661" s="5"/>
      <c r="AV661" s="5"/>
      <c r="AW661" s="5"/>
      <c r="AX661" s="284"/>
      <c r="AY661" s="5"/>
      <c r="AZ661" s="5"/>
      <c r="BA661" s="230"/>
      <c r="BB661" s="5"/>
      <c r="BC661" s="232" t="s">
        <v>3536</v>
      </c>
      <c r="BD661" s="257"/>
      <c r="BE661" s="249"/>
      <c r="BF661" s="249"/>
      <c r="BG661" s="249"/>
      <c r="BH661" s="249"/>
      <c r="BI661" s="249"/>
      <c r="BJ661" s="249"/>
      <c r="BK661" s="249"/>
      <c r="BL661" s="249"/>
      <c r="BM661" s="249"/>
      <c r="BN661" s="249"/>
      <c r="BO661" s="249"/>
      <c r="BP661" s="249"/>
      <c r="BQ661" s="249"/>
      <c r="BR661" s="249"/>
      <c r="BS661" s="249"/>
      <c r="BT661" s="249"/>
      <c r="BU661" s="249"/>
      <c r="BV661" s="249"/>
      <c r="BW661" s="249"/>
      <c r="BX661" s="249"/>
      <c r="BY661" s="249"/>
      <c r="BZ661" s="249"/>
      <c r="CA661" s="249"/>
      <c r="CB661" s="249"/>
      <c r="CC661" s="249"/>
      <c r="CD661" s="249"/>
      <c r="CE661" s="249"/>
    </row>
    <row r="662" spans="1:83" s="84" customFormat="1" ht="12.95" customHeight="1">
      <c r="A662" s="1"/>
      <c r="B662" s="1"/>
      <c r="C662" s="18" t="s">
        <v>907</v>
      </c>
      <c r="D662" s="52" t="s">
        <v>1712</v>
      </c>
      <c r="E662" s="52" t="s">
        <v>3290</v>
      </c>
      <c r="F662" s="53" t="s">
        <v>1201</v>
      </c>
      <c r="G662" s="179" t="s">
        <v>1429</v>
      </c>
      <c r="H662" s="180" t="s">
        <v>907</v>
      </c>
      <c r="I662" s="55" t="s">
        <v>1429</v>
      </c>
      <c r="J662" s="55" t="s">
        <v>1429</v>
      </c>
      <c r="K662" s="56" t="s">
        <v>1429</v>
      </c>
      <c r="L662" s="54" t="s">
        <v>1429</v>
      </c>
      <c r="M662" s="55" t="s">
        <v>1580</v>
      </c>
      <c r="N662" s="55" t="s">
        <v>1429</v>
      </c>
      <c r="O662" s="55" t="s">
        <v>1429</v>
      </c>
      <c r="P662" s="56" t="s">
        <v>1429</v>
      </c>
      <c r="Q662" s="85"/>
      <c r="R662" s="85"/>
      <c r="S662" s="85"/>
      <c r="T662" s="85"/>
      <c r="U662" s="85"/>
      <c r="V662" s="146" t="s">
        <v>3291</v>
      </c>
      <c r="W662" s="51" t="s">
        <v>2932</v>
      </c>
      <c r="X662" s="130" t="s">
        <v>1429</v>
      </c>
      <c r="Y662" s="130" t="s">
        <v>1429</v>
      </c>
      <c r="Z662" s="51"/>
      <c r="AA662" s="51" t="s">
        <v>2612</v>
      </c>
      <c r="AB662" s="146"/>
      <c r="AC662" s="146" t="s">
        <v>1429</v>
      </c>
      <c r="AD662" s="98"/>
      <c r="AE662" s="83"/>
      <c r="AF662" s="83"/>
      <c r="AG662" s="83"/>
      <c r="AH662" s="86"/>
      <c r="AI662" s="86"/>
      <c r="AJ662" s="87"/>
      <c r="AK662" s="87"/>
      <c r="AL662" s="87"/>
      <c r="AM662" s="87"/>
      <c r="AN662" s="87"/>
      <c r="AO662" s="87"/>
      <c r="AP662" s="87"/>
      <c r="AQ662" s="229" t="s">
        <v>907</v>
      </c>
      <c r="AR662" s="5"/>
      <c r="AS662" s="5"/>
      <c r="AT662" s="5"/>
      <c r="AU662" s="5"/>
      <c r="AV662" s="5"/>
      <c r="AW662" s="5"/>
      <c r="AX662" s="284"/>
      <c r="AY662" s="5"/>
      <c r="AZ662" s="5"/>
      <c r="BA662" s="230"/>
      <c r="BB662" s="5"/>
      <c r="BC662" s="232" t="s">
        <v>3536</v>
      </c>
      <c r="BD662" s="257"/>
      <c r="BE662" s="249"/>
      <c r="BF662" s="249"/>
      <c r="BG662" s="249"/>
      <c r="BH662" s="249"/>
      <c r="BI662" s="249"/>
      <c r="BJ662" s="249"/>
      <c r="BK662" s="249"/>
      <c r="BL662" s="249"/>
      <c r="BM662" s="249"/>
      <c r="BN662" s="249"/>
      <c r="BO662" s="249"/>
      <c r="BP662" s="249"/>
      <c r="BQ662" s="249"/>
      <c r="BR662" s="249"/>
      <c r="BS662" s="249"/>
      <c r="BT662" s="249"/>
      <c r="BU662" s="249"/>
      <c r="BV662" s="249"/>
      <c r="BW662" s="249"/>
      <c r="BX662" s="249"/>
      <c r="BY662" s="249"/>
      <c r="BZ662" s="249"/>
      <c r="CA662" s="249"/>
      <c r="CB662" s="249"/>
      <c r="CC662" s="249"/>
      <c r="CD662" s="249"/>
      <c r="CE662" s="249"/>
    </row>
    <row r="663" spans="1:83" s="84" customFormat="1" ht="12.95" customHeight="1">
      <c r="A663" s="1"/>
      <c r="B663" s="1"/>
      <c r="C663" s="18" t="s">
        <v>908</v>
      </c>
      <c r="D663" s="52" t="s">
        <v>3292</v>
      </c>
      <c r="E663" s="52" t="s">
        <v>3293</v>
      </c>
      <c r="F663" s="53" t="s">
        <v>1202</v>
      </c>
      <c r="G663" s="179" t="s">
        <v>1429</v>
      </c>
      <c r="H663" s="180" t="s">
        <v>908</v>
      </c>
      <c r="I663" s="55" t="s">
        <v>1429</v>
      </c>
      <c r="J663" s="55" t="s">
        <v>1429</v>
      </c>
      <c r="K663" s="56" t="s">
        <v>1429</v>
      </c>
      <c r="L663" s="54" t="s">
        <v>1429</v>
      </c>
      <c r="M663" s="55" t="s">
        <v>1580</v>
      </c>
      <c r="N663" s="55" t="s">
        <v>1429</v>
      </c>
      <c r="O663" s="55" t="s">
        <v>1429</v>
      </c>
      <c r="P663" s="56" t="s">
        <v>1429</v>
      </c>
      <c r="Q663" s="85"/>
      <c r="R663" s="85"/>
      <c r="S663" s="85"/>
      <c r="T663" s="85"/>
      <c r="U663" s="85"/>
      <c r="V663" s="146" t="s">
        <v>3294</v>
      </c>
      <c r="W663" s="51" t="s">
        <v>2932</v>
      </c>
      <c r="X663" s="130" t="s">
        <v>1429</v>
      </c>
      <c r="Y663" s="130" t="s">
        <v>1429</v>
      </c>
      <c r="Z663" s="51"/>
      <c r="AA663" s="51" t="s">
        <v>2612</v>
      </c>
      <c r="AB663" s="146"/>
      <c r="AC663" s="146" t="s">
        <v>1429</v>
      </c>
      <c r="AD663" s="98"/>
      <c r="AE663" s="83"/>
      <c r="AF663" s="83"/>
      <c r="AG663" s="83"/>
      <c r="AH663" s="86"/>
      <c r="AI663" s="86"/>
      <c r="AJ663" s="87"/>
      <c r="AK663" s="87"/>
      <c r="AL663" s="87"/>
      <c r="AM663" s="87"/>
      <c r="AN663" s="87"/>
      <c r="AO663" s="87"/>
      <c r="AP663" s="87"/>
      <c r="AQ663" s="229" t="s">
        <v>908</v>
      </c>
      <c r="AR663" s="5"/>
      <c r="AS663" s="5"/>
      <c r="AT663" s="5"/>
      <c r="AU663" s="5"/>
      <c r="AV663" s="5"/>
      <c r="AW663" s="5"/>
      <c r="AX663" s="284"/>
      <c r="AY663" s="5"/>
      <c r="AZ663" s="5"/>
      <c r="BA663" s="230"/>
      <c r="BB663" s="5"/>
      <c r="BC663" s="232" t="s">
        <v>3536</v>
      </c>
      <c r="BD663" s="257"/>
      <c r="BE663" s="249"/>
      <c r="BF663" s="249"/>
      <c r="BG663" s="249"/>
      <c r="BH663" s="249"/>
      <c r="BI663" s="249"/>
      <c r="BJ663" s="249"/>
      <c r="BK663" s="249"/>
      <c r="BL663" s="249"/>
      <c r="BM663" s="249"/>
      <c r="BN663" s="249"/>
      <c r="BO663" s="249"/>
      <c r="BP663" s="249"/>
      <c r="BQ663" s="249"/>
      <c r="BR663" s="249"/>
      <c r="BS663" s="249"/>
      <c r="BT663" s="249"/>
      <c r="BU663" s="249"/>
      <c r="BV663" s="249"/>
      <c r="BW663" s="249"/>
      <c r="BX663" s="249"/>
      <c r="BY663" s="249"/>
      <c r="BZ663" s="249"/>
      <c r="CA663" s="249"/>
      <c r="CB663" s="249"/>
      <c r="CC663" s="249"/>
      <c r="CD663" s="249"/>
      <c r="CE663" s="249"/>
    </row>
    <row r="664" spans="1:83" s="84" customFormat="1" ht="12.95" customHeight="1">
      <c r="A664" s="1"/>
      <c r="B664" s="1"/>
      <c r="C664" s="21" t="s">
        <v>909</v>
      </c>
      <c r="D664" s="52" t="s">
        <v>3295</v>
      </c>
      <c r="E664" s="52" t="s">
        <v>3296</v>
      </c>
      <c r="F664" s="53" t="s">
        <v>1203</v>
      </c>
      <c r="G664" s="179" t="s">
        <v>1429</v>
      </c>
      <c r="H664" s="180" t="s">
        <v>909</v>
      </c>
      <c r="I664" s="55" t="s">
        <v>1429</v>
      </c>
      <c r="J664" s="55" t="s">
        <v>1429</v>
      </c>
      <c r="K664" s="56" t="s">
        <v>1429</v>
      </c>
      <c r="L664" s="54" t="s">
        <v>1429</v>
      </c>
      <c r="M664" s="55" t="s">
        <v>1580</v>
      </c>
      <c r="N664" s="55" t="s">
        <v>1429</v>
      </c>
      <c r="O664" s="55" t="s">
        <v>1429</v>
      </c>
      <c r="P664" s="56" t="s">
        <v>1429</v>
      </c>
      <c r="Q664" s="85"/>
      <c r="R664" s="85"/>
      <c r="S664" s="85"/>
      <c r="T664" s="85"/>
      <c r="U664" s="85"/>
      <c r="V664" s="146" t="s">
        <v>3297</v>
      </c>
      <c r="W664" s="51" t="s">
        <v>2932</v>
      </c>
      <c r="X664" s="130" t="s">
        <v>1429</v>
      </c>
      <c r="Y664" s="130" t="s">
        <v>1429</v>
      </c>
      <c r="Z664" s="51"/>
      <c r="AA664" s="51" t="s">
        <v>2612</v>
      </c>
      <c r="AB664" s="146"/>
      <c r="AC664" s="146" t="s">
        <v>1429</v>
      </c>
      <c r="AD664" s="98"/>
      <c r="AE664" s="83"/>
      <c r="AF664" s="83"/>
      <c r="AG664" s="83"/>
      <c r="AH664" s="86"/>
      <c r="AI664" s="86"/>
      <c r="AJ664" s="87"/>
      <c r="AK664" s="87"/>
      <c r="AL664" s="87"/>
      <c r="AM664" s="87"/>
      <c r="AN664" s="87"/>
      <c r="AO664" s="87"/>
      <c r="AP664" s="87"/>
      <c r="AQ664" s="229" t="s">
        <v>909</v>
      </c>
      <c r="AR664" s="5"/>
      <c r="AS664" s="5"/>
      <c r="AT664" s="5"/>
      <c r="AU664" s="5"/>
      <c r="AV664" s="5"/>
      <c r="AW664" s="5"/>
      <c r="AX664" s="284"/>
      <c r="AY664" s="5"/>
      <c r="AZ664" s="5"/>
      <c r="BA664" s="230"/>
      <c r="BB664" s="5"/>
      <c r="BC664" s="232" t="s">
        <v>3536</v>
      </c>
      <c r="BD664" s="257"/>
      <c r="BE664" s="249"/>
      <c r="BF664" s="249"/>
      <c r="BG664" s="249"/>
      <c r="BH664" s="249"/>
      <c r="BI664" s="249"/>
      <c r="BJ664" s="249"/>
      <c r="BK664" s="249"/>
      <c r="BL664" s="249"/>
      <c r="BM664" s="249"/>
      <c r="BN664" s="249"/>
      <c r="BO664" s="249"/>
      <c r="BP664" s="249"/>
      <c r="BQ664" s="249"/>
      <c r="BR664" s="249"/>
      <c r="BS664" s="249"/>
      <c r="BT664" s="249"/>
      <c r="BU664" s="249"/>
      <c r="BV664" s="249"/>
      <c r="BW664" s="249"/>
      <c r="BX664" s="249"/>
      <c r="BY664" s="249"/>
      <c r="BZ664" s="249"/>
      <c r="CA664" s="249"/>
      <c r="CB664" s="249"/>
      <c r="CC664" s="249"/>
      <c r="CD664" s="249"/>
      <c r="CE664" s="249"/>
    </row>
    <row r="665" spans="1:83" s="84" customFormat="1" ht="12.95" customHeight="1">
      <c r="A665" s="1"/>
      <c r="B665" s="1"/>
      <c r="C665" s="21" t="s">
        <v>910</v>
      </c>
      <c r="D665" s="52" t="s">
        <v>3298</v>
      </c>
      <c r="E665" s="52" t="s">
        <v>3299</v>
      </c>
      <c r="F665" s="53" t="s">
        <v>1204</v>
      </c>
      <c r="G665" s="179" t="s">
        <v>1429</v>
      </c>
      <c r="H665" s="180" t="s">
        <v>910</v>
      </c>
      <c r="I665" s="55" t="s">
        <v>1429</v>
      </c>
      <c r="J665" s="55" t="s">
        <v>1429</v>
      </c>
      <c r="K665" s="56" t="s">
        <v>1429</v>
      </c>
      <c r="L665" s="54" t="s">
        <v>1429</v>
      </c>
      <c r="M665" s="55" t="s">
        <v>1580</v>
      </c>
      <c r="N665" s="55" t="s">
        <v>1429</v>
      </c>
      <c r="O665" s="55" t="s">
        <v>1429</v>
      </c>
      <c r="P665" s="56" t="s">
        <v>1429</v>
      </c>
      <c r="Q665" s="85"/>
      <c r="R665" s="85"/>
      <c r="S665" s="85"/>
      <c r="T665" s="85"/>
      <c r="U665" s="85"/>
      <c r="V665" s="146" t="s">
        <v>3300</v>
      </c>
      <c r="W665" s="51" t="s">
        <v>2932</v>
      </c>
      <c r="X665" s="130" t="s">
        <v>1429</v>
      </c>
      <c r="Y665" s="130" t="s">
        <v>1429</v>
      </c>
      <c r="Z665" s="51"/>
      <c r="AA665" s="51" t="s">
        <v>2612</v>
      </c>
      <c r="AB665" s="146"/>
      <c r="AC665" s="146" t="s">
        <v>1429</v>
      </c>
      <c r="AD665" s="98"/>
      <c r="AE665" s="83"/>
      <c r="AF665" s="83"/>
      <c r="AG665" s="83"/>
      <c r="AH665" s="86"/>
      <c r="AI665" s="86"/>
      <c r="AJ665" s="87"/>
      <c r="AK665" s="87"/>
      <c r="AL665" s="87"/>
      <c r="AM665" s="87"/>
      <c r="AN665" s="87"/>
      <c r="AO665" s="87"/>
      <c r="AP665" s="87"/>
      <c r="AQ665" s="229" t="s">
        <v>910</v>
      </c>
      <c r="AR665" s="5"/>
      <c r="AS665" s="5"/>
      <c r="AT665" s="5"/>
      <c r="AU665" s="5"/>
      <c r="AV665" s="5"/>
      <c r="AW665" s="5"/>
      <c r="AX665" s="284"/>
      <c r="AY665" s="5"/>
      <c r="AZ665" s="5"/>
      <c r="BA665" s="230"/>
      <c r="BB665" s="5"/>
      <c r="BC665" s="232" t="s">
        <v>3536</v>
      </c>
      <c r="BD665" s="257"/>
      <c r="BE665" s="249"/>
      <c r="BF665" s="249"/>
      <c r="BG665" s="249"/>
      <c r="BH665" s="249"/>
      <c r="BI665" s="249"/>
      <c r="BJ665" s="249"/>
      <c r="BK665" s="249"/>
      <c r="BL665" s="249"/>
      <c r="BM665" s="249"/>
      <c r="BN665" s="249"/>
      <c r="BO665" s="249"/>
      <c r="BP665" s="249"/>
      <c r="BQ665" s="249"/>
      <c r="BR665" s="249"/>
      <c r="BS665" s="249"/>
      <c r="BT665" s="249"/>
      <c r="BU665" s="249"/>
      <c r="BV665" s="249"/>
      <c r="BW665" s="249"/>
      <c r="BX665" s="249"/>
      <c r="BY665" s="249"/>
      <c r="BZ665" s="249"/>
      <c r="CA665" s="249"/>
      <c r="CB665" s="249"/>
      <c r="CC665" s="249"/>
      <c r="CD665" s="249"/>
      <c r="CE665" s="249"/>
    </row>
    <row r="666" spans="1:83" s="84" customFormat="1" ht="12.95" customHeight="1">
      <c r="A666" s="1"/>
      <c r="B666" s="1"/>
      <c r="C666" s="195" t="s">
        <v>1437</v>
      </c>
      <c r="D666" s="52" t="s">
        <v>3301</v>
      </c>
      <c r="E666" s="52" t="s">
        <v>3302</v>
      </c>
      <c r="F666" s="53" t="s">
        <v>3303</v>
      </c>
      <c r="G666" s="179" t="s">
        <v>1429</v>
      </c>
      <c r="H666" s="180" t="s">
        <v>1437</v>
      </c>
      <c r="I666" s="55" t="s">
        <v>1429</v>
      </c>
      <c r="J666" s="55" t="s">
        <v>1429</v>
      </c>
      <c r="K666" s="56" t="s">
        <v>1429</v>
      </c>
      <c r="L666" s="54" t="s">
        <v>1429</v>
      </c>
      <c r="M666" s="55" t="s">
        <v>1580</v>
      </c>
      <c r="N666" s="55" t="s">
        <v>1429</v>
      </c>
      <c r="O666" s="55" t="s">
        <v>1429</v>
      </c>
      <c r="P666" s="56" t="s">
        <v>1429</v>
      </c>
      <c r="Q666" s="85"/>
      <c r="R666" s="85"/>
      <c r="S666" s="85"/>
      <c r="T666" s="85"/>
      <c r="U666" s="85"/>
      <c r="V666" s="146" t="s">
        <v>3304</v>
      </c>
      <c r="W666" s="51" t="s">
        <v>2932</v>
      </c>
      <c r="X666" s="130" t="s">
        <v>1429</v>
      </c>
      <c r="Y666" s="130" t="s">
        <v>1429</v>
      </c>
      <c r="Z666" s="51"/>
      <c r="AA666" s="51" t="s">
        <v>2612</v>
      </c>
      <c r="AB666" s="146"/>
      <c r="AC666" s="146">
        <v>0</v>
      </c>
      <c r="AD666" s="98"/>
      <c r="AE666" s="83"/>
      <c r="AF666" s="83"/>
      <c r="AG666" s="83"/>
      <c r="AH666" s="86"/>
      <c r="AI666" s="86"/>
      <c r="AJ666" s="87"/>
      <c r="AK666" s="87"/>
      <c r="AL666" s="87"/>
      <c r="AM666" s="87"/>
      <c r="AN666" s="87"/>
      <c r="AO666" s="87"/>
      <c r="AP666" s="87"/>
      <c r="AQ666" s="229" t="s">
        <v>1437</v>
      </c>
      <c r="AR666" s="5"/>
      <c r="AS666" s="5"/>
      <c r="AT666" s="5"/>
      <c r="AU666" s="5"/>
      <c r="AV666" s="5"/>
      <c r="AW666" s="5"/>
      <c r="AX666" s="284"/>
      <c r="AY666" s="5"/>
      <c r="AZ666" s="5"/>
      <c r="BA666" s="230"/>
      <c r="BB666" s="5"/>
      <c r="BC666" s="232" t="s">
        <v>3536</v>
      </c>
      <c r="BD666" s="257"/>
      <c r="BE666" s="249"/>
      <c r="BF666" s="249"/>
      <c r="BG666" s="249"/>
      <c r="BH666" s="249"/>
      <c r="BI666" s="249"/>
      <c r="BJ666" s="249"/>
      <c r="BK666" s="249"/>
      <c r="BL666" s="249"/>
      <c r="BM666" s="249"/>
      <c r="BN666" s="249"/>
      <c r="BO666" s="249"/>
      <c r="BP666" s="249"/>
      <c r="BQ666" s="249"/>
      <c r="BR666" s="249"/>
      <c r="BS666" s="249"/>
      <c r="BT666" s="249"/>
      <c r="BU666" s="249"/>
      <c r="BV666" s="249"/>
      <c r="BW666" s="249"/>
      <c r="BX666" s="249"/>
      <c r="BY666" s="249"/>
      <c r="BZ666" s="249"/>
      <c r="CA666" s="249"/>
      <c r="CB666" s="249"/>
      <c r="CC666" s="249"/>
      <c r="CD666" s="249"/>
      <c r="CE666" s="249"/>
    </row>
    <row r="667" spans="1:83" s="94" customFormat="1" ht="18" customHeight="1">
      <c r="A667" s="88" t="s">
        <v>235</v>
      </c>
      <c r="B667" s="88"/>
      <c r="C667" s="88"/>
      <c r="D667" s="89"/>
      <c r="E667" s="89"/>
      <c r="F667" s="89"/>
      <c r="G667" s="90"/>
      <c r="H667" s="90"/>
      <c r="I667" s="90"/>
      <c r="J667" s="90"/>
      <c r="K667" s="90"/>
      <c r="L667" s="89"/>
      <c r="M667" s="89"/>
      <c r="N667" s="89"/>
      <c r="O667" s="89"/>
      <c r="P667" s="89"/>
      <c r="Q667" s="89"/>
      <c r="R667" s="89"/>
      <c r="S667" s="89"/>
      <c r="T667" s="89"/>
      <c r="U667" s="89"/>
      <c r="V667" s="89"/>
      <c r="W667" s="89"/>
      <c r="X667" s="134"/>
      <c r="Y667" s="134"/>
      <c r="Z667" s="91"/>
      <c r="AA667" s="91"/>
      <c r="AB667" s="91"/>
      <c r="AC667" s="91"/>
      <c r="AD667" s="91"/>
      <c r="AE667" s="91"/>
      <c r="AF667" s="91"/>
      <c r="AG667" s="91"/>
      <c r="AH667" s="91"/>
      <c r="AI667" s="91"/>
      <c r="AJ667" s="91"/>
      <c r="AK667" s="91"/>
      <c r="AL667" s="91"/>
      <c r="AM667" s="91"/>
      <c r="AN667" s="91"/>
      <c r="AO667" s="91"/>
      <c r="AP667" s="91"/>
      <c r="AQ667" s="251"/>
      <c r="AR667" s="251"/>
      <c r="AS667" s="252"/>
      <c r="AT667" s="252"/>
      <c r="AU667" s="252"/>
      <c r="AV667" s="252"/>
      <c r="AW667" s="252"/>
      <c r="AX667" s="291"/>
      <c r="AY667" s="252"/>
      <c r="AZ667" s="252"/>
      <c r="BA667" s="252"/>
      <c r="BB667" s="252"/>
      <c r="BC667" s="252"/>
      <c r="BD667" s="253"/>
      <c r="BE667" s="309"/>
      <c r="BF667" s="254"/>
      <c r="BG667" s="254"/>
      <c r="BH667" s="254"/>
      <c r="BI667" s="254"/>
      <c r="BJ667" s="254"/>
      <c r="BK667" s="254"/>
      <c r="BL667" s="254"/>
      <c r="BM667" s="254"/>
      <c r="BN667" s="254"/>
      <c r="BO667" s="254"/>
      <c r="BP667" s="254"/>
      <c r="BQ667" s="254"/>
      <c r="BR667" s="254"/>
      <c r="BS667" s="254"/>
      <c r="BT667" s="254"/>
      <c r="BU667" s="254"/>
      <c r="BV667" s="254"/>
      <c r="BW667" s="254"/>
      <c r="BX667" s="254"/>
      <c r="BY667" s="254"/>
      <c r="BZ667" s="254"/>
      <c r="CA667" s="254"/>
      <c r="CB667" s="254"/>
      <c r="CC667" s="254"/>
      <c r="CD667" s="254"/>
      <c r="CE667" s="254"/>
    </row>
    <row r="668" spans="1:83" s="84" customFormat="1" ht="12.95" customHeight="1">
      <c r="A668" s="1"/>
      <c r="B668" s="1"/>
      <c r="C668" s="104" t="s">
        <v>236</v>
      </c>
      <c r="D668" s="105" t="s">
        <v>2197</v>
      </c>
      <c r="E668" s="105" t="s">
        <v>3305</v>
      </c>
      <c r="F668" s="106" t="s">
        <v>3306</v>
      </c>
      <c r="G668" s="187"/>
      <c r="H668" s="107" t="s">
        <v>236</v>
      </c>
      <c r="I668" s="107"/>
      <c r="J668" s="107"/>
      <c r="K668" s="108"/>
      <c r="L668" s="54"/>
      <c r="M668" s="55"/>
      <c r="N668" s="55"/>
      <c r="O668" s="55"/>
      <c r="P668" s="56"/>
      <c r="Q668" s="109"/>
      <c r="R668" s="109"/>
      <c r="S668" s="109"/>
      <c r="T668" s="109"/>
      <c r="U668" s="109"/>
      <c r="V668" s="145" t="s">
        <v>3307</v>
      </c>
      <c r="W668" s="126"/>
      <c r="X668" s="135"/>
      <c r="Y668" s="135"/>
      <c r="Z668" s="110"/>
      <c r="AA668" s="110"/>
      <c r="AB668" s="110"/>
      <c r="AC668" s="110"/>
      <c r="AD668" s="96"/>
      <c r="AE668" s="96"/>
      <c r="AF668" s="96"/>
      <c r="AG668" s="96"/>
      <c r="AH668" s="97"/>
      <c r="AI668" s="97"/>
      <c r="AJ668" s="111"/>
      <c r="AK668" s="111"/>
      <c r="AL668" s="111"/>
      <c r="AM668" s="111"/>
      <c r="AN668" s="111"/>
      <c r="AO668" s="111"/>
      <c r="AP668" s="111"/>
      <c r="AQ668" s="270" t="s">
        <v>236</v>
      </c>
      <c r="AR668" s="214"/>
      <c r="AS668" s="214"/>
      <c r="AT668" s="214"/>
      <c r="AU668" s="214"/>
      <c r="AV668" s="214"/>
      <c r="AW668" s="214"/>
      <c r="AX668" s="292"/>
      <c r="AY668" s="214"/>
      <c r="AZ668" s="214"/>
      <c r="BA668" s="271"/>
      <c r="BB668" s="214"/>
      <c r="BC668" s="231" t="s">
        <v>3778</v>
      </c>
      <c r="BD668" s="261" t="s">
        <v>235</v>
      </c>
      <c r="BE668" s="249"/>
      <c r="BF668" s="249"/>
      <c r="BG668" s="249"/>
      <c r="BH668" s="249"/>
      <c r="BI668" s="249"/>
      <c r="BJ668" s="249"/>
      <c r="BK668" s="249"/>
      <c r="BL668" s="249"/>
      <c r="BM668" s="249"/>
      <c r="BN668" s="249"/>
      <c r="BO668" s="249"/>
      <c r="BP668" s="249"/>
      <c r="BQ668" s="249"/>
      <c r="BR668" s="249"/>
      <c r="BS668" s="249"/>
      <c r="BT668" s="249"/>
      <c r="BU668" s="249"/>
      <c r="BV668" s="249"/>
      <c r="BW668" s="249"/>
      <c r="BX668" s="249"/>
      <c r="BY668" s="249"/>
      <c r="BZ668" s="249"/>
      <c r="CA668" s="249"/>
      <c r="CB668" s="249"/>
      <c r="CC668" s="249"/>
      <c r="CD668" s="249"/>
      <c r="CE668" s="249"/>
    </row>
    <row r="669" spans="1:83" s="84" customFormat="1" ht="12.95" customHeight="1">
      <c r="A669" s="1"/>
      <c r="B669" s="1"/>
      <c r="C669" s="112" t="s">
        <v>237</v>
      </c>
      <c r="D669" s="113" t="s">
        <v>2190</v>
      </c>
      <c r="E669" s="113" t="s">
        <v>2157</v>
      </c>
      <c r="F669" s="114" t="s">
        <v>3308</v>
      </c>
      <c r="G669" s="188"/>
      <c r="H669" s="115" t="s">
        <v>237</v>
      </c>
      <c r="I669" s="115"/>
      <c r="J669" s="115"/>
      <c r="K669" s="116"/>
      <c r="L669" s="114"/>
      <c r="M669" s="114"/>
      <c r="N669" s="114"/>
      <c r="O669" s="114"/>
      <c r="P669" s="117"/>
      <c r="Q669" s="118"/>
      <c r="R669" s="118"/>
      <c r="S669" s="118"/>
      <c r="T669" s="118"/>
      <c r="U669" s="118"/>
      <c r="V669" s="189" t="s">
        <v>3309</v>
      </c>
      <c r="W669" s="127"/>
      <c r="X669" s="136"/>
      <c r="Y669" s="136"/>
      <c r="Z669" s="119"/>
      <c r="AA669" s="119"/>
      <c r="AB669" s="119"/>
      <c r="AC669" s="119"/>
      <c r="AD669" s="100"/>
      <c r="AE669" s="100"/>
      <c r="AF669" s="100"/>
      <c r="AG669" s="100"/>
      <c r="AH669" s="101"/>
      <c r="AI669" s="101"/>
      <c r="AJ669" s="102"/>
      <c r="AK669" s="102"/>
      <c r="AL669" s="102"/>
      <c r="AM669" s="102"/>
      <c r="AN669" s="102"/>
      <c r="AO669" s="102"/>
      <c r="AP669" s="102"/>
      <c r="AQ669" s="272" t="s">
        <v>237</v>
      </c>
      <c r="AR669" s="273"/>
      <c r="AS669" s="273"/>
      <c r="AT669" s="273"/>
      <c r="AU669" s="273"/>
      <c r="AV669" s="273"/>
      <c r="AW669" s="273"/>
      <c r="AX669" s="293"/>
      <c r="AY669" s="273"/>
      <c r="AZ669" s="273"/>
      <c r="BA669" s="274"/>
      <c r="BB669" s="273"/>
      <c r="BC669" s="231" t="s">
        <v>3778</v>
      </c>
      <c r="BD669" s="264"/>
      <c r="BE669" s="249"/>
      <c r="BF669" s="249"/>
      <c r="BG669" s="249"/>
      <c r="BH669" s="249"/>
      <c r="BI669" s="249"/>
      <c r="BJ669" s="249"/>
      <c r="BK669" s="249"/>
      <c r="BL669" s="249"/>
      <c r="BM669" s="249"/>
      <c r="BN669" s="249"/>
      <c r="BO669" s="249"/>
      <c r="BP669" s="249"/>
      <c r="BQ669" s="249"/>
      <c r="BR669" s="249"/>
      <c r="BS669" s="249"/>
      <c r="BT669" s="249"/>
      <c r="BU669" s="249"/>
      <c r="BV669" s="249"/>
      <c r="BW669" s="249"/>
      <c r="BX669" s="249"/>
      <c r="BY669" s="249"/>
      <c r="BZ669" s="249"/>
      <c r="CA669" s="249"/>
      <c r="CB669" s="249"/>
      <c r="CC669" s="249"/>
      <c r="CD669" s="249"/>
      <c r="CE669" s="249"/>
    </row>
    <row r="670" spans="1:83" s="20" customFormat="1" ht="13.5">
      <c r="C670" s="19"/>
      <c r="D670" s="19"/>
      <c r="E670" s="19"/>
      <c r="F670" s="19"/>
      <c r="G670" s="78"/>
      <c r="H670" s="78"/>
      <c r="I670" s="78"/>
      <c r="J670" s="78"/>
      <c r="K670" s="78"/>
      <c r="L670" s="19"/>
      <c r="M670" s="19"/>
      <c r="N670" s="19"/>
      <c r="O670" s="19"/>
      <c r="P670" s="19"/>
      <c r="Q670" s="19"/>
      <c r="R670" s="19"/>
      <c r="S670" s="19"/>
      <c r="T670" s="19"/>
      <c r="U670" s="19"/>
      <c r="V670" s="19"/>
      <c r="W670" s="19"/>
      <c r="X670" s="137"/>
      <c r="Y670" s="137"/>
      <c r="Z670" s="120"/>
      <c r="AA670" s="120"/>
      <c r="AB670" s="120"/>
      <c r="AC670" s="120"/>
      <c r="AD670" s="120"/>
      <c r="AE670" s="120"/>
      <c r="AF670" s="120"/>
      <c r="AG670" s="120"/>
      <c r="AH670" s="120"/>
      <c r="AI670" s="120"/>
      <c r="AJ670" s="120"/>
      <c r="AK670" s="120"/>
      <c r="AL670" s="120"/>
      <c r="AM670" s="120"/>
      <c r="AN670" s="120"/>
      <c r="AO670" s="120"/>
      <c r="AP670" s="120"/>
      <c r="AQ670" s="275"/>
      <c r="AR670" s="275"/>
      <c r="AS670" s="276"/>
      <c r="AT670" s="276"/>
      <c r="AU670" s="276"/>
      <c r="AV670" s="276"/>
      <c r="AW670" s="276"/>
      <c r="AX670" s="294"/>
      <c r="AY670" s="276"/>
      <c r="AZ670" s="276"/>
      <c r="BA670" s="276"/>
      <c r="BB670" s="276"/>
      <c r="BC670" s="276"/>
      <c r="BD670" s="152"/>
      <c r="BE670" s="277"/>
      <c r="BF670" s="277"/>
      <c r="BG670" s="277"/>
      <c r="BH670" s="277"/>
      <c r="BI670" s="277"/>
      <c r="BJ670" s="277"/>
      <c r="BK670" s="277"/>
      <c r="BL670" s="277"/>
      <c r="BM670" s="277"/>
      <c r="BN670" s="277"/>
      <c r="BO670" s="277"/>
      <c r="BP670" s="277"/>
      <c r="BQ670" s="277"/>
      <c r="BR670" s="277"/>
      <c r="BS670" s="277"/>
      <c r="BT670" s="277"/>
      <c r="BU670" s="277"/>
      <c r="BV670" s="277"/>
      <c r="BW670" s="277"/>
      <c r="BX670" s="277"/>
      <c r="BY670" s="277"/>
      <c r="BZ670" s="277"/>
      <c r="CA670" s="277"/>
      <c r="CB670" s="277"/>
      <c r="CC670" s="277"/>
      <c r="CD670" s="277"/>
      <c r="CE670" s="277"/>
    </row>
    <row r="671" spans="1:83" s="20" customFormat="1" ht="13.5">
      <c r="C671" s="19"/>
      <c r="D671" s="19"/>
      <c r="E671" s="19"/>
      <c r="F671" s="19"/>
      <c r="G671" s="78"/>
      <c r="H671" s="78"/>
      <c r="I671" s="78"/>
      <c r="J671" s="78"/>
      <c r="K671" s="78"/>
      <c r="L671" s="19"/>
      <c r="M671" s="19"/>
      <c r="N671" s="19"/>
      <c r="O671" s="19"/>
      <c r="P671" s="19"/>
      <c r="Q671" s="19"/>
      <c r="R671" s="19"/>
      <c r="S671" s="19"/>
      <c r="T671" s="19"/>
      <c r="U671" s="19"/>
      <c r="V671" s="19"/>
      <c r="W671" s="19"/>
      <c r="X671" s="137"/>
      <c r="Y671" s="137"/>
      <c r="Z671" s="120"/>
      <c r="AA671" s="120"/>
      <c r="AB671" s="120"/>
      <c r="AC671" s="120"/>
      <c r="AD671" s="190" t="s">
        <v>1430</v>
      </c>
      <c r="AE671" s="190"/>
      <c r="AF671" s="120"/>
      <c r="AG671" s="120"/>
      <c r="AH671" s="120"/>
      <c r="AI671" s="120"/>
      <c r="AJ671" s="120"/>
      <c r="AK671" s="120"/>
      <c r="AL671" s="120"/>
      <c r="AM671" s="120"/>
      <c r="AN671" s="120"/>
      <c r="AO671" s="120"/>
      <c r="AP671" s="120"/>
      <c r="AQ671" s="275"/>
      <c r="AR671" s="275"/>
      <c r="AS671" s="276"/>
      <c r="AT671" s="276"/>
      <c r="AU671" s="276"/>
      <c r="AV671" s="276"/>
      <c r="AW671" s="276"/>
      <c r="AX671" s="294"/>
      <c r="AY671" s="276"/>
      <c r="AZ671" s="276"/>
      <c r="BA671" s="276"/>
      <c r="BB671" s="276"/>
      <c r="BC671" s="276"/>
      <c r="BD671" s="152"/>
      <c r="BE671" s="277"/>
      <c r="BF671" s="277"/>
      <c r="BG671" s="277"/>
      <c r="BH671" s="277"/>
      <c r="BI671" s="277"/>
      <c r="BJ671" s="277"/>
      <c r="BK671" s="277"/>
      <c r="BL671" s="277"/>
      <c r="BM671" s="277"/>
      <c r="BN671" s="277"/>
      <c r="BO671" s="277"/>
      <c r="BP671" s="277"/>
      <c r="BQ671" s="277"/>
      <c r="BR671" s="277"/>
      <c r="BS671" s="277"/>
      <c r="BT671" s="277"/>
      <c r="BU671" s="277"/>
      <c r="BV671" s="277"/>
      <c r="BW671" s="277"/>
      <c r="BX671" s="277"/>
      <c r="BY671" s="277"/>
      <c r="BZ671" s="277"/>
      <c r="CA671" s="277"/>
      <c r="CB671" s="277"/>
      <c r="CC671" s="277"/>
      <c r="CD671" s="277"/>
      <c r="CE671" s="277"/>
    </row>
    <row r="672" spans="1:83" s="122" customFormat="1" ht="13.5">
      <c r="C672" s="201"/>
      <c r="D672" s="201"/>
      <c r="E672" s="201"/>
      <c r="F672" s="201"/>
      <c r="G672" s="204"/>
      <c r="H672" s="204"/>
      <c r="I672" s="204"/>
      <c r="J672" s="204"/>
      <c r="K672" s="204"/>
      <c r="L672" s="201"/>
      <c r="M672" s="201"/>
      <c r="N672" s="201"/>
      <c r="O672" s="201"/>
      <c r="P672" s="201"/>
      <c r="Q672" s="201"/>
      <c r="R672" s="201"/>
      <c r="S672" s="201"/>
      <c r="T672" s="201"/>
      <c r="U672" s="201"/>
      <c r="V672" s="201"/>
      <c r="W672" s="201"/>
      <c r="X672" s="138"/>
      <c r="Y672" s="138"/>
      <c r="Z672" s="121"/>
      <c r="AA672" s="121"/>
      <c r="AB672" s="121"/>
      <c r="AC672" s="121"/>
      <c r="AD672" s="191" t="s">
        <v>1431</v>
      </c>
      <c r="AE672" s="191" t="s">
        <v>1432</v>
      </c>
      <c r="AF672" s="121"/>
      <c r="AG672" s="121"/>
      <c r="AH672" s="121"/>
      <c r="AI672" s="121"/>
      <c r="AJ672" s="121"/>
      <c r="AK672" s="121"/>
      <c r="AL672" s="121"/>
      <c r="AM672" s="121"/>
      <c r="AN672" s="121"/>
      <c r="AO672" s="121"/>
      <c r="AP672" s="121"/>
      <c r="AQ672" s="275"/>
      <c r="AR672" s="275"/>
      <c r="AS672" s="276"/>
      <c r="AT672" s="276"/>
      <c r="AU672" s="276"/>
      <c r="AV672" s="276"/>
      <c r="AW672" s="276"/>
      <c r="AX672" s="294"/>
      <c r="AY672" s="276"/>
      <c r="AZ672" s="276"/>
      <c r="BA672" s="276"/>
      <c r="BB672" s="276"/>
      <c r="BC672" s="276"/>
      <c r="BD672" s="152"/>
      <c r="BE672" s="277"/>
      <c r="BF672" s="277"/>
      <c r="BG672" s="277"/>
      <c r="BH672" s="277"/>
      <c r="BI672" s="277"/>
      <c r="BJ672" s="277"/>
      <c r="BK672" s="277"/>
      <c r="BL672" s="277"/>
      <c r="BM672" s="277"/>
      <c r="BN672" s="277"/>
      <c r="BO672" s="277"/>
      <c r="BP672" s="277"/>
      <c r="BQ672" s="277"/>
      <c r="BR672" s="277"/>
      <c r="BS672" s="277"/>
      <c r="BT672" s="277"/>
      <c r="BU672" s="277"/>
      <c r="BV672" s="277"/>
      <c r="BW672" s="277"/>
      <c r="BX672" s="277"/>
      <c r="BY672" s="277"/>
      <c r="BZ672" s="277"/>
      <c r="CA672" s="277"/>
      <c r="CB672" s="277"/>
      <c r="CC672" s="277"/>
      <c r="CD672" s="277"/>
      <c r="CE672" s="277"/>
    </row>
    <row r="673" spans="3:83" s="122" customFormat="1" ht="13.5">
      <c r="C673" s="201"/>
      <c r="D673" s="201"/>
      <c r="E673" s="201"/>
      <c r="F673" s="201"/>
      <c r="G673" s="204"/>
      <c r="H673" s="204"/>
      <c r="I673" s="204"/>
      <c r="J673" s="204"/>
      <c r="K673" s="204"/>
      <c r="L673" s="201"/>
      <c r="M673" s="201"/>
      <c r="N673" s="201"/>
      <c r="O673" s="201"/>
      <c r="P673" s="201"/>
      <c r="Q673" s="201"/>
      <c r="R673" s="201"/>
      <c r="S673" s="201"/>
      <c r="T673" s="201"/>
      <c r="U673" s="201"/>
      <c r="V673" s="201"/>
      <c r="W673" s="201"/>
      <c r="X673" s="138"/>
      <c r="Y673" s="138"/>
      <c r="Z673" s="121"/>
      <c r="AA673" s="121"/>
      <c r="AB673" s="121"/>
      <c r="AC673" s="121"/>
      <c r="AD673" s="192" t="s">
        <v>318</v>
      </c>
      <c r="AE673" s="192" t="str">
        <f>$BB$34</f>
        <v>1.8V</v>
      </c>
      <c r="AF673" s="121"/>
      <c r="AG673" s="121"/>
      <c r="AH673" s="121"/>
      <c r="AI673" s="121"/>
      <c r="AJ673" s="121"/>
      <c r="AK673" s="121"/>
      <c r="AL673" s="121"/>
      <c r="AM673" s="121"/>
      <c r="AN673" s="121"/>
      <c r="AO673" s="121"/>
      <c r="AP673" s="121"/>
      <c r="AQ673" s="275"/>
      <c r="AR673" s="275"/>
      <c r="AS673" s="276"/>
      <c r="AT673" s="276"/>
      <c r="AU673" s="276"/>
      <c r="AV673" s="276"/>
      <c r="AW673" s="276"/>
      <c r="AX673" s="294"/>
      <c r="AY673" s="276"/>
      <c r="AZ673" s="276"/>
      <c r="BA673" s="276"/>
      <c r="BB673" s="276"/>
      <c r="BC673" s="276"/>
      <c r="BD673" s="152"/>
      <c r="BE673" s="277"/>
      <c r="BF673" s="277"/>
      <c r="BG673" s="277"/>
      <c r="BH673" s="277"/>
      <c r="BI673" s="277"/>
      <c r="BJ673" s="277"/>
      <c r="BK673" s="277"/>
      <c r="BL673" s="277"/>
      <c r="BM673" s="277"/>
      <c r="BN673" s="277"/>
      <c r="BO673" s="277"/>
      <c r="BP673" s="277"/>
      <c r="BQ673" s="277"/>
      <c r="BR673" s="277"/>
      <c r="BS673" s="277"/>
      <c r="BT673" s="277"/>
      <c r="BU673" s="277"/>
      <c r="BV673" s="277"/>
      <c r="BW673" s="277"/>
      <c r="BX673" s="277"/>
      <c r="BY673" s="277"/>
      <c r="BZ673" s="277"/>
      <c r="CA673" s="277"/>
      <c r="CB673" s="277"/>
      <c r="CC673" s="277"/>
      <c r="CD673" s="277"/>
      <c r="CE673" s="277"/>
    </row>
    <row r="674" spans="3:83" s="122" customFormat="1" ht="13.5">
      <c r="C674" s="201"/>
      <c r="D674" s="201"/>
      <c r="E674" s="201"/>
      <c r="F674" s="201"/>
      <c r="G674" s="204"/>
      <c r="H674" s="204"/>
      <c r="I674" s="204"/>
      <c r="J674" s="204"/>
      <c r="K674" s="204"/>
      <c r="L674" s="201"/>
      <c r="M674" s="201"/>
      <c r="N674" s="201"/>
      <c r="O674" s="201"/>
      <c r="P674" s="201"/>
      <c r="Q674" s="201"/>
      <c r="R674" s="201"/>
      <c r="S674" s="201"/>
      <c r="T674" s="201"/>
      <c r="U674" s="201"/>
      <c r="V674" s="201"/>
      <c r="W674" s="201"/>
      <c r="X674" s="138"/>
      <c r="Y674" s="138"/>
      <c r="Z674" s="121"/>
      <c r="AA674" s="121"/>
      <c r="AB674" s="121"/>
      <c r="AC674" s="121"/>
      <c r="AD674" s="192" t="s">
        <v>922</v>
      </c>
      <c r="AE674" s="192" t="str">
        <f>$BB$45</f>
        <v>1.8V</v>
      </c>
      <c r="AF674" s="121"/>
      <c r="AG674" s="121"/>
      <c r="AH674" s="121"/>
      <c r="AI674" s="121"/>
      <c r="AJ674" s="121"/>
      <c r="AK674" s="121"/>
      <c r="AL674" s="121"/>
      <c r="AM674" s="121"/>
      <c r="AN674" s="121"/>
      <c r="AO674" s="121"/>
      <c r="AP674" s="121"/>
      <c r="AQ674" s="275"/>
      <c r="AR674" s="275"/>
      <c r="AS674" s="276"/>
      <c r="AT674" s="276"/>
      <c r="AU674" s="276"/>
      <c r="AV674" s="276"/>
      <c r="AW674" s="276"/>
      <c r="AX674" s="294"/>
      <c r="AY674" s="276"/>
      <c r="AZ674" s="276"/>
      <c r="BA674" s="276"/>
      <c r="BB674" s="276"/>
      <c r="BC674" s="276"/>
      <c r="BD674" s="152"/>
      <c r="BE674" s="277"/>
      <c r="BF674" s="277"/>
      <c r="BG674" s="277"/>
      <c r="BH674" s="277"/>
      <c r="BI674" s="277"/>
      <c r="BJ674" s="277"/>
      <c r="BK674" s="277"/>
      <c r="BL674" s="277"/>
      <c r="BM674" s="277"/>
      <c r="BN674" s="277"/>
      <c r="BO674" s="277"/>
      <c r="BP674" s="277"/>
      <c r="BQ674" s="277"/>
      <c r="BR674" s="277"/>
      <c r="BS674" s="277"/>
      <c r="BT674" s="277"/>
      <c r="BU674" s="277"/>
      <c r="BV674" s="277"/>
      <c r="BW674" s="277"/>
      <c r="BX674" s="277"/>
      <c r="BY674" s="277"/>
      <c r="BZ674" s="277"/>
      <c r="CA674" s="277"/>
      <c r="CB674" s="277"/>
      <c r="CC674" s="277"/>
      <c r="CD674" s="277"/>
      <c r="CE674" s="277"/>
    </row>
    <row r="675" spans="3:83" s="20" customFormat="1" ht="13.5">
      <c r="C675" s="19"/>
      <c r="D675" s="19"/>
      <c r="E675" s="19"/>
      <c r="F675" s="19"/>
      <c r="G675" s="78"/>
      <c r="H675" s="78"/>
      <c r="I675" s="78"/>
      <c r="J675" s="78"/>
      <c r="K675" s="78"/>
      <c r="L675" s="19"/>
      <c r="M675" s="19"/>
      <c r="N675" s="19"/>
      <c r="O675" s="19"/>
      <c r="P675" s="19"/>
      <c r="Q675" s="19"/>
      <c r="R675" s="19"/>
      <c r="S675" s="19"/>
      <c r="T675" s="19"/>
      <c r="U675" s="19"/>
      <c r="V675" s="19"/>
      <c r="W675" s="19"/>
      <c r="X675" s="137"/>
      <c r="Y675" s="137"/>
      <c r="Z675" s="120"/>
      <c r="AA675" s="120"/>
      <c r="AB675" s="120"/>
      <c r="AC675" s="120"/>
      <c r="AD675" s="193" t="s">
        <v>1433</v>
      </c>
      <c r="AE675" s="193" t="str">
        <f>$BB$81</f>
        <v>1.8V/3.3V</v>
      </c>
      <c r="AF675" s="120"/>
      <c r="AG675" s="120"/>
      <c r="AH675" s="120"/>
      <c r="AI675" s="120"/>
      <c r="AJ675" s="120"/>
      <c r="AK675" s="120"/>
      <c r="AL675" s="120"/>
      <c r="AM675" s="120"/>
      <c r="AN675" s="120"/>
      <c r="AO675" s="120"/>
      <c r="AP675" s="120"/>
      <c r="AQ675" s="275"/>
      <c r="AR675" s="275"/>
      <c r="AS675" s="276"/>
      <c r="AT675" s="276"/>
      <c r="AU675" s="276"/>
      <c r="AV675" s="276"/>
      <c r="AW675" s="276"/>
      <c r="AX675" s="294"/>
      <c r="AY675" s="276"/>
      <c r="AZ675" s="276"/>
      <c r="BA675" s="276"/>
      <c r="BB675" s="276"/>
      <c r="BC675" s="276"/>
      <c r="BD675" s="152"/>
      <c r="BE675" s="277"/>
      <c r="BF675" s="277"/>
      <c r="BG675" s="277"/>
      <c r="BH675" s="277"/>
      <c r="BI675" s="277"/>
      <c r="BJ675" s="277"/>
      <c r="BK675" s="277"/>
      <c r="BL675" s="277"/>
      <c r="BM675" s="277"/>
      <c r="BN675" s="277"/>
      <c r="BO675" s="277"/>
      <c r="BP675" s="277"/>
      <c r="BQ675" s="277"/>
      <c r="BR675" s="277"/>
      <c r="BS675" s="277"/>
      <c r="BT675" s="277"/>
      <c r="BU675" s="277"/>
      <c r="BV675" s="277"/>
      <c r="BW675" s="277"/>
      <c r="BX675" s="277"/>
      <c r="BY675" s="277"/>
      <c r="BZ675" s="277"/>
      <c r="CA675" s="277"/>
      <c r="CB675" s="277"/>
      <c r="CC675" s="277"/>
      <c r="CD675" s="277"/>
      <c r="CE675" s="277"/>
    </row>
    <row r="676" spans="3:83" s="20" customFormat="1">
      <c r="G676" s="123"/>
      <c r="H676" s="123"/>
      <c r="I676" s="123"/>
      <c r="J676" s="123"/>
      <c r="K676" s="123"/>
      <c r="X676" s="137"/>
      <c r="Y676" s="137"/>
      <c r="Z676" s="124"/>
      <c r="AA676" s="124"/>
      <c r="AB676" s="124"/>
      <c r="AC676" s="124"/>
      <c r="AD676" s="194" t="s">
        <v>1434</v>
      </c>
      <c r="AE676" s="194" t="str">
        <f>$BB$105</f>
        <v>1.8V/3.3V</v>
      </c>
      <c r="AF676" s="124"/>
      <c r="AG676" s="124"/>
      <c r="AH676" s="124"/>
      <c r="AI676" s="124"/>
      <c r="AJ676" s="124"/>
      <c r="AK676" s="124"/>
      <c r="AL676" s="124"/>
      <c r="AM676" s="124"/>
      <c r="AN676" s="124"/>
      <c r="AO676" s="124"/>
      <c r="AP676" s="124"/>
      <c r="AQ676" s="277"/>
      <c r="AR676" s="277"/>
      <c r="AS676" s="278"/>
      <c r="AT676" s="278"/>
      <c r="AU676" s="278"/>
      <c r="AV676" s="278"/>
      <c r="AW676" s="278"/>
      <c r="AX676" s="295"/>
      <c r="AY676" s="278"/>
      <c r="AZ676" s="278"/>
      <c r="BA676" s="278"/>
      <c r="BB676" s="278"/>
      <c r="BC676" s="278"/>
      <c r="BD676" s="279"/>
      <c r="BE676" s="277"/>
      <c r="BF676" s="277"/>
      <c r="BG676" s="277"/>
      <c r="BH676" s="277"/>
      <c r="BI676" s="277"/>
      <c r="BJ676" s="277"/>
      <c r="BK676" s="277"/>
      <c r="BL676" s="277"/>
      <c r="BM676" s="277"/>
      <c r="BN676" s="277"/>
      <c r="BO676" s="277"/>
      <c r="BP676" s="277"/>
      <c r="BQ676" s="277"/>
      <c r="BR676" s="277"/>
      <c r="BS676" s="277"/>
      <c r="BT676" s="277"/>
      <c r="BU676" s="277"/>
      <c r="BV676" s="277"/>
      <c r="BW676" s="277"/>
      <c r="BX676" s="277"/>
      <c r="BY676" s="277"/>
      <c r="BZ676" s="277"/>
      <c r="CA676" s="277"/>
      <c r="CB676" s="277"/>
      <c r="CC676" s="277"/>
      <c r="CD676" s="277"/>
      <c r="CE676" s="277"/>
    </row>
    <row r="677" spans="3:83" s="20" customFormat="1">
      <c r="G677" s="123"/>
      <c r="H677" s="123"/>
      <c r="I677" s="123"/>
      <c r="J677" s="123"/>
      <c r="K677" s="123"/>
      <c r="X677" s="137"/>
      <c r="Y677" s="137"/>
      <c r="Z677" s="124"/>
      <c r="AA677" s="124"/>
      <c r="AB677" s="124"/>
      <c r="AC677" s="124"/>
      <c r="AD677" s="194" t="s">
        <v>969</v>
      </c>
      <c r="AE677" s="194" t="str">
        <f>$BB$212</f>
        <v>3.3V</v>
      </c>
      <c r="AF677" s="124"/>
      <c r="AG677" s="124"/>
      <c r="AH677" s="124"/>
      <c r="AI677" s="124"/>
      <c r="AJ677" s="124"/>
      <c r="AK677" s="124"/>
      <c r="AL677" s="124"/>
      <c r="AM677" s="124"/>
      <c r="AN677" s="124"/>
      <c r="AO677" s="124"/>
      <c r="AP677" s="124"/>
      <c r="AQ677" s="277"/>
      <c r="AR677" s="277"/>
      <c r="AS677" s="278"/>
      <c r="AT677" s="278"/>
      <c r="AU677" s="278"/>
      <c r="AV677" s="278"/>
      <c r="AW677" s="278"/>
      <c r="AX677" s="295"/>
      <c r="AY677" s="278"/>
      <c r="AZ677" s="278"/>
      <c r="BA677" s="278"/>
      <c r="BB677" s="278"/>
      <c r="BC677" s="278"/>
      <c r="BD677" s="279"/>
      <c r="BE677" s="277"/>
      <c r="BF677" s="277"/>
      <c r="BG677" s="277"/>
      <c r="BH677" s="277"/>
      <c r="BI677" s="277"/>
      <c r="BJ677" s="277"/>
      <c r="BK677" s="277"/>
      <c r="BL677" s="277"/>
      <c r="BM677" s="277"/>
      <c r="BN677" s="277"/>
      <c r="BO677" s="277"/>
      <c r="BP677" s="277"/>
      <c r="BQ677" s="277"/>
      <c r="BR677" s="277"/>
      <c r="BS677" s="277"/>
      <c r="BT677" s="277"/>
      <c r="BU677" s="277"/>
      <c r="BV677" s="277"/>
      <c r="BW677" s="277"/>
      <c r="BX677" s="277"/>
      <c r="BY677" s="277"/>
      <c r="BZ677" s="277"/>
      <c r="CA677" s="277"/>
      <c r="CB677" s="277"/>
      <c r="CC677" s="277"/>
      <c r="CD677" s="277"/>
      <c r="CE677" s="277"/>
    </row>
    <row r="678" spans="3:83" s="20" customFormat="1">
      <c r="G678" s="123"/>
      <c r="H678" s="123"/>
      <c r="I678" s="123"/>
      <c r="J678" s="123"/>
      <c r="K678" s="123"/>
      <c r="X678" s="137"/>
      <c r="Y678" s="137"/>
      <c r="Z678" s="124"/>
      <c r="AA678" s="124"/>
      <c r="AB678" s="124"/>
      <c r="AC678" s="124"/>
      <c r="AD678" s="194" t="s">
        <v>1050</v>
      </c>
      <c r="AE678" s="194" t="str">
        <f>$BB$245</f>
        <v>1.8V</v>
      </c>
      <c r="AF678" s="124"/>
      <c r="AG678" s="124"/>
      <c r="AH678" s="124"/>
      <c r="AI678" s="124"/>
      <c r="AJ678" s="124"/>
      <c r="AK678" s="124"/>
      <c r="AL678" s="124"/>
      <c r="AM678" s="124"/>
      <c r="AN678" s="124"/>
      <c r="AO678" s="124"/>
      <c r="AP678" s="124"/>
      <c r="AQ678" s="277"/>
      <c r="AR678" s="277"/>
      <c r="AS678" s="278"/>
      <c r="AT678" s="278"/>
      <c r="AU678" s="278"/>
      <c r="AV678" s="278"/>
      <c r="AW678" s="278"/>
      <c r="AX678" s="295"/>
      <c r="AY678" s="278"/>
      <c r="AZ678" s="278"/>
      <c r="BA678" s="278"/>
      <c r="BB678" s="278"/>
      <c r="BC678" s="278"/>
      <c r="BD678" s="279"/>
      <c r="BE678" s="277"/>
      <c r="BF678" s="277"/>
      <c r="BG678" s="277"/>
      <c r="BH678" s="277"/>
      <c r="BI678" s="277"/>
      <c r="BJ678" s="277"/>
      <c r="BK678" s="277"/>
      <c r="BL678" s="277"/>
      <c r="BM678" s="277"/>
      <c r="BN678" s="277"/>
      <c r="BO678" s="277"/>
      <c r="BP678" s="277"/>
      <c r="BQ678" s="277"/>
      <c r="BR678" s="277"/>
      <c r="BS678" s="277"/>
      <c r="BT678" s="277"/>
      <c r="BU678" s="277"/>
      <c r="BV678" s="277"/>
      <c r="BW678" s="277"/>
      <c r="BX678" s="277"/>
      <c r="BY678" s="277"/>
      <c r="BZ678" s="277"/>
      <c r="CA678" s="277"/>
      <c r="CB678" s="277"/>
      <c r="CC678" s="277"/>
      <c r="CD678" s="277"/>
      <c r="CE678" s="277"/>
    </row>
    <row r="679" spans="3:83" s="20" customFormat="1">
      <c r="G679" s="123"/>
      <c r="H679" s="123"/>
      <c r="I679" s="123"/>
      <c r="J679" s="123"/>
      <c r="K679" s="123"/>
      <c r="X679" s="137"/>
      <c r="Y679" s="137"/>
      <c r="Z679" s="124"/>
      <c r="AA679" s="124"/>
      <c r="AB679" s="124"/>
      <c r="AC679" s="124"/>
      <c r="AD679" s="124"/>
      <c r="AE679" s="124"/>
      <c r="AF679" s="124"/>
      <c r="AG679" s="124"/>
      <c r="AH679" s="124"/>
      <c r="AI679" s="124"/>
      <c r="AJ679" s="124"/>
      <c r="AK679" s="124"/>
      <c r="AL679" s="124"/>
      <c r="AM679" s="124"/>
      <c r="AN679" s="124"/>
      <c r="AO679" s="124"/>
      <c r="AP679" s="124"/>
      <c r="AQ679" s="277"/>
      <c r="AR679" s="277"/>
      <c r="AS679" s="278"/>
      <c r="AT679" s="278"/>
      <c r="AU679" s="278"/>
      <c r="AV679" s="278"/>
      <c r="AW679" s="278"/>
      <c r="AX679" s="295"/>
      <c r="AY679" s="278"/>
      <c r="AZ679" s="278"/>
      <c r="BA679" s="278"/>
      <c r="BB679" s="278"/>
      <c r="BC679" s="278"/>
      <c r="BD679" s="279"/>
      <c r="BE679" s="277"/>
      <c r="BF679" s="277"/>
      <c r="BG679" s="277"/>
      <c r="BH679" s="277"/>
      <c r="BI679" s="277"/>
      <c r="BJ679" s="277"/>
      <c r="BK679" s="277"/>
      <c r="BL679" s="277"/>
      <c r="BM679" s="277"/>
      <c r="BN679" s="277"/>
      <c r="BO679" s="277"/>
      <c r="BP679" s="277"/>
      <c r="BQ679" s="277"/>
      <c r="BR679" s="277"/>
      <c r="BS679" s="277"/>
      <c r="BT679" s="277"/>
      <c r="BU679" s="277"/>
      <c r="BV679" s="277"/>
      <c r="BW679" s="277"/>
      <c r="BX679" s="277"/>
      <c r="BY679" s="277"/>
      <c r="BZ679" s="277"/>
      <c r="CA679" s="277"/>
      <c r="CB679" s="277"/>
      <c r="CC679" s="277"/>
      <c r="CD679" s="277"/>
      <c r="CE679" s="277"/>
    </row>
    <row r="680" spans="3:83" s="20" customFormat="1">
      <c r="G680" s="123"/>
      <c r="H680" s="123"/>
      <c r="I680" s="123"/>
      <c r="J680" s="123"/>
      <c r="K680" s="123"/>
      <c r="X680" s="137"/>
      <c r="Y680" s="137"/>
      <c r="Z680" s="124"/>
      <c r="AA680" s="124"/>
      <c r="AB680" s="124"/>
      <c r="AC680" s="124"/>
      <c r="AD680" s="124"/>
      <c r="AE680" s="124"/>
      <c r="AF680" s="124"/>
      <c r="AG680" s="124"/>
      <c r="AH680" s="124"/>
      <c r="AI680" s="124"/>
      <c r="AJ680" s="124"/>
      <c r="AK680" s="124"/>
      <c r="AL680" s="124"/>
      <c r="AM680" s="124"/>
      <c r="AN680" s="124"/>
      <c r="AO680" s="124"/>
      <c r="AP680" s="124"/>
      <c r="AQ680" s="277"/>
      <c r="AR680" s="277"/>
      <c r="AS680" s="278"/>
      <c r="AT680" s="278"/>
      <c r="AU680" s="278"/>
      <c r="AV680" s="278"/>
      <c r="AW680" s="278"/>
      <c r="AX680" s="295"/>
      <c r="AY680" s="278"/>
      <c r="AZ680" s="278"/>
      <c r="BA680" s="278"/>
      <c r="BB680" s="278"/>
      <c r="BC680" s="278"/>
      <c r="BD680" s="279"/>
      <c r="BE680" s="277"/>
      <c r="BF680" s="277"/>
      <c r="BG680" s="277"/>
      <c r="BH680" s="277"/>
      <c r="BI680" s="277"/>
      <c r="BJ680" s="277"/>
      <c r="BK680" s="277"/>
      <c r="BL680" s="277"/>
      <c r="BM680" s="277"/>
      <c r="BN680" s="277"/>
      <c r="BO680" s="277"/>
      <c r="BP680" s="277"/>
      <c r="BQ680" s="277"/>
      <c r="BR680" s="277"/>
      <c r="BS680" s="277"/>
      <c r="BT680" s="277"/>
      <c r="BU680" s="277"/>
      <c r="BV680" s="277"/>
      <c r="BW680" s="277"/>
      <c r="BX680" s="277"/>
      <c r="BY680" s="277"/>
      <c r="BZ680" s="277"/>
      <c r="CA680" s="277"/>
      <c r="CB680" s="277"/>
      <c r="CC680" s="277"/>
      <c r="CD680" s="277"/>
      <c r="CE680" s="277"/>
    </row>
    <row r="681" spans="3:83" s="20" customFormat="1">
      <c r="G681" s="123"/>
      <c r="H681" s="123"/>
      <c r="I681" s="123"/>
      <c r="J681" s="123"/>
      <c r="K681" s="123"/>
      <c r="X681" s="137"/>
      <c r="Y681" s="137"/>
      <c r="Z681" s="124"/>
      <c r="AA681" s="124"/>
      <c r="AB681" s="124"/>
      <c r="AC681" s="124"/>
      <c r="AD681" s="124"/>
      <c r="AE681" s="124"/>
      <c r="AF681" s="124"/>
      <c r="AG681" s="124"/>
      <c r="AH681" s="124"/>
      <c r="AI681" s="124"/>
      <c r="AJ681" s="124"/>
      <c r="AK681" s="124"/>
      <c r="AL681" s="124"/>
      <c r="AM681" s="124"/>
      <c r="AN681" s="124"/>
      <c r="AO681" s="124"/>
      <c r="AP681" s="124"/>
      <c r="AQ681" s="277"/>
      <c r="AR681" s="277"/>
      <c r="AS681" s="278"/>
      <c r="AT681" s="278"/>
      <c r="AU681" s="278"/>
      <c r="AV681" s="278"/>
      <c r="AW681" s="278"/>
      <c r="AX681" s="295"/>
      <c r="AY681" s="278"/>
      <c r="AZ681" s="278"/>
      <c r="BA681" s="278"/>
      <c r="BB681" s="278"/>
      <c r="BC681" s="278"/>
      <c r="BD681" s="279"/>
      <c r="BE681" s="277"/>
      <c r="BF681" s="277"/>
      <c r="BG681" s="277"/>
      <c r="BH681" s="277"/>
      <c r="BI681" s="277"/>
      <c r="BJ681" s="277"/>
      <c r="BK681" s="277"/>
      <c r="BL681" s="277"/>
      <c r="BM681" s="277"/>
      <c r="BN681" s="277"/>
      <c r="BO681" s="277"/>
      <c r="BP681" s="277"/>
      <c r="BQ681" s="277"/>
      <c r="BR681" s="277"/>
      <c r="BS681" s="277"/>
      <c r="BT681" s="277"/>
      <c r="BU681" s="277"/>
      <c r="BV681" s="277"/>
      <c r="BW681" s="277"/>
      <c r="BX681" s="277"/>
      <c r="BY681" s="277"/>
      <c r="BZ681" s="277"/>
      <c r="CA681" s="277"/>
      <c r="CB681" s="277"/>
      <c r="CC681" s="277"/>
      <c r="CD681" s="277"/>
      <c r="CE681" s="277"/>
    </row>
    <row r="682" spans="3:83" s="20" customFormat="1">
      <c r="G682" s="123"/>
      <c r="H682" s="123"/>
      <c r="I682" s="123"/>
      <c r="J682" s="123"/>
      <c r="K682" s="123"/>
      <c r="X682" s="137"/>
      <c r="Y682" s="137"/>
      <c r="Z682" s="124"/>
      <c r="AA682" s="124"/>
      <c r="AB682" s="124"/>
      <c r="AC682" s="124"/>
      <c r="AD682" s="124"/>
      <c r="AE682" s="124"/>
      <c r="AF682" s="124"/>
      <c r="AG682" s="124"/>
      <c r="AH682" s="124"/>
      <c r="AI682" s="124"/>
      <c r="AJ682" s="124"/>
      <c r="AK682" s="124"/>
      <c r="AL682" s="124"/>
      <c r="AM682" s="124"/>
      <c r="AN682" s="124"/>
      <c r="AO682" s="124"/>
      <c r="AP682" s="124"/>
      <c r="AQ682" s="277"/>
      <c r="AR682" s="277"/>
      <c r="AS682" s="278"/>
      <c r="AT682" s="278"/>
      <c r="AU682" s="278"/>
      <c r="AV682" s="278"/>
      <c r="AW682" s="278"/>
      <c r="AX682" s="295"/>
      <c r="AY682" s="278"/>
      <c r="AZ682" s="278"/>
      <c r="BA682" s="278"/>
      <c r="BB682" s="278"/>
      <c r="BC682" s="278"/>
      <c r="BD682" s="279"/>
      <c r="BE682" s="277"/>
      <c r="BF682" s="277"/>
      <c r="BG682" s="277"/>
      <c r="BH682" s="277"/>
      <c r="BI682" s="277"/>
      <c r="BJ682" s="277"/>
      <c r="BK682" s="277"/>
      <c r="BL682" s="277"/>
      <c r="BM682" s="277"/>
      <c r="BN682" s="277"/>
      <c r="BO682" s="277"/>
      <c r="BP682" s="277"/>
      <c r="BQ682" s="277"/>
      <c r="BR682" s="277"/>
      <c r="BS682" s="277"/>
      <c r="BT682" s="277"/>
      <c r="BU682" s="277"/>
      <c r="BV682" s="277"/>
      <c r="BW682" s="277"/>
      <c r="BX682" s="277"/>
      <c r="BY682" s="277"/>
      <c r="BZ682" s="277"/>
      <c r="CA682" s="277"/>
      <c r="CB682" s="277"/>
      <c r="CC682" s="277"/>
      <c r="CD682" s="277"/>
      <c r="CE682" s="277"/>
    </row>
    <row r="683" spans="3:83" s="20" customFormat="1">
      <c r="G683" s="123"/>
      <c r="H683" s="123"/>
      <c r="I683" s="123"/>
      <c r="J683" s="123"/>
      <c r="K683" s="123"/>
      <c r="X683" s="137"/>
      <c r="Y683" s="137"/>
      <c r="Z683" s="124"/>
      <c r="AA683" s="124"/>
      <c r="AB683" s="124"/>
      <c r="AC683" s="124"/>
      <c r="AD683" s="124"/>
      <c r="AE683" s="124"/>
      <c r="AF683" s="124"/>
      <c r="AG683" s="124"/>
      <c r="AH683" s="124"/>
      <c r="AI683" s="124"/>
      <c r="AJ683" s="124"/>
      <c r="AK683" s="124"/>
      <c r="AL683" s="124"/>
      <c r="AM683" s="124"/>
      <c r="AN683" s="124"/>
      <c r="AO683" s="124"/>
      <c r="AP683" s="124"/>
      <c r="AQ683" s="277"/>
      <c r="AR683" s="277"/>
      <c r="AS683" s="278"/>
      <c r="AT683" s="278"/>
      <c r="AU683" s="278"/>
      <c r="AV683" s="278"/>
      <c r="AW683" s="278"/>
      <c r="AX683" s="295"/>
      <c r="AY683" s="278"/>
      <c r="AZ683" s="278"/>
      <c r="BA683" s="278"/>
      <c r="BB683" s="278"/>
      <c r="BC683" s="278"/>
      <c r="BD683" s="279"/>
      <c r="BE683" s="277"/>
      <c r="BF683" s="277"/>
      <c r="BG683" s="277"/>
      <c r="BH683" s="277"/>
      <c r="BI683" s="277"/>
      <c r="BJ683" s="277"/>
      <c r="BK683" s="277"/>
      <c r="BL683" s="277"/>
      <c r="BM683" s="277"/>
      <c r="BN683" s="277"/>
      <c r="BO683" s="277"/>
      <c r="BP683" s="277"/>
      <c r="BQ683" s="277"/>
      <c r="BR683" s="277"/>
      <c r="BS683" s="277"/>
      <c r="BT683" s="277"/>
      <c r="BU683" s="277"/>
      <c r="BV683" s="277"/>
      <c r="BW683" s="277"/>
      <c r="BX683" s="277"/>
      <c r="BY683" s="277"/>
      <c r="BZ683" s="277"/>
      <c r="CA683" s="277"/>
      <c r="CB683" s="277"/>
      <c r="CC683" s="277"/>
      <c r="CD683" s="277"/>
      <c r="CE683" s="277"/>
    </row>
    <row r="684" spans="3:83" s="20" customFormat="1">
      <c r="G684" s="123"/>
      <c r="H684" s="123"/>
      <c r="I684" s="123"/>
      <c r="J684" s="123"/>
      <c r="K684" s="123"/>
      <c r="X684" s="137"/>
      <c r="Y684" s="137"/>
      <c r="Z684" s="124"/>
      <c r="AA684" s="124"/>
      <c r="AB684" s="124"/>
      <c r="AC684" s="124"/>
      <c r="AD684" s="124"/>
      <c r="AE684" s="124"/>
      <c r="AF684" s="124"/>
      <c r="AG684" s="124"/>
      <c r="AH684" s="124"/>
      <c r="AI684" s="124"/>
      <c r="AJ684" s="124"/>
      <c r="AK684" s="124"/>
      <c r="AL684" s="124"/>
      <c r="AM684" s="124"/>
      <c r="AN684" s="124"/>
      <c r="AO684" s="124"/>
      <c r="AP684" s="124"/>
      <c r="AQ684" s="277"/>
      <c r="AR684" s="277"/>
      <c r="AS684" s="278"/>
      <c r="AT684" s="278"/>
      <c r="AU684" s="278"/>
      <c r="AV684" s="278"/>
      <c r="AW684" s="278"/>
      <c r="AX684" s="295"/>
      <c r="AY684" s="278"/>
      <c r="AZ684" s="278"/>
      <c r="BA684" s="278"/>
      <c r="BB684" s="278"/>
      <c r="BC684" s="278"/>
      <c r="BD684" s="279"/>
      <c r="BE684" s="277"/>
      <c r="BF684" s="277"/>
      <c r="BG684" s="277"/>
      <c r="BH684" s="277"/>
      <c r="BI684" s="277"/>
      <c r="BJ684" s="277"/>
      <c r="BK684" s="277"/>
      <c r="BL684" s="277"/>
      <c r="BM684" s="277"/>
      <c r="BN684" s="277"/>
      <c r="BO684" s="277"/>
      <c r="BP684" s="277"/>
      <c r="BQ684" s="277"/>
      <c r="BR684" s="277"/>
      <c r="BS684" s="277"/>
      <c r="BT684" s="277"/>
      <c r="BU684" s="277"/>
      <c r="BV684" s="277"/>
      <c r="BW684" s="277"/>
      <c r="BX684" s="277"/>
      <c r="BY684" s="277"/>
      <c r="BZ684" s="277"/>
      <c r="CA684" s="277"/>
      <c r="CB684" s="277"/>
      <c r="CC684" s="277"/>
      <c r="CD684" s="277"/>
      <c r="CE684" s="277"/>
    </row>
    <row r="685" spans="3:83" s="20" customFormat="1">
      <c r="G685" s="123"/>
      <c r="H685" s="123"/>
      <c r="I685" s="123"/>
      <c r="J685" s="123"/>
      <c r="K685" s="123"/>
      <c r="X685" s="137"/>
      <c r="Y685" s="137"/>
      <c r="Z685" s="124"/>
      <c r="AA685" s="124"/>
      <c r="AB685" s="124"/>
      <c r="AC685" s="124"/>
      <c r="AD685" s="124"/>
      <c r="AE685" s="124"/>
      <c r="AF685" s="124"/>
      <c r="AG685" s="124"/>
      <c r="AH685" s="124"/>
      <c r="AI685" s="124"/>
      <c r="AJ685" s="124"/>
      <c r="AK685" s="124"/>
      <c r="AL685" s="124"/>
      <c r="AM685" s="124"/>
      <c r="AN685" s="124"/>
      <c r="AO685" s="124"/>
      <c r="AP685" s="124"/>
      <c r="AQ685" s="277"/>
      <c r="AR685" s="277"/>
      <c r="AS685" s="278"/>
      <c r="AT685" s="278"/>
      <c r="AU685" s="278"/>
      <c r="AV685" s="278"/>
      <c r="AW685" s="278"/>
      <c r="AX685" s="295"/>
      <c r="AY685" s="278"/>
      <c r="AZ685" s="278"/>
      <c r="BA685" s="278"/>
      <c r="BB685" s="278"/>
      <c r="BC685" s="278"/>
      <c r="BD685" s="279"/>
      <c r="BE685" s="277"/>
      <c r="BF685" s="277"/>
      <c r="BG685" s="277"/>
      <c r="BH685" s="277"/>
      <c r="BI685" s="277"/>
      <c r="BJ685" s="277"/>
      <c r="BK685" s="277"/>
      <c r="BL685" s="277"/>
      <c r="BM685" s="277"/>
      <c r="BN685" s="277"/>
      <c r="BO685" s="277"/>
      <c r="BP685" s="277"/>
      <c r="BQ685" s="277"/>
      <c r="BR685" s="277"/>
      <c r="BS685" s="277"/>
      <c r="BT685" s="277"/>
      <c r="BU685" s="277"/>
      <c r="BV685" s="277"/>
      <c r="BW685" s="277"/>
      <c r="BX685" s="277"/>
      <c r="BY685" s="277"/>
      <c r="BZ685" s="277"/>
      <c r="CA685" s="277"/>
      <c r="CB685" s="277"/>
      <c r="CC685" s="277"/>
      <c r="CD685" s="277"/>
      <c r="CE685" s="277"/>
    </row>
    <row r="686" spans="3:83" s="20" customFormat="1">
      <c r="G686" s="123"/>
      <c r="H686" s="123"/>
      <c r="I686" s="123"/>
      <c r="J686" s="123"/>
      <c r="K686" s="123"/>
      <c r="X686" s="137"/>
      <c r="Y686" s="137"/>
      <c r="Z686" s="124"/>
      <c r="AA686" s="124"/>
      <c r="AB686" s="124"/>
      <c r="AC686" s="124"/>
      <c r="AD686" s="124"/>
      <c r="AE686" s="124"/>
      <c r="AF686" s="124"/>
      <c r="AG686" s="124"/>
      <c r="AH686" s="124"/>
      <c r="AI686" s="124"/>
      <c r="AJ686" s="124"/>
      <c r="AK686" s="124"/>
      <c r="AL686" s="124"/>
      <c r="AM686" s="124"/>
      <c r="AN686" s="124"/>
      <c r="AO686" s="124"/>
      <c r="AP686" s="124"/>
      <c r="AQ686" s="277"/>
      <c r="AR686" s="277"/>
      <c r="AS686" s="278"/>
      <c r="AT686" s="278"/>
      <c r="AU686" s="278"/>
      <c r="AV686" s="278"/>
      <c r="AW686" s="278"/>
      <c r="AX686" s="295"/>
      <c r="AY686" s="278"/>
      <c r="AZ686" s="278"/>
      <c r="BA686" s="278"/>
      <c r="BB686" s="278"/>
      <c r="BC686" s="278"/>
      <c r="BD686" s="279"/>
      <c r="BE686" s="277"/>
      <c r="BF686" s="277"/>
      <c r="BG686" s="277"/>
      <c r="BH686" s="277"/>
      <c r="BI686" s="277"/>
      <c r="BJ686" s="277"/>
      <c r="BK686" s="277"/>
      <c r="BL686" s="277"/>
      <c r="BM686" s="277"/>
      <c r="BN686" s="277"/>
      <c r="BO686" s="277"/>
      <c r="BP686" s="277"/>
      <c r="BQ686" s="277"/>
      <c r="BR686" s="277"/>
      <c r="BS686" s="277"/>
      <c r="BT686" s="277"/>
      <c r="BU686" s="277"/>
      <c r="BV686" s="277"/>
      <c r="BW686" s="277"/>
      <c r="BX686" s="277"/>
      <c r="BY686" s="277"/>
      <c r="BZ686" s="277"/>
      <c r="CA686" s="277"/>
      <c r="CB686" s="277"/>
      <c r="CC686" s="277"/>
      <c r="CD686" s="277"/>
      <c r="CE686" s="277"/>
    </row>
    <row r="687" spans="3:83" s="20" customFormat="1">
      <c r="G687" s="123"/>
      <c r="H687" s="123"/>
      <c r="I687" s="123"/>
      <c r="J687" s="123"/>
      <c r="K687" s="123"/>
      <c r="X687" s="137"/>
      <c r="Y687" s="137"/>
      <c r="Z687" s="124"/>
      <c r="AA687" s="124"/>
      <c r="AB687" s="124"/>
      <c r="AC687" s="124"/>
      <c r="AD687" s="124"/>
      <c r="AE687" s="124"/>
      <c r="AF687" s="124"/>
      <c r="AG687" s="124"/>
      <c r="AH687" s="124"/>
      <c r="AI687" s="124"/>
      <c r="AJ687" s="124"/>
      <c r="AK687" s="124"/>
      <c r="AL687" s="124"/>
      <c r="AM687" s="124"/>
      <c r="AN687" s="124"/>
      <c r="AO687" s="124"/>
      <c r="AP687" s="124"/>
      <c r="AQ687" s="277"/>
      <c r="AR687" s="277"/>
      <c r="AS687" s="278"/>
      <c r="AT687" s="278"/>
      <c r="AU687" s="278"/>
      <c r="AV687" s="278"/>
      <c r="AW687" s="278"/>
      <c r="AX687" s="295"/>
      <c r="AY687" s="278"/>
      <c r="AZ687" s="278"/>
      <c r="BA687" s="278"/>
      <c r="BB687" s="278"/>
      <c r="BC687" s="278"/>
      <c r="BD687" s="279"/>
      <c r="BE687" s="277"/>
      <c r="BF687" s="277"/>
      <c r="BG687" s="277"/>
      <c r="BH687" s="277"/>
      <c r="BI687" s="277"/>
      <c r="BJ687" s="277"/>
      <c r="BK687" s="277"/>
      <c r="BL687" s="277"/>
      <c r="BM687" s="277"/>
      <c r="BN687" s="277"/>
      <c r="BO687" s="277"/>
      <c r="BP687" s="277"/>
      <c r="BQ687" s="277"/>
      <c r="BR687" s="277"/>
      <c r="BS687" s="277"/>
      <c r="BT687" s="277"/>
      <c r="BU687" s="277"/>
      <c r="BV687" s="277"/>
      <c r="BW687" s="277"/>
      <c r="BX687" s="277"/>
      <c r="BY687" s="277"/>
      <c r="BZ687" s="277"/>
      <c r="CA687" s="277"/>
      <c r="CB687" s="277"/>
      <c r="CC687" s="277"/>
      <c r="CD687" s="277"/>
      <c r="CE687" s="277"/>
    </row>
    <row r="688" spans="3:83" s="20" customFormat="1">
      <c r="G688" s="123"/>
      <c r="H688" s="123"/>
      <c r="I688" s="123"/>
      <c r="J688" s="123"/>
      <c r="K688" s="123"/>
      <c r="X688" s="137"/>
      <c r="Y688" s="137"/>
      <c r="Z688" s="124"/>
      <c r="AA688" s="124"/>
      <c r="AB688" s="124"/>
      <c r="AC688" s="124"/>
      <c r="AD688" s="124"/>
      <c r="AE688" s="124"/>
      <c r="AF688" s="124"/>
      <c r="AG688" s="124"/>
      <c r="AH688" s="124"/>
      <c r="AI688" s="124"/>
      <c r="AJ688" s="124"/>
      <c r="AK688" s="124"/>
      <c r="AL688" s="124"/>
      <c r="AM688" s="124"/>
      <c r="AN688" s="124"/>
      <c r="AO688" s="124"/>
      <c r="AP688" s="124"/>
      <c r="AQ688" s="277"/>
      <c r="AR688" s="277"/>
      <c r="AS688" s="278"/>
      <c r="AT688" s="278"/>
      <c r="AU688" s="278"/>
      <c r="AV688" s="278"/>
      <c r="AW688" s="278"/>
      <c r="AX688" s="295"/>
      <c r="AY688" s="278"/>
      <c r="AZ688" s="278"/>
      <c r="BA688" s="278"/>
      <c r="BB688" s="278"/>
      <c r="BC688" s="278"/>
      <c r="BD688" s="279"/>
      <c r="BE688" s="277"/>
      <c r="BF688" s="277"/>
      <c r="BG688" s="277"/>
      <c r="BH688" s="277"/>
      <c r="BI688" s="277"/>
      <c r="BJ688" s="277"/>
      <c r="BK688" s="277"/>
      <c r="BL688" s="277"/>
      <c r="BM688" s="277"/>
      <c r="BN688" s="277"/>
      <c r="BO688" s="277"/>
      <c r="BP688" s="277"/>
      <c r="BQ688" s="277"/>
      <c r="BR688" s="277"/>
      <c r="BS688" s="277"/>
      <c r="BT688" s="277"/>
      <c r="BU688" s="277"/>
      <c r="BV688" s="277"/>
      <c r="BW688" s="277"/>
      <c r="BX688" s="277"/>
      <c r="BY688" s="277"/>
      <c r="BZ688" s="277"/>
      <c r="CA688" s="277"/>
      <c r="CB688" s="277"/>
      <c r="CC688" s="277"/>
      <c r="CD688" s="277"/>
      <c r="CE688" s="277"/>
    </row>
    <row r="689" spans="7:83" s="20" customFormat="1">
      <c r="G689" s="123"/>
      <c r="H689" s="123"/>
      <c r="I689" s="123"/>
      <c r="J689" s="123"/>
      <c r="K689" s="123"/>
      <c r="X689" s="137"/>
      <c r="Y689" s="137"/>
      <c r="Z689" s="124"/>
      <c r="AA689" s="124"/>
      <c r="AB689" s="124"/>
      <c r="AC689" s="124"/>
      <c r="AD689" s="124"/>
      <c r="AE689" s="124"/>
      <c r="AF689" s="124"/>
      <c r="AG689" s="124"/>
      <c r="AH689" s="124"/>
      <c r="AI689" s="124"/>
      <c r="AJ689" s="124"/>
      <c r="AK689" s="124"/>
      <c r="AL689" s="124"/>
      <c r="AM689" s="124"/>
      <c r="AN689" s="124"/>
      <c r="AO689" s="124"/>
      <c r="AP689" s="124"/>
      <c r="AQ689" s="277"/>
      <c r="AR689" s="277"/>
      <c r="AS689" s="278"/>
      <c r="AT689" s="278"/>
      <c r="AU689" s="278"/>
      <c r="AV689" s="278"/>
      <c r="AW689" s="278"/>
      <c r="AX689" s="295"/>
      <c r="AY689" s="278"/>
      <c r="AZ689" s="278"/>
      <c r="BA689" s="278"/>
      <c r="BB689" s="278"/>
      <c r="BC689" s="278"/>
      <c r="BD689" s="279"/>
      <c r="BE689" s="277"/>
      <c r="BF689" s="277"/>
      <c r="BG689" s="277"/>
      <c r="BH689" s="277"/>
      <c r="BI689" s="277"/>
      <c r="BJ689" s="277"/>
      <c r="BK689" s="277"/>
      <c r="BL689" s="277"/>
      <c r="BM689" s="277"/>
      <c r="BN689" s="277"/>
      <c r="BO689" s="277"/>
      <c r="BP689" s="277"/>
      <c r="BQ689" s="277"/>
      <c r="BR689" s="277"/>
      <c r="BS689" s="277"/>
      <c r="BT689" s="277"/>
      <c r="BU689" s="277"/>
      <c r="BV689" s="277"/>
      <c r="BW689" s="277"/>
      <c r="BX689" s="277"/>
      <c r="BY689" s="277"/>
      <c r="BZ689" s="277"/>
      <c r="CA689" s="277"/>
      <c r="CB689" s="277"/>
      <c r="CC689" s="277"/>
      <c r="CD689" s="277"/>
      <c r="CE689" s="277"/>
    </row>
    <row r="690" spans="7:83" s="20" customFormat="1">
      <c r="G690" s="123"/>
      <c r="H690" s="123"/>
      <c r="I690" s="123"/>
      <c r="J690" s="123"/>
      <c r="K690" s="123"/>
      <c r="X690" s="137"/>
      <c r="Y690" s="137"/>
      <c r="Z690" s="124"/>
      <c r="AA690" s="124"/>
      <c r="AB690" s="124"/>
      <c r="AC690" s="124"/>
      <c r="AD690" s="124"/>
      <c r="AE690" s="124"/>
      <c r="AF690" s="124"/>
      <c r="AG690" s="124"/>
      <c r="AH690" s="124"/>
      <c r="AI690" s="124"/>
      <c r="AJ690" s="124"/>
      <c r="AK690" s="124"/>
      <c r="AL690" s="124"/>
      <c r="AM690" s="124"/>
      <c r="AN690" s="124"/>
      <c r="AO690" s="124"/>
      <c r="AP690" s="124"/>
      <c r="AQ690" s="277"/>
      <c r="AR690" s="277"/>
      <c r="AS690" s="278"/>
      <c r="AT690" s="278"/>
      <c r="AU690" s="278"/>
      <c r="AV690" s="278"/>
      <c r="AW690" s="278"/>
      <c r="AX690" s="295"/>
      <c r="AY690" s="278"/>
      <c r="AZ690" s="278"/>
      <c r="BA690" s="278"/>
      <c r="BB690" s="278"/>
      <c r="BC690" s="278"/>
      <c r="BD690" s="279"/>
      <c r="BE690" s="277"/>
      <c r="BF690" s="277"/>
      <c r="BG690" s="277"/>
      <c r="BH690" s="277"/>
      <c r="BI690" s="277"/>
      <c r="BJ690" s="277"/>
      <c r="BK690" s="277"/>
      <c r="BL690" s="277"/>
      <c r="BM690" s="277"/>
      <c r="BN690" s="277"/>
      <c r="BO690" s="277"/>
      <c r="BP690" s="277"/>
      <c r="BQ690" s="277"/>
      <c r="BR690" s="277"/>
      <c r="BS690" s="277"/>
      <c r="BT690" s="277"/>
      <c r="BU690" s="277"/>
      <c r="BV690" s="277"/>
      <c r="BW690" s="277"/>
      <c r="BX690" s="277"/>
      <c r="BY690" s="277"/>
      <c r="BZ690" s="277"/>
      <c r="CA690" s="277"/>
      <c r="CB690" s="277"/>
      <c r="CC690" s="277"/>
      <c r="CD690" s="277"/>
      <c r="CE690" s="277"/>
    </row>
    <row r="691" spans="7:83" s="20" customFormat="1">
      <c r="G691" s="123"/>
      <c r="H691" s="123"/>
      <c r="I691" s="123"/>
      <c r="J691" s="123"/>
      <c r="K691" s="123"/>
      <c r="X691" s="137"/>
      <c r="Y691" s="137"/>
      <c r="Z691" s="124"/>
      <c r="AA691" s="124"/>
      <c r="AB691" s="124"/>
      <c r="AC691" s="124"/>
      <c r="AD691" s="124"/>
      <c r="AE691" s="124"/>
      <c r="AF691" s="124"/>
      <c r="AG691" s="124"/>
      <c r="AH691" s="124"/>
      <c r="AI691" s="124"/>
      <c r="AJ691" s="124"/>
      <c r="AK691" s="124"/>
      <c r="AL691" s="124"/>
      <c r="AM691" s="124"/>
      <c r="AN691" s="124"/>
      <c r="AO691" s="124"/>
      <c r="AP691" s="124"/>
      <c r="AQ691" s="277"/>
      <c r="AR691" s="277"/>
      <c r="AS691" s="278"/>
      <c r="AT691" s="278"/>
      <c r="AU691" s="278"/>
      <c r="AV691" s="278"/>
      <c r="AW691" s="278"/>
      <c r="AX691" s="295"/>
      <c r="AY691" s="278"/>
      <c r="AZ691" s="278"/>
      <c r="BA691" s="278"/>
      <c r="BB691" s="278"/>
      <c r="BC691" s="278"/>
      <c r="BD691" s="279"/>
      <c r="BE691" s="277"/>
      <c r="BF691" s="277"/>
      <c r="BG691" s="277"/>
      <c r="BH691" s="277"/>
      <c r="BI691" s="277"/>
      <c r="BJ691" s="277"/>
      <c r="BK691" s="277"/>
      <c r="BL691" s="277"/>
      <c r="BM691" s="277"/>
      <c r="BN691" s="277"/>
      <c r="BO691" s="277"/>
      <c r="BP691" s="277"/>
      <c r="BQ691" s="277"/>
      <c r="BR691" s="277"/>
      <c r="BS691" s="277"/>
      <c r="BT691" s="277"/>
      <c r="BU691" s="277"/>
      <c r="BV691" s="277"/>
      <c r="BW691" s="277"/>
      <c r="BX691" s="277"/>
      <c r="BY691" s="277"/>
      <c r="BZ691" s="277"/>
      <c r="CA691" s="277"/>
      <c r="CB691" s="277"/>
      <c r="CC691" s="277"/>
      <c r="CD691" s="277"/>
      <c r="CE691" s="277"/>
    </row>
    <row r="692" spans="7:83" s="20" customFormat="1">
      <c r="G692" s="123"/>
      <c r="H692" s="123"/>
      <c r="I692" s="123"/>
      <c r="J692" s="123"/>
      <c r="K692" s="123"/>
      <c r="X692" s="137"/>
      <c r="Y692" s="137"/>
      <c r="Z692" s="124"/>
      <c r="AA692" s="124"/>
      <c r="AB692" s="124"/>
      <c r="AC692" s="124"/>
      <c r="AD692" s="124"/>
      <c r="AE692" s="124"/>
      <c r="AF692" s="124"/>
      <c r="AG692" s="124"/>
      <c r="AH692" s="124"/>
      <c r="AI692" s="124"/>
      <c r="AJ692" s="124"/>
      <c r="AK692" s="124"/>
      <c r="AL692" s="124"/>
      <c r="AM692" s="124"/>
      <c r="AN692" s="124"/>
      <c r="AO692" s="124"/>
      <c r="AP692" s="124"/>
      <c r="AQ692" s="277"/>
      <c r="AR692" s="277"/>
      <c r="AS692" s="278"/>
      <c r="AT692" s="278"/>
      <c r="AU692" s="278"/>
      <c r="AV692" s="278"/>
      <c r="AW692" s="278"/>
      <c r="AX692" s="295"/>
      <c r="AY692" s="278"/>
      <c r="AZ692" s="278"/>
      <c r="BA692" s="278"/>
      <c r="BB692" s="278"/>
      <c r="BC692" s="278"/>
      <c r="BD692" s="279"/>
      <c r="BE692" s="277"/>
      <c r="BF692" s="277"/>
      <c r="BG692" s="277"/>
      <c r="BH692" s="277"/>
      <c r="BI692" s="277"/>
      <c r="BJ692" s="277"/>
      <c r="BK692" s="277"/>
      <c r="BL692" s="277"/>
      <c r="BM692" s="277"/>
      <c r="BN692" s="277"/>
      <c r="BO692" s="277"/>
      <c r="BP692" s="277"/>
      <c r="BQ692" s="277"/>
      <c r="BR692" s="277"/>
      <c r="BS692" s="277"/>
      <c r="BT692" s="277"/>
      <c r="BU692" s="277"/>
      <c r="BV692" s="277"/>
      <c r="BW692" s="277"/>
      <c r="BX692" s="277"/>
      <c r="BY692" s="277"/>
      <c r="BZ692" s="277"/>
      <c r="CA692" s="277"/>
      <c r="CB692" s="277"/>
      <c r="CC692" s="277"/>
      <c r="CD692" s="277"/>
      <c r="CE692" s="277"/>
    </row>
    <row r="693" spans="7:83" s="20" customFormat="1">
      <c r="G693" s="123"/>
      <c r="H693" s="123"/>
      <c r="I693" s="123"/>
      <c r="J693" s="123"/>
      <c r="K693" s="123"/>
      <c r="X693" s="137"/>
      <c r="Y693" s="137"/>
      <c r="Z693" s="124"/>
      <c r="AA693" s="124"/>
      <c r="AB693" s="124"/>
      <c r="AC693" s="124"/>
      <c r="AD693" s="124"/>
      <c r="AE693" s="124"/>
      <c r="AF693" s="124"/>
      <c r="AG693" s="124"/>
      <c r="AH693" s="124"/>
      <c r="AI693" s="124"/>
      <c r="AJ693" s="124"/>
      <c r="AK693" s="124"/>
      <c r="AL693" s="124"/>
      <c r="AM693" s="124"/>
      <c r="AN693" s="124"/>
      <c r="AO693" s="124"/>
      <c r="AP693" s="124"/>
      <c r="AQ693" s="277"/>
      <c r="AR693" s="277"/>
      <c r="AS693" s="278"/>
      <c r="AT693" s="278"/>
      <c r="AU693" s="278"/>
      <c r="AV693" s="278"/>
      <c r="AW693" s="278"/>
      <c r="AX693" s="295"/>
      <c r="AY693" s="278"/>
      <c r="AZ693" s="278"/>
      <c r="BA693" s="278"/>
      <c r="BB693" s="278"/>
      <c r="BC693" s="278"/>
      <c r="BD693" s="279"/>
      <c r="BE693" s="277"/>
      <c r="BF693" s="277"/>
      <c r="BG693" s="277"/>
      <c r="BH693" s="277"/>
      <c r="BI693" s="277"/>
      <c r="BJ693" s="277"/>
      <c r="BK693" s="277"/>
      <c r="BL693" s="277"/>
      <c r="BM693" s="277"/>
      <c r="BN693" s="277"/>
      <c r="BO693" s="277"/>
      <c r="BP693" s="277"/>
      <c r="BQ693" s="277"/>
      <c r="BR693" s="277"/>
      <c r="BS693" s="277"/>
      <c r="BT693" s="277"/>
      <c r="BU693" s="277"/>
      <c r="BV693" s="277"/>
      <c r="BW693" s="277"/>
      <c r="BX693" s="277"/>
      <c r="BY693" s="277"/>
      <c r="BZ693" s="277"/>
      <c r="CA693" s="277"/>
      <c r="CB693" s="277"/>
      <c r="CC693" s="277"/>
      <c r="CD693" s="277"/>
      <c r="CE693" s="277"/>
    </row>
    <row r="694" spans="7:83" s="20" customFormat="1">
      <c r="G694" s="123"/>
      <c r="H694" s="123"/>
      <c r="I694" s="123"/>
      <c r="J694" s="123"/>
      <c r="K694" s="123"/>
      <c r="X694" s="137"/>
      <c r="Y694" s="137"/>
      <c r="Z694" s="124"/>
      <c r="AA694" s="124"/>
      <c r="AB694" s="124"/>
      <c r="AC694" s="124"/>
      <c r="AD694" s="124"/>
      <c r="AE694" s="124"/>
      <c r="AF694" s="124"/>
      <c r="AG694" s="124"/>
      <c r="AH694" s="124"/>
      <c r="AI694" s="124"/>
      <c r="AJ694" s="124"/>
      <c r="AK694" s="124"/>
      <c r="AL694" s="124"/>
      <c r="AM694" s="124"/>
      <c r="AN694" s="124"/>
      <c r="AO694" s="124"/>
      <c r="AP694" s="124"/>
      <c r="AQ694" s="277"/>
      <c r="AR694" s="277"/>
      <c r="AS694" s="278"/>
      <c r="AT694" s="278"/>
      <c r="AU694" s="278"/>
      <c r="AV694" s="278"/>
      <c r="AW694" s="278"/>
      <c r="AX694" s="295"/>
      <c r="AY694" s="278"/>
      <c r="AZ694" s="278"/>
      <c r="BA694" s="278"/>
      <c r="BB694" s="278"/>
      <c r="BC694" s="278"/>
      <c r="BD694" s="279"/>
      <c r="BE694" s="277"/>
      <c r="BF694" s="277"/>
      <c r="BG694" s="277"/>
      <c r="BH694" s="277"/>
      <c r="BI694" s="277"/>
      <c r="BJ694" s="277"/>
      <c r="BK694" s="277"/>
      <c r="BL694" s="277"/>
      <c r="BM694" s="277"/>
      <c r="BN694" s="277"/>
      <c r="BO694" s="277"/>
      <c r="BP694" s="277"/>
      <c r="BQ694" s="277"/>
      <c r="BR694" s="277"/>
      <c r="BS694" s="277"/>
      <c r="BT694" s="277"/>
      <c r="BU694" s="277"/>
      <c r="BV694" s="277"/>
      <c r="BW694" s="277"/>
      <c r="BX694" s="277"/>
      <c r="BY694" s="277"/>
      <c r="BZ694" s="277"/>
      <c r="CA694" s="277"/>
      <c r="CB694" s="277"/>
      <c r="CC694" s="277"/>
      <c r="CD694" s="277"/>
      <c r="CE694" s="277"/>
    </row>
    <row r="695" spans="7:83" s="20" customFormat="1">
      <c r="G695" s="123"/>
      <c r="H695" s="123"/>
      <c r="I695" s="123"/>
      <c r="J695" s="123"/>
      <c r="K695" s="123"/>
      <c r="X695" s="137"/>
      <c r="Y695" s="137"/>
      <c r="Z695" s="124"/>
      <c r="AA695" s="124"/>
      <c r="AB695" s="124"/>
      <c r="AC695" s="124"/>
      <c r="AD695" s="124"/>
      <c r="AE695" s="124"/>
      <c r="AF695" s="124"/>
      <c r="AG695" s="124"/>
      <c r="AH695" s="124"/>
      <c r="AI695" s="124"/>
      <c r="AJ695" s="124"/>
      <c r="AK695" s="124"/>
      <c r="AL695" s="124"/>
      <c r="AM695" s="124"/>
      <c r="AN695" s="124"/>
      <c r="AO695" s="124"/>
      <c r="AP695" s="124"/>
      <c r="AQ695" s="277"/>
      <c r="AR695" s="277"/>
      <c r="AS695" s="278"/>
      <c r="AT695" s="278"/>
      <c r="AU695" s="278"/>
      <c r="AV695" s="278"/>
      <c r="AW695" s="278"/>
      <c r="AX695" s="295"/>
      <c r="AY695" s="278"/>
      <c r="AZ695" s="278"/>
      <c r="BA695" s="278"/>
      <c r="BB695" s="278"/>
      <c r="BC695" s="278"/>
      <c r="BD695" s="279"/>
      <c r="BE695" s="277"/>
      <c r="BF695" s="277"/>
      <c r="BG695" s="277"/>
      <c r="BH695" s="277"/>
      <c r="BI695" s="277"/>
      <c r="BJ695" s="277"/>
      <c r="BK695" s="277"/>
      <c r="BL695" s="277"/>
      <c r="BM695" s="277"/>
      <c r="BN695" s="277"/>
      <c r="BO695" s="277"/>
      <c r="BP695" s="277"/>
      <c r="BQ695" s="277"/>
      <c r="BR695" s="277"/>
      <c r="BS695" s="277"/>
      <c r="BT695" s="277"/>
      <c r="BU695" s="277"/>
      <c r="BV695" s="277"/>
      <c r="BW695" s="277"/>
      <c r="BX695" s="277"/>
      <c r="BY695" s="277"/>
      <c r="BZ695" s="277"/>
      <c r="CA695" s="277"/>
      <c r="CB695" s="277"/>
      <c r="CC695" s="277"/>
      <c r="CD695" s="277"/>
      <c r="CE695" s="277"/>
    </row>
    <row r="696" spans="7:83" s="20" customFormat="1">
      <c r="G696" s="123"/>
      <c r="H696" s="123"/>
      <c r="I696" s="123"/>
      <c r="J696" s="123"/>
      <c r="K696" s="123"/>
      <c r="X696" s="137"/>
      <c r="Y696" s="137"/>
      <c r="Z696" s="124"/>
      <c r="AA696" s="124"/>
      <c r="AB696" s="124"/>
      <c r="AC696" s="124"/>
      <c r="AD696" s="124"/>
      <c r="AE696" s="124"/>
      <c r="AF696" s="124"/>
      <c r="AG696" s="124"/>
      <c r="AH696" s="124"/>
      <c r="AI696" s="124"/>
      <c r="AJ696" s="124"/>
      <c r="AK696" s="124"/>
      <c r="AL696" s="124"/>
      <c r="AM696" s="124"/>
      <c r="AN696" s="124"/>
      <c r="AO696" s="124"/>
      <c r="AP696" s="124"/>
      <c r="AQ696" s="277"/>
      <c r="AR696" s="277"/>
      <c r="AS696" s="278"/>
      <c r="AT696" s="278"/>
      <c r="AU696" s="278"/>
      <c r="AV696" s="278"/>
      <c r="AW696" s="278"/>
      <c r="AX696" s="295"/>
      <c r="AY696" s="278"/>
      <c r="AZ696" s="278"/>
      <c r="BA696" s="278"/>
      <c r="BB696" s="278"/>
      <c r="BC696" s="278"/>
      <c r="BD696" s="279"/>
      <c r="BE696" s="277"/>
      <c r="BF696" s="277"/>
      <c r="BG696" s="277"/>
      <c r="BH696" s="277"/>
      <c r="BI696" s="277"/>
      <c r="BJ696" s="277"/>
      <c r="BK696" s="277"/>
      <c r="BL696" s="277"/>
      <c r="BM696" s="277"/>
      <c r="BN696" s="277"/>
      <c r="BO696" s="277"/>
      <c r="BP696" s="277"/>
      <c r="BQ696" s="277"/>
      <c r="BR696" s="277"/>
      <c r="BS696" s="277"/>
      <c r="BT696" s="277"/>
      <c r="BU696" s="277"/>
      <c r="BV696" s="277"/>
      <c r="BW696" s="277"/>
      <c r="BX696" s="277"/>
      <c r="BY696" s="277"/>
      <c r="BZ696" s="277"/>
      <c r="CA696" s="277"/>
      <c r="CB696" s="277"/>
      <c r="CC696" s="277"/>
      <c r="CD696" s="277"/>
      <c r="CE696" s="277"/>
    </row>
    <row r="697" spans="7:83" s="20" customFormat="1">
      <c r="G697" s="123"/>
      <c r="H697" s="123"/>
      <c r="I697" s="123"/>
      <c r="J697" s="123"/>
      <c r="K697" s="123"/>
      <c r="X697" s="137"/>
      <c r="Y697" s="137"/>
      <c r="Z697" s="124"/>
      <c r="AA697" s="124"/>
      <c r="AB697" s="124"/>
      <c r="AC697" s="124"/>
      <c r="AD697" s="124"/>
      <c r="AE697" s="124"/>
      <c r="AF697" s="124"/>
      <c r="AG697" s="124"/>
      <c r="AH697" s="124"/>
      <c r="AI697" s="124"/>
      <c r="AJ697" s="124"/>
      <c r="AK697" s="124"/>
      <c r="AL697" s="124"/>
      <c r="AM697" s="124"/>
      <c r="AN697" s="124"/>
      <c r="AO697" s="124"/>
      <c r="AP697" s="124"/>
      <c r="AQ697" s="277"/>
      <c r="AR697" s="277"/>
      <c r="AS697" s="278"/>
      <c r="AT697" s="278"/>
      <c r="AU697" s="278"/>
      <c r="AV697" s="278"/>
      <c r="AW697" s="278"/>
      <c r="AX697" s="295"/>
      <c r="AY697" s="278"/>
      <c r="AZ697" s="278"/>
      <c r="BA697" s="278"/>
      <c r="BB697" s="278"/>
      <c r="BC697" s="278"/>
      <c r="BD697" s="279"/>
      <c r="BE697" s="277"/>
      <c r="BF697" s="277"/>
      <c r="BG697" s="277"/>
      <c r="BH697" s="277"/>
      <c r="BI697" s="277"/>
      <c r="BJ697" s="277"/>
      <c r="BK697" s="277"/>
      <c r="BL697" s="277"/>
      <c r="BM697" s="277"/>
      <c r="BN697" s="277"/>
      <c r="BO697" s="277"/>
      <c r="BP697" s="277"/>
      <c r="BQ697" s="277"/>
      <c r="BR697" s="277"/>
      <c r="BS697" s="277"/>
      <c r="BT697" s="277"/>
      <c r="BU697" s="277"/>
      <c r="BV697" s="277"/>
      <c r="BW697" s="277"/>
      <c r="BX697" s="277"/>
      <c r="BY697" s="277"/>
      <c r="BZ697" s="277"/>
      <c r="CA697" s="277"/>
      <c r="CB697" s="277"/>
      <c r="CC697" s="277"/>
      <c r="CD697" s="277"/>
      <c r="CE697" s="277"/>
    </row>
    <row r="698" spans="7:83" s="20" customFormat="1">
      <c r="G698" s="123"/>
      <c r="H698" s="123"/>
      <c r="I698" s="123"/>
      <c r="J698" s="123"/>
      <c r="K698" s="123"/>
      <c r="X698" s="137"/>
      <c r="Y698" s="137"/>
      <c r="Z698" s="124"/>
      <c r="AA698" s="124"/>
      <c r="AB698" s="124"/>
      <c r="AC698" s="124"/>
      <c r="AD698" s="124"/>
      <c r="AE698" s="124"/>
      <c r="AF698" s="124"/>
      <c r="AG698" s="124"/>
      <c r="AH698" s="124"/>
      <c r="AI698" s="124"/>
      <c r="AJ698" s="124"/>
      <c r="AK698" s="124"/>
      <c r="AL698" s="124"/>
      <c r="AM698" s="124"/>
      <c r="AN698" s="124"/>
      <c r="AO698" s="124"/>
      <c r="AP698" s="124"/>
      <c r="AQ698" s="277"/>
      <c r="AR698" s="277"/>
      <c r="AS698" s="278"/>
      <c r="AT698" s="278"/>
      <c r="AU698" s="278"/>
      <c r="AV698" s="278"/>
      <c r="AW698" s="278"/>
      <c r="AX698" s="295"/>
      <c r="AY698" s="278"/>
      <c r="AZ698" s="278"/>
      <c r="BA698" s="278"/>
      <c r="BB698" s="278"/>
      <c r="BC698" s="278"/>
      <c r="BD698" s="279"/>
      <c r="BE698" s="277"/>
      <c r="BF698" s="277"/>
      <c r="BG698" s="277"/>
      <c r="BH698" s="277"/>
      <c r="BI698" s="277"/>
      <c r="BJ698" s="277"/>
      <c r="BK698" s="277"/>
      <c r="BL698" s="277"/>
      <c r="BM698" s="277"/>
      <c r="BN698" s="277"/>
      <c r="BO698" s="277"/>
      <c r="BP698" s="277"/>
      <c r="BQ698" s="277"/>
      <c r="BR698" s="277"/>
      <c r="BS698" s="277"/>
      <c r="BT698" s="277"/>
      <c r="BU698" s="277"/>
      <c r="BV698" s="277"/>
      <c r="BW698" s="277"/>
      <c r="BX698" s="277"/>
      <c r="BY698" s="277"/>
      <c r="BZ698" s="277"/>
      <c r="CA698" s="277"/>
      <c r="CB698" s="277"/>
      <c r="CC698" s="277"/>
      <c r="CD698" s="277"/>
      <c r="CE698" s="277"/>
    </row>
    <row r="699" spans="7:83" s="20" customFormat="1">
      <c r="G699" s="123"/>
      <c r="H699" s="123"/>
      <c r="I699" s="123"/>
      <c r="J699" s="123"/>
      <c r="K699" s="123"/>
      <c r="X699" s="137"/>
      <c r="Y699" s="137"/>
      <c r="Z699" s="124"/>
      <c r="AA699" s="124"/>
      <c r="AB699" s="124"/>
      <c r="AC699" s="124"/>
      <c r="AD699" s="124"/>
      <c r="AE699" s="124"/>
      <c r="AF699" s="124"/>
      <c r="AG699" s="124"/>
      <c r="AH699" s="124"/>
      <c r="AI699" s="124"/>
      <c r="AJ699" s="124"/>
      <c r="AK699" s="124"/>
      <c r="AL699" s="124"/>
      <c r="AM699" s="124"/>
      <c r="AN699" s="124"/>
      <c r="AO699" s="124"/>
      <c r="AP699" s="124"/>
      <c r="AQ699" s="277"/>
      <c r="AR699" s="277"/>
      <c r="AS699" s="278"/>
      <c r="AT699" s="278"/>
      <c r="AU699" s="278"/>
      <c r="AV699" s="278"/>
      <c r="AW699" s="278"/>
      <c r="AX699" s="295"/>
      <c r="AY699" s="278"/>
      <c r="AZ699" s="278"/>
      <c r="BA699" s="278"/>
      <c r="BB699" s="278"/>
      <c r="BC699" s="278"/>
      <c r="BD699" s="279"/>
      <c r="BE699" s="277"/>
      <c r="BF699" s="277"/>
      <c r="BG699" s="277"/>
      <c r="BH699" s="277"/>
      <c r="BI699" s="277"/>
      <c r="BJ699" s="277"/>
      <c r="BK699" s="277"/>
      <c r="BL699" s="277"/>
      <c r="BM699" s="277"/>
      <c r="BN699" s="277"/>
      <c r="BO699" s="277"/>
      <c r="BP699" s="277"/>
      <c r="BQ699" s="277"/>
      <c r="BR699" s="277"/>
      <c r="BS699" s="277"/>
      <c r="BT699" s="277"/>
      <c r="BU699" s="277"/>
      <c r="BV699" s="277"/>
      <c r="BW699" s="277"/>
      <c r="BX699" s="277"/>
      <c r="BY699" s="277"/>
      <c r="BZ699" s="277"/>
      <c r="CA699" s="277"/>
      <c r="CB699" s="277"/>
      <c r="CC699" s="277"/>
      <c r="CD699" s="277"/>
      <c r="CE699" s="277"/>
    </row>
    <row r="700" spans="7:83" s="20" customFormat="1">
      <c r="G700" s="123"/>
      <c r="H700" s="123"/>
      <c r="I700" s="123"/>
      <c r="J700" s="123"/>
      <c r="K700" s="123"/>
      <c r="X700" s="137"/>
      <c r="Y700" s="137"/>
      <c r="Z700" s="124"/>
      <c r="AA700" s="124"/>
      <c r="AB700" s="124"/>
      <c r="AC700" s="124"/>
      <c r="AD700" s="124"/>
      <c r="AE700" s="124"/>
      <c r="AF700" s="124"/>
      <c r="AG700" s="124"/>
      <c r="AH700" s="124"/>
      <c r="AI700" s="124"/>
      <c r="AJ700" s="124"/>
      <c r="AK700" s="124"/>
      <c r="AL700" s="124"/>
      <c r="AM700" s="124"/>
      <c r="AN700" s="124"/>
      <c r="AO700" s="124"/>
      <c r="AP700" s="124"/>
      <c r="AQ700" s="277"/>
      <c r="AR700" s="277"/>
      <c r="AS700" s="278"/>
      <c r="AT700" s="278"/>
      <c r="AU700" s="278"/>
      <c r="AV700" s="278"/>
      <c r="AW700" s="278"/>
      <c r="AX700" s="295"/>
      <c r="AY700" s="278"/>
      <c r="AZ700" s="278"/>
      <c r="BA700" s="278"/>
      <c r="BB700" s="278"/>
      <c r="BC700" s="278"/>
      <c r="BD700" s="279"/>
      <c r="BE700" s="277"/>
      <c r="BF700" s="277"/>
      <c r="BG700" s="277"/>
      <c r="BH700" s="277"/>
      <c r="BI700" s="277"/>
      <c r="BJ700" s="277"/>
      <c r="BK700" s="277"/>
      <c r="BL700" s="277"/>
      <c r="BM700" s="277"/>
      <c r="BN700" s="277"/>
      <c r="BO700" s="277"/>
      <c r="BP700" s="277"/>
      <c r="BQ700" s="277"/>
      <c r="BR700" s="277"/>
      <c r="BS700" s="277"/>
      <c r="BT700" s="277"/>
      <c r="BU700" s="277"/>
      <c r="BV700" s="277"/>
      <c r="BW700" s="277"/>
      <c r="BX700" s="277"/>
      <c r="BY700" s="277"/>
      <c r="BZ700" s="277"/>
      <c r="CA700" s="277"/>
      <c r="CB700" s="277"/>
      <c r="CC700" s="277"/>
      <c r="CD700" s="277"/>
      <c r="CE700" s="277"/>
    </row>
    <row r="701" spans="7:83" s="20" customFormat="1">
      <c r="G701" s="123"/>
      <c r="H701" s="123"/>
      <c r="I701" s="123"/>
      <c r="J701" s="123"/>
      <c r="K701" s="123"/>
      <c r="X701" s="137"/>
      <c r="Y701" s="137"/>
      <c r="Z701" s="124"/>
      <c r="AA701" s="124"/>
      <c r="AB701" s="124"/>
      <c r="AC701" s="124"/>
      <c r="AD701" s="124"/>
      <c r="AE701" s="124"/>
      <c r="AF701" s="124"/>
      <c r="AG701" s="124"/>
      <c r="AH701" s="124"/>
      <c r="AI701" s="124"/>
      <c r="AJ701" s="124"/>
      <c r="AK701" s="124"/>
      <c r="AL701" s="124"/>
      <c r="AM701" s="124"/>
      <c r="AN701" s="124"/>
      <c r="AO701" s="124"/>
      <c r="AP701" s="124"/>
      <c r="AQ701" s="277"/>
      <c r="AR701" s="277"/>
      <c r="AS701" s="278"/>
      <c r="AT701" s="278"/>
      <c r="AU701" s="278"/>
      <c r="AV701" s="278"/>
      <c r="AW701" s="278"/>
      <c r="AX701" s="295"/>
      <c r="AY701" s="278"/>
      <c r="AZ701" s="278"/>
      <c r="BA701" s="278"/>
      <c r="BB701" s="278"/>
      <c r="BC701" s="278"/>
      <c r="BD701" s="279"/>
      <c r="BE701" s="277"/>
      <c r="BF701" s="277"/>
      <c r="BG701" s="277"/>
      <c r="BH701" s="277"/>
      <c r="BI701" s="277"/>
      <c r="BJ701" s="277"/>
      <c r="BK701" s="277"/>
      <c r="BL701" s="277"/>
      <c r="BM701" s="277"/>
      <c r="BN701" s="277"/>
      <c r="BO701" s="277"/>
      <c r="BP701" s="277"/>
      <c r="BQ701" s="277"/>
      <c r="BR701" s="277"/>
      <c r="BS701" s="277"/>
      <c r="BT701" s="277"/>
      <c r="BU701" s="277"/>
      <c r="BV701" s="277"/>
      <c r="BW701" s="277"/>
      <c r="BX701" s="277"/>
      <c r="BY701" s="277"/>
      <c r="BZ701" s="277"/>
      <c r="CA701" s="277"/>
      <c r="CB701" s="277"/>
      <c r="CC701" s="277"/>
      <c r="CD701" s="277"/>
      <c r="CE701" s="277"/>
    </row>
    <row r="702" spans="7:83" s="20" customFormat="1">
      <c r="G702" s="123"/>
      <c r="H702" s="123"/>
      <c r="I702" s="123"/>
      <c r="J702" s="123"/>
      <c r="K702" s="123"/>
      <c r="X702" s="137"/>
      <c r="Y702" s="137"/>
      <c r="Z702" s="124"/>
      <c r="AA702" s="124"/>
      <c r="AB702" s="124"/>
      <c r="AC702" s="124"/>
      <c r="AD702" s="124"/>
      <c r="AE702" s="124"/>
      <c r="AF702" s="124"/>
      <c r="AG702" s="124"/>
      <c r="AH702" s="124"/>
      <c r="AI702" s="124"/>
      <c r="AJ702" s="124"/>
      <c r="AK702" s="124"/>
      <c r="AL702" s="124"/>
      <c r="AM702" s="124"/>
      <c r="AN702" s="124"/>
      <c r="AO702" s="124"/>
      <c r="AP702" s="124"/>
      <c r="AQ702" s="277"/>
      <c r="AR702" s="277"/>
      <c r="AS702" s="278"/>
      <c r="AT702" s="278"/>
      <c r="AU702" s="278"/>
      <c r="AV702" s="278"/>
      <c r="AW702" s="278"/>
      <c r="AX702" s="295"/>
      <c r="AY702" s="278"/>
      <c r="AZ702" s="278"/>
      <c r="BA702" s="278"/>
      <c r="BB702" s="278"/>
      <c r="BC702" s="278"/>
      <c r="BD702" s="279"/>
      <c r="BE702" s="277"/>
      <c r="BF702" s="277"/>
      <c r="BG702" s="277"/>
      <c r="BH702" s="277"/>
      <c r="BI702" s="277"/>
      <c r="BJ702" s="277"/>
      <c r="BK702" s="277"/>
      <c r="BL702" s="277"/>
      <c r="BM702" s="277"/>
      <c r="BN702" s="277"/>
      <c r="BO702" s="277"/>
      <c r="BP702" s="277"/>
      <c r="BQ702" s="277"/>
      <c r="BR702" s="277"/>
      <c r="BS702" s="277"/>
      <c r="BT702" s="277"/>
      <c r="BU702" s="277"/>
      <c r="BV702" s="277"/>
      <c r="BW702" s="277"/>
      <c r="BX702" s="277"/>
      <c r="BY702" s="277"/>
      <c r="BZ702" s="277"/>
      <c r="CA702" s="277"/>
      <c r="CB702" s="277"/>
      <c r="CC702" s="277"/>
      <c r="CD702" s="277"/>
      <c r="CE702" s="277"/>
    </row>
    <row r="703" spans="7:83" s="20" customFormat="1">
      <c r="G703" s="123"/>
      <c r="H703" s="123"/>
      <c r="I703" s="123"/>
      <c r="J703" s="123"/>
      <c r="K703" s="123"/>
      <c r="X703" s="137"/>
      <c r="Y703" s="137"/>
      <c r="Z703" s="124"/>
      <c r="AA703" s="124"/>
      <c r="AB703" s="124"/>
      <c r="AC703" s="124"/>
      <c r="AD703" s="124"/>
      <c r="AE703" s="124"/>
      <c r="AF703" s="124"/>
      <c r="AG703" s="124"/>
      <c r="AH703" s="124"/>
      <c r="AI703" s="124"/>
      <c r="AJ703" s="124"/>
      <c r="AK703" s="124"/>
      <c r="AL703" s="124"/>
      <c r="AM703" s="124"/>
      <c r="AN703" s="124"/>
      <c r="AO703" s="124"/>
      <c r="AP703" s="124"/>
      <c r="AQ703" s="277"/>
      <c r="AR703" s="277"/>
      <c r="AS703" s="278"/>
      <c r="AT703" s="278"/>
      <c r="AU703" s="278"/>
      <c r="AV703" s="278"/>
      <c r="AW703" s="278"/>
      <c r="AX703" s="295"/>
      <c r="AY703" s="278"/>
      <c r="AZ703" s="278"/>
      <c r="BA703" s="278"/>
      <c r="BB703" s="278"/>
      <c r="BC703" s="278"/>
      <c r="BD703" s="279"/>
      <c r="BE703" s="277"/>
      <c r="BF703" s="277"/>
      <c r="BG703" s="277"/>
      <c r="BH703" s="277"/>
      <c r="BI703" s="277"/>
      <c r="BJ703" s="277"/>
      <c r="BK703" s="277"/>
      <c r="BL703" s="277"/>
      <c r="BM703" s="277"/>
      <c r="BN703" s="277"/>
      <c r="BO703" s="277"/>
      <c r="BP703" s="277"/>
      <c r="BQ703" s="277"/>
      <c r="BR703" s="277"/>
      <c r="BS703" s="277"/>
      <c r="BT703" s="277"/>
      <c r="BU703" s="277"/>
      <c r="BV703" s="277"/>
      <c r="BW703" s="277"/>
      <c r="BX703" s="277"/>
      <c r="BY703" s="277"/>
      <c r="BZ703" s="277"/>
      <c r="CA703" s="277"/>
      <c r="CB703" s="277"/>
      <c r="CC703" s="277"/>
      <c r="CD703" s="277"/>
      <c r="CE703" s="277"/>
    </row>
    <row r="704" spans="7:83" s="20" customFormat="1">
      <c r="G704" s="123"/>
      <c r="H704" s="123"/>
      <c r="I704" s="123"/>
      <c r="J704" s="123"/>
      <c r="K704" s="123"/>
      <c r="X704" s="137"/>
      <c r="Y704" s="137"/>
      <c r="Z704" s="124"/>
      <c r="AA704" s="124"/>
      <c r="AB704" s="124"/>
      <c r="AC704" s="124"/>
      <c r="AD704" s="124"/>
      <c r="AE704" s="124"/>
      <c r="AF704" s="124"/>
      <c r="AG704" s="124"/>
      <c r="AH704" s="124"/>
      <c r="AI704" s="124"/>
      <c r="AJ704" s="124"/>
      <c r="AK704" s="124"/>
      <c r="AL704" s="124"/>
      <c r="AM704" s="124"/>
      <c r="AN704" s="124"/>
      <c r="AO704" s="124"/>
      <c r="AP704" s="124"/>
      <c r="AQ704" s="277"/>
      <c r="AR704" s="277"/>
      <c r="AS704" s="278"/>
      <c r="AT704" s="278"/>
      <c r="AU704" s="278"/>
      <c r="AV704" s="278"/>
      <c r="AW704" s="278"/>
      <c r="AX704" s="295"/>
      <c r="AY704" s="278"/>
      <c r="AZ704" s="278"/>
      <c r="BA704" s="278"/>
      <c r="BB704" s="278"/>
      <c r="BC704" s="278"/>
      <c r="BD704" s="279"/>
      <c r="BE704" s="277"/>
      <c r="BF704" s="277"/>
      <c r="BG704" s="277"/>
      <c r="BH704" s="277"/>
      <c r="BI704" s="277"/>
      <c r="BJ704" s="277"/>
      <c r="BK704" s="277"/>
      <c r="BL704" s="277"/>
      <c r="BM704" s="277"/>
      <c r="BN704" s="277"/>
      <c r="BO704" s="277"/>
      <c r="BP704" s="277"/>
      <c r="BQ704" s="277"/>
      <c r="BR704" s="277"/>
      <c r="BS704" s="277"/>
      <c r="BT704" s="277"/>
      <c r="BU704" s="277"/>
      <c r="BV704" s="277"/>
      <c r="BW704" s="277"/>
      <c r="BX704" s="277"/>
      <c r="BY704" s="277"/>
      <c r="BZ704" s="277"/>
      <c r="CA704" s="277"/>
      <c r="CB704" s="277"/>
      <c r="CC704" s="277"/>
      <c r="CD704" s="277"/>
      <c r="CE704" s="277"/>
    </row>
    <row r="705" spans="7:83" s="20" customFormat="1">
      <c r="G705" s="123"/>
      <c r="H705" s="123"/>
      <c r="I705" s="123"/>
      <c r="J705" s="123"/>
      <c r="K705" s="123"/>
      <c r="X705" s="137"/>
      <c r="Y705" s="137"/>
      <c r="Z705" s="124"/>
      <c r="AA705" s="124"/>
      <c r="AB705" s="124"/>
      <c r="AC705" s="124"/>
      <c r="AD705" s="124"/>
      <c r="AE705" s="124"/>
      <c r="AF705" s="124"/>
      <c r="AG705" s="124"/>
      <c r="AH705" s="124"/>
      <c r="AI705" s="124"/>
      <c r="AJ705" s="124"/>
      <c r="AK705" s="124"/>
      <c r="AL705" s="124"/>
      <c r="AM705" s="124"/>
      <c r="AN705" s="124"/>
      <c r="AO705" s="124"/>
      <c r="AP705" s="124"/>
      <c r="AQ705" s="277"/>
      <c r="AR705" s="277"/>
      <c r="AS705" s="278"/>
      <c r="AT705" s="278"/>
      <c r="AU705" s="278"/>
      <c r="AV705" s="278"/>
      <c r="AW705" s="278"/>
      <c r="AX705" s="295"/>
      <c r="AY705" s="278"/>
      <c r="AZ705" s="278"/>
      <c r="BA705" s="278"/>
      <c r="BB705" s="278"/>
      <c r="BC705" s="278"/>
      <c r="BD705" s="279"/>
      <c r="BE705" s="277"/>
      <c r="BF705" s="277"/>
      <c r="BG705" s="277"/>
      <c r="BH705" s="277"/>
      <c r="BI705" s="277"/>
      <c r="BJ705" s="277"/>
      <c r="BK705" s="277"/>
      <c r="BL705" s="277"/>
      <c r="BM705" s="277"/>
      <c r="BN705" s="277"/>
      <c r="BO705" s="277"/>
      <c r="BP705" s="277"/>
      <c r="BQ705" s="277"/>
      <c r="BR705" s="277"/>
      <c r="BS705" s="277"/>
      <c r="BT705" s="277"/>
      <c r="BU705" s="277"/>
      <c r="BV705" s="277"/>
      <c r="BW705" s="277"/>
      <c r="BX705" s="277"/>
      <c r="BY705" s="277"/>
      <c r="BZ705" s="277"/>
      <c r="CA705" s="277"/>
      <c r="CB705" s="277"/>
      <c r="CC705" s="277"/>
      <c r="CD705" s="277"/>
      <c r="CE705" s="277"/>
    </row>
    <row r="706" spans="7:83" s="20" customFormat="1">
      <c r="G706" s="123"/>
      <c r="H706" s="123"/>
      <c r="I706" s="123"/>
      <c r="J706" s="123"/>
      <c r="K706" s="123"/>
      <c r="X706" s="137"/>
      <c r="Y706" s="137"/>
      <c r="Z706" s="124"/>
      <c r="AA706" s="124"/>
      <c r="AB706" s="124"/>
      <c r="AC706" s="124"/>
      <c r="AD706" s="124"/>
      <c r="AE706" s="124"/>
      <c r="AF706" s="124"/>
      <c r="AG706" s="124"/>
      <c r="AH706" s="124"/>
      <c r="AI706" s="124"/>
      <c r="AJ706" s="124"/>
      <c r="AK706" s="124"/>
      <c r="AL706" s="124"/>
      <c r="AM706" s="124"/>
      <c r="AN706" s="124"/>
      <c r="AO706" s="124"/>
      <c r="AP706" s="124"/>
      <c r="AQ706" s="277"/>
      <c r="AR706" s="277"/>
      <c r="AS706" s="278"/>
      <c r="AT706" s="278"/>
      <c r="AU706" s="278"/>
      <c r="AV706" s="278"/>
      <c r="AW706" s="278"/>
      <c r="AX706" s="295"/>
      <c r="AY706" s="278"/>
      <c r="AZ706" s="278"/>
      <c r="BA706" s="278"/>
      <c r="BB706" s="278"/>
      <c r="BC706" s="278"/>
      <c r="BD706" s="279"/>
      <c r="BE706" s="277"/>
      <c r="BF706" s="277"/>
      <c r="BG706" s="277"/>
      <c r="BH706" s="277"/>
      <c r="BI706" s="277"/>
      <c r="BJ706" s="277"/>
      <c r="BK706" s="277"/>
      <c r="BL706" s="277"/>
      <c r="BM706" s="277"/>
      <c r="BN706" s="277"/>
      <c r="BO706" s="277"/>
      <c r="BP706" s="277"/>
      <c r="BQ706" s="277"/>
      <c r="BR706" s="277"/>
      <c r="BS706" s="277"/>
      <c r="BT706" s="277"/>
      <c r="BU706" s="277"/>
      <c r="BV706" s="277"/>
      <c r="BW706" s="277"/>
      <c r="BX706" s="277"/>
      <c r="BY706" s="277"/>
      <c r="BZ706" s="277"/>
      <c r="CA706" s="277"/>
      <c r="CB706" s="277"/>
      <c r="CC706" s="277"/>
      <c r="CD706" s="277"/>
      <c r="CE706" s="277"/>
    </row>
    <row r="707" spans="7:83" s="20" customFormat="1">
      <c r="G707" s="123"/>
      <c r="H707" s="123"/>
      <c r="I707" s="123"/>
      <c r="J707" s="123"/>
      <c r="K707" s="123"/>
      <c r="X707" s="137"/>
      <c r="Y707" s="137"/>
      <c r="Z707" s="124"/>
      <c r="AA707" s="124"/>
      <c r="AB707" s="124"/>
      <c r="AC707" s="124"/>
      <c r="AD707" s="124"/>
      <c r="AE707" s="124"/>
      <c r="AF707" s="124"/>
      <c r="AG707" s="124"/>
      <c r="AH707" s="124"/>
      <c r="AI707" s="124"/>
      <c r="AJ707" s="124"/>
      <c r="AK707" s="124"/>
      <c r="AL707" s="124"/>
      <c r="AM707" s="124"/>
      <c r="AN707" s="124"/>
      <c r="AO707" s="124"/>
      <c r="AP707" s="124"/>
      <c r="AQ707" s="277"/>
      <c r="AR707" s="277"/>
      <c r="AS707" s="278"/>
      <c r="AT707" s="278"/>
      <c r="AU707" s="278"/>
      <c r="AV707" s="278"/>
      <c r="AW707" s="278"/>
      <c r="AX707" s="295"/>
      <c r="AY707" s="278"/>
      <c r="AZ707" s="278"/>
      <c r="BA707" s="278"/>
      <c r="BB707" s="278"/>
      <c r="BC707" s="278"/>
      <c r="BD707" s="279"/>
      <c r="BE707" s="277"/>
      <c r="BF707" s="277"/>
      <c r="BG707" s="277"/>
      <c r="BH707" s="277"/>
      <c r="BI707" s="277"/>
      <c r="BJ707" s="277"/>
      <c r="BK707" s="277"/>
      <c r="BL707" s="277"/>
      <c r="BM707" s="277"/>
      <c r="BN707" s="277"/>
      <c r="BO707" s="277"/>
      <c r="BP707" s="277"/>
      <c r="BQ707" s="277"/>
      <c r="BR707" s="277"/>
      <c r="BS707" s="277"/>
      <c r="BT707" s="277"/>
      <c r="BU707" s="277"/>
      <c r="BV707" s="277"/>
      <c r="BW707" s="277"/>
      <c r="BX707" s="277"/>
      <c r="BY707" s="277"/>
      <c r="BZ707" s="277"/>
      <c r="CA707" s="277"/>
      <c r="CB707" s="277"/>
      <c r="CC707" s="277"/>
      <c r="CD707" s="277"/>
      <c r="CE707" s="277"/>
    </row>
    <row r="708" spans="7:83" s="20" customFormat="1">
      <c r="G708" s="123"/>
      <c r="H708" s="123"/>
      <c r="I708" s="123"/>
      <c r="J708" s="123"/>
      <c r="K708" s="123"/>
      <c r="X708" s="137"/>
      <c r="Y708" s="137"/>
      <c r="Z708" s="124"/>
      <c r="AA708" s="124"/>
      <c r="AB708" s="124"/>
      <c r="AC708" s="124"/>
      <c r="AD708" s="124"/>
      <c r="AE708" s="124"/>
      <c r="AF708" s="124"/>
      <c r="AG708" s="124"/>
      <c r="AH708" s="124"/>
      <c r="AI708" s="124"/>
      <c r="AJ708" s="124"/>
      <c r="AK708" s="124"/>
      <c r="AL708" s="124"/>
      <c r="AM708" s="124"/>
      <c r="AN708" s="124"/>
      <c r="AO708" s="124"/>
      <c r="AP708" s="124"/>
      <c r="AQ708" s="277"/>
      <c r="AR708" s="277"/>
      <c r="AS708" s="278"/>
      <c r="AT708" s="278"/>
      <c r="AU708" s="278"/>
      <c r="AV708" s="278"/>
      <c r="AW708" s="278"/>
      <c r="AX708" s="295"/>
      <c r="AY708" s="278"/>
      <c r="AZ708" s="278"/>
      <c r="BA708" s="278"/>
      <c r="BB708" s="278"/>
      <c r="BC708" s="278"/>
      <c r="BD708" s="279"/>
      <c r="BE708" s="277"/>
      <c r="BF708" s="277"/>
      <c r="BG708" s="277"/>
      <c r="BH708" s="277"/>
      <c r="BI708" s="277"/>
      <c r="BJ708" s="277"/>
      <c r="BK708" s="277"/>
      <c r="BL708" s="277"/>
      <c r="BM708" s="277"/>
      <c r="BN708" s="277"/>
      <c r="BO708" s="277"/>
      <c r="BP708" s="277"/>
      <c r="BQ708" s="277"/>
      <c r="BR708" s="277"/>
      <c r="BS708" s="277"/>
      <c r="BT708" s="277"/>
      <c r="BU708" s="277"/>
      <c r="BV708" s="277"/>
      <c r="BW708" s="277"/>
      <c r="BX708" s="277"/>
      <c r="BY708" s="277"/>
      <c r="BZ708" s="277"/>
      <c r="CA708" s="277"/>
      <c r="CB708" s="277"/>
      <c r="CC708" s="277"/>
      <c r="CD708" s="277"/>
      <c r="CE708" s="277"/>
    </row>
    <row r="709" spans="7:83" s="20" customFormat="1">
      <c r="G709" s="123"/>
      <c r="H709" s="123"/>
      <c r="I709" s="123"/>
      <c r="J709" s="123"/>
      <c r="K709" s="123"/>
      <c r="X709" s="137"/>
      <c r="Y709" s="137"/>
      <c r="Z709" s="124"/>
      <c r="AA709" s="124"/>
      <c r="AB709" s="124"/>
      <c r="AC709" s="124"/>
      <c r="AD709" s="124"/>
      <c r="AE709" s="124"/>
      <c r="AF709" s="124"/>
      <c r="AG709" s="124"/>
      <c r="AH709" s="124"/>
      <c r="AI709" s="124"/>
      <c r="AJ709" s="124"/>
      <c r="AK709" s="124"/>
      <c r="AL709" s="124"/>
      <c r="AM709" s="124"/>
      <c r="AN709" s="124"/>
      <c r="AO709" s="124"/>
      <c r="AP709" s="124"/>
      <c r="AQ709" s="277"/>
      <c r="AR709" s="277"/>
      <c r="AS709" s="278"/>
      <c r="AT709" s="278"/>
      <c r="AU709" s="278"/>
      <c r="AV709" s="278"/>
      <c r="AW709" s="278"/>
      <c r="AX709" s="295"/>
      <c r="AY709" s="278"/>
      <c r="AZ709" s="278"/>
      <c r="BA709" s="278"/>
      <c r="BB709" s="278"/>
      <c r="BC709" s="278"/>
      <c r="BD709" s="279"/>
      <c r="BE709" s="277"/>
      <c r="BF709" s="277"/>
      <c r="BG709" s="277"/>
      <c r="BH709" s="277"/>
      <c r="BI709" s="277"/>
      <c r="BJ709" s="277"/>
      <c r="BK709" s="277"/>
      <c r="BL709" s="277"/>
      <c r="BM709" s="277"/>
      <c r="BN709" s="277"/>
      <c r="BO709" s="277"/>
      <c r="BP709" s="277"/>
      <c r="BQ709" s="277"/>
      <c r="BR709" s="277"/>
      <c r="BS709" s="277"/>
      <c r="BT709" s="277"/>
      <c r="BU709" s="277"/>
      <c r="BV709" s="277"/>
      <c r="BW709" s="277"/>
      <c r="BX709" s="277"/>
      <c r="BY709" s="277"/>
      <c r="BZ709" s="277"/>
      <c r="CA709" s="277"/>
      <c r="CB709" s="277"/>
      <c r="CC709" s="277"/>
      <c r="CD709" s="277"/>
      <c r="CE709" s="277"/>
    </row>
    <row r="710" spans="7:83" s="20" customFormat="1">
      <c r="G710" s="123"/>
      <c r="H710" s="123"/>
      <c r="I710" s="123"/>
      <c r="J710" s="123"/>
      <c r="K710" s="123"/>
      <c r="X710" s="137"/>
      <c r="Y710" s="137"/>
      <c r="Z710" s="124"/>
      <c r="AA710" s="124"/>
      <c r="AB710" s="124"/>
      <c r="AC710" s="124"/>
      <c r="AD710" s="124"/>
      <c r="AE710" s="124"/>
      <c r="AF710" s="124"/>
      <c r="AG710" s="124"/>
      <c r="AH710" s="124"/>
      <c r="AI710" s="124"/>
      <c r="AJ710" s="124"/>
      <c r="AK710" s="124"/>
      <c r="AL710" s="124"/>
      <c r="AM710" s="124"/>
      <c r="AN710" s="124"/>
      <c r="AO710" s="124"/>
      <c r="AP710" s="124"/>
      <c r="AQ710" s="277"/>
      <c r="AR710" s="277"/>
      <c r="AS710" s="278"/>
      <c r="AT710" s="278"/>
      <c r="AU710" s="278"/>
      <c r="AV710" s="278"/>
      <c r="AW710" s="278"/>
      <c r="AX710" s="295"/>
      <c r="AY710" s="278"/>
      <c r="AZ710" s="278"/>
      <c r="BA710" s="278"/>
      <c r="BB710" s="278"/>
      <c r="BC710" s="278"/>
      <c r="BD710" s="279"/>
      <c r="BE710" s="277"/>
      <c r="BF710" s="277"/>
      <c r="BG710" s="277"/>
      <c r="BH710" s="277"/>
      <c r="BI710" s="277"/>
      <c r="BJ710" s="277"/>
      <c r="BK710" s="277"/>
      <c r="BL710" s="277"/>
      <c r="BM710" s="277"/>
      <c r="BN710" s="277"/>
      <c r="BO710" s="277"/>
      <c r="BP710" s="277"/>
      <c r="BQ710" s="277"/>
      <c r="BR710" s="277"/>
      <c r="BS710" s="277"/>
      <c r="BT710" s="277"/>
      <c r="BU710" s="277"/>
      <c r="BV710" s="277"/>
      <c r="BW710" s="277"/>
      <c r="BX710" s="277"/>
      <c r="BY710" s="277"/>
      <c r="BZ710" s="277"/>
      <c r="CA710" s="277"/>
      <c r="CB710" s="277"/>
      <c r="CC710" s="277"/>
      <c r="CD710" s="277"/>
      <c r="CE710" s="277"/>
    </row>
    <row r="711" spans="7:83" s="20" customFormat="1">
      <c r="G711" s="123"/>
      <c r="H711" s="123"/>
      <c r="I711" s="123"/>
      <c r="J711" s="123"/>
      <c r="K711" s="123"/>
      <c r="X711" s="137"/>
      <c r="Y711" s="137"/>
      <c r="Z711" s="124"/>
      <c r="AA711" s="124"/>
      <c r="AB711" s="124"/>
      <c r="AC711" s="124"/>
      <c r="AD711" s="124"/>
      <c r="AE711" s="124"/>
      <c r="AF711" s="124"/>
      <c r="AG711" s="124"/>
      <c r="AH711" s="124"/>
      <c r="AI711" s="124"/>
      <c r="AJ711" s="124"/>
      <c r="AK711" s="124"/>
      <c r="AL711" s="124"/>
      <c r="AM711" s="124"/>
      <c r="AN711" s="124"/>
      <c r="AO711" s="124"/>
      <c r="AP711" s="124"/>
      <c r="AQ711" s="277"/>
      <c r="AR711" s="277"/>
      <c r="AS711" s="278"/>
      <c r="AT711" s="278"/>
      <c r="AU711" s="278"/>
      <c r="AV711" s="278"/>
      <c r="AW711" s="278"/>
      <c r="AX711" s="295"/>
      <c r="AY711" s="278"/>
      <c r="AZ711" s="278"/>
      <c r="BA711" s="278"/>
      <c r="BB711" s="278"/>
      <c r="BC711" s="278"/>
      <c r="BD711" s="279"/>
      <c r="BE711" s="277"/>
      <c r="BF711" s="277"/>
      <c r="BG711" s="277"/>
      <c r="BH711" s="277"/>
      <c r="BI711" s="277"/>
      <c r="BJ711" s="277"/>
      <c r="BK711" s="277"/>
      <c r="BL711" s="277"/>
      <c r="BM711" s="277"/>
      <c r="BN711" s="277"/>
      <c r="BO711" s="277"/>
      <c r="BP711" s="277"/>
      <c r="BQ711" s="277"/>
      <c r="BR711" s="277"/>
      <c r="BS711" s="277"/>
      <c r="BT711" s="277"/>
      <c r="BU711" s="277"/>
      <c r="BV711" s="277"/>
      <c r="BW711" s="277"/>
      <c r="BX711" s="277"/>
      <c r="BY711" s="277"/>
      <c r="BZ711" s="277"/>
      <c r="CA711" s="277"/>
      <c r="CB711" s="277"/>
      <c r="CC711" s="277"/>
      <c r="CD711" s="277"/>
      <c r="CE711" s="277"/>
    </row>
    <row r="712" spans="7:83" s="20" customFormat="1">
      <c r="G712" s="123"/>
      <c r="H712" s="123"/>
      <c r="I712" s="123"/>
      <c r="J712" s="123"/>
      <c r="K712" s="123"/>
      <c r="X712" s="137"/>
      <c r="Y712" s="137"/>
      <c r="Z712" s="124"/>
      <c r="AA712" s="124"/>
      <c r="AB712" s="124"/>
      <c r="AC712" s="124"/>
      <c r="AD712" s="124"/>
      <c r="AE712" s="124"/>
      <c r="AF712" s="124"/>
      <c r="AG712" s="124"/>
      <c r="AH712" s="124"/>
      <c r="AI712" s="124"/>
      <c r="AJ712" s="124"/>
      <c r="AK712" s="124"/>
      <c r="AL712" s="124"/>
      <c r="AM712" s="124"/>
      <c r="AN712" s="124"/>
      <c r="AO712" s="124"/>
      <c r="AP712" s="124"/>
      <c r="AQ712" s="277"/>
      <c r="AR712" s="277"/>
      <c r="AS712" s="278"/>
      <c r="AT712" s="278"/>
      <c r="AU712" s="278"/>
      <c r="AV712" s="278"/>
      <c r="AW712" s="278"/>
      <c r="AX712" s="295"/>
      <c r="AY712" s="278"/>
      <c r="AZ712" s="278"/>
      <c r="BA712" s="278"/>
      <c r="BB712" s="278"/>
      <c r="BC712" s="278"/>
      <c r="BD712" s="279"/>
      <c r="BE712" s="277"/>
      <c r="BF712" s="277"/>
      <c r="BG712" s="277"/>
      <c r="BH712" s="277"/>
      <c r="BI712" s="277"/>
      <c r="BJ712" s="277"/>
      <c r="BK712" s="277"/>
      <c r="BL712" s="277"/>
      <c r="BM712" s="277"/>
      <c r="BN712" s="277"/>
      <c r="BO712" s="277"/>
      <c r="BP712" s="277"/>
      <c r="BQ712" s="277"/>
      <c r="BR712" s="277"/>
      <c r="BS712" s="277"/>
      <c r="BT712" s="277"/>
      <c r="BU712" s="277"/>
      <c r="BV712" s="277"/>
      <c r="BW712" s="277"/>
      <c r="BX712" s="277"/>
      <c r="BY712" s="277"/>
      <c r="BZ712" s="277"/>
      <c r="CA712" s="277"/>
      <c r="CB712" s="277"/>
      <c r="CC712" s="277"/>
      <c r="CD712" s="277"/>
      <c r="CE712" s="277"/>
    </row>
    <row r="713" spans="7:83" s="20" customFormat="1">
      <c r="G713" s="123"/>
      <c r="H713" s="123"/>
      <c r="I713" s="123"/>
      <c r="J713" s="123"/>
      <c r="K713" s="123"/>
      <c r="X713" s="137"/>
      <c r="Y713" s="137"/>
      <c r="Z713" s="124"/>
      <c r="AA713" s="124"/>
      <c r="AB713" s="124"/>
      <c r="AC713" s="124"/>
      <c r="AD713" s="124"/>
      <c r="AE713" s="124"/>
      <c r="AF713" s="124"/>
      <c r="AG713" s="124"/>
      <c r="AH713" s="124"/>
      <c r="AI713" s="124"/>
      <c r="AJ713" s="124"/>
      <c r="AK713" s="124"/>
      <c r="AL713" s="124"/>
      <c r="AM713" s="124"/>
      <c r="AN713" s="124"/>
      <c r="AO713" s="124"/>
      <c r="AP713" s="124"/>
      <c r="AQ713" s="277"/>
      <c r="AR713" s="277"/>
      <c r="AS713" s="278"/>
      <c r="AT713" s="278"/>
      <c r="AU713" s="278"/>
      <c r="AV713" s="278"/>
      <c r="AW713" s="278"/>
      <c r="AX713" s="295"/>
      <c r="AY713" s="278"/>
      <c r="AZ713" s="278"/>
      <c r="BA713" s="278"/>
      <c r="BB713" s="278"/>
      <c r="BC713" s="278"/>
      <c r="BD713" s="279"/>
      <c r="BE713" s="277"/>
      <c r="BF713" s="277"/>
      <c r="BG713" s="277"/>
      <c r="BH713" s="277"/>
      <c r="BI713" s="277"/>
      <c r="BJ713" s="277"/>
      <c r="BK713" s="277"/>
      <c r="BL713" s="277"/>
      <c r="BM713" s="277"/>
      <c r="BN713" s="277"/>
      <c r="BO713" s="277"/>
      <c r="BP713" s="277"/>
      <c r="BQ713" s="277"/>
      <c r="BR713" s="277"/>
      <c r="BS713" s="277"/>
      <c r="BT713" s="277"/>
      <c r="BU713" s="277"/>
      <c r="BV713" s="277"/>
      <c r="BW713" s="277"/>
      <c r="BX713" s="277"/>
      <c r="BY713" s="277"/>
      <c r="BZ713" s="277"/>
      <c r="CA713" s="277"/>
      <c r="CB713" s="277"/>
      <c r="CC713" s="277"/>
      <c r="CD713" s="277"/>
      <c r="CE713" s="277"/>
    </row>
    <row r="714" spans="7:83" s="20" customFormat="1">
      <c r="G714" s="123"/>
      <c r="H714" s="123"/>
      <c r="I714" s="123"/>
      <c r="J714" s="123"/>
      <c r="K714" s="123"/>
      <c r="X714" s="137"/>
      <c r="Y714" s="137"/>
      <c r="Z714" s="124"/>
      <c r="AA714" s="124"/>
      <c r="AB714" s="124"/>
      <c r="AC714" s="124"/>
      <c r="AD714" s="124"/>
      <c r="AE714" s="124"/>
      <c r="AF714" s="124"/>
      <c r="AG714" s="124"/>
      <c r="AH714" s="124"/>
      <c r="AI714" s="124"/>
      <c r="AJ714" s="124"/>
      <c r="AK714" s="124"/>
      <c r="AL714" s="124"/>
      <c r="AM714" s="124"/>
      <c r="AN714" s="124"/>
      <c r="AO714" s="124"/>
      <c r="AP714" s="124"/>
      <c r="AQ714" s="277"/>
      <c r="AR714" s="277"/>
      <c r="AS714" s="278"/>
      <c r="AT714" s="278"/>
      <c r="AU714" s="278"/>
      <c r="AV714" s="278"/>
      <c r="AW714" s="278"/>
      <c r="AX714" s="295"/>
      <c r="AY714" s="278"/>
      <c r="AZ714" s="278"/>
      <c r="BA714" s="278"/>
      <c r="BB714" s="278"/>
      <c r="BC714" s="278"/>
      <c r="BD714" s="279"/>
      <c r="BE714" s="277"/>
      <c r="BF714" s="277"/>
      <c r="BG714" s="277"/>
      <c r="BH714" s="277"/>
      <c r="BI714" s="277"/>
      <c r="BJ714" s="277"/>
      <c r="BK714" s="277"/>
      <c r="BL714" s="277"/>
      <c r="BM714" s="277"/>
      <c r="BN714" s="277"/>
      <c r="BO714" s="277"/>
      <c r="BP714" s="277"/>
      <c r="BQ714" s="277"/>
      <c r="BR714" s="277"/>
      <c r="BS714" s="277"/>
      <c r="BT714" s="277"/>
      <c r="BU714" s="277"/>
      <c r="BV714" s="277"/>
      <c r="BW714" s="277"/>
      <c r="BX714" s="277"/>
      <c r="BY714" s="277"/>
      <c r="BZ714" s="277"/>
      <c r="CA714" s="277"/>
      <c r="CB714" s="277"/>
      <c r="CC714" s="277"/>
      <c r="CD714" s="277"/>
      <c r="CE714" s="277"/>
    </row>
    <row r="715" spans="7:83" s="20" customFormat="1">
      <c r="G715" s="123"/>
      <c r="H715" s="123"/>
      <c r="I715" s="123"/>
      <c r="J715" s="123"/>
      <c r="K715" s="123"/>
      <c r="X715" s="137"/>
      <c r="Y715" s="137"/>
      <c r="Z715" s="124"/>
      <c r="AA715" s="124"/>
      <c r="AB715" s="124"/>
      <c r="AC715" s="124"/>
      <c r="AD715" s="124"/>
      <c r="AE715" s="124"/>
      <c r="AF715" s="124"/>
      <c r="AG715" s="124"/>
      <c r="AH715" s="124"/>
      <c r="AI715" s="124"/>
      <c r="AJ715" s="124"/>
      <c r="AK715" s="124"/>
      <c r="AL715" s="124"/>
      <c r="AM715" s="124"/>
      <c r="AN715" s="124"/>
      <c r="AO715" s="124"/>
      <c r="AP715" s="124"/>
      <c r="AQ715" s="277"/>
      <c r="AR715" s="277"/>
      <c r="AS715" s="278"/>
      <c r="AT715" s="278"/>
      <c r="AU715" s="278"/>
      <c r="AV715" s="278"/>
      <c r="AW715" s="278"/>
      <c r="AX715" s="295"/>
      <c r="AY715" s="278"/>
      <c r="AZ715" s="278"/>
      <c r="BA715" s="278"/>
      <c r="BB715" s="278"/>
      <c r="BC715" s="278"/>
      <c r="BD715" s="279"/>
      <c r="BE715" s="277"/>
      <c r="BF715" s="277"/>
      <c r="BG715" s="277"/>
      <c r="BH715" s="277"/>
      <c r="BI715" s="277"/>
      <c r="BJ715" s="277"/>
      <c r="BK715" s="277"/>
      <c r="BL715" s="277"/>
      <c r="BM715" s="277"/>
      <c r="BN715" s="277"/>
      <c r="BO715" s="277"/>
      <c r="BP715" s="277"/>
      <c r="BQ715" s="277"/>
      <c r="BR715" s="277"/>
      <c r="BS715" s="277"/>
      <c r="BT715" s="277"/>
      <c r="BU715" s="277"/>
      <c r="BV715" s="277"/>
      <c r="BW715" s="277"/>
      <c r="BX715" s="277"/>
      <c r="BY715" s="277"/>
      <c r="BZ715" s="277"/>
      <c r="CA715" s="277"/>
      <c r="CB715" s="277"/>
      <c r="CC715" s="277"/>
      <c r="CD715" s="277"/>
      <c r="CE715" s="277"/>
    </row>
    <row r="716" spans="7:83" s="20" customFormat="1">
      <c r="G716" s="123"/>
      <c r="H716" s="123"/>
      <c r="I716" s="123"/>
      <c r="J716" s="123"/>
      <c r="K716" s="123"/>
      <c r="X716" s="137"/>
      <c r="Y716" s="137"/>
      <c r="Z716" s="124"/>
      <c r="AA716" s="124"/>
      <c r="AB716" s="124"/>
      <c r="AC716" s="124"/>
      <c r="AD716" s="124"/>
      <c r="AE716" s="124"/>
      <c r="AF716" s="124"/>
      <c r="AG716" s="124"/>
      <c r="AH716" s="124"/>
      <c r="AI716" s="124"/>
      <c r="AJ716" s="124"/>
      <c r="AK716" s="124"/>
      <c r="AL716" s="124"/>
      <c r="AM716" s="124"/>
      <c r="AN716" s="124"/>
      <c r="AO716" s="124"/>
      <c r="AP716" s="124"/>
      <c r="AQ716" s="277"/>
      <c r="AR716" s="277"/>
      <c r="AS716" s="278"/>
      <c r="AT716" s="278"/>
      <c r="AU716" s="278"/>
      <c r="AV716" s="278"/>
      <c r="AW716" s="278"/>
      <c r="AX716" s="295"/>
      <c r="AY716" s="278"/>
      <c r="AZ716" s="278"/>
      <c r="BA716" s="278"/>
      <c r="BB716" s="278"/>
      <c r="BC716" s="278"/>
      <c r="BD716" s="279"/>
      <c r="BE716" s="277"/>
      <c r="BF716" s="277"/>
      <c r="BG716" s="277"/>
      <c r="BH716" s="277"/>
      <c r="BI716" s="277"/>
      <c r="BJ716" s="277"/>
      <c r="BK716" s="277"/>
      <c r="BL716" s="277"/>
      <c r="BM716" s="277"/>
      <c r="BN716" s="277"/>
      <c r="BO716" s="277"/>
      <c r="BP716" s="277"/>
      <c r="BQ716" s="277"/>
      <c r="BR716" s="277"/>
      <c r="BS716" s="277"/>
      <c r="BT716" s="277"/>
      <c r="BU716" s="277"/>
      <c r="BV716" s="277"/>
      <c r="BW716" s="277"/>
      <c r="BX716" s="277"/>
      <c r="BY716" s="277"/>
      <c r="BZ716" s="277"/>
      <c r="CA716" s="277"/>
      <c r="CB716" s="277"/>
      <c r="CC716" s="277"/>
      <c r="CD716" s="277"/>
      <c r="CE716" s="277"/>
    </row>
    <row r="717" spans="7:83" s="20" customFormat="1">
      <c r="G717" s="123"/>
      <c r="H717" s="123"/>
      <c r="I717" s="123"/>
      <c r="J717" s="123"/>
      <c r="K717" s="123"/>
      <c r="X717" s="137"/>
      <c r="Y717" s="137"/>
      <c r="Z717" s="124"/>
      <c r="AA717" s="124"/>
      <c r="AB717" s="124"/>
      <c r="AC717" s="124"/>
      <c r="AD717" s="124"/>
      <c r="AE717" s="124"/>
      <c r="AF717" s="124"/>
      <c r="AG717" s="124"/>
      <c r="AH717" s="124"/>
      <c r="AI717" s="124"/>
      <c r="AJ717" s="124"/>
      <c r="AK717" s="124"/>
      <c r="AL717" s="124"/>
      <c r="AM717" s="124"/>
      <c r="AN717" s="124"/>
      <c r="AO717" s="124"/>
      <c r="AP717" s="124"/>
      <c r="AQ717" s="277"/>
      <c r="AR717" s="277"/>
      <c r="AS717" s="278"/>
      <c r="AT717" s="278"/>
      <c r="AU717" s="278"/>
      <c r="AV717" s="278"/>
      <c r="AW717" s="278"/>
      <c r="AX717" s="295"/>
      <c r="AY717" s="278"/>
      <c r="AZ717" s="278"/>
      <c r="BA717" s="278"/>
      <c r="BB717" s="278"/>
      <c r="BC717" s="278"/>
      <c r="BD717" s="279"/>
      <c r="BE717" s="277"/>
      <c r="BF717" s="277"/>
      <c r="BG717" s="277"/>
      <c r="BH717" s="277"/>
      <c r="BI717" s="277"/>
      <c r="BJ717" s="277"/>
      <c r="BK717" s="277"/>
      <c r="BL717" s="277"/>
      <c r="BM717" s="277"/>
      <c r="BN717" s="277"/>
      <c r="BO717" s="277"/>
      <c r="BP717" s="277"/>
      <c r="BQ717" s="277"/>
      <c r="BR717" s="277"/>
      <c r="BS717" s="277"/>
      <c r="BT717" s="277"/>
      <c r="BU717" s="277"/>
      <c r="BV717" s="277"/>
      <c r="BW717" s="277"/>
      <c r="BX717" s="277"/>
      <c r="BY717" s="277"/>
      <c r="BZ717" s="277"/>
      <c r="CA717" s="277"/>
      <c r="CB717" s="277"/>
      <c r="CC717" s="277"/>
      <c r="CD717" s="277"/>
      <c r="CE717" s="277"/>
    </row>
    <row r="718" spans="7:83" s="20" customFormat="1">
      <c r="G718" s="123"/>
      <c r="H718" s="123"/>
      <c r="I718" s="123"/>
      <c r="J718" s="123"/>
      <c r="K718" s="123"/>
      <c r="X718" s="137"/>
      <c r="Y718" s="137"/>
      <c r="Z718" s="124"/>
      <c r="AA718" s="124"/>
      <c r="AB718" s="124"/>
      <c r="AC718" s="124"/>
      <c r="AD718" s="124"/>
      <c r="AE718" s="124"/>
      <c r="AF718" s="124"/>
      <c r="AG718" s="124"/>
      <c r="AH718" s="124"/>
      <c r="AI718" s="124"/>
      <c r="AJ718" s="124"/>
      <c r="AK718" s="124"/>
      <c r="AL718" s="124"/>
      <c r="AM718" s="124"/>
      <c r="AN718" s="124"/>
      <c r="AO718" s="124"/>
      <c r="AP718" s="124"/>
      <c r="AQ718" s="277"/>
      <c r="AR718" s="277"/>
      <c r="AS718" s="278"/>
      <c r="AT718" s="278"/>
      <c r="AU718" s="278"/>
      <c r="AV718" s="278"/>
      <c r="AW718" s="278"/>
      <c r="AX718" s="295"/>
      <c r="AY718" s="278"/>
      <c r="AZ718" s="278"/>
      <c r="BA718" s="278"/>
      <c r="BB718" s="278"/>
      <c r="BC718" s="278"/>
      <c r="BD718" s="279"/>
      <c r="BE718" s="277"/>
      <c r="BF718" s="277"/>
      <c r="BG718" s="277"/>
      <c r="BH718" s="277"/>
      <c r="BI718" s="277"/>
      <c r="BJ718" s="277"/>
      <c r="BK718" s="277"/>
      <c r="BL718" s="277"/>
      <c r="BM718" s="277"/>
      <c r="BN718" s="277"/>
      <c r="BO718" s="277"/>
      <c r="BP718" s="277"/>
      <c r="BQ718" s="277"/>
      <c r="BR718" s="277"/>
      <c r="BS718" s="277"/>
      <c r="BT718" s="277"/>
      <c r="BU718" s="277"/>
      <c r="BV718" s="277"/>
      <c r="BW718" s="277"/>
      <c r="BX718" s="277"/>
      <c r="BY718" s="277"/>
      <c r="BZ718" s="277"/>
      <c r="CA718" s="277"/>
      <c r="CB718" s="277"/>
      <c r="CC718" s="277"/>
      <c r="CD718" s="277"/>
      <c r="CE718" s="277"/>
    </row>
    <row r="719" spans="7:83" s="20" customFormat="1">
      <c r="G719" s="123"/>
      <c r="H719" s="123"/>
      <c r="I719" s="123"/>
      <c r="J719" s="123"/>
      <c r="K719" s="123"/>
      <c r="X719" s="137"/>
      <c r="Y719" s="137"/>
      <c r="Z719" s="124"/>
      <c r="AA719" s="124"/>
      <c r="AB719" s="124"/>
      <c r="AC719" s="124"/>
      <c r="AD719" s="124"/>
      <c r="AE719" s="124"/>
      <c r="AF719" s="124"/>
      <c r="AG719" s="124"/>
      <c r="AH719" s="124"/>
      <c r="AI719" s="124"/>
      <c r="AJ719" s="124"/>
      <c r="AK719" s="124"/>
      <c r="AL719" s="124"/>
      <c r="AM719" s="124"/>
      <c r="AN719" s="124"/>
      <c r="AO719" s="124"/>
      <c r="AP719" s="124"/>
      <c r="AQ719" s="277"/>
      <c r="AR719" s="277"/>
      <c r="AS719" s="278"/>
      <c r="AT719" s="278"/>
      <c r="AU719" s="278"/>
      <c r="AV719" s="278"/>
      <c r="AW719" s="278"/>
      <c r="AX719" s="295"/>
      <c r="AY719" s="278"/>
      <c r="AZ719" s="278"/>
      <c r="BA719" s="278"/>
      <c r="BB719" s="278"/>
      <c r="BC719" s="278"/>
      <c r="BD719" s="279"/>
      <c r="BE719" s="277"/>
      <c r="BF719" s="277"/>
      <c r="BG719" s="277"/>
      <c r="BH719" s="277"/>
      <c r="BI719" s="277"/>
      <c r="BJ719" s="277"/>
      <c r="BK719" s="277"/>
      <c r="BL719" s="277"/>
      <c r="BM719" s="277"/>
      <c r="BN719" s="277"/>
      <c r="BO719" s="277"/>
      <c r="BP719" s="277"/>
      <c r="BQ719" s="277"/>
      <c r="BR719" s="277"/>
      <c r="BS719" s="277"/>
      <c r="BT719" s="277"/>
      <c r="BU719" s="277"/>
      <c r="BV719" s="277"/>
      <c r="BW719" s="277"/>
      <c r="BX719" s="277"/>
      <c r="BY719" s="277"/>
      <c r="BZ719" s="277"/>
      <c r="CA719" s="277"/>
      <c r="CB719" s="277"/>
      <c r="CC719" s="277"/>
      <c r="CD719" s="277"/>
      <c r="CE719" s="277"/>
    </row>
    <row r="720" spans="7:83" s="20" customFormat="1">
      <c r="G720" s="123"/>
      <c r="H720" s="123"/>
      <c r="I720" s="123"/>
      <c r="J720" s="123"/>
      <c r="K720" s="123"/>
      <c r="X720" s="137"/>
      <c r="Y720" s="137"/>
      <c r="Z720" s="124"/>
      <c r="AA720" s="124"/>
      <c r="AB720" s="124"/>
      <c r="AC720" s="124"/>
      <c r="AD720" s="124"/>
      <c r="AE720" s="124"/>
      <c r="AF720" s="124"/>
      <c r="AG720" s="124"/>
      <c r="AH720" s="124"/>
      <c r="AI720" s="124"/>
      <c r="AJ720" s="124"/>
      <c r="AK720" s="124"/>
      <c r="AL720" s="124"/>
      <c r="AM720" s="124"/>
      <c r="AN720" s="124"/>
      <c r="AO720" s="124"/>
      <c r="AP720" s="124"/>
      <c r="AQ720" s="277"/>
      <c r="AR720" s="277"/>
      <c r="AS720" s="278"/>
      <c r="AT720" s="278"/>
      <c r="AU720" s="278"/>
      <c r="AV720" s="278"/>
      <c r="AW720" s="278"/>
      <c r="AX720" s="295"/>
      <c r="AY720" s="278"/>
      <c r="AZ720" s="278"/>
      <c r="BA720" s="278"/>
      <c r="BB720" s="278"/>
      <c r="BC720" s="278"/>
      <c r="BD720" s="279"/>
      <c r="BE720" s="277"/>
      <c r="BF720" s="277"/>
      <c r="BG720" s="277"/>
      <c r="BH720" s="277"/>
      <c r="BI720" s="277"/>
      <c r="BJ720" s="277"/>
      <c r="BK720" s="277"/>
      <c r="BL720" s="277"/>
      <c r="BM720" s="277"/>
      <c r="BN720" s="277"/>
      <c r="BO720" s="277"/>
      <c r="BP720" s="277"/>
      <c r="BQ720" s="277"/>
      <c r="BR720" s="277"/>
      <c r="BS720" s="277"/>
      <c r="BT720" s="277"/>
      <c r="BU720" s="277"/>
      <c r="BV720" s="277"/>
      <c r="BW720" s="277"/>
      <c r="BX720" s="277"/>
      <c r="BY720" s="277"/>
      <c r="BZ720" s="277"/>
      <c r="CA720" s="277"/>
      <c r="CB720" s="277"/>
      <c r="CC720" s="277"/>
      <c r="CD720" s="277"/>
      <c r="CE720" s="277"/>
    </row>
    <row r="721" spans="7:83" s="20" customFormat="1">
      <c r="G721" s="123"/>
      <c r="H721" s="123"/>
      <c r="I721" s="123"/>
      <c r="J721" s="123"/>
      <c r="K721" s="123"/>
      <c r="X721" s="137"/>
      <c r="Y721" s="137"/>
      <c r="Z721" s="124"/>
      <c r="AA721" s="124"/>
      <c r="AB721" s="124"/>
      <c r="AC721" s="124"/>
      <c r="AD721" s="124"/>
      <c r="AE721" s="124"/>
      <c r="AF721" s="124"/>
      <c r="AG721" s="124"/>
      <c r="AH721" s="124"/>
      <c r="AI721" s="124"/>
      <c r="AJ721" s="124"/>
      <c r="AK721" s="124"/>
      <c r="AL721" s="124"/>
      <c r="AM721" s="124"/>
      <c r="AN721" s="124"/>
      <c r="AO721" s="124"/>
      <c r="AP721" s="124"/>
      <c r="AQ721" s="277"/>
      <c r="AR721" s="277"/>
      <c r="AS721" s="278"/>
      <c r="AT721" s="278"/>
      <c r="AU721" s="278"/>
      <c r="AV721" s="278"/>
      <c r="AW721" s="278"/>
      <c r="AX721" s="295"/>
      <c r="AY721" s="278"/>
      <c r="AZ721" s="278"/>
      <c r="BA721" s="278"/>
      <c r="BB721" s="278"/>
      <c r="BC721" s="278"/>
      <c r="BD721" s="279"/>
      <c r="BE721" s="277"/>
      <c r="BF721" s="277"/>
      <c r="BG721" s="277"/>
      <c r="BH721" s="277"/>
      <c r="BI721" s="277"/>
      <c r="BJ721" s="277"/>
      <c r="BK721" s="277"/>
      <c r="BL721" s="277"/>
      <c r="BM721" s="277"/>
      <c r="BN721" s="277"/>
      <c r="BO721" s="277"/>
      <c r="BP721" s="277"/>
      <c r="BQ721" s="277"/>
      <c r="BR721" s="277"/>
      <c r="BS721" s="277"/>
      <c r="BT721" s="277"/>
      <c r="BU721" s="277"/>
      <c r="BV721" s="277"/>
      <c r="BW721" s="277"/>
      <c r="BX721" s="277"/>
      <c r="BY721" s="277"/>
      <c r="BZ721" s="277"/>
      <c r="CA721" s="277"/>
      <c r="CB721" s="277"/>
      <c r="CC721" s="277"/>
      <c r="CD721" s="277"/>
      <c r="CE721" s="277"/>
    </row>
    <row r="722" spans="7:83" s="20" customFormat="1">
      <c r="G722" s="123"/>
      <c r="H722" s="123"/>
      <c r="I722" s="123"/>
      <c r="J722" s="123"/>
      <c r="K722" s="123"/>
      <c r="X722" s="137"/>
      <c r="Y722" s="137"/>
      <c r="Z722" s="124"/>
      <c r="AA722" s="124"/>
      <c r="AB722" s="124"/>
      <c r="AC722" s="124"/>
      <c r="AD722" s="124"/>
      <c r="AE722" s="124"/>
      <c r="AF722" s="124"/>
      <c r="AG722" s="124"/>
      <c r="AH722" s="124"/>
      <c r="AI722" s="124"/>
      <c r="AJ722" s="124"/>
      <c r="AK722" s="124"/>
      <c r="AL722" s="124"/>
      <c r="AM722" s="124"/>
      <c r="AN722" s="124"/>
      <c r="AO722" s="124"/>
      <c r="AP722" s="124"/>
      <c r="AQ722" s="277"/>
      <c r="AR722" s="277"/>
      <c r="AS722" s="278"/>
      <c r="AT722" s="278"/>
      <c r="AU722" s="278"/>
      <c r="AV722" s="278"/>
      <c r="AW722" s="278"/>
      <c r="AX722" s="295"/>
      <c r="AY722" s="278"/>
      <c r="AZ722" s="278"/>
      <c r="BA722" s="278"/>
      <c r="BB722" s="278"/>
      <c r="BC722" s="278"/>
      <c r="BD722" s="279"/>
      <c r="BE722" s="277"/>
      <c r="BF722" s="277"/>
      <c r="BG722" s="277"/>
      <c r="BH722" s="277"/>
      <c r="BI722" s="277"/>
      <c r="BJ722" s="277"/>
      <c r="BK722" s="277"/>
      <c r="BL722" s="277"/>
      <c r="BM722" s="277"/>
      <c r="BN722" s="277"/>
      <c r="BO722" s="277"/>
      <c r="BP722" s="277"/>
      <c r="BQ722" s="277"/>
      <c r="BR722" s="277"/>
      <c r="BS722" s="277"/>
      <c r="BT722" s="277"/>
      <c r="BU722" s="277"/>
      <c r="BV722" s="277"/>
      <c r="BW722" s="277"/>
      <c r="BX722" s="277"/>
      <c r="BY722" s="277"/>
      <c r="BZ722" s="277"/>
      <c r="CA722" s="277"/>
      <c r="CB722" s="277"/>
      <c r="CC722" s="277"/>
      <c r="CD722" s="277"/>
      <c r="CE722" s="277"/>
    </row>
    <row r="723" spans="7:83" s="20" customFormat="1">
      <c r="G723" s="123"/>
      <c r="H723" s="123"/>
      <c r="I723" s="123"/>
      <c r="J723" s="123"/>
      <c r="K723" s="123"/>
      <c r="X723" s="137"/>
      <c r="Y723" s="137"/>
      <c r="Z723" s="124"/>
      <c r="AA723" s="124"/>
      <c r="AB723" s="124"/>
      <c r="AC723" s="124"/>
      <c r="AD723" s="124"/>
      <c r="AE723" s="124"/>
      <c r="AF723" s="124"/>
      <c r="AG723" s="124"/>
      <c r="AH723" s="124"/>
      <c r="AI723" s="124"/>
      <c r="AJ723" s="124"/>
      <c r="AK723" s="124"/>
      <c r="AL723" s="124"/>
      <c r="AM723" s="124"/>
      <c r="AN723" s="124"/>
      <c r="AO723" s="124"/>
      <c r="AP723" s="124"/>
      <c r="AQ723" s="277"/>
      <c r="AR723" s="277"/>
      <c r="AS723" s="278"/>
      <c r="AT723" s="278"/>
      <c r="AU723" s="278"/>
      <c r="AV723" s="278"/>
      <c r="AW723" s="278"/>
      <c r="AX723" s="295"/>
      <c r="AY723" s="278"/>
      <c r="AZ723" s="278"/>
      <c r="BA723" s="278"/>
      <c r="BB723" s="278"/>
      <c r="BC723" s="278"/>
      <c r="BD723" s="279"/>
      <c r="BE723" s="277"/>
      <c r="BF723" s="277"/>
      <c r="BG723" s="277"/>
      <c r="BH723" s="277"/>
      <c r="BI723" s="277"/>
      <c r="BJ723" s="277"/>
      <c r="BK723" s="277"/>
      <c r="BL723" s="277"/>
      <c r="BM723" s="277"/>
      <c r="BN723" s="277"/>
      <c r="BO723" s="277"/>
      <c r="BP723" s="277"/>
      <c r="BQ723" s="277"/>
      <c r="BR723" s="277"/>
      <c r="BS723" s="277"/>
      <c r="BT723" s="277"/>
      <c r="BU723" s="277"/>
      <c r="BV723" s="277"/>
      <c r="BW723" s="277"/>
      <c r="BX723" s="277"/>
      <c r="BY723" s="277"/>
      <c r="BZ723" s="277"/>
      <c r="CA723" s="277"/>
      <c r="CB723" s="277"/>
      <c r="CC723" s="277"/>
      <c r="CD723" s="277"/>
      <c r="CE723" s="277"/>
    </row>
    <row r="724" spans="7:83" s="20" customFormat="1">
      <c r="G724" s="123"/>
      <c r="H724" s="123"/>
      <c r="I724" s="123"/>
      <c r="J724" s="123"/>
      <c r="K724" s="123"/>
      <c r="X724" s="137"/>
      <c r="Y724" s="137"/>
      <c r="Z724" s="124"/>
      <c r="AA724" s="124"/>
      <c r="AB724" s="124"/>
      <c r="AC724" s="124"/>
      <c r="AD724" s="124"/>
      <c r="AE724" s="124"/>
      <c r="AF724" s="124"/>
      <c r="AG724" s="124"/>
      <c r="AH724" s="124"/>
      <c r="AI724" s="124"/>
      <c r="AJ724" s="124"/>
      <c r="AK724" s="124"/>
      <c r="AL724" s="124"/>
      <c r="AM724" s="124"/>
      <c r="AN724" s="124"/>
      <c r="AO724" s="124"/>
      <c r="AP724" s="124"/>
      <c r="AQ724" s="277"/>
      <c r="AR724" s="277"/>
      <c r="AS724" s="278"/>
      <c r="AT724" s="278"/>
      <c r="AU724" s="278"/>
      <c r="AV724" s="278"/>
      <c r="AW724" s="278"/>
      <c r="AX724" s="295"/>
      <c r="AY724" s="278"/>
      <c r="AZ724" s="278"/>
      <c r="BA724" s="278"/>
      <c r="BB724" s="278"/>
      <c r="BC724" s="278"/>
      <c r="BD724" s="279"/>
      <c r="BE724" s="277"/>
      <c r="BF724" s="277"/>
      <c r="BG724" s="277"/>
      <c r="BH724" s="277"/>
      <c r="BI724" s="277"/>
      <c r="BJ724" s="277"/>
      <c r="BK724" s="277"/>
      <c r="BL724" s="277"/>
      <c r="BM724" s="277"/>
      <c r="BN724" s="277"/>
      <c r="BO724" s="277"/>
      <c r="BP724" s="277"/>
      <c r="BQ724" s="277"/>
      <c r="BR724" s="277"/>
      <c r="BS724" s="277"/>
      <c r="BT724" s="277"/>
      <c r="BU724" s="277"/>
      <c r="BV724" s="277"/>
      <c r="BW724" s="277"/>
      <c r="BX724" s="277"/>
      <c r="BY724" s="277"/>
      <c r="BZ724" s="277"/>
      <c r="CA724" s="277"/>
      <c r="CB724" s="277"/>
      <c r="CC724" s="277"/>
      <c r="CD724" s="277"/>
      <c r="CE724" s="277"/>
    </row>
    <row r="725" spans="7:83" s="20" customFormat="1">
      <c r="G725" s="123"/>
      <c r="H725" s="123"/>
      <c r="I725" s="123"/>
      <c r="J725" s="123"/>
      <c r="K725" s="123"/>
      <c r="X725" s="137"/>
      <c r="Y725" s="137"/>
      <c r="Z725" s="124"/>
      <c r="AA725" s="124"/>
      <c r="AB725" s="124"/>
      <c r="AC725" s="124"/>
      <c r="AD725" s="124"/>
      <c r="AE725" s="124"/>
      <c r="AF725" s="124"/>
      <c r="AG725" s="124"/>
      <c r="AH725" s="124"/>
      <c r="AI725" s="124"/>
      <c r="AJ725" s="124"/>
      <c r="AK725" s="124"/>
      <c r="AL725" s="124"/>
      <c r="AM725" s="124"/>
      <c r="AN725" s="124"/>
      <c r="AO725" s="124"/>
      <c r="AP725" s="124"/>
      <c r="AQ725" s="277"/>
      <c r="AR725" s="277"/>
      <c r="AS725" s="278"/>
      <c r="AT725" s="278"/>
      <c r="AU725" s="278"/>
      <c r="AV725" s="278"/>
      <c r="AW725" s="278"/>
      <c r="AX725" s="295"/>
      <c r="AY725" s="278"/>
      <c r="AZ725" s="278"/>
      <c r="BA725" s="278"/>
      <c r="BB725" s="278"/>
      <c r="BC725" s="278"/>
      <c r="BD725" s="279"/>
      <c r="BE725" s="277"/>
      <c r="BF725" s="277"/>
      <c r="BG725" s="277"/>
      <c r="BH725" s="277"/>
      <c r="BI725" s="277"/>
      <c r="BJ725" s="277"/>
      <c r="BK725" s="277"/>
      <c r="BL725" s="277"/>
      <c r="BM725" s="277"/>
      <c r="BN725" s="277"/>
      <c r="BO725" s="277"/>
      <c r="BP725" s="277"/>
      <c r="BQ725" s="277"/>
      <c r="BR725" s="277"/>
      <c r="BS725" s="277"/>
      <c r="BT725" s="277"/>
      <c r="BU725" s="277"/>
      <c r="BV725" s="277"/>
      <c r="BW725" s="277"/>
      <c r="BX725" s="277"/>
      <c r="BY725" s="277"/>
      <c r="BZ725" s="277"/>
      <c r="CA725" s="277"/>
      <c r="CB725" s="277"/>
      <c r="CC725" s="277"/>
      <c r="CD725" s="277"/>
      <c r="CE725" s="277"/>
    </row>
    <row r="726" spans="7:83" s="20" customFormat="1">
      <c r="G726" s="123"/>
      <c r="H726" s="123"/>
      <c r="I726" s="123"/>
      <c r="J726" s="123"/>
      <c r="K726" s="123"/>
      <c r="X726" s="137"/>
      <c r="Y726" s="137"/>
      <c r="Z726" s="124"/>
      <c r="AA726" s="124"/>
      <c r="AB726" s="124"/>
      <c r="AC726" s="124"/>
      <c r="AD726" s="124"/>
      <c r="AE726" s="124"/>
      <c r="AF726" s="124"/>
      <c r="AG726" s="124"/>
      <c r="AH726" s="124"/>
      <c r="AI726" s="124"/>
      <c r="AJ726" s="124"/>
      <c r="AK726" s="124"/>
      <c r="AL726" s="124"/>
      <c r="AM726" s="124"/>
      <c r="AN726" s="124"/>
      <c r="AO726" s="124"/>
      <c r="AP726" s="124"/>
      <c r="AQ726" s="277"/>
      <c r="AR726" s="277"/>
      <c r="AS726" s="278"/>
      <c r="AT726" s="278"/>
      <c r="AU726" s="278"/>
      <c r="AV726" s="278"/>
      <c r="AW726" s="278"/>
      <c r="AX726" s="295"/>
      <c r="AY726" s="278"/>
      <c r="AZ726" s="278"/>
      <c r="BA726" s="278"/>
      <c r="BB726" s="278"/>
      <c r="BC726" s="278"/>
      <c r="BD726" s="279"/>
      <c r="BE726" s="277"/>
      <c r="BF726" s="277"/>
      <c r="BG726" s="277"/>
      <c r="BH726" s="277"/>
      <c r="BI726" s="277"/>
      <c r="BJ726" s="277"/>
      <c r="BK726" s="277"/>
      <c r="BL726" s="277"/>
      <c r="BM726" s="277"/>
      <c r="BN726" s="277"/>
      <c r="BO726" s="277"/>
      <c r="BP726" s="277"/>
      <c r="BQ726" s="277"/>
      <c r="BR726" s="277"/>
      <c r="BS726" s="277"/>
      <c r="BT726" s="277"/>
      <c r="BU726" s="277"/>
      <c r="BV726" s="277"/>
      <c r="BW726" s="277"/>
      <c r="BX726" s="277"/>
      <c r="BY726" s="277"/>
      <c r="BZ726" s="277"/>
      <c r="CA726" s="277"/>
      <c r="CB726" s="277"/>
      <c r="CC726" s="277"/>
      <c r="CD726" s="277"/>
      <c r="CE726" s="277"/>
    </row>
    <row r="727" spans="7:83" s="20" customFormat="1">
      <c r="G727" s="123"/>
      <c r="H727" s="123"/>
      <c r="I727" s="123"/>
      <c r="J727" s="123"/>
      <c r="K727" s="123"/>
      <c r="X727" s="137"/>
      <c r="Y727" s="137"/>
      <c r="Z727" s="124"/>
      <c r="AA727" s="124"/>
      <c r="AB727" s="124"/>
      <c r="AC727" s="124"/>
      <c r="AD727" s="124"/>
      <c r="AE727" s="124"/>
      <c r="AF727" s="124"/>
      <c r="AG727" s="124"/>
      <c r="AH727" s="124"/>
      <c r="AI727" s="124"/>
      <c r="AJ727" s="124"/>
      <c r="AK727" s="124"/>
      <c r="AL727" s="124"/>
      <c r="AM727" s="124"/>
      <c r="AN727" s="124"/>
      <c r="AO727" s="124"/>
      <c r="AP727" s="124"/>
      <c r="AQ727" s="277"/>
      <c r="AR727" s="277"/>
      <c r="AS727" s="278"/>
      <c r="AT727" s="278"/>
      <c r="AU727" s="278"/>
      <c r="AV727" s="278"/>
      <c r="AW727" s="278"/>
      <c r="AX727" s="295"/>
      <c r="AY727" s="278"/>
      <c r="AZ727" s="278"/>
      <c r="BA727" s="278"/>
      <c r="BB727" s="278"/>
      <c r="BC727" s="278"/>
      <c r="BD727" s="279"/>
      <c r="BE727" s="277"/>
      <c r="BF727" s="277"/>
      <c r="BG727" s="277"/>
      <c r="BH727" s="277"/>
      <c r="BI727" s="277"/>
      <c r="BJ727" s="277"/>
      <c r="BK727" s="277"/>
      <c r="BL727" s="277"/>
      <c r="BM727" s="277"/>
      <c r="BN727" s="277"/>
      <c r="BO727" s="277"/>
      <c r="BP727" s="277"/>
      <c r="BQ727" s="277"/>
      <c r="BR727" s="277"/>
      <c r="BS727" s="277"/>
      <c r="BT727" s="277"/>
      <c r="BU727" s="277"/>
      <c r="BV727" s="277"/>
      <c r="BW727" s="277"/>
      <c r="BX727" s="277"/>
      <c r="BY727" s="277"/>
      <c r="BZ727" s="277"/>
      <c r="CA727" s="277"/>
      <c r="CB727" s="277"/>
      <c r="CC727" s="277"/>
      <c r="CD727" s="277"/>
      <c r="CE727" s="277"/>
    </row>
    <row r="728" spans="7:83" s="20" customFormat="1">
      <c r="G728" s="123"/>
      <c r="H728" s="123"/>
      <c r="I728" s="123"/>
      <c r="J728" s="123"/>
      <c r="K728" s="123"/>
      <c r="X728" s="137"/>
      <c r="Y728" s="137"/>
      <c r="Z728" s="124"/>
      <c r="AA728" s="124"/>
      <c r="AB728" s="124"/>
      <c r="AC728" s="124"/>
      <c r="AD728" s="124"/>
      <c r="AE728" s="124"/>
      <c r="AF728" s="124"/>
      <c r="AG728" s="124"/>
      <c r="AH728" s="124"/>
      <c r="AI728" s="124"/>
      <c r="AJ728" s="124"/>
      <c r="AK728" s="124"/>
      <c r="AL728" s="124"/>
      <c r="AM728" s="124"/>
      <c r="AN728" s="124"/>
      <c r="AO728" s="124"/>
      <c r="AP728" s="124"/>
      <c r="AQ728" s="277"/>
      <c r="AR728" s="277"/>
      <c r="AS728" s="278"/>
      <c r="AT728" s="278"/>
      <c r="AU728" s="278"/>
      <c r="AV728" s="278"/>
      <c r="AW728" s="278"/>
      <c r="AX728" s="295"/>
      <c r="AY728" s="278"/>
      <c r="AZ728" s="278"/>
      <c r="BA728" s="278"/>
      <c r="BB728" s="278"/>
      <c r="BC728" s="278"/>
      <c r="BD728" s="279"/>
      <c r="BE728" s="277"/>
      <c r="BF728" s="277"/>
      <c r="BG728" s="277"/>
      <c r="BH728" s="277"/>
      <c r="BI728" s="277"/>
      <c r="BJ728" s="277"/>
      <c r="BK728" s="277"/>
      <c r="BL728" s="277"/>
      <c r="BM728" s="277"/>
      <c r="BN728" s="277"/>
      <c r="BO728" s="277"/>
      <c r="BP728" s="277"/>
      <c r="BQ728" s="277"/>
      <c r="BR728" s="277"/>
      <c r="BS728" s="277"/>
      <c r="BT728" s="277"/>
      <c r="BU728" s="277"/>
      <c r="BV728" s="277"/>
      <c r="BW728" s="277"/>
      <c r="BX728" s="277"/>
      <c r="BY728" s="277"/>
      <c r="BZ728" s="277"/>
      <c r="CA728" s="277"/>
      <c r="CB728" s="277"/>
      <c r="CC728" s="277"/>
      <c r="CD728" s="277"/>
      <c r="CE728" s="277"/>
    </row>
    <row r="729" spans="7:83" s="20" customFormat="1">
      <c r="G729" s="123"/>
      <c r="H729" s="123"/>
      <c r="I729" s="123"/>
      <c r="J729" s="123"/>
      <c r="K729" s="123"/>
      <c r="X729" s="137"/>
      <c r="Y729" s="137"/>
      <c r="Z729" s="124"/>
      <c r="AA729" s="124"/>
      <c r="AB729" s="124"/>
      <c r="AC729" s="124"/>
      <c r="AD729" s="124"/>
      <c r="AE729" s="124"/>
      <c r="AF729" s="124"/>
      <c r="AG729" s="124"/>
      <c r="AH729" s="124"/>
      <c r="AI729" s="124"/>
      <c r="AJ729" s="124"/>
      <c r="AK729" s="124"/>
      <c r="AL729" s="124"/>
      <c r="AM729" s="124"/>
      <c r="AN729" s="124"/>
      <c r="AO729" s="124"/>
      <c r="AP729" s="124"/>
      <c r="AQ729" s="277"/>
      <c r="AR729" s="277"/>
      <c r="AS729" s="278"/>
      <c r="AT729" s="278"/>
      <c r="AU729" s="278"/>
      <c r="AV729" s="278"/>
      <c r="AW729" s="278"/>
      <c r="AX729" s="295"/>
      <c r="AY729" s="278"/>
      <c r="AZ729" s="278"/>
      <c r="BA729" s="278"/>
      <c r="BB729" s="278"/>
      <c r="BC729" s="278"/>
      <c r="BD729" s="279"/>
      <c r="BE729" s="277"/>
      <c r="BF729" s="277"/>
      <c r="BG729" s="277"/>
      <c r="BH729" s="277"/>
      <c r="BI729" s="277"/>
      <c r="BJ729" s="277"/>
      <c r="BK729" s="277"/>
      <c r="BL729" s="277"/>
      <c r="BM729" s="277"/>
      <c r="BN729" s="277"/>
      <c r="BO729" s="277"/>
      <c r="BP729" s="277"/>
      <c r="BQ729" s="277"/>
      <c r="BR729" s="277"/>
      <c r="BS729" s="277"/>
      <c r="BT729" s="277"/>
      <c r="BU729" s="277"/>
      <c r="BV729" s="277"/>
      <c r="BW729" s="277"/>
      <c r="BX729" s="277"/>
      <c r="BY729" s="277"/>
      <c r="BZ729" s="277"/>
      <c r="CA729" s="277"/>
      <c r="CB729" s="277"/>
      <c r="CC729" s="277"/>
      <c r="CD729" s="277"/>
      <c r="CE729" s="277"/>
    </row>
    <row r="730" spans="7:83" s="20" customFormat="1">
      <c r="G730" s="123"/>
      <c r="H730" s="123"/>
      <c r="I730" s="123"/>
      <c r="J730" s="123"/>
      <c r="K730" s="123"/>
      <c r="X730" s="137"/>
      <c r="Y730" s="137"/>
      <c r="Z730" s="124"/>
      <c r="AA730" s="124"/>
      <c r="AB730" s="124"/>
      <c r="AC730" s="124"/>
      <c r="AD730" s="124"/>
      <c r="AE730" s="124"/>
      <c r="AF730" s="124"/>
      <c r="AG730" s="124"/>
      <c r="AH730" s="124"/>
      <c r="AI730" s="124"/>
      <c r="AJ730" s="124"/>
      <c r="AK730" s="124"/>
      <c r="AL730" s="124"/>
      <c r="AM730" s="124"/>
      <c r="AN730" s="124"/>
      <c r="AO730" s="124"/>
      <c r="AP730" s="124"/>
      <c r="AQ730" s="277"/>
      <c r="AR730" s="277"/>
      <c r="AS730" s="278"/>
      <c r="AT730" s="278"/>
      <c r="AU730" s="278"/>
      <c r="AV730" s="278"/>
      <c r="AW730" s="278"/>
      <c r="AX730" s="295"/>
      <c r="AY730" s="278"/>
      <c r="AZ730" s="278"/>
      <c r="BA730" s="278"/>
      <c r="BB730" s="278"/>
      <c r="BC730" s="278"/>
      <c r="BD730" s="279"/>
      <c r="BE730" s="277"/>
      <c r="BF730" s="277"/>
      <c r="BG730" s="277"/>
      <c r="BH730" s="277"/>
      <c r="BI730" s="277"/>
      <c r="BJ730" s="277"/>
      <c r="BK730" s="277"/>
      <c r="BL730" s="277"/>
      <c r="BM730" s="277"/>
      <c r="BN730" s="277"/>
      <c r="BO730" s="277"/>
      <c r="BP730" s="277"/>
      <c r="BQ730" s="277"/>
      <c r="BR730" s="277"/>
      <c r="BS730" s="277"/>
      <c r="BT730" s="277"/>
      <c r="BU730" s="277"/>
      <c r="BV730" s="277"/>
      <c r="BW730" s="277"/>
      <c r="BX730" s="277"/>
      <c r="BY730" s="277"/>
      <c r="BZ730" s="277"/>
      <c r="CA730" s="277"/>
      <c r="CB730" s="277"/>
      <c r="CC730" s="277"/>
      <c r="CD730" s="277"/>
      <c r="CE730" s="277"/>
    </row>
    <row r="731" spans="7:83" s="20" customFormat="1">
      <c r="G731" s="123"/>
      <c r="H731" s="123"/>
      <c r="I731" s="123"/>
      <c r="J731" s="123"/>
      <c r="K731" s="123"/>
      <c r="X731" s="137"/>
      <c r="Y731" s="137"/>
      <c r="Z731" s="124"/>
      <c r="AA731" s="124"/>
      <c r="AB731" s="124"/>
      <c r="AC731" s="124"/>
      <c r="AD731" s="124"/>
      <c r="AE731" s="124"/>
      <c r="AF731" s="124"/>
      <c r="AG731" s="124"/>
      <c r="AH731" s="124"/>
      <c r="AI731" s="124"/>
      <c r="AJ731" s="124"/>
      <c r="AK731" s="124"/>
      <c r="AL731" s="124"/>
      <c r="AM731" s="124"/>
      <c r="AN731" s="124"/>
      <c r="AO731" s="124"/>
      <c r="AP731" s="124"/>
      <c r="AQ731" s="277"/>
      <c r="AR731" s="277"/>
      <c r="AS731" s="278"/>
      <c r="AT731" s="278"/>
      <c r="AU731" s="278"/>
      <c r="AV731" s="278"/>
      <c r="AW731" s="278"/>
      <c r="AX731" s="295"/>
      <c r="AY731" s="278"/>
      <c r="AZ731" s="278"/>
      <c r="BA731" s="278"/>
      <c r="BB731" s="278"/>
      <c r="BC731" s="278"/>
      <c r="BD731" s="279"/>
      <c r="BE731" s="277"/>
      <c r="BF731" s="277"/>
      <c r="BG731" s="277"/>
      <c r="BH731" s="277"/>
      <c r="BI731" s="277"/>
      <c r="BJ731" s="277"/>
      <c r="BK731" s="277"/>
      <c r="BL731" s="277"/>
      <c r="BM731" s="277"/>
      <c r="BN731" s="277"/>
      <c r="BO731" s="277"/>
      <c r="BP731" s="277"/>
      <c r="BQ731" s="277"/>
      <c r="BR731" s="277"/>
      <c r="BS731" s="277"/>
      <c r="BT731" s="277"/>
      <c r="BU731" s="277"/>
      <c r="BV731" s="277"/>
      <c r="BW731" s="277"/>
      <c r="BX731" s="277"/>
      <c r="BY731" s="277"/>
      <c r="BZ731" s="277"/>
      <c r="CA731" s="277"/>
      <c r="CB731" s="277"/>
      <c r="CC731" s="277"/>
      <c r="CD731" s="277"/>
      <c r="CE731" s="277"/>
    </row>
    <row r="732" spans="7:83" s="20" customFormat="1">
      <c r="G732" s="123"/>
      <c r="H732" s="123"/>
      <c r="I732" s="123"/>
      <c r="J732" s="123"/>
      <c r="K732" s="123"/>
      <c r="X732" s="137"/>
      <c r="Y732" s="137"/>
      <c r="Z732" s="124"/>
      <c r="AA732" s="124"/>
      <c r="AB732" s="124"/>
      <c r="AC732" s="124"/>
      <c r="AD732" s="124"/>
      <c r="AE732" s="124"/>
      <c r="AF732" s="124"/>
      <c r="AG732" s="124"/>
      <c r="AH732" s="124"/>
      <c r="AI732" s="124"/>
      <c r="AJ732" s="124"/>
      <c r="AK732" s="124"/>
      <c r="AL732" s="124"/>
      <c r="AM732" s="124"/>
      <c r="AN732" s="124"/>
      <c r="AO732" s="124"/>
      <c r="AP732" s="124"/>
      <c r="AQ732" s="277"/>
      <c r="AR732" s="277"/>
      <c r="AS732" s="278"/>
      <c r="AT732" s="278"/>
      <c r="AU732" s="278"/>
      <c r="AV732" s="278"/>
      <c r="AW732" s="278"/>
      <c r="AX732" s="295"/>
      <c r="AY732" s="278"/>
      <c r="AZ732" s="278"/>
      <c r="BA732" s="278"/>
      <c r="BB732" s="278"/>
      <c r="BC732" s="278"/>
      <c r="BD732" s="279"/>
      <c r="BE732" s="277"/>
      <c r="BF732" s="277"/>
      <c r="BG732" s="277"/>
      <c r="BH732" s="277"/>
      <c r="BI732" s="277"/>
      <c r="BJ732" s="277"/>
      <c r="BK732" s="277"/>
      <c r="BL732" s="277"/>
      <c r="BM732" s="277"/>
      <c r="BN732" s="277"/>
      <c r="BO732" s="277"/>
      <c r="BP732" s="277"/>
      <c r="BQ732" s="277"/>
      <c r="BR732" s="277"/>
      <c r="BS732" s="277"/>
      <c r="BT732" s="277"/>
      <c r="BU732" s="277"/>
      <c r="BV732" s="277"/>
      <c r="BW732" s="277"/>
      <c r="BX732" s="277"/>
      <c r="BY732" s="277"/>
      <c r="BZ732" s="277"/>
      <c r="CA732" s="277"/>
      <c r="CB732" s="277"/>
      <c r="CC732" s="277"/>
      <c r="CD732" s="277"/>
      <c r="CE732" s="277"/>
    </row>
    <row r="733" spans="7:83" s="20" customFormat="1">
      <c r="G733" s="123"/>
      <c r="H733" s="123"/>
      <c r="I733" s="123"/>
      <c r="J733" s="123"/>
      <c r="K733" s="123"/>
      <c r="X733" s="137"/>
      <c r="Y733" s="137"/>
      <c r="Z733" s="124"/>
      <c r="AA733" s="124"/>
      <c r="AB733" s="124"/>
      <c r="AC733" s="124"/>
      <c r="AD733" s="124"/>
      <c r="AE733" s="124"/>
      <c r="AF733" s="124"/>
      <c r="AG733" s="124"/>
      <c r="AH733" s="124"/>
      <c r="AI733" s="124"/>
      <c r="AJ733" s="124"/>
      <c r="AK733" s="124"/>
      <c r="AL733" s="124"/>
      <c r="AM733" s="124"/>
      <c r="AN733" s="124"/>
      <c r="AO733" s="124"/>
      <c r="AP733" s="124"/>
      <c r="AQ733" s="277"/>
      <c r="AR733" s="277"/>
      <c r="AS733" s="278"/>
      <c r="AT733" s="278"/>
      <c r="AU733" s="278"/>
      <c r="AV733" s="278"/>
      <c r="AW733" s="278"/>
      <c r="AX733" s="295"/>
      <c r="AY733" s="278"/>
      <c r="AZ733" s="278"/>
      <c r="BA733" s="278"/>
      <c r="BB733" s="278"/>
      <c r="BC733" s="278"/>
      <c r="BD733" s="279"/>
      <c r="BE733" s="277"/>
      <c r="BF733" s="277"/>
      <c r="BG733" s="277"/>
      <c r="BH733" s="277"/>
      <c r="BI733" s="277"/>
      <c r="BJ733" s="277"/>
      <c r="BK733" s="277"/>
      <c r="BL733" s="277"/>
      <c r="BM733" s="277"/>
      <c r="BN733" s="277"/>
      <c r="BO733" s="277"/>
      <c r="BP733" s="277"/>
      <c r="BQ733" s="277"/>
      <c r="BR733" s="277"/>
      <c r="BS733" s="277"/>
      <c r="BT733" s="277"/>
      <c r="BU733" s="277"/>
      <c r="BV733" s="277"/>
      <c r="BW733" s="277"/>
      <c r="BX733" s="277"/>
      <c r="BY733" s="277"/>
      <c r="BZ733" s="277"/>
      <c r="CA733" s="277"/>
      <c r="CB733" s="277"/>
      <c r="CC733" s="277"/>
      <c r="CD733" s="277"/>
      <c r="CE733" s="277"/>
    </row>
    <row r="734" spans="7:83" s="20" customFormat="1">
      <c r="G734" s="123"/>
      <c r="H734" s="123"/>
      <c r="I734" s="123"/>
      <c r="J734" s="123"/>
      <c r="K734" s="123"/>
      <c r="X734" s="137"/>
      <c r="Y734" s="137"/>
      <c r="Z734" s="124"/>
      <c r="AA734" s="124"/>
      <c r="AB734" s="124"/>
      <c r="AC734" s="124"/>
      <c r="AD734" s="124"/>
      <c r="AE734" s="124"/>
      <c r="AF734" s="124"/>
      <c r="AG734" s="124"/>
      <c r="AH734" s="124"/>
      <c r="AI734" s="124"/>
      <c r="AJ734" s="124"/>
      <c r="AK734" s="124"/>
      <c r="AL734" s="124"/>
      <c r="AM734" s="124"/>
      <c r="AN734" s="124"/>
      <c r="AO734" s="124"/>
      <c r="AP734" s="124"/>
      <c r="AQ734" s="277"/>
      <c r="AR734" s="277"/>
      <c r="AS734" s="278"/>
      <c r="AT734" s="278"/>
      <c r="AU734" s="278"/>
      <c r="AV734" s="278"/>
      <c r="AW734" s="278"/>
      <c r="AX734" s="295"/>
      <c r="AY734" s="278"/>
      <c r="AZ734" s="278"/>
      <c r="BA734" s="278"/>
      <c r="BB734" s="278"/>
      <c r="BC734" s="278"/>
      <c r="BD734" s="279"/>
      <c r="BE734" s="277"/>
      <c r="BF734" s="277"/>
      <c r="BG734" s="277"/>
      <c r="BH734" s="277"/>
      <c r="BI734" s="277"/>
      <c r="BJ734" s="277"/>
      <c r="BK734" s="277"/>
      <c r="BL734" s="277"/>
      <c r="BM734" s="277"/>
      <c r="BN734" s="277"/>
      <c r="BO734" s="277"/>
      <c r="BP734" s="277"/>
      <c r="BQ734" s="277"/>
      <c r="BR734" s="277"/>
      <c r="BS734" s="277"/>
      <c r="BT734" s="277"/>
      <c r="BU734" s="277"/>
      <c r="BV734" s="277"/>
      <c r="BW734" s="277"/>
      <c r="BX734" s="277"/>
      <c r="BY734" s="277"/>
      <c r="BZ734" s="277"/>
      <c r="CA734" s="277"/>
      <c r="CB734" s="277"/>
      <c r="CC734" s="277"/>
      <c r="CD734" s="277"/>
      <c r="CE734" s="277"/>
    </row>
    <row r="735" spans="7:83" s="20" customFormat="1">
      <c r="G735" s="123"/>
      <c r="H735" s="123"/>
      <c r="I735" s="123"/>
      <c r="J735" s="123"/>
      <c r="K735" s="123"/>
      <c r="X735" s="137"/>
      <c r="Y735" s="137"/>
      <c r="Z735" s="124"/>
      <c r="AA735" s="124"/>
      <c r="AB735" s="124"/>
      <c r="AC735" s="124"/>
      <c r="AD735" s="124"/>
      <c r="AE735" s="124"/>
      <c r="AF735" s="124"/>
      <c r="AG735" s="124"/>
      <c r="AH735" s="124"/>
      <c r="AI735" s="124"/>
      <c r="AJ735" s="124"/>
      <c r="AK735" s="124"/>
      <c r="AL735" s="124"/>
      <c r="AM735" s="124"/>
      <c r="AN735" s="124"/>
      <c r="AO735" s="124"/>
      <c r="AP735" s="124"/>
      <c r="AQ735" s="277"/>
      <c r="AR735" s="277"/>
      <c r="AS735" s="278"/>
      <c r="AT735" s="278"/>
      <c r="AU735" s="278"/>
      <c r="AV735" s="278"/>
      <c r="AW735" s="278"/>
      <c r="AX735" s="295"/>
      <c r="AY735" s="278"/>
      <c r="AZ735" s="278"/>
      <c r="BA735" s="278"/>
      <c r="BB735" s="278"/>
      <c r="BC735" s="278"/>
      <c r="BD735" s="279"/>
      <c r="BE735" s="277"/>
      <c r="BF735" s="277"/>
      <c r="BG735" s="277"/>
      <c r="BH735" s="277"/>
      <c r="BI735" s="277"/>
      <c r="BJ735" s="277"/>
      <c r="BK735" s="277"/>
      <c r="BL735" s="277"/>
      <c r="BM735" s="277"/>
      <c r="BN735" s="277"/>
      <c r="BO735" s="277"/>
      <c r="BP735" s="277"/>
      <c r="BQ735" s="277"/>
      <c r="BR735" s="277"/>
      <c r="BS735" s="277"/>
      <c r="BT735" s="277"/>
      <c r="BU735" s="277"/>
      <c r="BV735" s="277"/>
      <c r="BW735" s="277"/>
      <c r="BX735" s="277"/>
      <c r="BY735" s="277"/>
      <c r="BZ735" s="277"/>
      <c r="CA735" s="277"/>
      <c r="CB735" s="277"/>
      <c r="CC735" s="277"/>
      <c r="CD735" s="277"/>
      <c r="CE735" s="277"/>
    </row>
    <row r="736" spans="7:83" s="20" customFormat="1">
      <c r="G736" s="123"/>
      <c r="H736" s="123"/>
      <c r="I736" s="123"/>
      <c r="J736" s="123"/>
      <c r="K736" s="123"/>
      <c r="X736" s="137"/>
      <c r="Y736" s="137"/>
      <c r="Z736" s="124"/>
      <c r="AA736" s="124"/>
      <c r="AB736" s="124"/>
      <c r="AC736" s="124"/>
      <c r="AD736" s="124"/>
      <c r="AE736" s="124"/>
      <c r="AF736" s="124"/>
      <c r="AG736" s="124"/>
      <c r="AH736" s="124"/>
      <c r="AI736" s="124"/>
      <c r="AJ736" s="124"/>
      <c r="AK736" s="124"/>
      <c r="AL736" s="124"/>
      <c r="AM736" s="124"/>
      <c r="AN736" s="124"/>
      <c r="AO736" s="124"/>
      <c r="AP736" s="124"/>
      <c r="AQ736" s="277"/>
      <c r="AR736" s="277"/>
      <c r="AS736" s="278"/>
      <c r="AT736" s="278"/>
      <c r="AU736" s="278"/>
      <c r="AV736" s="278"/>
      <c r="AW736" s="278"/>
      <c r="AX736" s="295"/>
      <c r="AY736" s="278"/>
      <c r="AZ736" s="278"/>
      <c r="BA736" s="278"/>
      <c r="BB736" s="278"/>
      <c r="BC736" s="278"/>
      <c r="BD736" s="279"/>
      <c r="BE736" s="277"/>
      <c r="BF736" s="277"/>
      <c r="BG736" s="277"/>
      <c r="BH736" s="277"/>
      <c r="BI736" s="277"/>
      <c r="BJ736" s="277"/>
      <c r="BK736" s="277"/>
      <c r="BL736" s="277"/>
      <c r="BM736" s="277"/>
      <c r="BN736" s="277"/>
      <c r="BO736" s="277"/>
      <c r="BP736" s="277"/>
      <c r="BQ736" s="277"/>
      <c r="BR736" s="277"/>
      <c r="BS736" s="277"/>
      <c r="BT736" s="277"/>
      <c r="BU736" s="277"/>
      <c r="BV736" s="277"/>
      <c r="BW736" s="277"/>
      <c r="BX736" s="277"/>
      <c r="BY736" s="277"/>
      <c r="BZ736" s="277"/>
      <c r="CA736" s="277"/>
      <c r="CB736" s="277"/>
      <c r="CC736" s="277"/>
      <c r="CD736" s="277"/>
      <c r="CE736" s="277"/>
    </row>
    <row r="737" spans="7:83" s="20" customFormat="1">
      <c r="G737" s="123"/>
      <c r="H737" s="123"/>
      <c r="I737" s="123"/>
      <c r="J737" s="123"/>
      <c r="K737" s="123"/>
      <c r="X737" s="137"/>
      <c r="Y737" s="137"/>
      <c r="Z737" s="124"/>
      <c r="AA737" s="124"/>
      <c r="AB737" s="124"/>
      <c r="AC737" s="124"/>
      <c r="AD737" s="124"/>
      <c r="AE737" s="124"/>
      <c r="AF737" s="124"/>
      <c r="AG737" s="124"/>
      <c r="AH737" s="124"/>
      <c r="AI737" s="124"/>
      <c r="AJ737" s="124"/>
      <c r="AK737" s="124"/>
      <c r="AL737" s="124"/>
      <c r="AM737" s="124"/>
      <c r="AN737" s="124"/>
      <c r="AO737" s="124"/>
      <c r="AP737" s="124"/>
      <c r="AQ737" s="277"/>
      <c r="AR737" s="277"/>
      <c r="AS737" s="278"/>
      <c r="AT737" s="278"/>
      <c r="AU737" s="278"/>
      <c r="AV737" s="278"/>
      <c r="AW737" s="278"/>
      <c r="AX737" s="295"/>
      <c r="AY737" s="278"/>
      <c r="AZ737" s="278"/>
      <c r="BA737" s="278"/>
      <c r="BB737" s="278"/>
      <c r="BC737" s="278"/>
      <c r="BD737" s="279"/>
      <c r="BE737" s="277"/>
      <c r="BF737" s="277"/>
      <c r="BG737" s="277"/>
      <c r="BH737" s="277"/>
      <c r="BI737" s="277"/>
      <c r="BJ737" s="277"/>
      <c r="BK737" s="277"/>
      <c r="BL737" s="277"/>
      <c r="BM737" s="277"/>
      <c r="BN737" s="277"/>
      <c r="BO737" s="277"/>
      <c r="BP737" s="277"/>
      <c r="BQ737" s="277"/>
      <c r="BR737" s="277"/>
      <c r="BS737" s="277"/>
      <c r="BT737" s="277"/>
      <c r="BU737" s="277"/>
      <c r="BV737" s="277"/>
      <c r="BW737" s="277"/>
      <c r="BX737" s="277"/>
      <c r="BY737" s="277"/>
      <c r="BZ737" s="277"/>
      <c r="CA737" s="277"/>
      <c r="CB737" s="277"/>
      <c r="CC737" s="277"/>
      <c r="CD737" s="277"/>
      <c r="CE737" s="277"/>
    </row>
    <row r="738" spans="7:83" s="20" customFormat="1">
      <c r="G738" s="123"/>
      <c r="H738" s="123"/>
      <c r="I738" s="123"/>
      <c r="J738" s="123"/>
      <c r="K738" s="123"/>
      <c r="X738" s="137"/>
      <c r="Y738" s="137"/>
      <c r="Z738" s="124"/>
      <c r="AA738" s="124"/>
      <c r="AB738" s="124"/>
      <c r="AC738" s="124"/>
      <c r="AD738" s="124"/>
      <c r="AE738" s="124"/>
      <c r="AF738" s="124"/>
      <c r="AG738" s="124"/>
      <c r="AH738" s="124"/>
      <c r="AI738" s="124"/>
      <c r="AJ738" s="124"/>
      <c r="AK738" s="124"/>
      <c r="AL738" s="124"/>
      <c r="AM738" s="124"/>
      <c r="AN738" s="124"/>
      <c r="AO738" s="124"/>
      <c r="AP738" s="124"/>
      <c r="AQ738" s="277"/>
      <c r="AR738" s="277"/>
      <c r="AS738" s="278"/>
      <c r="AT738" s="278"/>
      <c r="AU738" s="278"/>
      <c r="AV738" s="278"/>
      <c r="AW738" s="278"/>
      <c r="AX738" s="295"/>
      <c r="AY738" s="278"/>
      <c r="AZ738" s="278"/>
      <c r="BA738" s="278"/>
      <c r="BB738" s="278"/>
      <c r="BC738" s="278"/>
      <c r="BD738" s="279"/>
      <c r="BE738" s="277"/>
      <c r="BF738" s="277"/>
      <c r="BG738" s="277"/>
      <c r="BH738" s="277"/>
      <c r="BI738" s="277"/>
      <c r="BJ738" s="277"/>
      <c r="BK738" s="277"/>
      <c r="BL738" s="277"/>
      <c r="BM738" s="277"/>
      <c r="BN738" s="277"/>
      <c r="BO738" s="277"/>
      <c r="BP738" s="277"/>
      <c r="BQ738" s="277"/>
      <c r="BR738" s="277"/>
      <c r="BS738" s="277"/>
      <c r="BT738" s="277"/>
      <c r="BU738" s="277"/>
      <c r="BV738" s="277"/>
      <c r="BW738" s="277"/>
      <c r="BX738" s="277"/>
      <c r="BY738" s="277"/>
      <c r="BZ738" s="277"/>
      <c r="CA738" s="277"/>
      <c r="CB738" s="277"/>
      <c r="CC738" s="277"/>
      <c r="CD738" s="277"/>
      <c r="CE738" s="277"/>
    </row>
    <row r="739" spans="7:83" s="20" customFormat="1">
      <c r="G739" s="123"/>
      <c r="H739" s="123"/>
      <c r="I739" s="123"/>
      <c r="J739" s="123"/>
      <c r="K739" s="123"/>
      <c r="X739" s="137"/>
      <c r="Y739" s="137"/>
      <c r="Z739" s="124"/>
      <c r="AA739" s="124"/>
      <c r="AB739" s="124"/>
      <c r="AC739" s="124"/>
      <c r="AD739" s="124"/>
      <c r="AE739" s="124"/>
      <c r="AF739" s="124"/>
      <c r="AG739" s="124"/>
      <c r="AH739" s="124"/>
      <c r="AI739" s="124"/>
      <c r="AJ739" s="124"/>
      <c r="AK739" s="124"/>
      <c r="AL739" s="124"/>
      <c r="AM739" s="124"/>
      <c r="AN739" s="124"/>
      <c r="AO739" s="124"/>
      <c r="AP739" s="124"/>
      <c r="AQ739" s="277"/>
      <c r="AR739" s="277"/>
      <c r="AS739" s="278"/>
      <c r="AT739" s="278"/>
      <c r="AU739" s="278"/>
      <c r="AV739" s="278"/>
      <c r="AW739" s="278"/>
      <c r="AX739" s="295"/>
      <c r="AY739" s="278"/>
      <c r="AZ739" s="278"/>
      <c r="BA739" s="278"/>
      <c r="BB739" s="278"/>
      <c r="BC739" s="278"/>
      <c r="BD739" s="279"/>
      <c r="BE739" s="277"/>
      <c r="BF739" s="277"/>
      <c r="BG739" s="277"/>
      <c r="BH739" s="277"/>
      <c r="BI739" s="277"/>
      <c r="BJ739" s="277"/>
      <c r="BK739" s="277"/>
      <c r="BL739" s="277"/>
      <c r="BM739" s="277"/>
      <c r="BN739" s="277"/>
      <c r="BO739" s="277"/>
      <c r="BP739" s="277"/>
      <c r="BQ739" s="277"/>
      <c r="BR739" s="277"/>
      <c r="BS739" s="277"/>
      <c r="BT739" s="277"/>
      <c r="BU739" s="277"/>
      <c r="BV739" s="277"/>
      <c r="BW739" s="277"/>
      <c r="BX739" s="277"/>
      <c r="BY739" s="277"/>
      <c r="BZ739" s="277"/>
      <c r="CA739" s="277"/>
      <c r="CB739" s="277"/>
      <c r="CC739" s="277"/>
      <c r="CD739" s="277"/>
      <c r="CE739" s="277"/>
    </row>
    <row r="740" spans="7:83" s="20" customFormat="1">
      <c r="G740" s="123"/>
      <c r="H740" s="123"/>
      <c r="I740" s="123"/>
      <c r="J740" s="123"/>
      <c r="K740" s="123"/>
      <c r="X740" s="137"/>
      <c r="Y740" s="137"/>
      <c r="Z740" s="124"/>
      <c r="AA740" s="124"/>
      <c r="AB740" s="124"/>
      <c r="AC740" s="124"/>
      <c r="AD740" s="124"/>
      <c r="AE740" s="124"/>
      <c r="AF740" s="124"/>
      <c r="AG740" s="124"/>
      <c r="AH740" s="124"/>
      <c r="AI740" s="124"/>
      <c r="AJ740" s="124"/>
      <c r="AK740" s="124"/>
      <c r="AL740" s="124"/>
      <c r="AM740" s="124"/>
      <c r="AN740" s="124"/>
      <c r="AO740" s="124"/>
      <c r="AP740" s="124"/>
      <c r="AQ740" s="277"/>
      <c r="AR740" s="277"/>
      <c r="AS740" s="278"/>
      <c r="AT740" s="278"/>
      <c r="AU740" s="278"/>
      <c r="AV740" s="278"/>
      <c r="AW740" s="278"/>
      <c r="AX740" s="295"/>
      <c r="AY740" s="278"/>
      <c r="AZ740" s="278"/>
      <c r="BA740" s="278"/>
      <c r="BB740" s="278"/>
      <c r="BC740" s="278"/>
      <c r="BD740" s="279"/>
      <c r="BE740" s="277"/>
      <c r="BF740" s="277"/>
      <c r="BG740" s="277"/>
      <c r="BH740" s="277"/>
      <c r="BI740" s="277"/>
      <c r="BJ740" s="277"/>
      <c r="BK740" s="277"/>
      <c r="BL740" s="277"/>
      <c r="BM740" s="277"/>
      <c r="BN740" s="277"/>
      <c r="BO740" s="277"/>
      <c r="BP740" s="277"/>
      <c r="BQ740" s="277"/>
      <c r="BR740" s="277"/>
      <c r="BS740" s="277"/>
      <c r="BT740" s="277"/>
      <c r="BU740" s="277"/>
      <c r="BV740" s="277"/>
      <c r="BW740" s="277"/>
      <c r="BX740" s="277"/>
      <c r="BY740" s="277"/>
      <c r="BZ740" s="277"/>
      <c r="CA740" s="277"/>
      <c r="CB740" s="277"/>
      <c r="CC740" s="277"/>
      <c r="CD740" s="277"/>
      <c r="CE740" s="277"/>
    </row>
    <row r="741" spans="7:83" s="20" customFormat="1">
      <c r="G741" s="123"/>
      <c r="H741" s="123"/>
      <c r="I741" s="123"/>
      <c r="J741" s="123"/>
      <c r="K741" s="123"/>
      <c r="X741" s="137"/>
      <c r="Y741" s="137"/>
      <c r="Z741" s="124"/>
      <c r="AA741" s="124"/>
      <c r="AB741" s="124"/>
      <c r="AC741" s="124"/>
      <c r="AD741" s="124"/>
      <c r="AE741" s="124"/>
      <c r="AF741" s="124"/>
      <c r="AG741" s="124"/>
      <c r="AH741" s="124"/>
      <c r="AI741" s="124"/>
      <c r="AJ741" s="124"/>
      <c r="AK741" s="124"/>
      <c r="AL741" s="124"/>
      <c r="AM741" s="124"/>
      <c r="AN741" s="124"/>
      <c r="AO741" s="124"/>
      <c r="AP741" s="124"/>
      <c r="AQ741" s="277"/>
      <c r="AR741" s="277"/>
      <c r="AS741" s="278"/>
      <c r="AT741" s="278"/>
      <c r="AU741" s="278"/>
      <c r="AV741" s="278"/>
      <c r="AW741" s="278"/>
      <c r="AX741" s="295"/>
      <c r="AY741" s="278"/>
      <c r="AZ741" s="278"/>
      <c r="BA741" s="278"/>
      <c r="BB741" s="278"/>
      <c r="BC741" s="278"/>
      <c r="BD741" s="279"/>
      <c r="BE741" s="277"/>
      <c r="BF741" s="277"/>
      <c r="BG741" s="277"/>
      <c r="BH741" s="277"/>
      <c r="BI741" s="277"/>
      <c r="BJ741" s="277"/>
      <c r="BK741" s="277"/>
      <c r="BL741" s="277"/>
      <c r="BM741" s="277"/>
      <c r="BN741" s="277"/>
      <c r="BO741" s="277"/>
      <c r="BP741" s="277"/>
      <c r="BQ741" s="277"/>
      <c r="BR741" s="277"/>
      <c r="BS741" s="277"/>
      <c r="BT741" s="277"/>
      <c r="BU741" s="277"/>
      <c r="BV741" s="277"/>
      <c r="BW741" s="277"/>
      <c r="BX741" s="277"/>
      <c r="BY741" s="277"/>
      <c r="BZ741" s="277"/>
      <c r="CA741" s="277"/>
      <c r="CB741" s="277"/>
      <c r="CC741" s="277"/>
      <c r="CD741" s="277"/>
      <c r="CE741" s="277"/>
    </row>
    <row r="742" spans="7:83" s="20" customFormat="1">
      <c r="G742" s="123"/>
      <c r="H742" s="123"/>
      <c r="I742" s="123"/>
      <c r="J742" s="123"/>
      <c r="K742" s="123"/>
      <c r="X742" s="137"/>
      <c r="Y742" s="137"/>
      <c r="Z742" s="124"/>
      <c r="AA742" s="124"/>
      <c r="AB742" s="124"/>
      <c r="AC742" s="124"/>
      <c r="AD742" s="124"/>
      <c r="AE742" s="124"/>
      <c r="AF742" s="124"/>
      <c r="AG742" s="124"/>
      <c r="AH742" s="124"/>
      <c r="AI742" s="124"/>
      <c r="AJ742" s="124"/>
      <c r="AK742" s="124"/>
      <c r="AL742" s="124"/>
      <c r="AM742" s="124"/>
      <c r="AN742" s="124"/>
      <c r="AO742" s="124"/>
      <c r="AP742" s="124"/>
      <c r="AQ742" s="277"/>
      <c r="AR742" s="277"/>
      <c r="AS742" s="278"/>
      <c r="AT742" s="278"/>
      <c r="AU742" s="278"/>
      <c r="AV742" s="278"/>
      <c r="AW742" s="278"/>
      <c r="AX742" s="295"/>
      <c r="AY742" s="278"/>
      <c r="AZ742" s="278"/>
      <c r="BA742" s="278"/>
      <c r="BB742" s="278"/>
      <c r="BC742" s="278"/>
      <c r="BD742" s="279"/>
      <c r="BE742" s="277"/>
      <c r="BF742" s="277"/>
      <c r="BG742" s="277"/>
      <c r="BH742" s="277"/>
      <c r="BI742" s="277"/>
      <c r="BJ742" s="277"/>
      <c r="BK742" s="277"/>
      <c r="BL742" s="277"/>
      <c r="BM742" s="277"/>
      <c r="BN742" s="277"/>
      <c r="BO742" s="277"/>
      <c r="BP742" s="277"/>
      <c r="BQ742" s="277"/>
      <c r="BR742" s="277"/>
      <c r="BS742" s="277"/>
      <c r="BT742" s="277"/>
      <c r="BU742" s="277"/>
      <c r="BV742" s="277"/>
      <c r="BW742" s="277"/>
      <c r="BX742" s="277"/>
      <c r="BY742" s="277"/>
      <c r="BZ742" s="277"/>
      <c r="CA742" s="277"/>
      <c r="CB742" s="277"/>
      <c r="CC742" s="277"/>
      <c r="CD742" s="277"/>
      <c r="CE742" s="277"/>
    </row>
    <row r="743" spans="7:83" s="20" customFormat="1">
      <c r="G743" s="123"/>
      <c r="H743" s="123"/>
      <c r="I743" s="123"/>
      <c r="J743" s="123"/>
      <c r="K743" s="123"/>
      <c r="X743" s="137"/>
      <c r="Y743" s="137"/>
      <c r="Z743" s="124"/>
      <c r="AA743" s="124"/>
      <c r="AB743" s="124"/>
      <c r="AC743" s="124"/>
      <c r="AD743" s="124"/>
      <c r="AE743" s="124"/>
      <c r="AF743" s="124"/>
      <c r="AG743" s="124"/>
      <c r="AH743" s="124"/>
      <c r="AI743" s="124"/>
      <c r="AJ743" s="124"/>
      <c r="AK743" s="124"/>
      <c r="AL743" s="124"/>
      <c r="AM743" s="124"/>
      <c r="AN743" s="124"/>
      <c r="AO743" s="124"/>
      <c r="AP743" s="124"/>
      <c r="AQ743" s="277"/>
      <c r="AR743" s="277"/>
      <c r="AS743" s="278"/>
      <c r="AT743" s="278"/>
      <c r="AU743" s="278"/>
      <c r="AV743" s="278"/>
      <c r="AW743" s="278"/>
      <c r="AX743" s="295"/>
      <c r="AY743" s="278"/>
      <c r="AZ743" s="278"/>
      <c r="BA743" s="278"/>
      <c r="BB743" s="278"/>
      <c r="BC743" s="278"/>
      <c r="BD743" s="279"/>
      <c r="BE743" s="277"/>
      <c r="BF743" s="277"/>
      <c r="BG743" s="277"/>
      <c r="BH743" s="277"/>
      <c r="BI743" s="277"/>
      <c r="BJ743" s="277"/>
      <c r="BK743" s="277"/>
      <c r="BL743" s="277"/>
      <c r="BM743" s="277"/>
      <c r="BN743" s="277"/>
      <c r="BO743" s="277"/>
      <c r="BP743" s="277"/>
      <c r="BQ743" s="277"/>
      <c r="BR743" s="277"/>
      <c r="BS743" s="277"/>
      <c r="BT743" s="277"/>
      <c r="BU743" s="277"/>
      <c r="BV743" s="277"/>
      <c r="BW743" s="277"/>
      <c r="BX743" s="277"/>
      <c r="BY743" s="277"/>
      <c r="BZ743" s="277"/>
      <c r="CA743" s="277"/>
      <c r="CB743" s="277"/>
      <c r="CC743" s="277"/>
      <c r="CD743" s="277"/>
      <c r="CE743" s="277"/>
    </row>
    <row r="744" spans="7:83" s="20" customFormat="1">
      <c r="G744" s="123"/>
      <c r="H744" s="123"/>
      <c r="I744" s="123"/>
      <c r="J744" s="123"/>
      <c r="K744" s="123"/>
      <c r="X744" s="137"/>
      <c r="Y744" s="137"/>
      <c r="Z744" s="124"/>
      <c r="AA744" s="124"/>
      <c r="AB744" s="124"/>
      <c r="AC744" s="124"/>
      <c r="AD744" s="124"/>
      <c r="AE744" s="124"/>
      <c r="AF744" s="124"/>
      <c r="AG744" s="124"/>
      <c r="AH744" s="124"/>
      <c r="AI744" s="124"/>
      <c r="AJ744" s="124"/>
      <c r="AK744" s="124"/>
      <c r="AL744" s="124"/>
      <c r="AM744" s="124"/>
      <c r="AN744" s="124"/>
      <c r="AO744" s="124"/>
      <c r="AP744" s="124"/>
      <c r="AQ744" s="277"/>
      <c r="AR744" s="277"/>
      <c r="AS744" s="278"/>
      <c r="AT744" s="278"/>
      <c r="AU744" s="278"/>
      <c r="AV744" s="278"/>
      <c r="AW744" s="278"/>
      <c r="AX744" s="295"/>
      <c r="AY744" s="278"/>
      <c r="AZ744" s="278"/>
      <c r="BA744" s="278"/>
      <c r="BB744" s="278"/>
      <c r="BC744" s="278"/>
      <c r="BD744" s="279"/>
      <c r="BE744" s="277"/>
      <c r="BF744" s="277"/>
      <c r="BG744" s="277"/>
      <c r="BH744" s="277"/>
      <c r="BI744" s="277"/>
      <c r="BJ744" s="277"/>
      <c r="BK744" s="277"/>
      <c r="BL744" s="277"/>
      <c r="BM744" s="277"/>
      <c r="BN744" s="277"/>
      <c r="BO744" s="277"/>
      <c r="BP744" s="277"/>
      <c r="BQ744" s="277"/>
      <c r="BR744" s="277"/>
      <c r="BS744" s="277"/>
      <c r="BT744" s="277"/>
      <c r="BU744" s="277"/>
      <c r="BV744" s="277"/>
      <c r="BW744" s="277"/>
      <c r="BX744" s="277"/>
      <c r="BY744" s="277"/>
      <c r="BZ744" s="277"/>
      <c r="CA744" s="277"/>
      <c r="CB744" s="277"/>
      <c r="CC744" s="277"/>
      <c r="CD744" s="277"/>
      <c r="CE744" s="277"/>
    </row>
    <row r="745" spans="7:83" s="20" customFormat="1">
      <c r="G745" s="123"/>
      <c r="H745" s="123"/>
      <c r="I745" s="123"/>
      <c r="J745" s="123"/>
      <c r="K745" s="123"/>
      <c r="X745" s="137"/>
      <c r="Y745" s="137"/>
      <c r="Z745" s="124"/>
      <c r="AA745" s="124"/>
      <c r="AB745" s="124"/>
      <c r="AC745" s="124"/>
      <c r="AD745" s="124"/>
      <c r="AE745" s="124"/>
      <c r="AF745" s="124"/>
      <c r="AG745" s="124"/>
      <c r="AH745" s="124"/>
      <c r="AI745" s="124"/>
      <c r="AJ745" s="124"/>
      <c r="AK745" s="124"/>
      <c r="AL745" s="124"/>
      <c r="AM745" s="124"/>
      <c r="AN745" s="124"/>
      <c r="AO745" s="124"/>
      <c r="AP745" s="124"/>
      <c r="AQ745" s="277"/>
      <c r="AR745" s="277"/>
      <c r="AS745" s="278"/>
      <c r="AT745" s="278"/>
      <c r="AU745" s="278"/>
      <c r="AV745" s="278"/>
      <c r="AW745" s="278"/>
      <c r="AX745" s="295"/>
      <c r="AY745" s="278"/>
      <c r="AZ745" s="278"/>
      <c r="BA745" s="278"/>
      <c r="BB745" s="278"/>
      <c r="BC745" s="278"/>
      <c r="BD745" s="279"/>
      <c r="BE745" s="277"/>
      <c r="BF745" s="277"/>
      <c r="BG745" s="277"/>
      <c r="BH745" s="277"/>
      <c r="BI745" s="277"/>
      <c r="BJ745" s="277"/>
      <c r="BK745" s="277"/>
      <c r="BL745" s="277"/>
      <c r="BM745" s="277"/>
      <c r="BN745" s="277"/>
      <c r="BO745" s="277"/>
      <c r="BP745" s="277"/>
      <c r="BQ745" s="277"/>
      <c r="BR745" s="277"/>
      <c r="BS745" s="277"/>
      <c r="BT745" s="277"/>
      <c r="BU745" s="277"/>
      <c r="BV745" s="277"/>
      <c r="BW745" s="277"/>
      <c r="BX745" s="277"/>
      <c r="BY745" s="277"/>
      <c r="BZ745" s="277"/>
      <c r="CA745" s="277"/>
      <c r="CB745" s="277"/>
      <c r="CC745" s="277"/>
      <c r="CD745" s="277"/>
      <c r="CE745" s="277"/>
    </row>
    <row r="746" spans="7:83" s="20" customFormat="1">
      <c r="G746" s="123"/>
      <c r="H746" s="123"/>
      <c r="I746" s="123"/>
      <c r="J746" s="123"/>
      <c r="K746" s="123"/>
      <c r="X746" s="137"/>
      <c r="Y746" s="137"/>
      <c r="Z746" s="124"/>
      <c r="AA746" s="124"/>
      <c r="AB746" s="124"/>
      <c r="AC746" s="124"/>
      <c r="AD746" s="124"/>
      <c r="AE746" s="124"/>
      <c r="AF746" s="124"/>
      <c r="AG746" s="124"/>
      <c r="AH746" s="124"/>
      <c r="AI746" s="124"/>
      <c r="AJ746" s="124"/>
      <c r="AK746" s="124"/>
      <c r="AL746" s="124"/>
      <c r="AM746" s="124"/>
      <c r="AN746" s="124"/>
      <c r="AO746" s="124"/>
      <c r="AP746" s="124"/>
      <c r="AQ746" s="277"/>
      <c r="AR746" s="277"/>
      <c r="AS746" s="278"/>
      <c r="AT746" s="278"/>
      <c r="AU746" s="278"/>
      <c r="AV746" s="278"/>
      <c r="AW746" s="278"/>
      <c r="AX746" s="295"/>
      <c r="AY746" s="278"/>
      <c r="AZ746" s="278"/>
      <c r="BA746" s="278"/>
      <c r="BB746" s="278"/>
      <c r="BC746" s="278"/>
      <c r="BD746" s="279"/>
      <c r="BE746" s="277"/>
      <c r="BF746" s="277"/>
      <c r="BG746" s="277"/>
      <c r="BH746" s="277"/>
      <c r="BI746" s="277"/>
      <c r="BJ746" s="277"/>
      <c r="BK746" s="277"/>
      <c r="BL746" s="277"/>
      <c r="BM746" s="277"/>
      <c r="BN746" s="277"/>
      <c r="BO746" s="277"/>
      <c r="BP746" s="277"/>
      <c r="BQ746" s="277"/>
      <c r="BR746" s="277"/>
      <c r="BS746" s="277"/>
      <c r="BT746" s="277"/>
      <c r="BU746" s="277"/>
      <c r="BV746" s="277"/>
      <c r="BW746" s="277"/>
      <c r="BX746" s="277"/>
      <c r="BY746" s="277"/>
      <c r="BZ746" s="277"/>
      <c r="CA746" s="277"/>
      <c r="CB746" s="277"/>
      <c r="CC746" s="277"/>
      <c r="CD746" s="277"/>
      <c r="CE746" s="277"/>
    </row>
    <row r="747" spans="7:83" s="20" customFormat="1">
      <c r="G747" s="123"/>
      <c r="H747" s="123"/>
      <c r="I747" s="123"/>
      <c r="J747" s="123"/>
      <c r="K747" s="123"/>
      <c r="X747" s="137"/>
      <c r="Y747" s="137"/>
      <c r="Z747" s="124"/>
      <c r="AA747" s="124"/>
      <c r="AB747" s="124"/>
      <c r="AC747" s="124"/>
      <c r="AD747" s="124"/>
      <c r="AE747" s="124"/>
      <c r="AF747" s="124"/>
      <c r="AG747" s="124"/>
      <c r="AH747" s="124"/>
      <c r="AI747" s="124"/>
      <c r="AJ747" s="124"/>
      <c r="AK747" s="124"/>
      <c r="AL747" s="124"/>
      <c r="AM747" s="124"/>
      <c r="AN747" s="124"/>
      <c r="AO747" s="124"/>
      <c r="AP747" s="124"/>
      <c r="AS747" s="22"/>
      <c r="AT747" s="22"/>
      <c r="AU747" s="22"/>
      <c r="AV747" s="22"/>
      <c r="AW747" s="22"/>
      <c r="AX747" s="296"/>
      <c r="AY747" s="22"/>
      <c r="AZ747" s="22"/>
      <c r="BA747" s="22"/>
      <c r="BB747" s="140"/>
      <c r="BC747" s="22"/>
      <c r="BD747" s="137"/>
    </row>
    <row r="748" spans="7:83" s="20" customFormat="1">
      <c r="G748" s="123"/>
      <c r="H748" s="123"/>
      <c r="I748" s="123"/>
      <c r="J748" s="123"/>
      <c r="K748" s="123"/>
      <c r="X748" s="137"/>
      <c r="Y748" s="137"/>
      <c r="Z748" s="124"/>
      <c r="AA748" s="124"/>
      <c r="AB748" s="124"/>
      <c r="AC748" s="124"/>
      <c r="AD748" s="124"/>
      <c r="AE748" s="124"/>
      <c r="AF748" s="124"/>
      <c r="AG748" s="124"/>
      <c r="AH748" s="124"/>
      <c r="AI748" s="124"/>
      <c r="AJ748" s="124"/>
      <c r="AK748" s="124"/>
      <c r="AL748" s="124"/>
      <c r="AM748" s="124"/>
      <c r="AN748" s="124"/>
      <c r="AO748" s="124"/>
      <c r="AP748" s="124"/>
      <c r="AS748" s="22"/>
      <c r="AT748" s="22"/>
      <c r="AU748" s="22"/>
      <c r="AV748" s="22"/>
      <c r="AW748" s="22"/>
      <c r="AX748" s="296"/>
      <c r="AY748" s="22"/>
      <c r="AZ748" s="22"/>
      <c r="BA748" s="22"/>
      <c r="BB748" s="140"/>
      <c r="BC748" s="22"/>
      <c r="BD748" s="137"/>
    </row>
    <row r="749" spans="7:83" s="20" customFormat="1">
      <c r="G749" s="123"/>
      <c r="H749" s="123"/>
      <c r="I749" s="123"/>
      <c r="J749" s="123"/>
      <c r="K749" s="123"/>
      <c r="X749" s="137"/>
      <c r="Y749" s="137"/>
      <c r="Z749" s="124"/>
      <c r="AA749" s="124"/>
      <c r="AB749" s="124"/>
      <c r="AC749" s="124"/>
      <c r="AD749" s="124"/>
      <c r="AE749" s="124"/>
      <c r="AF749" s="124"/>
      <c r="AG749" s="124"/>
      <c r="AH749" s="124"/>
      <c r="AI749" s="124"/>
      <c r="AJ749" s="124"/>
      <c r="AK749" s="124"/>
      <c r="AL749" s="124"/>
      <c r="AM749" s="124"/>
      <c r="AN749" s="124"/>
      <c r="AO749" s="124"/>
      <c r="AP749" s="124"/>
      <c r="AS749" s="22"/>
      <c r="AT749" s="22"/>
      <c r="AU749" s="22"/>
      <c r="AV749" s="22"/>
      <c r="AW749" s="22"/>
      <c r="AX749" s="296"/>
      <c r="AY749" s="22"/>
      <c r="AZ749" s="22"/>
      <c r="BA749" s="22"/>
      <c r="BB749" s="140"/>
      <c r="BC749" s="22"/>
      <c r="BD749" s="137"/>
    </row>
    <row r="750" spans="7:83" s="20" customFormat="1">
      <c r="G750" s="123"/>
      <c r="H750" s="123"/>
      <c r="I750" s="123"/>
      <c r="J750" s="123"/>
      <c r="K750" s="123"/>
      <c r="X750" s="137"/>
      <c r="Y750" s="137"/>
      <c r="Z750" s="124"/>
      <c r="AA750" s="124"/>
      <c r="AB750" s="124"/>
      <c r="AC750" s="124"/>
      <c r="AD750" s="124"/>
      <c r="AE750" s="124"/>
      <c r="AF750" s="124"/>
      <c r="AG750" s="124"/>
      <c r="AH750" s="124"/>
      <c r="AI750" s="124"/>
      <c r="AJ750" s="124"/>
      <c r="AK750" s="124"/>
      <c r="AL750" s="124"/>
      <c r="AM750" s="124"/>
      <c r="AN750" s="124"/>
      <c r="AO750" s="124"/>
      <c r="AP750" s="124"/>
      <c r="AS750" s="22"/>
      <c r="AT750" s="22"/>
      <c r="AU750" s="22"/>
      <c r="AV750" s="22"/>
      <c r="AW750" s="22"/>
      <c r="AX750" s="296"/>
      <c r="AY750" s="22"/>
      <c r="AZ750" s="22"/>
      <c r="BA750" s="22"/>
      <c r="BB750" s="140"/>
      <c r="BC750" s="22"/>
      <c r="BD750" s="137"/>
    </row>
    <row r="751" spans="7:83" s="20" customFormat="1">
      <c r="G751" s="123"/>
      <c r="H751" s="123"/>
      <c r="I751" s="123"/>
      <c r="J751" s="123"/>
      <c r="K751" s="123"/>
      <c r="X751" s="137"/>
      <c r="Y751" s="137"/>
      <c r="Z751" s="124"/>
      <c r="AA751" s="124"/>
      <c r="AB751" s="124"/>
      <c r="AC751" s="124"/>
      <c r="AD751" s="124"/>
      <c r="AE751" s="124"/>
      <c r="AF751" s="124"/>
      <c r="AG751" s="124"/>
      <c r="AH751" s="124"/>
      <c r="AI751" s="124"/>
      <c r="AJ751" s="124"/>
      <c r="AK751" s="124"/>
      <c r="AL751" s="124"/>
      <c r="AM751" s="124"/>
      <c r="AN751" s="124"/>
      <c r="AO751" s="124"/>
      <c r="AP751" s="124"/>
      <c r="AS751" s="22"/>
      <c r="AT751" s="22"/>
      <c r="AU751" s="22"/>
      <c r="AV751" s="22"/>
      <c r="AW751" s="22"/>
      <c r="AX751" s="296"/>
      <c r="AY751" s="22"/>
      <c r="AZ751" s="22"/>
      <c r="BA751" s="22"/>
      <c r="BB751" s="140"/>
      <c r="BC751" s="22"/>
      <c r="BD751" s="137"/>
    </row>
    <row r="752" spans="7:83" s="20" customFormat="1">
      <c r="G752" s="123"/>
      <c r="H752" s="123"/>
      <c r="I752" s="123"/>
      <c r="J752" s="123"/>
      <c r="K752" s="123"/>
      <c r="X752" s="137"/>
      <c r="Y752" s="137"/>
      <c r="Z752" s="124"/>
      <c r="AA752" s="124"/>
      <c r="AB752" s="124"/>
      <c r="AC752" s="124"/>
      <c r="AD752" s="124"/>
      <c r="AE752" s="124"/>
      <c r="AF752" s="124"/>
      <c r="AG752" s="124"/>
      <c r="AH752" s="124"/>
      <c r="AI752" s="124"/>
      <c r="AJ752" s="124"/>
      <c r="AK752" s="124"/>
      <c r="AL752" s="124"/>
      <c r="AM752" s="124"/>
      <c r="AN752" s="124"/>
      <c r="AO752" s="124"/>
      <c r="AP752" s="124"/>
      <c r="AS752" s="22"/>
      <c r="AT752" s="22"/>
      <c r="AU752" s="22"/>
      <c r="AV752" s="22"/>
      <c r="AW752" s="22"/>
      <c r="AX752" s="296"/>
      <c r="AY752" s="22"/>
      <c r="AZ752" s="22"/>
      <c r="BA752" s="22"/>
      <c r="BB752" s="140"/>
      <c r="BC752" s="22"/>
      <c r="BD752" s="137"/>
    </row>
    <row r="753" spans="7:56" s="20" customFormat="1">
      <c r="G753" s="123"/>
      <c r="H753" s="123"/>
      <c r="I753" s="123"/>
      <c r="J753" s="123"/>
      <c r="K753" s="123"/>
      <c r="X753" s="137"/>
      <c r="Y753" s="137"/>
      <c r="Z753" s="124"/>
      <c r="AA753" s="124"/>
      <c r="AB753" s="124"/>
      <c r="AC753" s="124"/>
      <c r="AD753" s="124"/>
      <c r="AE753" s="124"/>
      <c r="AF753" s="124"/>
      <c r="AG753" s="124"/>
      <c r="AH753" s="124"/>
      <c r="AI753" s="124"/>
      <c r="AJ753" s="124"/>
      <c r="AK753" s="124"/>
      <c r="AL753" s="124"/>
      <c r="AM753" s="124"/>
      <c r="AN753" s="124"/>
      <c r="AO753" s="124"/>
      <c r="AP753" s="124"/>
      <c r="AS753" s="22"/>
      <c r="AT753" s="22"/>
      <c r="AU753" s="22"/>
      <c r="AV753" s="22"/>
      <c r="AW753" s="22"/>
      <c r="AX753" s="296"/>
      <c r="AY753" s="22"/>
      <c r="AZ753" s="22"/>
      <c r="BA753" s="22"/>
      <c r="BB753" s="140"/>
      <c r="BC753" s="22"/>
      <c r="BD753" s="137"/>
    </row>
    <row r="754" spans="7:56" s="20" customFormat="1">
      <c r="G754" s="123"/>
      <c r="H754" s="123"/>
      <c r="I754" s="123"/>
      <c r="J754" s="123"/>
      <c r="K754" s="123"/>
      <c r="X754" s="137"/>
      <c r="Y754" s="137"/>
      <c r="Z754" s="124"/>
      <c r="AA754" s="124"/>
      <c r="AB754" s="124"/>
      <c r="AC754" s="124"/>
      <c r="AD754" s="124"/>
      <c r="AE754" s="124"/>
      <c r="AF754" s="124"/>
      <c r="AG754" s="124"/>
      <c r="AH754" s="124"/>
      <c r="AI754" s="124"/>
      <c r="AJ754" s="124"/>
      <c r="AK754" s="124"/>
      <c r="AL754" s="124"/>
      <c r="AM754" s="124"/>
      <c r="AN754" s="124"/>
      <c r="AO754" s="124"/>
      <c r="AP754" s="124"/>
      <c r="AS754" s="22"/>
      <c r="AT754" s="22"/>
      <c r="AU754" s="22"/>
      <c r="AV754" s="22"/>
      <c r="AW754" s="22"/>
      <c r="AX754" s="296"/>
      <c r="AY754" s="22"/>
      <c r="AZ754" s="22"/>
      <c r="BA754" s="22"/>
      <c r="BB754" s="140"/>
      <c r="BC754" s="22"/>
      <c r="BD754" s="137"/>
    </row>
    <row r="755" spans="7:56" s="20" customFormat="1">
      <c r="G755" s="123"/>
      <c r="H755" s="123"/>
      <c r="I755" s="123"/>
      <c r="J755" s="123"/>
      <c r="K755" s="123"/>
      <c r="X755" s="137"/>
      <c r="Y755" s="137"/>
      <c r="Z755" s="124"/>
      <c r="AA755" s="124"/>
      <c r="AB755" s="124"/>
      <c r="AC755" s="124"/>
      <c r="AD755" s="124"/>
      <c r="AE755" s="124"/>
      <c r="AF755" s="124"/>
      <c r="AG755" s="124"/>
      <c r="AH755" s="124"/>
      <c r="AI755" s="124"/>
      <c r="AJ755" s="124"/>
      <c r="AK755" s="124"/>
      <c r="AL755" s="124"/>
      <c r="AM755" s="124"/>
      <c r="AN755" s="124"/>
      <c r="AO755" s="124"/>
      <c r="AP755" s="124"/>
      <c r="AS755" s="22"/>
      <c r="AT755" s="22"/>
      <c r="AU755" s="22"/>
      <c r="AV755" s="22"/>
      <c r="AW755" s="22"/>
      <c r="AX755" s="296"/>
      <c r="AY755" s="22"/>
      <c r="AZ755" s="22"/>
      <c r="BA755" s="22"/>
      <c r="BB755" s="140"/>
      <c r="BC755" s="22"/>
      <c r="BD755" s="137"/>
    </row>
    <row r="756" spans="7:56" s="20" customFormat="1">
      <c r="G756" s="123"/>
      <c r="H756" s="123"/>
      <c r="I756" s="123"/>
      <c r="J756" s="123"/>
      <c r="K756" s="123"/>
      <c r="X756" s="137"/>
      <c r="Y756" s="137"/>
      <c r="Z756" s="124"/>
      <c r="AA756" s="124"/>
      <c r="AB756" s="124"/>
      <c r="AC756" s="124"/>
      <c r="AD756" s="124"/>
      <c r="AE756" s="124"/>
      <c r="AF756" s="124"/>
      <c r="AG756" s="124"/>
      <c r="AH756" s="124"/>
      <c r="AI756" s="124"/>
      <c r="AJ756" s="124"/>
      <c r="AK756" s="124"/>
      <c r="AL756" s="124"/>
      <c r="AM756" s="124"/>
      <c r="AN756" s="124"/>
      <c r="AO756" s="124"/>
      <c r="AP756" s="124"/>
      <c r="AS756" s="22"/>
      <c r="AT756" s="22"/>
      <c r="AU756" s="22"/>
      <c r="AV756" s="22"/>
      <c r="AW756" s="22"/>
      <c r="AX756" s="296"/>
      <c r="AY756" s="22"/>
      <c r="AZ756" s="22"/>
      <c r="BA756" s="22"/>
      <c r="BB756" s="140"/>
      <c r="BC756" s="22"/>
      <c r="BD756" s="137"/>
    </row>
    <row r="757" spans="7:56" s="20" customFormat="1">
      <c r="G757" s="123"/>
      <c r="H757" s="123"/>
      <c r="I757" s="123"/>
      <c r="J757" s="123"/>
      <c r="K757" s="123"/>
      <c r="X757" s="137"/>
      <c r="Y757" s="137"/>
      <c r="Z757" s="124"/>
      <c r="AA757" s="124"/>
      <c r="AB757" s="124"/>
      <c r="AC757" s="124"/>
      <c r="AD757" s="124"/>
      <c r="AE757" s="124"/>
      <c r="AF757" s="124"/>
      <c r="AG757" s="124"/>
      <c r="AH757" s="124"/>
      <c r="AI757" s="124"/>
      <c r="AJ757" s="124"/>
      <c r="AK757" s="124"/>
      <c r="AL757" s="124"/>
      <c r="AM757" s="124"/>
      <c r="AN757" s="124"/>
      <c r="AO757" s="124"/>
      <c r="AP757" s="124"/>
      <c r="AS757" s="22"/>
      <c r="AT757" s="22"/>
      <c r="AU757" s="22"/>
      <c r="AV757" s="22"/>
      <c r="AW757" s="22"/>
      <c r="AX757" s="296"/>
      <c r="AY757" s="22"/>
      <c r="AZ757" s="22"/>
      <c r="BA757" s="22"/>
      <c r="BB757" s="140"/>
      <c r="BC757" s="22"/>
      <c r="BD757" s="137"/>
    </row>
    <row r="758" spans="7:56" s="20" customFormat="1">
      <c r="G758" s="123"/>
      <c r="H758" s="123"/>
      <c r="I758" s="123"/>
      <c r="J758" s="123"/>
      <c r="K758" s="123"/>
      <c r="X758" s="137"/>
      <c r="Y758" s="137"/>
      <c r="Z758" s="124"/>
      <c r="AA758" s="124"/>
      <c r="AB758" s="124"/>
      <c r="AC758" s="124"/>
      <c r="AD758" s="124"/>
      <c r="AE758" s="124"/>
      <c r="AF758" s="124"/>
      <c r="AG758" s="124"/>
      <c r="AH758" s="124"/>
      <c r="AI758" s="124"/>
      <c r="AJ758" s="124"/>
      <c r="AK758" s="124"/>
      <c r="AL758" s="124"/>
      <c r="AM758" s="124"/>
      <c r="AN758" s="124"/>
      <c r="AO758" s="124"/>
      <c r="AP758" s="124"/>
      <c r="AS758" s="22"/>
      <c r="AT758" s="22"/>
      <c r="AU758" s="22"/>
      <c r="AV758" s="22"/>
      <c r="AW758" s="22"/>
      <c r="AX758" s="296"/>
      <c r="AY758" s="22"/>
      <c r="AZ758" s="22"/>
      <c r="BA758" s="22"/>
      <c r="BB758" s="140"/>
      <c r="BC758" s="22"/>
      <c r="BD758" s="137"/>
    </row>
    <row r="759" spans="7:56" s="20" customFormat="1">
      <c r="G759" s="123"/>
      <c r="H759" s="123"/>
      <c r="I759" s="123"/>
      <c r="J759" s="123"/>
      <c r="K759" s="123"/>
      <c r="X759" s="137"/>
      <c r="Y759" s="137"/>
      <c r="Z759" s="124"/>
      <c r="AA759" s="124"/>
      <c r="AB759" s="124"/>
      <c r="AC759" s="124"/>
      <c r="AD759" s="124"/>
      <c r="AE759" s="124"/>
      <c r="AF759" s="124"/>
      <c r="AG759" s="124"/>
      <c r="AH759" s="124"/>
      <c r="AI759" s="124"/>
      <c r="AJ759" s="124"/>
      <c r="AK759" s="124"/>
      <c r="AL759" s="124"/>
      <c r="AM759" s="124"/>
      <c r="AN759" s="124"/>
      <c r="AO759" s="124"/>
      <c r="AP759" s="124"/>
      <c r="AS759" s="22"/>
      <c r="AT759" s="22"/>
      <c r="AU759" s="22"/>
      <c r="AV759" s="22"/>
      <c r="AW759" s="22"/>
      <c r="AX759" s="296"/>
      <c r="AY759" s="22"/>
      <c r="AZ759" s="22"/>
      <c r="BA759" s="22"/>
      <c r="BB759" s="140"/>
      <c r="BC759" s="22"/>
      <c r="BD759" s="137"/>
    </row>
    <row r="760" spans="7:56" s="20" customFormat="1">
      <c r="G760" s="123"/>
      <c r="H760" s="123"/>
      <c r="I760" s="123"/>
      <c r="J760" s="123"/>
      <c r="K760" s="123"/>
      <c r="X760" s="137"/>
      <c r="Y760" s="137"/>
      <c r="Z760" s="124"/>
      <c r="AA760" s="124"/>
      <c r="AB760" s="124"/>
      <c r="AC760" s="124"/>
      <c r="AD760" s="124"/>
      <c r="AE760" s="124"/>
      <c r="AF760" s="124"/>
      <c r="AG760" s="124"/>
      <c r="AH760" s="124"/>
      <c r="AI760" s="124"/>
      <c r="AJ760" s="124"/>
      <c r="AK760" s="124"/>
      <c r="AL760" s="124"/>
      <c r="AM760" s="124"/>
      <c r="AN760" s="124"/>
      <c r="AO760" s="124"/>
      <c r="AP760" s="124"/>
      <c r="AS760" s="22"/>
      <c r="AT760" s="22"/>
      <c r="AU760" s="22"/>
      <c r="AV760" s="22"/>
      <c r="AW760" s="22"/>
      <c r="AX760" s="296"/>
      <c r="AY760" s="22"/>
      <c r="AZ760" s="22"/>
      <c r="BA760" s="22"/>
      <c r="BB760" s="140"/>
      <c r="BC760" s="22"/>
      <c r="BD760" s="137"/>
    </row>
    <row r="761" spans="7:56" s="20" customFormat="1">
      <c r="G761" s="123"/>
      <c r="H761" s="123"/>
      <c r="I761" s="123"/>
      <c r="J761" s="123"/>
      <c r="K761" s="123"/>
      <c r="X761" s="137"/>
      <c r="Y761" s="137"/>
      <c r="Z761" s="124"/>
      <c r="AA761" s="124"/>
      <c r="AB761" s="124"/>
      <c r="AC761" s="124"/>
      <c r="AD761" s="124"/>
      <c r="AE761" s="124"/>
      <c r="AF761" s="124"/>
      <c r="AG761" s="124"/>
      <c r="AH761" s="124"/>
      <c r="AI761" s="124"/>
      <c r="AJ761" s="124"/>
      <c r="AK761" s="124"/>
      <c r="AL761" s="124"/>
      <c r="AM761" s="124"/>
      <c r="AN761" s="124"/>
      <c r="AO761" s="124"/>
      <c r="AP761" s="124"/>
      <c r="AS761" s="22"/>
      <c r="AT761" s="22"/>
      <c r="AU761" s="22"/>
      <c r="AV761" s="22"/>
      <c r="AW761" s="22"/>
      <c r="AX761" s="296"/>
      <c r="AY761" s="22"/>
      <c r="AZ761" s="22"/>
      <c r="BA761" s="22"/>
      <c r="BB761" s="140"/>
      <c r="BC761" s="22"/>
      <c r="BD761" s="137"/>
    </row>
    <row r="762" spans="7:56" s="20" customFormat="1">
      <c r="G762" s="123"/>
      <c r="H762" s="123"/>
      <c r="I762" s="123"/>
      <c r="J762" s="123"/>
      <c r="K762" s="123"/>
      <c r="X762" s="137"/>
      <c r="Y762" s="137"/>
      <c r="Z762" s="124"/>
      <c r="AA762" s="124"/>
      <c r="AB762" s="124"/>
      <c r="AC762" s="124"/>
      <c r="AD762" s="124"/>
      <c r="AE762" s="124"/>
      <c r="AF762" s="124"/>
      <c r="AG762" s="124"/>
      <c r="AH762" s="124"/>
      <c r="AI762" s="124"/>
      <c r="AJ762" s="124"/>
      <c r="AK762" s="124"/>
      <c r="AL762" s="124"/>
      <c r="AM762" s="124"/>
      <c r="AN762" s="124"/>
      <c r="AO762" s="124"/>
      <c r="AP762" s="124"/>
      <c r="AS762" s="22"/>
      <c r="AT762" s="22"/>
      <c r="AU762" s="22"/>
      <c r="AV762" s="22"/>
      <c r="AW762" s="22"/>
      <c r="AX762" s="296"/>
      <c r="AY762" s="22"/>
      <c r="AZ762" s="22"/>
      <c r="BA762" s="22"/>
      <c r="BB762" s="140"/>
      <c r="BC762" s="22"/>
      <c r="BD762" s="137"/>
    </row>
    <row r="763" spans="7:56" s="20" customFormat="1">
      <c r="G763" s="123"/>
      <c r="H763" s="123"/>
      <c r="I763" s="123"/>
      <c r="J763" s="123"/>
      <c r="K763" s="123"/>
      <c r="X763" s="137"/>
      <c r="Y763" s="137"/>
      <c r="Z763" s="124"/>
      <c r="AA763" s="124"/>
      <c r="AB763" s="124"/>
      <c r="AC763" s="124"/>
      <c r="AD763" s="124"/>
      <c r="AE763" s="124"/>
      <c r="AF763" s="124"/>
      <c r="AG763" s="124"/>
      <c r="AH763" s="124"/>
      <c r="AI763" s="124"/>
      <c r="AJ763" s="124"/>
      <c r="AK763" s="124"/>
      <c r="AL763" s="124"/>
      <c r="AM763" s="124"/>
      <c r="AN763" s="124"/>
      <c r="AO763" s="124"/>
      <c r="AP763" s="124"/>
      <c r="AS763" s="22"/>
      <c r="AT763" s="22"/>
      <c r="AU763" s="22"/>
      <c r="AV763" s="22"/>
      <c r="AW763" s="22"/>
      <c r="AX763" s="296"/>
      <c r="AY763" s="22"/>
      <c r="AZ763" s="22"/>
      <c r="BA763" s="22"/>
      <c r="BB763" s="140"/>
      <c r="BC763" s="22"/>
      <c r="BD763" s="137"/>
    </row>
    <row r="764" spans="7:56" s="20" customFormat="1">
      <c r="G764" s="123"/>
      <c r="H764" s="123"/>
      <c r="I764" s="123"/>
      <c r="J764" s="123"/>
      <c r="K764" s="123"/>
      <c r="X764" s="137"/>
      <c r="Y764" s="137"/>
      <c r="Z764" s="124"/>
      <c r="AA764" s="124"/>
      <c r="AB764" s="124"/>
      <c r="AC764" s="124"/>
      <c r="AD764" s="124"/>
      <c r="AE764" s="124"/>
      <c r="AF764" s="124"/>
      <c r="AG764" s="124"/>
      <c r="AH764" s="124"/>
      <c r="AI764" s="124"/>
      <c r="AJ764" s="124"/>
      <c r="AK764" s="124"/>
      <c r="AL764" s="124"/>
      <c r="AM764" s="124"/>
      <c r="AN764" s="124"/>
      <c r="AO764" s="124"/>
      <c r="AP764" s="124"/>
      <c r="AS764" s="22"/>
      <c r="AT764" s="22"/>
      <c r="AU764" s="22"/>
      <c r="AV764" s="22"/>
      <c r="AW764" s="22"/>
      <c r="AX764" s="296"/>
      <c r="AY764" s="22"/>
      <c r="AZ764" s="22"/>
      <c r="BA764" s="22"/>
      <c r="BB764" s="140"/>
      <c r="BC764" s="22"/>
      <c r="BD764" s="137"/>
    </row>
    <row r="765" spans="7:56" s="20" customFormat="1">
      <c r="G765" s="123"/>
      <c r="H765" s="123"/>
      <c r="I765" s="123"/>
      <c r="J765" s="123"/>
      <c r="K765" s="123"/>
      <c r="X765" s="137"/>
      <c r="Y765" s="137"/>
      <c r="Z765" s="124"/>
      <c r="AA765" s="124"/>
      <c r="AB765" s="124"/>
      <c r="AC765" s="124"/>
      <c r="AD765" s="124"/>
      <c r="AE765" s="124"/>
      <c r="AF765" s="124"/>
      <c r="AG765" s="124"/>
      <c r="AH765" s="124"/>
      <c r="AI765" s="124"/>
      <c r="AJ765" s="124"/>
      <c r="AK765" s="124"/>
      <c r="AL765" s="124"/>
      <c r="AM765" s="124"/>
      <c r="AN765" s="124"/>
      <c r="AO765" s="124"/>
      <c r="AP765" s="124"/>
      <c r="AS765" s="22"/>
      <c r="AT765" s="22"/>
      <c r="AU765" s="22"/>
      <c r="AV765" s="22"/>
      <c r="AW765" s="22"/>
      <c r="AX765" s="296"/>
      <c r="AY765" s="22"/>
      <c r="AZ765" s="22"/>
      <c r="BA765" s="22"/>
      <c r="BB765" s="140"/>
      <c r="BC765" s="22"/>
      <c r="BD765" s="137"/>
    </row>
    <row r="766" spans="7:56" s="20" customFormat="1">
      <c r="G766" s="123"/>
      <c r="H766" s="123"/>
      <c r="I766" s="123"/>
      <c r="J766" s="123"/>
      <c r="K766" s="123"/>
      <c r="X766" s="137"/>
      <c r="Y766" s="137"/>
      <c r="Z766" s="124"/>
      <c r="AA766" s="124"/>
      <c r="AB766" s="124"/>
      <c r="AC766" s="124"/>
      <c r="AD766" s="124"/>
      <c r="AE766" s="124"/>
      <c r="AF766" s="124"/>
      <c r="AG766" s="124"/>
      <c r="AH766" s="124"/>
      <c r="AI766" s="124"/>
      <c r="AJ766" s="124"/>
      <c r="AK766" s="124"/>
      <c r="AL766" s="124"/>
      <c r="AM766" s="124"/>
      <c r="AN766" s="124"/>
      <c r="AO766" s="124"/>
      <c r="AP766" s="124"/>
      <c r="AS766" s="22"/>
      <c r="AT766" s="22"/>
      <c r="AU766" s="22"/>
      <c r="AV766" s="22"/>
      <c r="AW766" s="22"/>
      <c r="AX766" s="296"/>
      <c r="AY766" s="22"/>
      <c r="AZ766" s="22"/>
      <c r="BA766" s="22"/>
      <c r="BB766" s="140"/>
      <c r="BC766" s="22"/>
      <c r="BD766" s="137"/>
    </row>
    <row r="767" spans="7:56" s="20" customFormat="1">
      <c r="G767" s="123"/>
      <c r="H767" s="123"/>
      <c r="I767" s="123"/>
      <c r="J767" s="123"/>
      <c r="K767" s="123"/>
      <c r="X767" s="137"/>
      <c r="Y767" s="137"/>
      <c r="Z767" s="124"/>
      <c r="AA767" s="124"/>
      <c r="AB767" s="124"/>
      <c r="AC767" s="124"/>
      <c r="AD767" s="124"/>
      <c r="AE767" s="124"/>
      <c r="AF767" s="124"/>
      <c r="AG767" s="124"/>
      <c r="AH767" s="124"/>
      <c r="AI767" s="124"/>
      <c r="AJ767" s="124"/>
      <c r="AK767" s="124"/>
      <c r="AL767" s="124"/>
      <c r="AM767" s="124"/>
      <c r="AN767" s="124"/>
      <c r="AO767" s="124"/>
      <c r="AP767" s="124"/>
      <c r="AS767" s="22"/>
      <c r="AT767" s="22"/>
      <c r="AU767" s="22"/>
      <c r="AV767" s="22"/>
      <c r="AW767" s="22"/>
      <c r="AX767" s="296"/>
      <c r="AY767" s="22"/>
      <c r="AZ767" s="22"/>
      <c r="BA767" s="22"/>
      <c r="BB767" s="140"/>
      <c r="BC767" s="22"/>
      <c r="BD767" s="137"/>
    </row>
    <row r="768" spans="7:56" s="20" customFormat="1">
      <c r="G768" s="123"/>
      <c r="H768" s="123"/>
      <c r="I768" s="123"/>
      <c r="J768" s="123"/>
      <c r="K768" s="123"/>
      <c r="X768" s="137"/>
      <c r="Y768" s="137"/>
      <c r="Z768" s="124"/>
      <c r="AA768" s="124"/>
      <c r="AB768" s="124"/>
      <c r="AC768" s="124"/>
      <c r="AD768" s="124"/>
      <c r="AE768" s="124"/>
      <c r="AF768" s="124"/>
      <c r="AG768" s="124"/>
      <c r="AH768" s="124"/>
      <c r="AI768" s="124"/>
      <c r="AJ768" s="124"/>
      <c r="AK768" s="124"/>
      <c r="AL768" s="124"/>
      <c r="AM768" s="124"/>
      <c r="AN768" s="124"/>
      <c r="AO768" s="124"/>
      <c r="AP768" s="124"/>
      <c r="AS768" s="22"/>
      <c r="AT768" s="22"/>
      <c r="AU768" s="22"/>
      <c r="AV768" s="22"/>
      <c r="AW768" s="22"/>
      <c r="AX768" s="296"/>
      <c r="AY768" s="22"/>
      <c r="AZ768" s="22"/>
      <c r="BA768" s="22"/>
      <c r="BB768" s="140"/>
      <c r="BC768" s="22"/>
      <c r="BD768" s="137"/>
    </row>
    <row r="769" spans="7:56" s="20" customFormat="1">
      <c r="G769" s="123"/>
      <c r="H769" s="123"/>
      <c r="I769" s="123"/>
      <c r="J769" s="123"/>
      <c r="K769" s="123"/>
      <c r="X769" s="137"/>
      <c r="Y769" s="137"/>
      <c r="Z769" s="124"/>
      <c r="AA769" s="124"/>
      <c r="AB769" s="124"/>
      <c r="AC769" s="124"/>
      <c r="AD769" s="124"/>
      <c r="AE769" s="124"/>
      <c r="AF769" s="124"/>
      <c r="AG769" s="124"/>
      <c r="AH769" s="124"/>
      <c r="AI769" s="124"/>
      <c r="AJ769" s="124"/>
      <c r="AK769" s="124"/>
      <c r="AL769" s="124"/>
      <c r="AM769" s="124"/>
      <c r="AN769" s="124"/>
      <c r="AO769" s="124"/>
      <c r="AP769" s="124"/>
      <c r="AS769" s="22"/>
      <c r="AT769" s="22"/>
      <c r="AU769" s="22"/>
      <c r="AV769" s="22"/>
      <c r="AW769" s="22"/>
      <c r="AX769" s="296"/>
      <c r="AY769" s="22"/>
      <c r="AZ769" s="22"/>
      <c r="BA769" s="22"/>
      <c r="BB769" s="140"/>
      <c r="BC769" s="22"/>
      <c r="BD769" s="137"/>
    </row>
    <row r="770" spans="7:56" s="20" customFormat="1">
      <c r="G770" s="123"/>
      <c r="H770" s="123"/>
      <c r="I770" s="123"/>
      <c r="J770" s="123"/>
      <c r="K770" s="123"/>
      <c r="X770" s="137"/>
      <c r="Y770" s="137"/>
      <c r="Z770" s="124"/>
      <c r="AA770" s="124"/>
      <c r="AB770" s="124"/>
      <c r="AC770" s="124"/>
      <c r="AD770" s="124"/>
      <c r="AE770" s="124"/>
      <c r="AF770" s="124"/>
      <c r="AG770" s="124"/>
      <c r="AH770" s="124"/>
      <c r="AI770" s="124"/>
      <c r="AJ770" s="124"/>
      <c r="AK770" s="124"/>
      <c r="AL770" s="124"/>
      <c r="AM770" s="124"/>
      <c r="AN770" s="124"/>
      <c r="AO770" s="124"/>
      <c r="AP770" s="124"/>
      <c r="AS770" s="22"/>
      <c r="AT770" s="22"/>
      <c r="AU770" s="22"/>
      <c r="AV770" s="22"/>
      <c r="AW770" s="22"/>
      <c r="AX770" s="296"/>
      <c r="AY770" s="22"/>
      <c r="AZ770" s="22"/>
      <c r="BA770" s="22"/>
      <c r="BB770" s="140"/>
      <c r="BC770" s="22"/>
      <c r="BD770" s="137"/>
    </row>
    <row r="771" spans="7:56" s="20" customFormat="1">
      <c r="G771" s="123"/>
      <c r="H771" s="123"/>
      <c r="I771" s="123"/>
      <c r="J771" s="123"/>
      <c r="K771" s="123"/>
      <c r="X771" s="137"/>
      <c r="Y771" s="137"/>
      <c r="Z771" s="124"/>
      <c r="AA771" s="124"/>
      <c r="AB771" s="124"/>
      <c r="AC771" s="124"/>
      <c r="AD771" s="124"/>
      <c r="AE771" s="124"/>
      <c r="AF771" s="124"/>
      <c r="AG771" s="124"/>
      <c r="AH771" s="124"/>
      <c r="AI771" s="124"/>
      <c r="AJ771" s="124"/>
      <c r="AK771" s="124"/>
      <c r="AL771" s="124"/>
      <c r="AM771" s="124"/>
      <c r="AN771" s="124"/>
      <c r="AO771" s="124"/>
      <c r="AP771" s="124"/>
      <c r="AS771" s="22"/>
      <c r="AT771" s="22"/>
      <c r="AU771" s="22"/>
      <c r="AV771" s="22"/>
      <c r="AW771" s="22"/>
      <c r="AX771" s="296"/>
      <c r="AY771" s="22"/>
      <c r="AZ771" s="22"/>
      <c r="BA771" s="22"/>
      <c r="BB771" s="140"/>
      <c r="BC771" s="22"/>
      <c r="BD771" s="137"/>
    </row>
    <row r="772" spans="7:56" s="20" customFormat="1">
      <c r="G772" s="123"/>
      <c r="H772" s="123"/>
      <c r="I772" s="123"/>
      <c r="J772" s="123"/>
      <c r="K772" s="123"/>
      <c r="X772" s="137"/>
      <c r="Y772" s="137"/>
      <c r="Z772" s="124"/>
      <c r="AA772" s="124"/>
      <c r="AB772" s="124"/>
      <c r="AC772" s="124"/>
      <c r="AD772" s="124"/>
      <c r="AE772" s="124"/>
      <c r="AF772" s="124"/>
      <c r="AG772" s="124"/>
      <c r="AH772" s="124"/>
      <c r="AI772" s="124"/>
      <c r="AJ772" s="124"/>
      <c r="AK772" s="124"/>
      <c r="AL772" s="124"/>
      <c r="AM772" s="124"/>
      <c r="AN772" s="124"/>
      <c r="AO772" s="124"/>
      <c r="AP772" s="124"/>
      <c r="AS772" s="22"/>
      <c r="AT772" s="22"/>
      <c r="AU772" s="22"/>
      <c r="AV772" s="22"/>
      <c r="AW772" s="22"/>
      <c r="AX772" s="296"/>
      <c r="AY772" s="22"/>
      <c r="AZ772" s="22"/>
      <c r="BA772" s="22"/>
      <c r="BB772" s="140"/>
      <c r="BC772" s="22"/>
      <c r="BD772" s="137"/>
    </row>
    <row r="773" spans="7:56" s="20" customFormat="1">
      <c r="G773" s="123"/>
      <c r="H773" s="123"/>
      <c r="I773" s="123"/>
      <c r="J773" s="123"/>
      <c r="K773" s="123"/>
      <c r="X773" s="137"/>
      <c r="Y773" s="137"/>
      <c r="Z773" s="124"/>
      <c r="AA773" s="124"/>
      <c r="AB773" s="124"/>
      <c r="AC773" s="124"/>
      <c r="AD773" s="124"/>
      <c r="AE773" s="124"/>
      <c r="AF773" s="124"/>
      <c r="AG773" s="124"/>
      <c r="AH773" s="124"/>
      <c r="AI773" s="124"/>
      <c r="AJ773" s="124"/>
      <c r="AK773" s="124"/>
      <c r="AL773" s="124"/>
      <c r="AM773" s="124"/>
      <c r="AN773" s="124"/>
      <c r="AO773" s="124"/>
      <c r="AP773" s="124"/>
      <c r="AS773" s="22"/>
      <c r="AT773" s="22"/>
      <c r="AU773" s="22"/>
      <c r="AV773" s="22"/>
      <c r="AW773" s="22"/>
      <c r="AX773" s="296"/>
      <c r="AY773" s="22"/>
      <c r="AZ773" s="22"/>
      <c r="BA773" s="22"/>
      <c r="BB773" s="140"/>
      <c r="BC773" s="22"/>
      <c r="BD773" s="137"/>
    </row>
    <row r="774" spans="7:56" s="20" customFormat="1">
      <c r="G774" s="123"/>
      <c r="H774" s="123"/>
      <c r="I774" s="123"/>
      <c r="J774" s="123"/>
      <c r="K774" s="123"/>
      <c r="X774" s="137"/>
      <c r="Y774" s="137"/>
      <c r="Z774" s="124"/>
      <c r="AA774" s="124"/>
      <c r="AB774" s="124"/>
      <c r="AC774" s="124"/>
      <c r="AD774" s="124"/>
      <c r="AE774" s="124"/>
      <c r="AF774" s="124"/>
      <c r="AG774" s="124"/>
      <c r="AH774" s="124"/>
      <c r="AI774" s="124"/>
      <c r="AJ774" s="124"/>
      <c r="AK774" s="124"/>
      <c r="AL774" s="124"/>
      <c r="AM774" s="124"/>
      <c r="AN774" s="124"/>
      <c r="AO774" s="124"/>
      <c r="AP774" s="124"/>
      <c r="AS774" s="22"/>
      <c r="AT774" s="22"/>
      <c r="AU774" s="22"/>
      <c r="AV774" s="22"/>
      <c r="AW774" s="22"/>
      <c r="AX774" s="296"/>
      <c r="AY774" s="22"/>
      <c r="AZ774" s="22"/>
      <c r="BA774" s="22"/>
      <c r="BB774" s="140"/>
      <c r="BC774" s="22"/>
      <c r="BD774" s="137"/>
    </row>
    <row r="775" spans="7:56" s="20" customFormat="1">
      <c r="G775" s="123"/>
      <c r="H775" s="123"/>
      <c r="I775" s="123"/>
      <c r="J775" s="123"/>
      <c r="K775" s="123"/>
      <c r="X775" s="137"/>
      <c r="Y775" s="137"/>
      <c r="Z775" s="124"/>
      <c r="AA775" s="124"/>
      <c r="AB775" s="124"/>
      <c r="AC775" s="124"/>
      <c r="AD775" s="124"/>
      <c r="AE775" s="124"/>
      <c r="AF775" s="124"/>
      <c r="AG775" s="124"/>
      <c r="AH775" s="124"/>
      <c r="AI775" s="124"/>
      <c r="AJ775" s="124"/>
      <c r="AK775" s="124"/>
      <c r="AL775" s="124"/>
      <c r="AM775" s="124"/>
      <c r="AN775" s="124"/>
      <c r="AO775" s="124"/>
      <c r="AP775" s="124"/>
      <c r="AS775" s="22"/>
      <c r="AT775" s="22"/>
      <c r="AU775" s="22"/>
      <c r="AV775" s="22"/>
      <c r="AW775" s="22"/>
      <c r="AX775" s="296"/>
      <c r="AY775" s="22"/>
      <c r="AZ775" s="22"/>
      <c r="BA775" s="22"/>
      <c r="BB775" s="140"/>
      <c r="BC775" s="22"/>
      <c r="BD775" s="137"/>
    </row>
    <row r="776" spans="7:56" s="20" customFormat="1">
      <c r="G776" s="123"/>
      <c r="H776" s="123"/>
      <c r="I776" s="123"/>
      <c r="J776" s="123"/>
      <c r="K776" s="123"/>
      <c r="X776" s="137"/>
      <c r="Y776" s="137"/>
      <c r="Z776" s="124"/>
      <c r="AA776" s="124"/>
      <c r="AB776" s="124"/>
      <c r="AC776" s="124"/>
      <c r="AD776" s="124"/>
      <c r="AE776" s="124"/>
      <c r="AF776" s="124"/>
      <c r="AG776" s="124"/>
      <c r="AH776" s="124"/>
      <c r="AI776" s="124"/>
      <c r="AJ776" s="124"/>
      <c r="AK776" s="124"/>
      <c r="AL776" s="124"/>
      <c r="AM776" s="124"/>
      <c r="AN776" s="124"/>
      <c r="AO776" s="124"/>
      <c r="AP776" s="124"/>
      <c r="AS776" s="22"/>
      <c r="AT776" s="22"/>
      <c r="AU776" s="22"/>
      <c r="AV776" s="22"/>
      <c r="AW776" s="22"/>
      <c r="AX776" s="296"/>
      <c r="AY776" s="22"/>
      <c r="AZ776" s="22"/>
      <c r="BA776" s="22"/>
      <c r="BB776" s="140"/>
      <c r="BC776" s="22"/>
      <c r="BD776" s="137"/>
    </row>
    <row r="777" spans="7:56" s="20" customFormat="1">
      <c r="G777" s="123"/>
      <c r="H777" s="123"/>
      <c r="I777" s="123"/>
      <c r="J777" s="123"/>
      <c r="K777" s="123"/>
      <c r="X777" s="137"/>
      <c r="Y777" s="137"/>
      <c r="Z777" s="124"/>
      <c r="AA777" s="124"/>
      <c r="AB777" s="124"/>
      <c r="AC777" s="124"/>
      <c r="AD777" s="124"/>
      <c r="AE777" s="124"/>
      <c r="AF777" s="124"/>
      <c r="AG777" s="124"/>
      <c r="AH777" s="124"/>
      <c r="AI777" s="124"/>
      <c r="AJ777" s="124"/>
      <c r="AK777" s="124"/>
      <c r="AL777" s="124"/>
      <c r="AM777" s="124"/>
      <c r="AN777" s="124"/>
      <c r="AO777" s="124"/>
      <c r="AP777" s="124"/>
      <c r="AS777" s="22"/>
      <c r="AT777" s="22"/>
      <c r="AU777" s="22"/>
      <c r="AV777" s="22"/>
      <c r="AW777" s="22"/>
      <c r="AX777" s="296"/>
      <c r="AY777" s="22"/>
      <c r="AZ777" s="22"/>
      <c r="BA777" s="22"/>
      <c r="BB777" s="140"/>
      <c r="BC777" s="22"/>
      <c r="BD777" s="137"/>
    </row>
    <row r="778" spans="7:56" s="20" customFormat="1">
      <c r="G778" s="123"/>
      <c r="H778" s="123"/>
      <c r="I778" s="123"/>
      <c r="J778" s="123"/>
      <c r="K778" s="123"/>
      <c r="X778" s="137"/>
      <c r="Y778" s="137"/>
      <c r="Z778" s="124"/>
      <c r="AA778" s="124"/>
      <c r="AB778" s="124"/>
      <c r="AC778" s="124"/>
      <c r="AD778" s="124"/>
      <c r="AE778" s="124"/>
      <c r="AF778" s="124"/>
      <c r="AG778" s="124"/>
      <c r="AH778" s="124"/>
      <c r="AI778" s="124"/>
      <c r="AJ778" s="124"/>
      <c r="AK778" s="124"/>
      <c r="AL778" s="124"/>
      <c r="AM778" s="124"/>
      <c r="AN778" s="124"/>
      <c r="AO778" s="124"/>
      <c r="AP778" s="124"/>
      <c r="AS778" s="22"/>
      <c r="AT778" s="22"/>
      <c r="AU778" s="22"/>
      <c r="AV778" s="22"/>
      <c r="AW778" s="22"/>
      <c r="AX778" s="296"/>
      <c r="AY778" s="22"/>
      <c r="AZ778" s="22"/>
      <c r="BA778" s="22"/>
      <c r="BB778" s="140"/>
      <c r="BC778" s="22"/>
      <c r="BD778" s="137"/>
    </row>
    <row r="779" spans="7:56" s="20" customFormat="1">
      <c r="G779" s="123"/>
      <c r="H779" s="123"/>
      <c r="I779" s="123"/>
      <c r="J779" s="123"/>
      <c r="K779" s="123"/>
      <c r="X779" s="137"/>
      <c r="Y779" s="137"/>
      <c r="Z779" s="124"/>
      <c r="AA779" s="124"/>
      <c r="AB779" s="124"/>
      <c r="AC779" s="124"/>
      <c r="AD779" s="124"/>
      <c r="AE779" s="124"/>
      <c r="AF779" s="124"/>
      <c r="AG779" s="124"/>
      <c r="AH779" s="124"/>
      <c r="AI779" s="124"/>
      <c r="AJ779" s="124"/>
      <c r="AK779" s="124"/>
      <c r="AL779" s="124"/>
      <c r="AM779" s="124"/>
      <c r="AN779" s="124"/>
      <c r="AO779" s="124"/>
      <c r="AP779" s="124"/>
      <c r="AS779" s="22"/>
      <c r="AT779" s="22"/>
      <c r="AU779" s="22"/>
      <c r="AV779" s="22"/>
      <c r="AW779" s="22"/>
      <c r="AX779" s="296"/>
      <c r="AY779" s="22"/>
      <c r="AZ779" s="22"/>
      <c r="BA779" s="22"/>
      <c r="BB779" s="140"/>
      <c r="BC779" s="22"/>
      <c r="BD779" s="137"/>
    </row>
    <row r="780" spans="7:56" s="20" customFormat="1">
      <c r="G780" s="123"/>
      <c r="H780" s="123"/>
      <c r="I780" s="123"/>
      <c r="J780" s="123"/>
      <c r="K780" s="123"/>
      <c r="X780" s="137"/>
      <c r="Y780" s="137"/>
      <c r="Z780" s="124"/>
      <c r="AA780" s="124"/>
      <c r="AB780" s="124"/>
      <c r="AC780" s="124"/>
      <c r="AD780" s="124"/>
      <c r="AE780" s="124"/>
      <c r="AF780" s="124"/>
      <c r="AG780" s="124"/>
      <c r="AH780" s="124"/>
      <c r="AI780" s="124"/>
      <c r="AJ780" s="124"/>
      <c r="AK780" s="124"/>
      <c r="AL780" s="124"/>
      <c r="AM780" s="124"/>
      <c r="AN780" s="124"/>
      <c r="AO780" s="124"/>
      <c r="AP780" s="124"/>
      <c r="AS780" s="22"/>
      <c r="AT780" s="22"/>
      <c r="AU780" s="22"/>
      <c r="AV780" s="22"/>
      <c r="AW780" s="22"/>
      <c r="AX780" s="296"/>
      <c r="AY780" s="22"/>
      <c r="AZ780" s="22"/>
      <c r="BA780" s="22"/>
      <c r="BB780" s="140"/>
      <c r="BC780" s="22"/>
      <c r="BD780" s="137"/>
    </row>
    <row r="781" spans="7:56" s="20" customFormat="1">
      <c r="G781" s="123"/>
      <c r="H781" s="123"/>
      <c r="I781" s="123"/>
      <c r="J781" s="123"/>
      <c r="K781" s="123"/>
      <c r="X781" s="137"/>
      <c r="Y781" s="137"/>
      <c r="Z781" s="124"/>
      <c r="AA781" s="124"/>
      <c r="AB781" s="124"/>
      <c r="AC781" s="124"/>
      <c r="AD781" s="124"/>
      <c r="AE781" s="124"/>
      <c r="AF781" s="124"/>
      <c r="AG781" s="124"/>
      <c r="AH781" s="124"/>
      <c r="AI781" s="124"/>
      <c r="AJ781" s="124"/>
      <c r="AK781" s="124"/>
      <c r="AL781" s="124"/>
      <c r="AM781" s="124"/>
      <c r="AN781" s="124"/>
      <c r="AO781" s="124"/>
      <c r="AP781" s="124"/>
      <c r="AS781" s="22"/>
      <c r="AT781" s="22"/>
      <c r="AU781" s="22"/>
      <c r="AV781" s="22"/>
      <c r="AW781" s="22"/>
      <c r="AX781" s="296"/>
      <c r="AY781" s="22"/>
      <c r="AZ781" s="22"/>
      <c r="BA781" s="22"/>
      <c r="BB781" s="140"/>
      <c r="BC781" s="22"/>
      <c r="BD781" s="137"/>
    </row>
    <row r="782" spans="7:56" s="20" customFormat="1">
      <c r="G782" s="123"/>
      <c r="H782" s="123"/>
      <c r="I782" s="123"/>
      <c r="J782" s="123"/>
      <c r="K782" s="123"/>
      <c r="X782" s="137"/>
      <c r="Y782" s="137"/>
      <c r="Z782" s="124"/>
      <c r="AA782" s="124"/>
      <c r="AB782" s="124"/>
      <c r="AC782" s="124"/>
      <c r="AD782" s="124"/>
      <c r="AE782" s="124"/>
      <c r="AF782" s="124"/>
      <c r="AG782" s="124"/>
      <c r="AH782" s="124"/>
      <c r="AI782" s="124"/>
      <c r="AJ782" s="124"/>
      <c r="AK782" s="124"/>
      <c r="AL782" s="124"/>
      <c r="AM782" s="124"/>
      <c r="AN782" s="124"/>
      <c r="AO782" s="124"/>
      <c r="AP782" s="124"/>
      <c r="AS782" s="22"/>
      <c r="AT782" s="22"/>
      <c r="AU782" s="22"/>
      <c r="AV782" s="22"/>
      <c r="AW782" s="22"/>
      <c r="AX782" s="296"/>
      <c r="AY782" s="22"/>
      <c r="AZ782" s="22"/>
      <c r="BA782" s="22"/>
      <c r="BB782" s="140"/>
      <c r="BC782" s="22"/>
      <c r="BD782" s="137"/>
    </row>
    <row r="783" spans="7:56" s="20" customFormat="1">
      <c r="G783" s="123"/>
      <c r="H783" s="123"/>
      <c r="I783" s="123"/>
      <c r="J783" s="123"/>
      <c r="K783" s="123"/>
      <c r="X783" s="137"/>
      <c r="Y783" s="137"/>
      <c r="Z783" s="124"/>
      <c r="AA783" s="124"/>
      <c r="AB783" s="124"/>
      <c r="AC783" s="124"/>
      <c r="AD783" s="124"/>
      <c r="AE783" s="124"/>
      <c r="AF783" s="124"/>
      <c r="AG783" s="124"/>
      <c r="AH783" s="124"/>
      <c r="AI783" s="124"/>
      <c r="AJ783" s="124"/>
      <c r="AK783" s="124"/>
      <c r="AL783" s="124"/>
      <c r="AM783" s="124"/>
      <c r="AN783" s="124"/>
      <c r="AO783" s="124"/>
      <c r="AP783" s="124"/>
      <c r="AS783" s="22"/>
      <c r="AT783" s="22"/>
      <c r="AU783" s="22"/>
      <c r="AV783" s="22"/>
      <c r="AW783" s="22"/>
      <c r="AX783" s="296"/>
      <c r="AY783" s="22"/>
      <c r="AZ783" s="22"/>
      <c r="BA783" s="22"/>
      <c r="BB783" s="140"/>
      <c r="BC783" s="22"/>
      <c r="BD783" s="137"/>
    </row>
    <row r="784" spans="7:56" s="20" customFormat="1">
      <c r="G784" s="123"/>
      <c r="H784" s="123"/>
      <c r="I784" s="123"/>
      <c r="J784" s="123"/>
      <c r="K784" s="123"/>
      <c r="X784" s="137"/>
      <c r="Y784" s="137"/>
      <c r="Z784" s="124"/>
      <c r="AA784" s="124"/>
      <c r="AB784" s="124"/>
      <c r="AC784" s="124"/>
      <c r="AD784" s="124"/>
      <c r="AE784" s="124"/>
      <c r="AF784" s="124"/>
      <c r="AG784" s="124"/>
      <c r="AH784" s="124"/>
      <c r="AI784" s="124"/>
      <c r="AJ784" s="124"/>
      <c r="AK784" s="124"/>
      <c r="AL784" s="124"/>
      <c r="AM784" s="124"/>
      <c r="AN784" s="124"/>
      <c r="AO784" s="124"/>
      <c r="AP784" s="124"/>
      <c r="AS784" s="22"/>
      <c r="AT784" s="22"/>
      <c r="AU784" s="22"/>
      <c r="AV784" s="22"/>
      <c r="AW784" s="22"/>
      <c r="AX784" s="296"/>
      <c r="AY784" s="22"/>
      <c r="AZ784" s="22"/>
      <c r="BA784" s="22"/>
      <c r="BB784" s="140"/>
      <c r="BC784" s="22"/>
      <c r="BD784" s="137"/>
    </row>
    <row r="785" spans="7:56" s="20" customFormat="1">
      <c r="G785" s="123"/>
      <c r="H785" s="123"/>
      <c r="I785" s="123"/>
      <c r="J785" s="123"/>
      <c r="K785" s="123"/>
      <c r="X785" s="137"/>
      <c r="Y785" s="137"/>
      <c r="Z785" s="124"/>
      <c r="AA785" s="124"/>
      <c r="AB785" s="124"/>
      <c r="AC785" s="124"/>
      <c r="AD785" s="124"/>
      <c r="AE785" s="124"/>
      <c r="AF785" s="124"/>
      <c r="AG785" s="124"/>
      <c r="AH785" s="124"/>
      <c r="AI785" s="124"/>
      <c r="AJ785" s="124"/>
      <c r="AK785" s="124"/>
      <c r="AL785" s="124"/>
      <c r="AM785" s="124"/>
      <c r="AN785" s="124"/>
      <c r="AO785" s="124"/>
      <c r="AP785" s="124"/>
      <c r="AS785" s="22"/>
      <c r="AT785" s="22"/>
      <c r="AU785" s="22"/>
      <c r="AV785" s="22"/>
      <c r="AW785" s="22"/>
      <c r="AX785" s="296"/>
      <c r="AY785" s="22"/>
      <c r="AZ785" s="22"/>
      <c r="BA785" s="22"/>
      <c r="BB785" s="140"/>
      <c r="BC785" s="22"/>
      <c r="BD785" s="137"/>
    </row>
    <row r="786" spans="7:56" s="20" customFormat="1">
      <c r="G786" s="123"/>
      <c r="H786" s="123"/>
      <c r="I786" s="123"/>
      <c r="J786" s="123"/>
      <c r="K786" s="123"/>
      <c r="X786" s="137"/>
      <c r="Y786" s="137"/>
      <c r="Z786" s="124"/>
      <c r="AA786" s="124"/>
      <c r="AB786" s="124"/>
      <c r="AC786" s="124"/>
      <c r="AD786" s="124"/>
      <c r="AE786" s="124"/>
      <c r="AF786" s="124"/>
      <c r="AG786" s="124"/>
      <c r="AH786" s="124"/>
      <c r="AI786" s="124"/>
      <c r="AJ786" s="124"/>
      <c r="AK786" s="124"/>
      <c r="AL786" s="124"/>
      <c r="AM786" s="124"/>
      <c r="AN786" s="124"/>
      <c r="AO786" s="124"/>
      <c r="AP786" s="124"/>
      <c r="AS786" s="22"/>
      <c r="AT786" s="22"/>
      <c r="AU786" s="22"/>
      <c r="AV786" s="22"/>
      <c r="AW786" s="22"/>
      <c r="AX786" s="296"/>
      <c r="AY786" s="22"/>
      <c r="AZ786" s="22"/>
      <c r="BA786" s="22"/>
      <c r="BB786" s="140"/>
      <c r="BC786" s="22"/>
      <c r="BD786" s="137"/>
    </row>
    <row r="787" spans="7:56" s="20" customFormat="1">
      <c r="G787" s="123"/>
      <c r="H787" s="123"/>
      <c r="I787" s="123"/>
      <c r="J787" s="123"/>
      <c r="K787" s="123"/>
      <c r="X787" s="137"/>
      <c r="Y787" s="137"/>
      <c r="Z787" s="124"/>
      <c r="AA787" s="124"/>
      <c r="AB787" s="124"/>
      <c r="AC787" s="124"/>
      <c r="AD787" s="124"/>
      <c r="AE787" s="124"/>
      <c r="AF787" s="124"/>
      <c r="AG787" s="124"/>
      <c r="AH787" s="124"/>
      <c r="AI787" s="124"/>
      <c r="AJ787" s="124"/>
      <c r="AK787" s="124"/>
      <c r="AL787" s="124"/>
      <c r="AM787" s="124"/>
      <c r="AN787" s="124"/>
      <c r="AO787" s="124"/>
      <c r="AP787" s="124"/>
      <c r="AS787" s="22"/>
      <c r="AT787" s="22"/>
      <c r="AU787" s="22"/>
      <c r="AV787" s="22"/>
      <c r="AW787" s="22"/>
      <c r="AX787" s="296"/>
      <c r="AY787" s="22"/>
      <c r="AZ787" s="22"/>
      <c r="BA787" s="22"/>
      <c r="BB787" s="140"/>
      <c r="BC787" s="22"/>
      <c r="BD787" s="137"/>
    </row>
    <row r="788" spans="7:56" s="20" customFormat="1">
      <c r="G788" s="123"/>
      <c r="H788" s="123"/>
      <c r="I788" s="123"/>
      <c r="J788" s="123"/>
      <c r="K788" s="123"/>
      <c r="X788" s="137"/>
      <c r="Y788" s="137"/>
      <c r="Z788" s="124"/>
      <c r="AA788" s="124"/>
      <c r="AB788" s="124"/>
      <c r="AC788" s="124"/>
      <c r="AD788" s="124"/>
      <c r="AE788" s="124"/>
      <c r="AF788" s="124"/>
      <c r="AG788" s="124"/>
      <c r="AH788" s="124"/>
      <c r="AI788" s="124"/>
      <c r="AJ788" s="124"/>
      <c r="AK788" s="124"/>
      <c r="AL788" s="124"/>
      <c r="AM788" s="124"/>
      <c r="AN788" s="124"/>
      <c r="AO788" s="124"/>
      <c r="AP788" s="124"/>
      <c r="AS788" s="22"/>
      <c r="AT788" s="22"/>
      <c r="AU788" s="22"/>
      <c r="AV788" s="22"/>
      <c r="AW788" s="22"/>
      <c r="AX788" s="296"/>
      <c r="AY788" s="22"/>
      <c r="AZ788" s="22"/>
      <c r="BA788" s="22"/>
      <c r="BB788" s="140"/>
      <c r="BC788" s="22"/>
      <c r="BD788" s="137"/>
    </row>
    <row r="789" spans="7:56" s="20" customFormat="1">
      <c r="G789" s="123"/>
      <c r="H789" s="123"/>
      <c r="I789" s="123"/>
      <c r="J789" s="123"/>
      <c r="K789" s="123"/>
      <c r="X789" s="137"/>
      <c r="Y789" s="137"/>
      <c r="Z789" s="124"/>
      <c r="AA789" s="124"/>
      <c r="AB789" s="124"/>
      <c r="AC789" s="124"/>
      <c r="AD789" s="124"/>
      <c r="AE789" s="124"/>
      <c r="AF789" s="124"/>
      <c r="AG789" s="124"/>
      <c r="AH789" s="124"/>
      <c r="AI789" s="124"/>
      <c r="AJ789" s="124"/>
      <c r="AK789" s="124"/>
      <c r="AL789" s="124"/>
      <c r="AM789" s="124"/>
      <c r="AN789" s="124"/>
      <c r="AO789" s="124"/>
      <c r="AP789" s="124"/>
      <c r="AS789" s="22"/>
      <c r="AT789" s="22"/>
      <c r="AU789" s="22"/>
      <c r="AV789" s="22"/>
      <c r="AW789" s="22"/>
      <c r="AX789" s="296"/>
      <c r="AY789" s="22"/>
      <c r="AZ789" s="22"/>
      <c r="BA789" s="22"/>
      <c r="BB789" s="140"/>
      <c r="BC789" s="22"/>
      <c r="BD789" s="137"/>
    </row>
    <row r="790" spans="7:56" s="20" customFormat="1">
      <c r="G790" s="123"/>
      <c r="H790" s="123"/>
      <c r="I790" s="123"/>
      <c r="J790" s="123"/>
      <c r="K790" s="123"/>
      <c r="X790" s="137"/>
      <c r="Y790" s="137"/>
      <c r="Z790" s="124"/>
      <c r="AA790" s="124"/>
      <c r="AB790" s="124"/>
      <c r="AC790" s="124"/>
      <c r="AD790" s="124"/>
      <c r="AE790" s="124"/>
      <c r="AF790" s="124"/>
      <c r="AG790" s="124"/>
      <c r="AH790" s="124"/>
      <c r="AI790" s="124"/>
      <c r="AJ790" s="124"/>
      <c r="AK790" s="124"/>
      <c r="AL790" s="124"/>
      <c r="AM790" s="124"/>
      <c r="AN790" s="124"/>
      <c r="AO790" s="124"/>
      <c r="AP790" s="124"/>
      <c r="AS790" s="22"/>
      <c r="AT790" s="22"/>
      <c r="AU790" s="22"/>
      <c r="AV790" s="22"/>
      <c r="AW790" s="22"/>
      <c r="AX790" s="296"/>
      <c r="AY790" s="22"/>
      <c r="AZ790" s="22"/>
      <c r="BA790" s="22"/>
      <c r="BB790" s="140"/>
      <c r="BC790" s="22"/>
      <c r="BD790" s="137"/>
    </row>
    <row r="791" spans="7:56" s="20" customFormat="1">
      <c r="G791" s="123"/>
      <c r="H791" s="123"/>
      <c r="I791" s="123"/>
      <c r="J791" s="123"/>
      <c r="K791" s="123"/>
      <c r="X791" s="137"/>
      <c r="Y791" s="137"/>
      <c r="Z791" s="124"/>
      <c r="AA791" s="124"/>
      <c r="AB791" s="124"/>
      <c r="AC791" s="124"/>
      <c r="AD791" s="124"/>
      <c r="AE791" s="124"/>
      <c r="AF791" s="124"/>
      <c r="AG791" s="124"/>
      <c r="AH791" s="124"/>
      <c r="AI791" s="124"/>
      <c r="AJ791" s="124"/>
      <c r="AK791" s="124"/>
      <c r="AL791" s="124"/>
      <c r="AM791" s="124"/>
      <c r="AN791" s="124"/>
      <c r="AO791" s="124"/>
      <c r="AP791" s="124"/>
      <c r="AS791" s="22"/>
      <c r="AT791" s="22"/>
      <c r="AU791" s="22"/>
      <c r="AV791" s="22"/>
      <c r="AW791" s="22"/>
      <c r="AX791" s="296"/>
      <c r="AY791" s="22"/>
      <c r="AZ791" s="22"/>
      <c r="BA791" s="22"/>
      <c r="BB791" s="140"/>
      <c r="BC791" s="22"/>
      <c r="BD791" s="137"/>
    </row>
    <row r="792" spans="7:56" s="20" customFormat="1">
      <c r="G792" s="123"/>
      <c r="H792" s="123"/>
      <c r="I792" s="123"/>
      <c r="J792" s="123"/>
      <c r="K792" s="123"/>
      <c r="X792" s="137"/>
      <c r="Y792" s="137"/>
      <c r="Z792" s="124"/>
      <c r="AA792" s="124"/>
      <c r="AB792" s="124"/>
      <c r="AC792" s="124"/>
      <c r="AD792" s="124"/>
      <c r="AE792" s="124"/>
      <c r="AF792" s="124"/>
      <c r="AG792" s="124"/>
      <c r="AH792" s="124"/>
      <c r="AI792" s="124"/>
      <c r="AJ792" s="124"/>
      <c r="AK792" s="124"/>
      <c r="AL792" s="124"/>
      <c r="AM792" s="124"/>
      <c r="AN792" s="124"/>
      <c r="AO792" s="124"/>
      <c r="AP792" s="124"/>
      <c r="AS792" s="22"/>
      <c r="AT792" s="22"/>
      <c r="AU792" s="22"/>
      <c r="AV792" s="22"/>
      <c r="AW792" s="22"/>
      <c r="AX792" s="296"/>
      <c r="AY792" s="22"/>
      <c r="AZ792" s="22"/>
      <c r="BA792" s="22"/>
      <c r="BB792" s="140"/>
      <c r="BC792" s="22"/>
      <c r="BD792" s="137"/>
    </row>
    <row r="793" spans="7:56" s="20" customFormat="1">
      <c r="G793" s="123"/>
      <c r="H793" s="123"/>
      <c r="I793" s="123"/>
      <c r="J793" s="123"/>
      <c r="K793" s="123"/>
      <c r="X793" s="137"/>
      <c r="Y793" s="137"/>
      <c r="Z793" s="124"/>
      <c r="AA793" s="124"/>
      <c r="AB793" s="124"/>
      <c r="AC793" s="124"/>
      <c r="AD793" s="124"/>
      <c r="AE793" s="124"/>
      <c r="AF793" s="124"/>
      <c r="AG793" s="124"/>
      <c r="AH793" s="124"/>
      <c r="AI793" s="124"/>
      <c r="AJ793" s="124"/>
      <c r="AK793" s="124"/>
      <c r="AL793" s="124"/>
      <c r="AM793" s="124"/>
      <c r="AN793" s="124"/>
      <c r="AO793" s="124"/>
      <c r="AP793" s="124"/>
      <c r="AS793" s="22"/>
      <c r="AT793" s="22"/>
      <c r="AU793" s="22"/>
      <c r="AV793" s="22"/>
      <c r="AW793" s="22"/>
      <c r="AX793" s="296"/>
      <c r="AY793" s="22"/>
      <c r="AZ793" s="22"/>
      <c r="BA793" s="22"/>
      <c r="BB793" s="140"/>
      <c r="BC793" s="22"/>
      <c r="BD793" s="137"/>
    </row>
    <row r="794" spans="7:56" s="20" customFormat="1">
      <c r="G794" s="123"/>
      <c r="H794" s="123"/>
      <c r="I794" s="123"/>
      <c r="J794" s="123"/>
      <c r="K794" s="123"/>
      <c r="X794" s="137"/>
      <c r="Y794" s="137"/>
      <c r="Z794" s="124"/>
      <c r="AA794" s="124"/>
      <c r="AB794" s="124"/>
      <c r="AC794" s="124"/>
      <c r="AD794" s="124"/>
      <c r="AE794" s="124"/>
      <c r="AF794" s="124"/>
      <c r="AG794" s="124"/>
      <c r="AH794" s="124"/>
      <c r="AI794" s="124"/>
      <c r="AJ794" s="124"/>
      <c r="AK794" s="124"/>
      <c r="AL794" s="124"/>
      <c r="AM794" s="124"/>
      <c r="AN794" s="124"/>
      <c r="AO794" s="124"/>
      <c r="AP794" s="124"/>
      <c r="AS794" s="22"/>
      <c r="AT794" s="22"/>
      <c r="AU794" s="22"/>
      <c r="AV794" s="22"/>
      <c r="AW794" s="22"/>
      <c r="AX794" s="296"/>
      <c r="AY794" s="22"/>
      <c r="AZ794" s="22"/>
      <c r="BA794" s="22"/>
      <c r="BB794" s="140"/>
      <c r="BC794" s="22"/>
      <c r="BD794" s="137"/>
    </row>
    <row r="795" spans="7:56" s="20" customFormat="1">
      <c r="G795" s="123"/>
      <c r="H795" s="123"/>
      <c r="I795" s="123"/>
      <c r="J795" s="123"/>
      <c r="K795" s="123"/>
      <c r="X795" s="137"/>
      <c r="Y795" s="137"/>
      <c r="Z795" s="124"/>
      <c r="AA795" s="124"/>
      <c r="AB795" s="124"/>
      <c r="AC795" s="124"/>
      <c r="AD795" s="124"/>
      <c r="AE795" s="124"/>
      <c r="AF795" s="124"/>
      <c r="AG795" s="124"/>
      <c r="AH795" s="124"/>
      <c r="AI795" s="124"/>
      <c r="AJ795" s="124"/>
      <c r="AK795" s="124"/>
      <c r="AL795" s="124"/>
      <c r="AM795" s="124"/>
      <c r="AN795" s="124"/>
      <c r="AO795" s="124"/>
      <c r="AP795" s="124"/>
      <c r="AS795" s="22"/>
      <c r="AT795" s="22"/>
      <c r="AU795" s="22"/>
      <c r="AV795" s="22"/>
      <c r="AW795" s="22"/>
      <c r="AX795" s="296"/>
      <c r="AY795" s="22"/>
      <c r="AZ795" s="22"/>
      <c r="BA795" s="22"/>
      <c r="BB795" s="140"/>
      <c r="BC795" s="22"/>
      <c r="BD795" s="137"/>
    </row>
    <row r="796" spans="7:56" s="20" customFormat="1">
      <c r="G796" s="123"/>
      <c r="H796" s="123"/>
      <c r="I796" s="123"/>
      <c r="J796" s="123"/>
      <c r="K796" s="123"/>
      <c r="X796" s="137"/>
      <c r="Y796" s="137"/>
      <c r="Z796" s="124"/>
      <c r="AA796" s="124"/>
      <c r="AB796" s="124"/>
      <c r="AC796" s="124"/>
      <c r="AD796" s="124"/>
      <c r="AE796" s="124"/>
      <c r="AF796" s="124"/>
      <c r="AG796" s="124"/>
      <c r="AH796" s="124"/>
      <c r="AI796" s="124"/>
      <c r="AJ796" s="124"/>
      <c r="AK796" s="124"/>
      <c r="AL796" s="124"/>
      <c r="AM796" s="124"/>
      <c r="AN796" s="124"/>
      <c r="AO796" s="124"/>
      <c r="AP796" s="124"/>
      <c r="AS796" s="22"/>
      <c r="AT796" s="22"/>
      <c r="AU796" s="22"/>
      <c r="AV796" s="22"/>
      <c r="AW796" s="22"/>
      <c r="AX796" s="296"/>
      <c r="AY796" s="22"/>
      <c r="AZ796" s="22"/>
      <c r="BA796" s="22"/>
      <c r="BB796" s="140"/>
      <c r="BC796" s="22"/>
      <c r="BD796" s="137"/>
    </row>
    <row r="797" spans="7:56" s="20" customFormat="1">
      <c r="G797" s="123"/>
      <c r="H797" s="123"/>
      <c r="I797" s="123"/>
      <c r="J797" s="123"/>
      <c r="K797" s="123"/>
      <c r="X797" s="137"/>
      <c r="Y797" s="137"/>
      <c r="Z797" s="124"/>
      <c r="AA797" s="124"/>
      <c r="AB797" s="124"/>
      <c r="AC797" s="124"/>
      <c r="AD797" s="124"/>
      <c r="AE797" s="124"/>
      <c r="AF797" s="124"/>
      <c r="AG797" s="124"/>
      <c r="AH797" s="124"/>
      <c r="AI797" s="124"/>
      <c r="AJ797" s="124"/>
      <c r="AK797" s="124"/>
      <c r="AL797" s="124"/>
      <c r="AM797" s="124"/>
      <c r="AN797" s="124"/>
      <c r="AO797" s="124"/>
      <c r="AP797" s="124"/>
      <c r="AS797" s="22"/>
      <c r="AT797" s="22"/>
      <c r="AU797" s="22"/>
      <c r="AV797" s="22"/>
      <c r="AW797" s="22"/>
      <c r="AX797" s="296"/>
      <c r="AY797" s="22"/>
      <c r="AZ797" s="22"/>
      <c r="BA797" s="22"/>
      <c r="BB797" s="140"/>
      <c r="BC797" s="22"/>
      <c r="BD797" s="137"/>
    </row>
    <row r="798" spans="7:56" s="20" customFormat="1">
      <c r="G798" s="123"/>
      <c r="H798" s="123"/>
      <c r="I798" s="123"/>
      <c r="J798" s="123"/>
      <c r="K798" s="123"/>
      <c r="X798" s="137"/>
      <c r="Y798" s="137"/>
      <c r="Z798" s="124"/>
      <c r="AA798" s="124"/>
      <c r="AB798" s="124"/>
      <c r="AC798" s="124"/>
      <c r="AD798" s="124"/>
      <c r="AE798" s="124"/>
      <c r="AF798" s="124"/>
      <c r="AG798" s="124"/>
      <c r="AH798" s="124"/>
      <c r="AI798" s="124"/>
      <c r="AJ798" s="124"/>
      <c r="AK798" s="124"/>
      <c r="AL798" s="124"/>
      <c r="AM798" s="124"/>
      <c r="AN798" s="124"/>
      <c r="AO798" s="124"/>
      <c r="AP798" s="124"/>
      <c r="AS798" s="22"/>
      <c r="AT798" s="22"/>
      <c r="AU798" s="22"/>
      <c r="AV798" s="22"/>
      <c r="AW798" s="22"/>
      <c r="AX798" s="296"/>
      <c r="AY798" s="22"/>
      <c r="AZ798" s="22"/>
      <c r="BA798" s="22"/>
      <c r="BB798" s="140"/>
      <c r="BC798" s="22"/>
      <c r="BD798" s="137"/>
    </row>
    <row r="799" spans="7:56" s="20" customFormat="1">
      <c r="G799" s="123"/>
      <c r="H799" s="123"/>
      <c r="I799" s="123"/>
      <c r="J799" s="123"/>
      <c r="K799" s="123"/>
      <c r="X799" s="137"/>
      <c r="Y799" s="137"/>
      <c r="Z799" s="124"/>
      <c r="AA799" s="124"/>
      <c r="AB799" s="124"/>
      <c r="AC799" s="124"/>
      <c r="AD799" s="124"/>
      <c r="AE799" s="124"/>
      <c r="AF799" s="124"/>
      <c r="AG799" s="124"/>
      <c r="AH799" s="124"/>
      <c r="AI799" s="124"/>
      <c r="AJ799" s="124"/>
      <c r="AK799" s="124"/>
      <c r="AL799" s="124"/>
      <c r="AM799" s="124"/>
      <c r="AN799" s="124"/>
      <c r="AO799" s="124"/>
      <c r="AP799" s="124"/>
      <c r="AS799" s="22"/>
      <c r="AT799" s="22"/>
      <c r="AU799" s="22"/>
      <c r="AV799" s="22"/>
      <c r="AW799" s="22"/>
      <c r="AX799" s="296"/>
      <c r="AY799" s="22"/>
      <c r="AZ799" s="22"/>
      <c r="BA799" s="22"/>
      <c r="BB799" s="140"/>
      <c r="BC799" s="22"/>
      <c r="BD799" s="137"/>
    </row>
    <row r="800" spans="7:56">
      <c r="AW800" s="22"/>
      <c r="AX800" s="296"/>
    </row>
    <row r="801" spans="49:50">
      <c r="AW801" s="22"/>
      <c r="AX801" s="296"/>
    </row>
    <row r="802" spans="49:50">
      <c r="AW802" s="22"/>
      <c r="AX802" s="296"/>
    </row>
    <row r="803" spans="49:50">
      <c r="AW803" s="22"/>
      <c r="AX803" s="296"/>
    </row>
  </sheetData>
  <protectedRanges>
    <protectedRange sqref="AQ324:AQ333 AQ523:AQ666 AQ668:AQ669 AQ347:AQ376 AQ313:AQ322 AQ335:AQ337 AQ378:AQ521 AQ250:AQ311 AQ339:AQ345 AY670:BB898 AQ670:AV898" name="Usage"/>
    <protectedRange sqref="BC324:BC333 BC523:BC666 BC347:BC376 BC313:BC322 BC335:BC337 BC378:BC521 BC250:BC311 BC339:BC345 BC668:BC898" name="Usage_1"/>
    <protectedRange sqref="AQ35:AQ44 AQ67:AQ73 AQ106:AQ112 AQ193:AQ211 AQ213:AQ224 AQ226:AQ232 AQ10:AQ23 AQ25:AQ33 AQ46:AQ53 AQ55:AQ65 AQ149:AQ180 AQ182:AQ191 AQ127:AQ147 AQ75:AQ80 AQ234:AQ244 AQ246:AQ247 AQ82:AQ88 AQ90:AQ104 AQ114:AQ125" name="Usage_2"/>
    <protectedRange sqref="AW670:AX902" name="Usage_3_1"/>
  </protectedRanges>
  <mergeCells count="17">
    <mergeCell ref="AQ6:BA6"/>
    <mergeCell ref="BD6:BD7"/>
    <mergeCell ref="Q6:U6"/>
    <mergeCell ref="W6:Y6"/>
    <mergeCell ref="Z6:AB6"/>
    <mergeCell ref="AD6:AI6"/>
    <mergeCell ref="AJ6:AP6"/>
    <mergeCell ref="D1:K1"/>
    <mergeCell ref="D2:L2"/>
    <mergeCell ref="D3:K3"/>
    <mergeCell ref="D4:K4"/>
    <mergeCell ref="D5:K5"/>
    <mergeCell ref="A7:B7"/>
    <mergeCell ref="A6:C6"/>
    <mergeCell ref="D6:E6"/>
    <mergeCell ref="G6:K6"/>
    <mergeCell ref="L6:P6"/>
  </mergeCells>
  <phoneticPr fontId="67" type="noConversion"/>
  <conditionalFormatting sqref="AR323 AR334 AR338 AR667 AR1:AR7 BC417:BC419 BC439:BC441 BC428:BC430 BC450:BC452 BC461:BC463 BC483:BC485 BC472:BC474 BC394:BC401 BC264:BC267 BC378:BC392 BC347:BC352 BC404:BC408 AR46:AR53 AR55:AR63 AR67:AR73 AR82:AR87 AR234:AR240 AR377 BC282:BC285 BC250:BC255 BC298:BC301 BC310:BC311 BC319:BC321 BC335:BC337 BC339:BC341 BC343:BC345 AR242:AR244 AR24 AR65 AR75:AR78 AR127:AR147 AR248:AR249 AR158:AR167 AR179 AR670:AR1048576">
    <cfRule type="cellIs" dxfId="1485" priority="1724" operator="equal">
      <formula>"Not Assigned"</formula>
    </cfRule>
  </conditionalFormatting>
  <conditionalFormatting sqref="AD225:AF225 AD244:AF244 AP25:AP29 AD233:AF233 AD25:AF29 AD35:AF42 AD46:AF53 AD55:AF63 AD67:AF73 AD236:AF236 AD44:AF44 AD65:AF65 AD75:AF78 AI127:AP141 AH142:AP147 AD182:AF191 AE234:AF235 AD239:AF240 AE237:AF238 AD242:AD243 AD81:AF88 AD157:AF180 AD142:AF148 AH25:AI29 AH44:AI44 AH35:AI42 AH157:AP180 AI82:AI88 AH83:AH88 AH81:AI81 AH182:AH191 AH75:AI78 AH65:AI65 AH234:AH240 AH67:AI73 AH55:AI63 AH46:AI53 AH244 AH148:AI148 AH105:AI112 AH233:AI233 AH225:AI225 AD105:AF112 AH90:AI91 AD90:AF91 AD126:AF126 AH126:AI126">
    <cfRule type="cellIs" dxfId="1484" priority="1723" operator="equal">
      <formula>"INVALID"</formula>
    </cfRule>
  </conditionalFormatting>
  <conditionalFormatting sqref="BC409:BC416 BC494:BC498 BC420:BC427 BC431:BC438 BC442:BC449">
    <cfRule type="cellIs" dxfId="1483" priority="1722" operator="equal">
      <formula>"Not Assigned"</formula>
    </cfRule>
  </conditionalFormatting>
  <conditionalFormatting sqref="BC274:BC279">
    <cfRule type="cellIs" dxfId="1482" priority="1721" operator="equal">
      <formula>"Not Assigned"</formula>
    </cfRule>
  </conditionalFormatting>
  <conditionalFormatting sqref="BC324:BC333">
    <cfRule type="cellIs" dxfId="1481" priority="1720" operator="equal">
      <formula>"Not Assigned"</formula>
    </cfRule>
  </conditionalFormatting>
  <conditionalFormatting sqref="BC668:BC669">
    <cfRule type="cellIs" dxfId="1480" priority="1719" operator="equal">
      <formula>"Not Assigned"</formula>
    </cfRule>
  </conditionalFormatting>
  <conditionalFormatting sqref="AR25:AR29 AR35:AR42 AR44">
    <cfRule type="cellIs" dxfId="1479" priority="1717" operator="equal">
      <formula>"Not Assigned"</formula>
    </cfRule>
  </conditionalFormatting>
  <conditionalFormatting sqref="AD239:AD240 AD241:AF243 AH241:AH243">
    <cfRule type="cellIs" dxfId="1478" priority="1716" operator="equal">
      <formula>"INVALID"</formula>
    </cfRule>
  </conditionalFormatting>
  <conditionalFormatting sqref="BC453:BC460 BC464:BC471 BC475:BC482 BC486:BC493">
    <cfRule type="cellIs" dxfId="1477" priority="1715" operator="equal">
      <formula>"Not Assigned"</formula>
    </cfRule>
  </conditionalFormatting>
  <conditionalFormatting sqref="BC393">
    <cfRule type="cellIs" dxfId="1476" priority="1714" operator="equal">
      <formula>"Not Assigned"</formula>
    </cfRule>
  </conditionalFormatting>
  <conditionalFormatting sqref="BC503:BC504">
    <cfRule type="cellIs" dxfId="1475" priority="1713" operator="equal">
      <formula>"Not Assigned"</formula>
    </cfRule>
  </conditionalFormatting>
  <conditionalFormatting sqref="BC501:BC502">
    <cfRule type="cellIs" dxfId="1474" priority="1712" operator="equal">
      <formula>"Not Assigned"</formula>
    </cfRule>
  </conditionalFormatting>
  <conditionalFormatting sqref="BC499:BC500">
    <cfRule type="cellIs" dxfId="1473" priority="1711" operator="equal">
      <formula>"Not Assigned"</formula>
    </cfRule>
  </conditionalFormatting>
  <conditionalFormatting sqref="BC507">
    <cfRule type="cellIs" dxfId="1472" priority="1710" operator="equal">
      <formula>"Not Assigned"</formula>
    </cfRule>
  </conditionalFormatting>
  <conditionalFormatting sqref="BC505:BC506">
    <cfRule type="cellIs" dxfId="1471" priority="1709" operator="equal">
      <formula>"Not Assigned"</formula>
    </cfRule>
  </conditionalFormatting>
  <conditionalFormatting sqref="BC258:BC261">
    <cfRule type="cellIs" dxfId="1470" priority="1708" operator="equal">
      <formula>"Not Assigned"</formula>
    </cfRule>
  </conditionalFormatting>
  <conditionalFormatting sqref="BC270:BC271">
    <cfRule type="cellIs" dxfId="1469" priority="1707" operator="equal">
      <formula>"Not Assigned"</formula>
    </cfRule>
  </conditionalFormatting>
  <conditionalFormatting sqref="BC272:BC273">
    <cfRule type="cellIs" dxfId="1468" priority="1706" operator="equal">
      <formula>"Not Assigned"</formula>
    </cfRule>
  </conditionalFormatting>
  <conditionalFormatting sqref="AR312">
    <cfRule type="cellIs" dxfId="1467" priority="1705" operator="equal">
      <formula>"Not Assigned"</formula>
    </cfRule>
  </conditionalFormatting>
  <conditionalFormatting sqref="BC313:BC318">
    <cfRule type="cellIs" dxfId="1466" priority="1704" operator="equal">
      <formula>"Not Assigned"</formula>
    </cfRule>
  </conditionalFormatting>
  <conditionalFormatting sqref="AR346">
    <cfRule type="cellIs" dxfId="1465" priority="1703" operator="equal">
      <formula>"Not Assigned"</formula>
    </cfRule>
  </conditionalFormatting>
  <conditionalFormatting sqref="BC353:BC354">
    <cfRule type="cellIs" dxfId="1464" priority="1702" operator="equal">
      <formula>"Not Assigned"</formula>
    </cfRule>
  </conditionalFormatting>
  <conditionalFormatting sqref="BC355:BC356">
    <cfRule type="cellIs" dxfId="1463" priority="1701" operator="equal">
      <formula>"Not Assigned"</formula>
    </cfRule>
  </conditionalFormatting>
  <conditionalFormatting sqref="BC357:BC358">
    <cfRule type="cellIs" dxfId="1462" priority="1700" operator="equal">
      <formula>"Not Assigned"</formula>
    </cfRule>
  </conditionalFormatting>
  <conditionalFormatting sqref="BC359:BC360">
    <cfRule type="cellIs" dxfId="1461" priority="1699" operator="equal">
      <formula>"Not Assigned"</formula>
    </cfRule>
  </conditionalFormatting>
  <conditionalFormatting sqref="BC361:BC362">
    <cfRule type="cellIs" dxfId="1460" priority="1698" operator="equal">
      <formula>"Not Assigned"</formula>
    </cfRule>
  </conditionalFormatting>
  <conditionalFormatting sqref="BC363:BC364">
    <cfRule type="cellIs" dxfId="1459" priority="1697" operator="equal">
      <formula>"Not Assigned"</formula>
    </cfRule>
  </conditionalFormatting>
  <conditionalFormatting sqref="BC365:BC366">
    <cfRule type="cellIs" dxfId="1458" priority="1696" operator="equal">
      <formula>"Not Assigned"</formula>
    </cfRule>
  </conditionalFormatting>
  <conditionalFormatting sqref="BC371:BC372">
    <cfRule type="cellIs" dxfId="1457" priority="1695" operator="equal">
      <formula>"Not Assigned"</formula>
    </cfRule>
  </conditionalFormatting>
  <conditionalFormatting sqref="BC373:BC374">
    <cfRule type="cellIs" dxfId="1456" priority="1694" operator="equal">
      <formula>"Not Assigned"</formula>
    </cfRule>
  </conditionalFormatting>
  <conditionalFormatting sqref="BC376">
    <cfRule type="cellIs" dxfId="1455" priority="1693" operator="equal">
      <formula>"Not Assigned"</formula>
    </cfRule>
  </conditionalFormatting>
  <conditionalFormatting sqref="AR245">
    <cfRule type="cellIs" dxfId="1454" priority="1692" operator="equal">
      <formula>"Not Assigned"</formula>
    </cfRule>
  </conditionalFormatting>
  <conditionalFormatting sqref="BC262:BC263">
    <cfRule type="cellIs" dxfId="1453" priority="1691" operator="equal">
      <formula>"Not Assigned"</formula>
    </cfRule>
  </conditionalFormatting>
  <conditionalFormatting sqref="BC342">
    <cfRule type="cellIs" dxfId="1452" priority="1690" operator="equal">
      <formula>"Not Assigned"</formula>
    </cfRule>
  </conditionalFormatting>
  <conditionalFormatting sqref="AH82">
    <cfRule type="cellIs" dxfId="1451" priority="1689" operator="equal">
      <formula>"INVALID"</formula>
    </cfRule>
  </conditionalFormatting>
  <conditionalFormatting sqref="Q242:Q243">
    <cfRule type="cellIs" dxfId="1450" priority="1687" operator="equal">
      <formula>"INVALID"</formula>
    </cfRule>
  </conditionalFormatting>
  <conditionalFormatting sqref="R242:R243">
    <cfRule type="cellIs" dxfId="1449" priority="1686" operator="equal">
      <formula>"INVALID"</formula>
    </cfRule>
  </conditionalFormatting>
  <conditionalFormatting sqref="S242:S243">
    <cfRule type="cellIs" dxfId="1448" priority="1685" operator="equal">
      <formula>"INVALID"</formula>
    </cfRule>
  </conditionalFormatting>
  <conditionalFormatting sqref="T242:T243">
    <cfRule type="cellIs" dxfId="1447" priority="1684" operator="equal">
      <formula>"INVALID"</formula>
    </cfRule>
  </conditionalFormatting>
  <conditionalFormatting sqref="U242:V243">
    <cfRule type="cellIs" dxfId="1446" priority="1683" operator="equal">
      <formula>"INVALID"</formula>
    </cfRule>
  </conditionalFormatting>
  <conditionalFormatting sqref="AD242:AF243 AH242:AH243">
    <cfRule type="cellIs" dxfId="1445" priority="1682" operator="equal">
      <formula>"INVALID"</formula>
    </cfRule>
  </conditionalFormatting>
  <conditionalFormatting sqref="AS25:AS29 AS35:AS42 AS82:AS87 AS106:AS111 AS193 AS234:AS240 AS242:AS244 AS55:AS63 AS67:AS73 AS182:AS191 AS23 AS44 AS46:AS53 AS65 AS75:AS78 AS127:AS147 AS203:AS211 AS231 AS157:AS180 AS114:AS125">
    <cfRule type="expression" dxfId="1444" priority="1681">
      <formula>EXACT(AF23, "INVALID")</formula>
    </cfRule>
  </conditionalFormatting>
  <conditionalFormatting sqref="AS241">
    <cfRule type="expression" dxfId="1443" priority="1679">
      <formula>EXACT(AF241, "INVALID")</formula>
    </cfRule>
  </conditionalFormatting>
  <conditionalFormatting sqref="AY25:AY29 AY35:AY42 AY82:AY87 AY106:AY111 AY193 AY234:AY240 AY242:AY244 AY55:AY63 AY67:AY73 AY182:AY191 AY23 AY44 AY46:AY53 AY65 AY75:AY78 AY127:AY147 AY203:AY211 AY231:AY232 AY179 AY223:AY224 AY158:AY167">
    <cfRule type="expression" dxfId="1442" priority="1678">
      <formula>AND(NOT(ISBLANK(AY23)), EXACT(AF23, "INVALID"))</formula>
    </cfRule>
  </conditionalFormatting>
  <conditionalFormatting sqref="AZ25:AZ29 AZ35:AZ42 AZ82:AZ87 AZ106:AZ111 AZ193 AZ234:AZ240 AZ242:AZ244 AZ55:AZ63 AZ67:AZ73 AZ182:AZ191 AZ23 AZ44 AZ46:AZ53 AZ65 AZ75:AZ78 AZ127:AZ147 AZ203:AZ211 AZ231:AZ232 AZ158:AZ167 AZ179 AZ223:AZ224">
    <cfRule type="expression" dxfId="1441" priority="1677">
      <formula>AND(NOT(ISBLANK(AZ23)), EXACT(AF23, "INVALID"))</formula>
    </cfRule>
  </conditionalFormatting>
  <conditionalFormatting sqref="AY168:AY178">
    <cfRule type="expression" dxfId="1440" priority="1674">
      <formula>AND(NOT(ISBLANK(AY168)), EXACT(AF168, "INVALID"))</formula>
    </cfRule>
  </conditionalFormatting>
  <conditionalFormatting sqref="AZ168:AZ178">
    <cfRule type="expression" dxfId="1439" priority="1673">
      <formula>AND(NOT(ISBLANK(AZ168)), EXACT(AF168, "INVALID"))</formula>
    </cfRule>
  </conditionalFormatting>
  <conditionalFormatting sqref="AY241">
    <cfRule type="expression" dxfId="1438" priority="1672">
      <formula>AND(NOT(ISBLANK(AY241)), EXACT(AF241, "INVALID"))</formula>
    </cfRule>
  </conditionalFormatting>
  <conditionalFormatting sqref="AZ241">
    <cfRule type="expression" dxfId="1437" priority="1671">
      <formula>AND(NOT(ISBLANK(AZ241)), EXACT(AF241, "INVALID"))</formula>
    </cfRule>
  </conditionalFormatting>
  <conditionalFormatting sqref="AR25:AR29 AR193 AR182:AR191 AR106:AR112 AR67:AR73 AR55:AR63 AR35:AR42 AR23 AR44 AR46:AR53 AR65 AR75:AR78 AR127:AR147 AR203:AR211 AR226:AR231 AR234:AR244 AR158:AR180 AR223:AR224 AR82:AR88 AR104 AR114:AR125">
    <cfRule type="expression" dxfId="1436" priority="1670">
      <formula>NOT($AL23)</formula>
    </cfRule>
  </conditionalFormatting>
  <conditionalFormatting sqref="AR106:AR111">
    <cfRule type="cellIs" dxfId="1435" priority="1669" operator="equal">
      <formula>"Not Assigned"</formula>
    </cfRule>
  </conditionalFormatting>
  <conditionalFormatting sqref="AR168:AR178 AR182:AR191">
    <cfRule type="cellIs" dxfId="1434" priority="1667" operator="equal">
      <formula>"Not Assigned"</formula>
    </cfRule>
  </conditionalFormatting>
  <conditionalFormatting sqref="AR241">
    <cfRule type="cellIs" dxfId="1433" priority="1666" operator="equal">
      <formula>"Not Assigned"</formula>
    </cfRule>
  </conditionalFormatting>
  <conditionalFormatting sqref="BC402:BC403">
    <cfRule type="cellIs" dxfId="1432" priority="1665" operator="equal">
      <formula>"Not Assigned"</formula>
    </cfRule>
  </conditionalFormatting>
  <conditionalFormatting sqref="AQ25:AQ29 AQ35:AQ42 AQ55:AQ63 AQ67:AQ73 AQ182:AQ191 AQ193 AQ282:AQ285 AQ298:AQ301 AQ310:AQ321 AQ371:AQ374 AQ249:AQ255 AQ106:AQ112 AQ23 AQ44 AQ46:AQ53 AQ65 AQ127:AQ147 AQ203:AQ211 AQ231:AQ232 AQ258:AQ267 AQ270:AQ279 AQ323:AQ366 AQ244:AQ245 AQ376:AQ521 AQ158:AQ180 AQ223:AQ224 AQ667:AQ1176 AQ82:AQ88 AQ90:AQ91 AQ104">
    <cfRule type="expression" dxfId="1431" priority="1718" stopIfTrue="1">
      <formula>REPLACE($AQ23,8,LEN($AQ23),"")="unused_"</formula>
    </cfRule>
  </conditionalFormatting>
  <conditionalFormatting sqref="AQ367:AQ370">
    <cfRule type="expression" dxfId="1430" priority="1654">
      <formula>RIGHT($AQ367, 1)="*"</formula>
    </cfRule>
    <cfRule type="expression" dxfId="1429" priority="1655" stopIfTrue="1">
      <formula>REPLACE($AQ367,8,LEN($AQ367),"")="unused_"</formula>
    </cfRule>
  </conditionalFormatting>
  <conditionalFormatting sqref="AF181 AH181:AI181">
    <cfRule type="cellIs" dxfId="1428" priority="1630" operator="equal">
      <formula>"INVALID"</formula>
    </cfRule>
  </conditionalFormatting>
  <conditionalFormatting sqref="AD193:AF193 AD203:AF211 AH203:AH211 AH193">
    <cfRule type="cellIs" dxfId="1427" priority="1629" operator="equal">
      <formula>"INVALID"</formula>
    </cfRule>
  </conditionalFormatting>
  <conditionalFormatting sqref="AR193 AR203:AR211">
    <cfRule type="cellIs" dxfId="1426" priority="1628" operator="equal">
      <formula>"Not Assigned"</formula>
    </cfRule>
  </conditionalFormatting>
  <conditionalFormatting sqref="AH192:AI192">
    <cfRule type="cellIs" dxfId="1425" priority="1627" operator="equal">
      <formula>"INVALID"</formula>
    </cfRule>
  </conditionalFormatting>
  <conditionalFormatting sqref="AD231:AF231 AE232:AF232 AH231:AH232">
    <cfRule type="cellIs" dxfId="1424" priority="1626" operator="equal">
      <formula>"INVALID"</formula>
    </cfRule>
  </conditionalFormatting>
  <conditionalFormatting sqref="AR231">
    <cfRule type="cellIs" dxfId="1423" priority="1625" operator="equal">
      <formula>"Not Assigned"</formula>
    </cfRule>
  </conditionalFormatting>
  <conditionalFormatting sqref="AD226:AF231 AE232:AF232 AH226:AH232">
    <cfRule type="cellIs" dxfId="1422" priority="1624" operator="equal">
      <formula>"INVALID"</formula>
    </cfRule>
  </conditionalFormatting>
  <conditionalFormatting sqref="AS226:AS230">
    <cfRule type="expression" dxfId="1421" priority="1622">
      <formula>EXACT(AF226, "INVALID")</formula>
    </cfRule>
  </conditionalFormatting>
  <conditionalFormatting sqref="AY226:AY230">
    <cfRule type="expression" dxfId="1420" priority="1621">
      <formula>AND(NOT(ISBLANK(AY226)), EXACT(AF226, "INVALID"))</formula>
    </cfRule>
  </conditionalFormatting>
  <conditionalFormatting sqref="AZ226:AZ230">
    <cfRule type="expression" dxfId="1419" priority="1620">
      <formula>AND(NOT(ISBLANK(AZ226)), EXACT(AF226, "INVALID"))</formula>
    </cfRule>
  </conditionalFormatting>
  <conditionalFormatting sqref="AR226:AR230">
    <cfRule type="cellIs" dxfId="1418" priority="1619" operator="equal">
      <formula>"Not Assigned"</formula>
    </cfRule>
  </conditionalFormatting>
  <conditionalFormatting sqref="AQ226:AQ230">
    <cfRule type="expression" dxfId="1417" priority="1618">
      <formula>RIGHT($AQ226, 1)="*"</formula>
    </cfRule>
    <cfRule type="expression" dxfId="1416" priority="1623" stopIfTrue="1">
      <formula>REPLACE($AQ226,8,LEN($AQ226),"")="unused_"</formula>
    </cfRule>
  </conditionalFormatting>
  <conditionalFormatting sqref="BC280:BC281">
    <cfRule type="cellIs" dxfId="1415" priority="1617" operator="equal">
      <formula>"Not Assigned"</formula>
    </cfRule>
  </conditionalFormatting>
  <conditionalFormatting sqref="AQ280:AQ281">
    <cfRule type="expression" dxfId="1414" priority="1615">
      <formula>RIGHT($AQ280, 1)="*"</formula>
    </cfRule>
    <cfRule type="expression" dxfId="1413" priority="1616" stopIfTrue="1">
      <formula>REPLACE($AQ280,8,LEN($AQ280),"")="unused_"</formula>
    </cfRule>
  </conditionalFormatting>
  <conditionalFormatting sqref="BC288:BC291">
    <cfRule type="cellIs" dxfId="1412" priority="1614" operator="equal">
      <formula>"Not Assigned"</formula>
    </cfRule>
  </conditionalFormatting>
  <conditionalFormatting sqref="AQ288:AQ291">
    <cfRule type="expression" dxfId="1411" priority="1612">
      <formula>RIGHT($AQ288, 1)="*"</formula>
    </cfRule>
    <cfRule type="expression" dxfId="1410" priority="1613" stopIfTrue="1">
      <formula>REPLACE($AQ288,8,LEN($AQ288),"")="unused_"</formula>
    </cfRule>
  </conditionalFormatting>
  <conditionalFormatting sqref="BC286:BC287">
    <cfRule type="cellIs" dxfId="1409" priority="1611" operator="equal">
      <formula>"Not Assigned"</formula>
    </cfRule>
  </conditionalFormatting>
  <conditionalFormatting sqref="AQ286:AQ287">
    <cfRule type="expression" dxfId="1408" priority="1609">
      <formula>RIGHT($AQ286, 1)="*"</formula>
    </cfRule>
    <cfRule type="expression" dxfId="1407" priority="1610" stopIfTrue="1">
      <formula>REPLACE($AQ286,8,LEN($AQ286),"")="unused_"</formula>
    </cfRule>
  </conditionalFormatting>
  <conditionalFormatting sqref="BC294:BC297">
    <cfRule type="cellIs" dxfId="1406" priority="1608" operator="equal">
      <formula>"Not Assigned"</formula>
    </cfRule>
  </conditionalFormatting>
  <conditionalFormatting sqref="AQ294:AQ297">
    <cfRule type="expression" dxfId="1405" priority="1606">
      <formula>RIGHT($AQ294, 1)="*"</formula>
    </cfRule>
    <cfRule type="expression" dxfId="1404" priority="1607" stopIfTrue="1">
      <formula>REPLACE($AQ294,8,LEN($AQ294),"")="unused_"</formula>
    </cfRule>
  </conditionalFormatting>
  <conditionalFormatting sqref="BC292:BC293">
    <cfRule type="cellIs" dxfId="1403" priority="1605" operator="equal">
      <formula>"Not Assigned"</formula>
    </cfRule>
  </conditionalFormatting>
  <conditionalFormatting sqref="AQ292:AQ293">
    <cfRule type="expression" dxfId="1402" priority="1603">
      <formula>RIGHT($AQ292, 1)="*"</formula>
    </cfRule>
    <cfRule type="expression" dxfId="1401" priority="1604" stopIfTrue="1">
      <formula>REPLACE($AQ292,8,LEN($AQ292),"")="unused_"</formula>
    </cfRule>
  </conditionalFormatting>
  <conditionalFormatting sqref="BC302:BC303">
    <cfRule type="cellIs" dxfId="1400" priority="1602" operator="equal">
      <formula>"Not Assigned"</formula>
    </cfRule>
  </conditionalFormatting>
  <conditionalFormatting sqref="AQ302:AQ303">
    <cfRule type="expression" dxfId="1399" priority="1600">
      <formula>RIGHT($AQ302, 1)="*"</formula>
    </cfRule>
    <cfRule type="expression" dxfId="1398" priority="1601" stopIfTrue="1">
      <formula>REPLACE($AQ302,8,LEN($AQ302),"")="unused_"</formula>
    </cfRule>
  </conditionalFormatting>
  <conditionalFormatting sqref="BC305:BC307">
    <cfRule type="cellIs" dxfId="1397" priority="1599" operator="equal">
      <formula>"Not Assigned"</formula>
    </cfRule>
  </conditionalFormatting>
  <conditionalFormatting sqref="AQ305:AQ307">
    <cfRule type="expression" dxfId="1396" priority="1597">
      <formula>RIGHT($AQ305, 1)="*"</formula>
    </cfRule>
    <cfRule type="expression" dxfId="1395" priority="1598" stopIfTrue="1">
      <formula>REPLACE($AQ305,8,LEN($AQ305),"")="unused_"</formula>
    </cfRule>
  </conditionalFormatting>
  <conditionalFormatting sqref="BC308:BC309">
    <cfRule type="cellIs" dxfId="1394" priority="1596" operator="equal">
      <formula>"Not Assigned"</formula>
    </cfRule>
  </conditionalFormatting>
  <conditionalFormatting sqref="AQ308:AQ309">
    <cfRule type="expression" dxfId="1393" priority="1594">
      <formula>RIGHT($AQ308, 1)="*"</formula>
    </cfRule>
    <cfRule type="expression" dxfId="1392" priority="1595" stopIfTrue="1">
      <formula>REPLACE($AQ308,8,LEN($AQ308),"")="unused_"</formula>
    </cfRule>
  </conditionalFormatting>
  <conditionalFormatting sqref="BC304">
    <cfRule type="cellIs" dxfId="1391" priority="1593" operator="equal">
      <formula>"Not Assigned"</formula>
    </cfRule>
  </conditionalFormatting>
  <conditionalFormatting sqref="AQ304">
    <cfRule type="expression" dxfId="1390" priority="1591">
      <formula>RIGHT($AQ304, 1)="*"</formula>
    </cfRule>
    <cfRule type="expression" dxfId="1389" priority="1592" stopIfTrue="1">
      <formula>REPLACE($AQ304,8,LEN($AQ304),"")="unused_"</formula>
    </cfRule>
  </conditionalFormatting>
  <conditionalFormatting sqref="BC322">
    <cfRule type="cellIs" dxfId="1388" priority="1590" operator="equal">
      <formula>"Not Assigned"</formula>
    </cfRule>
  </conditionalFormatting>
  <conditionalFormatting sqref="AQ322">
    <cfRule type="expression" dxfId="1387" priority="1588">
      <formula>RIGHT($AQ322, 1)="*"</formula>
    </cfRule>
    <cfRule type="expression" dxfId="1386" priority="1589" stopIfTrue="1">
      <formula>REPLACE($AQ322,8,LEN($AQ322),"")="unused_"</formula>
    </cfRule>
  </conditionalFormatting>
  <conditionalFormatting sqref="BC367:BC368">
    <cfRule type="cellIs" dxfId="1385" priority="1587" operator="equal">
      <formula>"Not Assigned"</formula>
    </cfRule>
  </conditionalFormatting>
  <conditionalFormatting sqref="BC369:BC370">
    <cfRule type="cellIs" dxfId="1384" priority="1586" operator="equal">
      <formula>"Not Assigned"</formula>
    </cfRule>
  </conditionalFormatting>
  <conditionalFormatting sqref="BC514:BC518">
    <cfRule type="cellIs" dxfId="1383" priority="1585" operator="equal">
      <formula>"Not Assigned"</formula>
    </cfRule>
  </conditionalFormatting>
  <conditionalFormatting sqref="BC508:BC513">
    <cfRule type="cellIs" dxfId="1382" priority="1584" operator="equal">
      <formula>"Not Assigned"</formula>
    </cfRule>
  </conditionalFormatting>
  <conditionalFormatting sqref="BC521">
    <cfRule type="cellIs" dxfId="1381" priority="1583" operator="equal">
      <formula>"Not Assigned"</formula>
    </cfRule>
  </conditionalFormatting>
  <conditionalFormatting sqref="BC519:BC520">
    <cfRule type="cellIs" dxfId="1380" priority="1582" operator="equal">
      <formula>"Not Assigned"</formula>
    </cfRule>
  </conditionalFormatting>
  <conditionalFormatting sqref="Q239:Q240">
    <cfRule type="cellIs" dxfId="1379" priority="1581" operator="equal">
      <formula>"INVALID"</formula>
    </cfRule>
  </conditionalFormatting>
  <conditionalFormatting sqref="R239:R240">
    <cfRule type="cellIs" dxfId="1378" priority="1580" operator="equal">
      <formula>"INVALID"</formula>
    </cfRule>
  </conditionalFormatting>
  <conditionalFormatting sqref="S239:S240">
    <cfRule type="cellIs" dxfId="1377" priority="1579" operator="equal">
      <formula>"INVALID"</formula>
    </cfRule>
  </conditionalFormatting>
  <conditionalFormatting sqref="T239:T240">
    <cfRule type="cellIs" dxfId="1376" priority="1578" operator="equal">
      <formula>"INVALID"</formula>
    </cfRule>
  </conditionalFormatting>
  <conditionalFormatting sqref="U239:V240">
    <cfRule type="cellIs" dxfId="1375" priority="1577" operator="equal">
      <formula>"INVALID"</formula>
    </cfRule>
  </conditionalFormatting>
  <conditionalFormatting sqref="Q187:Q188">
    <cfRule type="cellIs" dxfId="1374" priority="1576" operator="equal">
      <formula>"INVALID"</formula>
    </cfRule>
  </conditionalFormatting>
  <conditionalFormatting sqref="R187:R188">
    <cfRule type="cellIs" dxfId="1373" priority="1575" operator="equal">
      <formula>"INVALID"</formula>
    </cfRule>
  </conditionalFormatting>
  <conditionalFormatting sqref="S187:S188">
    <cfRule type="cellIs" dxfId="1372" priority="1574" operator="equal">
      <formula>"INVALID"</formula>
    </cfRule>
  </conditionalFormatting>
  <conditionalFormatting sqref="T187:T188">
    <cfRule type="cellIs" dxfId="1371" priority="1573" operator="equal">
      <formula>"INVALID"</formula>
    </cfRule>
  </conditionalFormatting>
  <conditionalFormatting sqref="U187:V188">
    <cfRule type="cellIs" dxfId="1370" priority="1572" operator="equal">
      <formula>"INVALID"</formula>
    </cfRule>
  </conditionalFormatting>
  <conditionalFormatting sqref="Q189:Q190">
    <cfRule type="cellIs" dxfId="1369" priority="1571" operator="equal">
      <formula>"INVALID"</formula>
    </cfRule>
  </conditionalFormatting>
  <conditionalFormatting sqref="R189:R190">
    <cfRule type="cellIs" dxfId="1368" priority="1570" operator="equal">
      <formula>"INVALID"</formula>
    </cfRule>
  </conditionalFormatting>
  <conditionalFormatting sqref="S189:S190">
    <cfRule type="cellIs" dxfId="1367" priority="1569" operator="equal">
      <formula>"INVALID"</formula>
    </cfRule>
  </conditionalFormatting>
  <conditionalFormatting sqref="T189:T190">
    <cfRule type="cellIs" dxfId="1366" priority="1568" operator="equal">
      <formula>"INVALID"</formula>
    </cfRule>
  </conditionalFormatting>
  <conditionalFormatting sqref="U189:V190">
    <cfRule type="cellIs" dxfId="1365" priority="1567" operator="equal">
      <formula>"INVALID"</formula>
    </cfRule>
  </conditionalFormatting>
  <conditionalFormatting sqref="Q191">
    <cfRule type="cellIs" dxfId="1364" priority="1566" operator="equal">
      <formula>"INVALID"</formula>
    </cfRule>
  </conditionalFormatting>
  <conditionalFormatting sqref="R191">
    <cfRule type="cellIs" dxfId="1363" priority="1565" operator="equal">
      <formula>"INVALID"</formula>
    </cfRule>
  </conditionalFormatting>
  <conditionalFormatting sqref="S191">
    <cfRule type="cellIs" dxfId="1362" priority="1564" operator="equal">
      <formula>"INVALID"</formula>
    </cfRule>
  </conditionalFormatting>
  <conditionalFormatting sqref="T191">
    <cfRule type="cellIs" dxfId="1361" priority="1563" operator="equal">
      <formula>"INVALID"</formula>
    </cfRule>
  </conditionalFormatting>
  <conditionalFormatting sqref="U191:V191">
    <cfRule type="cellIs" dxfId="1360" priority="1562" operator="equal">
      <formula>"INVALID"</formula>
    </cfRule>
  </conditionalFormatting>
  <conditionalFormatting sqref="AJ25:AJ29 AJ35:AJ42 AJ46:AJ53 AJ55:AJ63 AJ67:AJ73 AJ182:AJ191 AJ193 AJ226:AJ232 AJ234:AJ244 AJ106:AJ112 AJ44 AJ65 AJ75:AJ78 AJ82:AJ88 AJ127:AO147 AJ203:AJ211 AJ157:AO180 AJ90:AJ91">
    <cfRule type="cellIs" dxfId="1359" priority="1559" operator="equal">
      <formula>FALSE</formula>
    </cfRule>
  </conditionalFormatting>
  <conditionalFormatting sqref="AK25:AK29 AK35:AK42 AK46:AK53 AK55:AK63 AK67:AK73 AK182:AK191 AK193 AK226:AK232 AK234:AK244 AK106:AK112 AK44 AK65 AK75:AK78 AK82:AK88 AK203:AK211 AK90:AK91">
    <cfRule type="cellIs" dxfId="1358" priority="1558" operator="equal">
      <formula>FALSE</formula>
    </cfRule>
  </conditionalFormatting>
  <conditionalFormatting sqref="AL25:AL29 AL35:AL42 AL46:AL53 AL55:AL63 AL67:AL73 AL182:AL191 AL193 AL226:AL232 AL234:AL244 AL106:AL112 AL44 AL65 AL75:AL78 AL82:AL88 AL203:AL211 AL90:AL91">
    <cfRule type="cellIs" dxfId="1357" priority="1557" operator="equal">
      <formula>FALSE</formula>
    </cfRule>
  </conditionalFormatting>
  <conditionalFormatting sqref="AM25:AM29 AM35:AM42 AM46:AM53 AM55:AM63 AM67:AM73 AM182:AM191 AM193 AM226:AM232 AM234:AM244 AM106:AM112 AM44 AM65 AM75:AM78 AM82:AM88 AM203:AM211 AM90:AM91">
    <cfRule type="cellIs" dxfId="1356" priority="1556" operator="equal">
      <formula>FALSE</formula>
    </cfRule>
  </conditionalFormatting>
  <conditionalFormatting sqref="AN25:AN29 AN35:AN42 AN46:AN53 AN55:AN63 AN67:AN73 AN182:AN191 AN193 AN226:AN232 AN234:AN244 AN106:AN112 AN44 AN65 AN75:AN78 AN82:AN88 AN203:AN211 AN90:AN91">
    <cfRule type="cellIs" dxfId="1355" priority="1555" operator="equal">
      <formula>FALSE</formula>
    </cfRule>
  </conditionalFormatting>
  <conditionalFormatting sqref="AP35:AP42 AP44">
    <cfRule type="cellIs" dxfId="1354" priority="1554" operator="equal">
      <formula>"INVALID"</formula>
    </cfRule>
  </conditionalFormatting>
  <conditionalFormatting sqref="AJ35:AJ42 AJ44">
    <cfRule type="cellIs" dxfId="1353" priority="1553" operator="equal">
      <formula>"INVALID"</formula>
    </cfRule>
  </conditionalFormatting>
  <conditionalFormatting sqref="AK35:AK42 AK44">
    <cfRule type="cellIs" dxfId="1352" priority="1552" operator="equal">
      <formula>"INVALID"</formula>
    </cfRule>
  </conditionalFormatting>
  <conditionalFormatting sqref="AL35:AM42 AL44:AM44">
    <cfRule type="cellIs" dxfId="1351" priority="1551" operator="equal">
      <formula>"INVALID"</formula>
    </cfRule>
  </conditionalFormatting>
  <conditionalFormatting sqref="AK35:AK42 AK44">
    <cfRule type="cellIs" dxfId="1350" priority="1550" operator="equal">
      <formula>"INVALID"</formula>
    </cfRule>
  </conditionalFormatting>
  <conditionalFormatting sqref="AL35:AL42 AL44">
    <cfRule type="cellIs" dxfId="1349" priority="1549" operator="equal">
      <formula>"INVALID"</formula>
    </cfRule>
  </conditionalFormatting>
  <conditionalFormatting sqref="AM35:AM42 AM44">
    <cfRule type="cellIs" dxfId="1348" priority="1548" operator="equal">
      <formula>"INVALID"</formula>
    </cfRule>
  </conditionalFormatting>
  <conditionalFormatting sqref="AN35:AN42 AN44">
    <cfRule type="cellIs" dxfId="1347" priority="1547" operator="equal">
      <formula>"INVALID"</formula>
    </cfRule>
  </conditionalFormatting>
  <conditionalFormatting sqref="AP46:AP53">
    <cfRule type="cellIs" dxfId="1346" priority="1546" operator="equal">
      <formula>"INVALID"</formula>
    </cfRule>
  </conditionalFormatting>
  <conditionalFormatting sqref="AJ46:AJ53">
    <cfRule type="cellIs" dxfId="1345" priority="1545" operator="equal">
      <formula>"INVALID"</formula>
    </cfRule>
  </conditionalFormatting>
  <conditionalFormatting sqref="AK46:AK53">
    <cfRule type="cellIs" dxfId="1344" priority="1544" operator="equal">
      <formula>"INVALID"</formula>
    </cfRule>
  </conditionalFormatting>
  <conditionalFormatting sqref="AL46:AM53">
    <cfRule type="cellIs" dxfId="1343" priority="1543" operator="equal">
      <formula>"INVALID"</formula>
    </cfRule>
  </conditionalFormatting>
  <conditionalFormatting sqref="AK46:AK53">
    <cfRule type="cellIs" dxfId="1342" priority="1542" operator="equal">
      <formula>"INVALID"</formula>
    </cfRule>
  </conditionalFormatting>
  <conditionalFormatting sqref="AL46:AL53">
    <cfRule type="cellIs" dxfId="1341" priority="1541" operator="equal">
      <formula>"INVALID"</formula>
    </cfRule>
  </conditionalFormatting>
  <conditionalFormatting sqref="AM46:AM53">
    <cfRule type="cellIs" dxfId="1340" priority="1540" operator="equal">
      <formula>"INVALID"</formula>
    </cfRule>
  </conditionalFormatting>
  <conditionalFormatting sqref="AN46:AN53">
    <cfRule type="cellIs" dxfId="1339" priority="1539" operator="equal">
      <formula>"INVALID"</formula>
    </cfRule>
  </conditionalFormatting>
  <conditionalFormatting sqref="AP55:AP63 AP65">
    <cfRule type="cellIs" dxfId="1338" priority="1538" operator="equal">
      <formula>"INVALID"</formula>
    </cfRule>
  </conditionalFormatting>
  <conditionalFormatting sqref="AJ55:AJ63 AJ65">
    <cfRule type="cellIs" dxfId="1337" priority="1537" operator="equal">
      <formula>"INVALID"</formula>
    </cfRule>
  </conditionalFormatting>
  <conditionalFormatting sqref="AK55:AK63 AK65">
    <cfRule type="cellIs" dxfId="1336" priority="1536" operator="equal">
      <formula>"INVALID"</formula>
    </cfRule>
  </conditionalFormatting>
  <conditionalFormatting sqref="AL55:AM63 AL65:AM65">
    <cfRule type="cellIs" dxfId="1335" priority="1535" operator="equal">
      <formula>"INVALID"</formula>
    </cfRule>
  </conditionalFormatting>
  <conditionalFormatting sqref="AK55:AK63 AK65">
    <cfRule type="cellIs" dxfId="1334" priority="1534" operator="equal">
      <formula>"INVALID"</formula>
    </cfRule>
  </conditionalFormatting>
  <conditionalFormatting sqref="AL55:AL63 AL65">
    <cfRule type="cellIs" dxfId="1333" priority="1533" operator="equal">
      <formula>"INVALID"</formula>
    </cfRule>
  </conditionalFormatting>
  <conditionalFormatting sqref="AM55:AM63 AM65">
    <cfRule type="cellIs" dxfId="1332" priority="1532" operator="equal">
      <formula>"INVALID"</formula>
    </cfRule>
  </conditionalFormatting>
  <conditionalFormatting sqref="AN55:AN63 AN65">
    <cfRule type="cellIs" dxfId="1331" priority="1531" operator="equal">
      <formula>"INVALID"</formula>
    </cfRule>
  </conditionalFormatting>
  <conditionalFormatting sqref="AP67:AP73 AP75:AP78">
    <cfRule type="cellIs" dxfId="1330" priority="1530" operator="equal">
      <formula>"INVALID"</formula>
    </cfRule>
  </conditionalFormatting>
  <conditionalFormatting sqref="AJ67:AJ73 AJ75:AJ78">
    <cfRule type="cellIs" dxfId="1329" priority="1529" operator="equal">
      <formula>"INVALID"</formula>
    </cfRule>
  </conditionalFormatting>
  <conditionalFormatting sqref="AK67:AK73 AK75:AK78">
    <cfRule type="cellIs" dxfId="1328" priority="1528" operator="equal">
      <formula>"INVALID"</formula>
    </cfRule>
  </conditionalFormatting>
  <conditionalFormatting sqref="AL67:AM73 AL75:AM78">
    <cfRule type="cellIs" dxfId="1327" priority="1527" operator="equal">
      <formula>"INVALID"</formula>
    </cfRule>
  </conditionalFormatting>
  <conditionalFormatting sqref="AK67:AK73 AK75:AK78">
    <cfRule type="cellIs" dxfId="1326" priority="1526" operator="equal">
      <formula>"INVALID"</formula>
    </cfRule>
  </conditionalFormatting>
  <conditionalFormatting sqref="AL67:AL73 AL75:AL78">
    <cfRule type="cellIs" dxfId="1325" priority="1525" operator="equal">
      <formula>"INVALID"</formula>
    </cfRule>
  </conditionalFormatting>
  <conditionalFormatting sqref="AM67:AM73 AM75:AM78">
    <cfRule type="cellIs" dxfId="1324" priority="1524" operator="equal">
      <formula>"INVALID"</formula>
    </cfRule>
  </conditionalFormatting>
  <conditionalFormatting sqref="AN67:AN73 AN75:AN78">
    <cfRule type="cellIs" dxfId="1323" priority="1523" operator="equal">
      <formula>"INVALID"</formula>
    </cfRule>
  </conditionalFormatting>
  <conditionalFormatting sqref="AP82:AP88 AP90:AP91">
    <cfRule type="cellIs" dxfId="1322" priority="1522" operator="equal">
      <formula>"INVALID"</formula>
    </cfRule>
  </conditionalFormatting>
  <conditionalFormatting sqref="AJ82:AJ88 AJ90:AJ91">
    <cfRule type="cellIs" dxfId="1321" priority="1521" operator="equal">
      <formula>"INVALID"</formula>
    </cfRule>
  </conditionalFormatting>
  <conditionalFormatting sqref="AK82:AK88 AK90:AK91">
    <cfRule type="cellIs" dxfId="1320" priority="1520" operator="equal">
      <formula>"INVALID"</formula>
    </cfRule>
  </conditionalFormatting>
  <conditionalFormatting sqref="AL82:AM88 AL90:AM91">
    <cfRule type="cellIs" dxfId="1319" priority="1519" operator="equal">
      <formula>"INVALID"</formula>
    </cfRule>
  </conditionalFormatting>
  <conditionalFormatting sqref="AK82:AK88 AK90:AK91">
    <cfRule type="cellIs" dxfId="1318" priority="1518" operator="equal">
      <formula>"INVALID"</formula>
    </cfRule>
  </conditionalFormatting>
  <conditionalFormatting sqref="AL82:AL88 AL90:AL91">
    <cfRule type="cellIs" dxfId="1317" priority="1517" operator="equal">
      <formula>"INVALID"</formula>
    </cfRule>
  </conditionalFormatting>
  <conditionalFormatting sqref="AM82:AM88 AM90:AM91">
    <cfRule type="cellIs" dxfId="1316" priority="1516" operator="equal">
      <formula>"INVALID"</formula>
    </cfRule>
  </conditionalFormatting>
  <conditionalFormatting sqref="AN82:AN88 AN90:AN91">
    <cfRule type="cellIs" dxfId="1315" priority="1515" operator="equal">
      <formula>"INVALID"</formula>
    </cfRule>
  </conditionalFormatting>
  <conditionalFormatting sqref="AP106:AP112">
    <cfRule type="cellIs" dxfId="1314" priority="1506" operator="equal">
      <formula>"INVALID"</formula>
    </cfRule>
  </conditionalFormatting>
  <conditionalFormatting sqref="AJ106:AJ112">
    <cfRule type="cellIs" dxfId="1313" priority="1505" operator="equal">
      <formula>"INVALID"</formula>
    </cfRule>
  </conditionalFormatting>
  <conditionalFormatting sqref="AK106:AK112">
    <cfRule type="cellIs" dxfId="1312" priority="1504" operator="equal">
      <formula>"INVALID"</formula>
    </cfRule>
  </conditionalFormatting>
  <conditionalFormatting sqref="AL106:AM112">
    <cfRule type="cellIs" dxfId="1311" priority="1503" operator="equal">
      <formula>"INVALID"</formula>
    </cfRule>
  </conditionalFormatting>
  <conditionalFormatting sqref="AK106:AK112">
    <cfRule type="cellIs" dxfId="1310" priority="1502" operator="equal">
      <formula>"INVALID"</formula>
    </cfRule>
  </conditionalFormatting>
  <conditionalFormatting sqref="AL106:AL112">
    <cfRule type="cellIs" dxfId="1309" priority="1501" operator="equal">
      <formula>"INVALID"</formula>
    </cfRule>
  </conditionalFormatting>
  <conditionalFormatting sqref="AM106:AM112">
    <cfRule type="cellIs" dxfId="1308" priority="1500" operator="equal">
      <formula>"INVALID"</formula>
    </cfRule>
  </conditionalFormatting>
  <conditionalFormatting sqref="AN106:AN112">
    <cfRule type="cellIs" dxfId="1307" priority="1499" operator="equal">
      <formula>"INVALID"</formula>
    </cfRule>
  </conditionalFormatting>
  <conditionalFormatting sqref="AP182:AP191">
    <cfRule type="cellIs" dxfId="1306" priority="1498" operator="equal">
      <formula>"INVALID"</formula>
    </cfRule>
  </conditionalFormatting>
  <conditionalFormatting sqref="AJ182:AJ191">
    <cfRule type="cellIs" dxfId="1305" priority="1497" operator="equal">
      <formula>"INVALID"</formula>
    </cfRule>
  </conditionalFormatting>
  <conditionalFormatting sqref="AK182:AK191">
    <cfRule type="cellIs" dxfId="1304" priority="1496" operator="equal">
      <formula>"INVALID"</formula>
    </cfRule>
  </conditionalFormatting>
  <conditionalFormatting sqref="AL182:AM191">
    <cfRule type="cellIs" dxfId="1303" priority="1495" operator="equal">
      <formula>"INVALID"</formula>
    </cfRule>
  </conditionalFormatting>
  <conditionalFormatting sqref="AK182:AK191">
    <cfRule type="cellIs" dxfId="1302" priority="1494" operator="equal">
      <formula>"INVALID"</formula>
    </cfRule>
  </conditionalFormatting>
  <conditionalFormatting sqref="AL182:AL191">
    <cfRule type="cellIs" dxfId="1301" priority="1493" operator="equal">
      <formula>"INVALID"</formula>
    </cfRule>
  </conditionalFormatting>
  <conditionalFormatting sqref="AM182:AM191">
    <cfRule type="cellIs" dxfId="1300" priority="1492" operator="equal">
      <formula>"INVALID"</formula>
    </cfRule>
  </conditionalFormatting>
  <conditionalFormatting sqref="AN182:AN191">
    <cfRule type="cellIs" dxfId="1299" priority="1491" operator="equal">
      <formula>"INVALID"</formula>
    </cfRule>
  </conditionalFormatting>
  <conditionalFormatting sqref="AP193 AP203:AP211">
    <cfRule type="cellIs" dxfId="1298" priority="1490" operator="equal">
      <formula>"INVALID"</formula>
    </cfRule>
  </conditionalFormatting>
  <conditionalFormatting sqref="AJ193 AJ203:AJ211">
    <cfRule type="cellIs" dxfId="1297" priority="1489" operator="equal">
      <formula>"INVALID"</formula>
    </cfRule>
  </conditionalFormatting>
  <conditionalFormatting sqref="AK193 AK203:AK211">
    <cfRule type="cellIs" dxfId="1296" priority="1488" operator="equal">
      <formula>"INVALID"</formula>
    </cfRule>
  </conditionalFormatting>
  <conditionalFormatting sqref="AL193:AM193 AL203:AM211">
    <cfRule type="cellIs" dxfId="1295" priority="1487" operator="equal">
      <formula>"INVALID"</formula>
    </cfRule>
  </conditionalFormatting>
  <conditionalFormatting sqref="AK193 AK203:AK211">
    <cfRule type="cellIs" dxfId="1294" priority="1486" operator="equal">
      <formula>"INVALID"</formula>
    </cfRule>
  </conditionalFormatting>
  <conditionalFormatting sqref="AL193 AL203:AL211">
    <cfRule type="cellIs" dxfId="1293" priority="1485" operator="equal">
      <formula>"INVALID"</formula>
    </cfRule>
  </conditionalFormatting>
  <conditionalFormatting sqref="AM193 AM203:AM211">
    <cfRule type="cellIs" dxfId="1292" priority="1484" operator="equal">
      <formula>"INVALID"</formula>
    </cfRule>
  </conditionalFormatting>
  <conditionalFormatting sqref="AN193 AN203:AN211">
    <cfRule type="cellIs" dxfId="1291" priority="1483" operator="equal">
      <formula>"INVALID"</formula>
    </cfRule>
  </conditionalFormatting>
  <conditionalFormatting sqref="AP226:AP232">
    <cfRule type="cellIs" dxfId="1290" priority="1482" operator="equal">
      <formula>"INVALID"</formula>
    </cfRule>
  </conditionalFormatting>
  <conditionalFormatting sqref="AJ226:AJ232">
    <cfRule type="cellIs" dxfId="1289" priority="1481" operator="equal">
      <formula>"INVALID"</formula>
    </cfRule>
  </conditionalFormatting>
  <conditionalFormatting sqref="AK226:AK232">
    <cfRule type="cellIs" dxfId="1288" priority="1480" operator="equal">
      <formula>"INVALID"</formula>
    </cfRule>
  </conditionalFormatting>
  <conditionalFormatting sqref="AL226:AM232">
    <cfRule type="cellIs" dxfId="1287" priority="1479" operator="equal">
      <formula>"INVALID"</formula>
    </cfRule>
  </conditionalFormatting>
  <conditionalFormatting sqref="AK226:AK232">
    <cfRule type="cellIs" dxfId="1286" priority="1478" operator="equal">
      <formula>"INVALID"</formula>
    </cfRule>
  </conditionalFormatting>
  <conditionalFormatting sqref="AL226:AL232">
    <cfRule type="cellIs" dxfId="1285" priority="1477" operator="equal">
      <formula>"INVALID"</formula>
    </cfRule>
  </conditionalFormatting>
  <conditionalFormatting sqref="AM226:AM232">
    <cfRule type="cellIs" dxfId="1284" priority="1476" operator="equal">
      <formula>"INVALID"</formula>
    </cfRule>
  </conditionalFormatting>
  <conditionalFormatting sqref="AN226:AN232">
    <cfRule type="cellIs" dxfId="1283" priority="1475" operator="equal">
      <formula>"INVALID"</formula>
    </cfRule>
  </conditionalFormatting>
  <conditionalFormatting sqref="AP234:AP244">
    <cfRule type="cellIs" dxfId="1282" priority="1474" operator="equal">
      <formula>"INVALID"</formula>
    </cfRule>
  </conditionalFormatting>
  <conditionalFormatting sqref="AJ234:AJ244">
    <cfRule type="cellIs" dxfId="1281" priority="1473" operator="equal">
      <formula>"INVALID"</formula>
    </cfRule>
  </conditionalFormatting>
  <conditionalFormatting sqref="AK234:AK244">
    <cfRule type="cellIs" dxfId="1280" priority="1472" operator="equal">
      <formula>"INVALID"</formula>
    </cfRule>
  </conditionalFormatting>
  <conditionalFormatting sqref="AL234:AM244">
    <cfRule type="cellIs" dxfId="1279" priority="1471" operator="equal">
      <formula>"INVALID"</formula>
    </cfRule>
  </conditionalFormatting>
  <conditionalFormatting sqref="AK234:AK244">
    <cfRule type="cellIs" dxfId="1278" priority="1470" operator="equal">
      <formula>"INVALID"</formula>
    </cfRule>
  </conditionalFormatting>
  <conditionalFormatting sqref="AL234:AL244">
    <cfRule type="cellIs" dxfId="1277" priority="1469" operator="equal">
      <formula>"INVALID"</formula>
    </cfRule>
  </conditionalFormatting>
  <conditionalFormatting sqref="AM234:AM244">
    <cfRule type="cellIs" dxfId="1276" priority="1468" operator="equal">
      <formula>"INVALID"</formula>
    </cfRule>
  </conditionalFormatting>
  <conditionalFormatting sqref="AN234:AN244">
    <cfRule type="cellIs" dxfId="1275" priority="1467" operator="equal">
      <formula>"INVALID"</formula>
    </cfRule>
  </conditionalFormatting>
  <conditionalFormatting sqref="AT178 AT206 AT229 AT219">
    <cfRule type="expression" dxfId="1274" priority="1466">
      <formula>NOT($AM178)</formula>
    </cfRule>
  </conditionalFormatting>
  <conditionalFormatting sqref="AQ25:AQ29 AQ193 AQ182:AQ191 AQ106:AQ112 AQ67:AQ73 AQ55:AQ63 AQ35:AQ42 AQ23 AQ44 AQ46:AQ53 AQ65 AQ127:AQ147 AQ203:AQ211 AQ226:AQ232 AQ244 AQ158:AQ180 AQ223:AQ224 AQ82:AQ88 AQ90:AQ91 AQ104">
    <cfRule type="expression" dxfId="1273" priority="1465">
      <formula>NOT($AJ23)</formula>
    </cfRule>
    <cfRule type="expression" dxfId="1272" priority="1663">
      <formula>RIGHT($AQ23, 1)="*"</formula>
    </cfRule>
  </conditionalFormatting>
  <conditionalFormatting sqref="AS25:AS29 AS193 AY182:AZ191 AY106:AZ112 AS106:AS112 AY67:AZ73 AS67:AS73 AS55:AS63 AS35:AS42 AS23 AS44 AY46:AZ53 AS46:AS53 AS65 AS75:AS78 AY127:AZ147 AS127:AS147 AS203:AS211 AY226:AZ232 AS226:AS231 AY234:AZ244 AS234:AS244 AS10:AS21 AY22:AZ23 AY25:AZ33 AY35:AZ44 AY55:AZ65 AS149:AS180 AY193:AZ211 AS213 AS223:AS224 AY214:AZ224 AS246:AS247 AY75:AZ80 AS182:AS191 AY158:AZ180 AY82:AZ88 AS82:AS88 AY90:AZ91 AY104:AZ104 AS104 AS114:AS125">
    <cfRule type="expression" dxfId="1271" priority="1464">
      <formula>NOT($AN10)</formula>
    </cfRule>
  </conditionalFormatting>
  <conditionalFormatting sqref="AS25:AS29 AS193 AS182:AS191 AS106:AS112 AS67:AS73 AS55:AS63 AS35:AS42 AS23 AS44 AS46:AS53 AS65 AS75:AS78 AS127:AS147 AS203:AS211 AS226:AS231 AS234:AS244 AS157:AS180 AS223:AS224 AS82:AS88 AS104 AS114:AS125">
    <cfRule type="expression" dxfId="1270" priority="1463">
      <formula>NOT($AK23)</formula>
    </cfRule>
  </conditionalFormatting>
  <conditionalFormatting sqref="Q191">
    <cfRule type="cellIs" dxfId="1269" priority="1462" operator="equal">
      <formula>"INVALID"</formula>
    </cfRule>
  </conditionalFormatting>
  <conditionalFormatting sqref="R191">
    <cfRule type="cellIs" dxfId="1268" priority="1461" operator="equal">
      <formula>"INVALID"</formula>
    </cfRule>
  </conditionalFormatting>
  <conditionalFormatting sqref="S191">
    <cfRule type="cellIs" dxfId="1267" priority="1460" operator="equal">
      <formula>"INVALID"</formula>
    </cfRule>
  </conditionalFormatting>
  <conditionalFormatting sqref="T191">
    <cfRule type="cellIs" dxfId="1266" priority="1459" operator="equal">
      <formula>"INVALID"</formula>
    </cfRule>
  </conditionalFormatting>
  <conditionalFormatting sqref="U191:V191">
    <cfRule type="cellIs" dxfId="1265" priority="1458" operator="equal">
      <formula>"INVALID"</formula>
    </cfRule>
  </conditionalFormatting>
  <conditionalFormatting sqref="AD10:AF18 AH10:AI18">
    <cfRule type="cellIs" dxfId="1264" priority="1411" operator="equal">
      <formula>"INVALID"</formula>
    </cfRule>
  </conditionalFormatting>
  <conditionalFormatting sqref="AO25:AO29 AO35:AO42 AO46:AO53 AO55:AO63 AO67:AO73 AO182:AO191 AO193 AO226:AO232 AO234:AO244 AO106:AO112 AO44 AO65 AO75:AO78 AO82:AO88 AO203:AO211 AO90:AO91">
    <cfRule type="cellIs" dxfId="1263" priority="1457" operator="equal">
      <formula>FALSE</formula>
    </cfRule>
  </conditionalFormatting>
  <conditionalFormatting sqref="AO35:AO42 AO44">
    <cfRule type="cellIs" dxfId="1262" priority="1456" operator="equal">
      <formula>"INVALID"</formula>
    </cfRule>
  </conditionalFormatting>
  <conditionalFormatting sqref="AO35:AO42 AO44">
    <cfRule type="cellIs" dxfId="1261" priority="1455" operator="equal">
      <formula>"INVALID"</formula>
    </cfRule>
  </conditionalFormatting>
  <conditionalFormatting sqref="AO46:AO53">
    <cfRule type="cellIs" dxfId="1260" priority="1454" operator="equal">
      <formula>"INVALID"</formula>
    </cfRule>
  </conditionalFormatting>
  <conditionalFormatting sqref="AO46:AO53">
    <cfRule type="cellIs" dxfId="1259" priority="1453" operator="equal">
      <formula>"INVALID"</formula>
    </cfRule>
  </conditionalFormatting>
  <conditionalFormatting sqref="AO55:AO63 AO65">
    <cfRule type="cellIs" dxfId="1258" priority="1452" operator="equal">
      <formula>"INVALID"</formula>
    </cfRule>
  </conditionalFormatting>
  <conditionalFormatting sqref="AO55:AO63 AO65">
    <cfRule type="cellIs" dxfId="1257" priority="1451" operator="equal">
      <formula>"INVALID"</formula>
    </cfRule>
  </conditionalFormatting>
  <conditionalFormatting sqref="AO67:AO73 AO75:AO78">
    <cfRule type="cellIs" dxfId="1256" priority="1450" operator="equal">
      <formula>"INVALID"</formula>
    </cfRule>
  </conditionalFormatting>
  <conditionalFormatting sqref="AO67:AO73 AO75:AO78">
    <cfRule type="cellIs" dxfId="1255" priority="1449" operator="equal">
      <formula>"INVALID"</formula>
    </cfRule>
  </conditionalFormatting>
  <conditionalFormatting sqref="AO82:AO88 AO90:AO91">
    <cfRule type="cellIs" dxfId="1254" priority="1448" operator="equal">
      <formula>"INVALID"</formula>
    </cfRule>
  </conditionalFormatting>
  <conditionalFormatting sqref="AO82:AO88 AO90:AO91">
    <cfRule type="cellIs" dxfId="1253" priority="1447" operator="equal">
      <formula>"INVALID"</formula>
    </cfRule>
  </conditionalFormatting>
  <conditionalFormatting sqref="AO106:AO112">
    <cfRule type="cellIs" dxfId="1252" priority="1444" operator="equal">
      <formula>"INVALID"</formula>
    </cfRule>
  </conditionalFormatting>
  <conditionalFormatting sqref="AO106:AO112">
    <cfRule type="cellIs" dxfId="1251" priority="1443" operator="equal">
      <formula>"INVALID"</formula>
    </cfRule>
  </conditionalFormatting>
  <conditionalFormatting sqref="AO182:AO191">
    <cfRule type="cellIs" dxfId="1250" priority="1442" operator="equal">
      <formula>"INVALID"</formula>
    </cfRule>
  </conditionalFormatting>
  <conditionalFormatting sqref="AO182:AO191">
    <cfRule type="cellIs" dxfId="1249" priority="1441" operator="equal">
      <formula>"INVALID"</formula>
    </cfRule>
  </conditionalFormatting>
  <conditionalFormatting sqref="AO193 AO203:AO211">
    <cfRule type="cellIs" dxfId="1248" priority="1440" operator="equal">
      <formula>"INVALID"</formula>
    </cfRule>
  </conditionalFormatting>
  <conditionalFormatting sqref="AO193 AO203:AO211">
    <cfRule type="cellIs" dxfId="1247" priority="1439" operator="equal">
      <formula>"INVALID"</formula>
    </cfRule>
  </conditionalFormatting>
  <conditionalFormatting sqref="AO226:AO232">
    <cfRule type="cellIs" dxfId="1246" priority="1438" operator="equal">
      <formula>"INVALID"</formula>
    </cfRule>
  </conditionalFormatting>
  <conditionalFormatting sqref="AO226:AO232">
    <cfRule type="cellIs" dxfId="1245" priority="1437" operator="equal">
      <formula>"INVALID"</formula>
    </cfRule>
  </conditionalFormatting>
  <conditionalFormatting sqref="AO234:AO244">
    <cfRule type="cellIs" dxfId="1244" priority="1436" operator="equal">
      <formula>"INVALID"</formula>
    </cfRule>
  </conditionalFormatting>
  <conditionalFormatting sqref="AO234:AO244">
    <cfRule type="cellIs" dxfId="1243" priority="1435" operator="equal">
      <formula>"INVALID"</formula>
    </cfRule>
  </conditionalFormatting>
  <conditionalFormatting sqref="AH127:AH136 AD127:AF136">
    <cfRule type="cellIs" dxfId="1242" priority="1434" operator="equal">
      <formula>"INVALID"</formula>
    </cfRule>
  </conditionalFormatting>
  <conditionalFormatting sqref="AD137:AF141 AH137:AH141">
    <cfRule type="cellIs" dxfId="1241" priority="1433" operator="equal">
      <formula>"INVALID"</formula>
    </cfRule>
  </conditionalFormatting>
  <conditionalFormatting sqref="AH106">
    <cfRule type="cellIs" dxfId="1240" priority="1432" operator="equal">
      <formula>"INVALID"</formula>
    </cfRule>
  </conditionalFormatting>
  <conditionalFormatting sqref="AI106:AI111">
    <cfRule type="cellIs" dxfId="1239" priority="1430" operator="equal">
      <formula>"INVALID"</formula>
    </cfRule>
  </conditionalFormatting>
  <conditionalFormatting sqref="AI106:AI111">
    <cfRule type="cellIs" dxfId="1238" priority="1429" operator="equal">
      <formula>"INVALID"</formula>
    </cfRule>
  </conditionalFormatting>
  <conditionalFormatting sqref="AI106:AI111">
    <cfRule type="cellIs" dxfId="1237" priority="1428" operator="equal">
      <formula>"INVALID"</formula>
    </cfRule>
  </conditionalFormatting>
  <conditionalFormatting sqref="AI182:AI191">
    <cfRule type="cellIs" dxfId="1236" priority="1427" operator="equal">
      <formula>"INVALID"</formula>
    </cfRule>
  </conditionalFormatting>
  <conditionalFormatting sqref="AI182:AI191">
    <cfRule type="cellIs" dxfId="1235" priority="1426" operator="equal">
      <formula>"INVALID"</formula>
    </cfRule>
  </conditionalFormatting>
  <conditionalFormatting sqref="AI182:AI191">
    <cfRule type="cellIs" dxfId="1234" priority="1425" operator="equal">
      <formula>"INVALID"</formula>
    </cfRule>
  </conditionalFormatting>
  <conditionalFormatting sqref="AI182:AI191">
    <cfRule type="cellIs" dxfId="1233" priority="1424" operator="equal">
      <formula>"INVALID"</formula>
    </cfRule>
  </conditionalFormatting>
  <conditionalFormatting sqref="AI193 AI203:AI211">
    <cfRule type="cellIs" dxfId="1232" priority="1423" operator="equal">
      <formula>"INVALID"</formula>
    </cfRule>
  </conditionalFormatting>
  <conditionalFormatting sqref="AI193 AI203:AI211">
    <cfRule type="cellIs" dxfId="1231" priority="1422" operator="equal">
      <formula>"INVALID"</formula>
    </cfRule>
  </conditionalFormatting>
  <conditionalFormatting sqref="AI193 AI203:AI211">
    <cfRule type="cellIs" dxfId="1230" priority="1421" operator="equal">
      <formula>"INVALID"</formula>
    </cfRule>
  </conditionalFormatting>
  <conditionalFormatting sqref="AI193 AI203:AI211">
    <cfRule type="cellIs" dxfId="1229" priority="1420" operator="equal">
      <formula>"INVALID"</formula>
    </cfRule>
  </conditionalFormatting>
  <conditionalFormatting sqref="AI226:AI232">
    <cfRule type="cellIs" dxfId="1228" priority="1419" operator="equal">
      <formula>"INVALID"</formula>
    </cfRule>
  </conditionalFormatting>
  <conditionalFormatting sqref="AI226:AI232">
    <cfRule type="cellIs" dxfId="1227" priority="1418" operator="equal">
      <formula>"INVALID"</formula>
    </cfRule>
  </conditionalFormatting>
  <conditionalFormatting sqref="AI226:AI232">
    <cfRule type="cellIs" dxfId="1226" priority="1417" operator="equal">
      <formula>"INVALID"</formula>
    </cfRule>
  </conditionalFormatting>
  <conditionalFormatting sqref="AI226:AI232">
    <cfRule type="cellIs" dxfId="1225" priority="1416" operator="equal">
      <formula>"INVALID"</formula>
    </cfRule>
  </conditionalFormatting>
  <conditionalFormatting sqref="AI234:AI244">
    <cfRule type="cellIs" dxfId="1224" priority="1415" operator="equal">
      <formula>"INVALID"</formula>
    </cfRule>
  </conditionalFormatting>
  <conditionalFormatting sqref="AI234:AI244">
    <cfRule type="cellIs" dxfId="1223" priority="1414" operator="equal">
      <formula>"INVALID"</formula>
    </cfRule>
  </conditionalFormatting>
  <conditionalFormatting sqref="AI234:AI244">
    <cfRule type="cellIs" dxfId="1222" priority="1413" operator="equal">
      <formula>"INVALID"</formula>
    </cfRule>
  </conditionalFormatting>
  <conditionalFormatting sqref="AI234:AI244">
    <cfRule type="cellIs" dxfId="1221" priority="1412" operator="equal">
      <formula>"INVALID"</formula>
    </cfRule>
  </conditionalFormatting>
  <conditionalFormatting sqref="AR10:AR18">
    <cfRule type="cellIs" dxfId="1220" priority="1409" operator="equal">
      <formula>"Not Assigned"</formula>
    </cfRule>
  </conditionalFormatting>
  <conditionalFormatting sqref="AS10:AS18">
    <cfRule type="expression" dxfId="1219" priority="1408">
      <formula>EXACT(AF10, "INVALID")</formula>
    </cfRule>
  </conditionalFormatting>
  <conditionalFormatting sqref="AY10:AY18">
    <cfRule type="expression" dxfId="1218" priority="1407">
      <formula>AND(NOT(ISBLANK(AY10)), EXACT(AF10, "INVALID"))</formula>
    </cfRule>
  </conditionalFormatting>
  <conditionalFormatting sqref="AZ10:AZ18">
    <cfRule type="expression" dxfId="1217" priority="1406">
      <formula>AND(NOT(ISBLANK(AZ10)), EXACT(AF10, "INVALID"))</formula>
    </cfRule>
  </conditionalFormatting>
  <conditionalFormatting sqref="AR10:AR18">
    <cfRule type="expression" dxfId="1216" priority="1405">
      <formula>NOT($AL10)</formula>
    </cfRule>
  </conditionalFormatting>
  <conditionalFormatting sqref="AQ10:AQ18">
    <cfRule type="expression" dxfId="1215" priority="1410" stopIfTrue="1">
      <formula>REPLACE($AQ10,8,LEN($AQ10),"")="unused_"</formula>
    </cfRule>
  </conditionalFormatting>
  <conditionalFormatting sqref="AJ10:AJ18">
    <cfRule type="cellIs" dxfId="1214" priority="1403" operator="equal">
      <formula>FALSE</formula>
    </cfRule>
  </conditionalFormatting>
  <conditionalFormatting sqref="AK10:AK18">
    <cfRule type="cellIs" dxfId="1213" priority="1402" operator="equal">
      <formula>FALSE</formula>
    </cfRule>
  </conditionalFormatting>
  <conditionalFormatting sqref="AL10:AL18">
    <cfRule type="cellIs" dxfId="1212" priority="1401" operator="equal">
      <formula>FALSE</formula>
    </cfRule>
  </conditionalFormatting>
  <conditionalFormatting sqref="AM10:AM18">
    <cfRule type="cellIs" dxfId="1211" priority="1400" operator="equal">
      <formula>FALSE</formula>
    </cfRule>
  </conditionalFormatting>
  <conditionalFormatting sqref="AN10:AN18">
    <cfRule type="cellIs" dxfId="1210" priority="1399" operator="equal">
      <formula>FALSE</formula>
    </cfRule>
  </conditionalFormatting>
  <conditionalFormatting sqref="AP10:AP18">
    <cfRule type="cellIs" dxfId="1209" priority="1398" operator="equal">
      <formula>"INVALID"</formula>
    </cfRule>
  </conditionalFormatting>
  <conditionalFormatting sqref="AJ10:AJ18">
    <cfRule type="cellIs" dxfId="1208" priority="1397" operator="equal">
      <formula>"INVALID"</formula>
    </cfRule>
  </conditionalFormatting>
  <conditionalFormatting sqref="AK10:AK18">
    <cfRule type="cellIs" dxfId="1207" priority="1396" operator="equal">
      <formula>"INVALID"</formula>
    </cfRule>
  </conditionalFormatting>
  <conditionalFormatting sqref="AL10:AM18">
    <cfRule type="cellIs" dxfId="1206" priority="1395" operator="equal">
      <formula>"INVALID"</formula>
    </cfRule>
  </conditionalFormatting>
  <conditionalFormatting sqref="AK10:AK18">
    <cfRule type="cellIs" dxfId="1205" priority="1394" operator="equal">
      <formula>"INVALID"</formula>
    </cfRule>
  </conditionalFormatting>
  <conditionalFormatting sqref="AL10:AL18">
    <cfRule type="cellIs" dxfId="1204" priority="1393" operator="equal">
      <formula>"INVALID"</formula>
    </cfRule>
  </conditionalFormatting>
  <conditionalFormatting sqref="AM10:AM18">
    <cfRule type="cellIs" dxfId="1203" priority="1392" operator="equal">
      <formula>"INVALID"</formula>
    </cfRule>
  </conditionalFormatting>
  <conditionalFormatting sqref="AN10:AN18">
    <cfRule type="cellIs" dxfId="1202" priority="1391" operator="equal">
      <formula>"INVALID"</formula>
    </cfRule>
  </conditionalFormatting>
  <conditionalFormatting sqref="AT13">
    <cfRule type="expression" dxfId="1201" priority="1390">
      <formula>NOT($AM13)</formula>
    </cfRule>
  </conditionalFormatting>
  <conditionalFormatting sqref="AQ10:AQ18">
    <cfRule type="expression" dxfId="1200" priority="1389">
      <formula>NOT($AJ10)</formula>
    </cfRule>
    <cfRule type="expression" dxfId="1199" priority="1404">
      <formula>RIGHT($AQ10, 1)="*"</formula>
    </cfRule>
  </conditionalFormatting>
  <conditionalFormatting sqref="AY10:AZ18">
    <cfRule type="expression" dxfId="1198" priority="1388">
      <formula>NOT($AN10)</formula>
    </cfRule>
  </conditionalFormatting>
  <conditionalFormatting sqref="AS10:AS18">
    <cfRule type="expression" dxfId="1197" priority="1387">
      <formula>NOT($AK10)</formula>
    </cfRule>
  </conditionalFormatting>
  <conditionalFormatting sqref="AO10:AO18">
    <cfRule type="cellIs" dxfId="1196" priority="1386" operator="equal">
      <formula>FALSE</formula>
    </cfRule>
  </conditionalFormatting>
  <conditionalFormatting sqref="AO10:AO18">
    <cfRule type="cellIs" dxfId="1195" priority="1385" operator="equal">
      <formula>"INVALID"</formula>
    </cfRule>
  </conditionalFormatting>
  <conditionalFormatting sqref="AO10:AO18">
    <cfRule type="cellIs" dxfId="1194" priority="1384" operator="equal">
      <formula>"INVALID"</formula>
    </cfRule>
  </conditionalFormatting>
  <conditionalFormatting sqref="AD19:AF21 AD23:AF23 AH23:AI23 AH19:AI21">
    <cfRule type="cellIs" dxfId="1193" priority="1383" operator="equal">
      <formula>"INVALID"</formula>
    </cfRule>
  </conditionalFormatting>
  <conditionalFormatting sqref="AR19:AR21 AR23">
    <cfRule type="cellIs" dxfId="1192" priority="1381" operator="equal">
      <formula>"Not Assigned"</formula>
    </cfRule>
  </conditionalFormatting>
  <conditionalFormatting sqref="AS19:AS21">
    <cfRule type="expression" dxfId="1191" priority="1380">
      <formula>EXACT(AF19, "INVALID")</formula>
    </cfRule>
  </conditionalFormatting>
  <conditionalFormatting sqref="AY19:AY21">
    <cfRule type="expression" dxfId="1190" priority="1379">
      <formula>AND(NOT(ISBLANK(AY19)), EXACT(AF19, "INVALID"))</formula>
    </cfRule>
  </conditionalFormatting>
  <conditionalFormatting sqref="AZ19:AZ21">
    <cfRule type="expression" dxfId="1189" priority="1378">
      <formula>AND(NOT(ISBLANK(AZ19)), EXACT(AF19, "INVALID"))</formula>
    </cfRule>
  </conditionalFormatting>
  <conditionalFormatting sqref="AR19:AR21">
    <cfRule type="expression" dxfId="1188" priority="1377">
      <formula>NOT($AL19)</formula>
    </cfRule>
  </conditionalFormatting>
  <conditionalFormatting sqref="AQ19:AQ21">
    <cfRule type="expression" dxfId="1187" priority="1382" stopIfTrue="1">
      <formula>REPLACE($AQ19,8,LEN($AQ19),"")="unused_"</formula>
    </cfRule>
  </conditionalFormatting>
  <conditionalFormatting sqref="AJ19:AJ21 AJ23">
    <cfRule type="cellIs" dxfId="1186" priority="1375" operator="equal">
      <formula>FALSE</formula>
    </cfRule>
  </conditionalFormatting>
  <conditionalFormatting sqref="AK19:AK21 AK23">
    <cfRule type="cellIs" dxfId="1185" priority="1374" operator="equal">
      <formula>FALSE</formula>
    </cfRule>
  </conditionalFormatting>
  <conditionalFormatting sqref="AL19:AL21 AL23">
    <cfRule type="cellIs" dxfId="1184" priority="1373" operator="equal">
      <formula>FALSE</formula>
    </cfRule>
  </conditionalFormatting>
  <conditionalFormatting sqref="AM19:AM21 AM23">
    <cfRule type="cellIs" dxfId="1183" priority="1372" operator="equal">
      <formula>FALSE</formula>
    </cfRule>
  </conditionalFormatting>
  <conditionalFormatting sqref="AN19:AN21 AN23">
    <cfRule type="cellIs" dxfId="1182" priority="1371" operator="equal">
      <formula>FALSE</formula>
    </cfRule>
  </conditionalFormatting>
  <conditionalFormatting sqref="AP19:AP21 AP23">
    <cfRule type="cellIs" dxfId="1181" priority="1370" operator="equal">
      <formula>"INVALID"</formula>
    </cfRule>
  </conditionalFormatting>
  <conditionalFormatting sqref="AJ19:AJ21 AJ23">
    <cfRule type="cellIs" dxfId="1180" priority="1369" operator="equal">
      <formula>"INVALID"</formula>
    </cfRule>
  </conditionalFormatting>
  <conditionalFormatting sqref="AK19:AK21 AK23">
    <cfRule type="cellIs" dxfId="1179" priority="1368" operator="equal">
      <formula>"INVALID"</formula>
    </cfRule>
  </conditionalFormatting>
  <conditionalFormatting sqref="AL19:AM21 AL23:AM23">
    <cfRule type="cellIs" dxfId="1178" priority="1367" operator="equal">
      <formula>"INVALID"</formula>
    </cfRule>
  </conditionalFormatting>
  <conditionalFormatting sqref="AK19:AK21 AK23">
    <cfRule type="cellIs" dxfId="1177" priority="1366" operator="equal">
      <formula>"INVALID"</formula>
    </cfRule>
  </conditionalFormatting>
  <conditionalFormatting sqref="AL19:AL21 AL23">
    <cfRule type="cellIs" dxfId="1176" priority="1365" operator="equal">
      <formula>"INVALID"</formula>
    </cfRule>
  </conditionalFormatting>
  <conditionalFormatting sqref="AM19:AM21 AM23">
    <cfRule type="cellIs" dxfId="1175" priority="1364" operator="equal">
      <formula>"INVALID"</formula>
    </cfRule>
  </conditionalFormatting>
  <conditionalFormatting sqref="AN19:AN21 AN23">
    <cfRule type="cellIs" dxfId="1174" priority="1363" operator="equal">
      <formula>"INVALID"</formula>
    </cfRule>
  </conditionalFormatting>
  <conditionalFormatting sqref="AQ19:AQ21">
    <cfRule type="expression" dxfId="1173" priority="1362">
      <formula>NOT($AJ19)</formula>
    </cfRule>
    <cfRule type="expression" dxfId="1172" priority="1376">
      <formula>RIGHT($AQ19, 1)="*"</formula>
    </cfRule>
  </conditionalFormatting>
  <conditionalFormatting sqref="AY19:AZ21">
    <cfRule type="expression" dxfId="1171" priority="1361">
      <formula>NOT($AN19)</formula>
    </cfRule>
  </conditionalFormatting>
  <conditionalFormatting sqref="AS19:AS21">
    <cfRule type="expression" dxfId="1170" priority="1360">
      <formula>NOT($AK19)</formula>
    </cfRule>
  </conditionalFormatting>
  <conditionalFormatting sqref="AO19:AO21 AO23">
    <cfRule type="cellIs" dxfId="1169" priority="1359" operator="equal">
      <formula>FALSE</formula>
    </cfRule>
  </conditionalFormatting>
  <conditionalFormatting sqref="AO19:AO21 AO23">
    <cfRule type="cellIs" dxfId="1168" priority="1358" operator="equal">
      <formula>"INVALID"</formula>
    </cfRule>
  </conditionalFormatting>
  <conditionalFormatting sqref="AO19:AO21 AO23">
    <cfRule type="cellIs" dxfId="1167" priority="1357" operator="equal">
      <formula>"INVALID"</formula>
    </cfRule>
  </conditionalFormatting>
  <conditionalFormatting sqref="AD22:AF22 AH22:AI22">
    <cfRule type="cellIs" dxfId="1166" priority="1356" operator="equal">
      <formula>"INVALID"</formula>
    </cfRule>
  </conditionalFormatting>
  <conditionalFormatting sqref="AR22">
    <cfRule type="cellIs" dxfId="1165" priority="1354" operator="equal">
      <formula>"Not Assigned"</formula>
    </cfRule>
  </conditionalFormatting>
  <conditionalFormatting sqref="AS22">
    <cfRule type="expression" dxfId="1164" priority="1353">
      <formula>EXACT(AF22, "INVALID")</formula>
    </cfRule>
  </conditionalFormatting>
  <conditionalFormatting sqref="AY22">
    <cfRule type="expression" dxfId="1163" priority="1352">
      <formula>AND(NOT(ISBLANK(AY22)), EXACT(AF22, "INVALID"))</formula>
    </cfRule>
  </conditionalFormatting>
  <conditionalFormatting sqref="AZ22">
    <cfRule type="expression" dxfId="1162" priority="1351">
      <formula>AND(NOT(ISBLANK(AZ22)), EXACT(AF22, "INVALID"))</formula>
    </cfRule>
  </conditionalFormatting>
  <conditionalFormatting sqref="AR22">
    <cfRule type="expression" dxfId="1161" priority="1350">
      <formula>NOT($AL22)</formula>
    </cfRule>
  </conditionalFormatting>
  <conditionalFormatting sqref="AQ22">
    <cfRule type="expression" dxfId="1160" priority="1355" stopIfTrue="1">
      <formula>REPLACE($AQ22,8,LEN($AQ22),"")="unused_"</formula>
    </cfRule>
  </conditionalFormatting>
  <conditionalFormatting sqref="AJ22">
    <cfRule type="cellIs" dxfId="1159" priority="1348" operator="equal">
      <formula>FALSE</formula>
    </cfRule>
  </conditionalFormatting>
  <conditionalFormatting sqref="AK22">
    <cfRule type="cellIs" dxfId="1158" priority="1347" operator="equal">
      <formula>FALSE</formula>
    </cfRule>
  </conditionalFormatting>
  <conditionalFormatting sqref="AL22">
    <cfRule type="cellIs" dxfId="1157" priority="1346" operator="equal">
      <formula>FALSE</formula>
    </cfRule>
  </conditionalFormatting>
  <conditionalFormatting sqref="AM22">
    <cfRule type="cellIs" dxfId="1156" priority="1345" operator="equal">
      <formula>FALSE</formula>
    </cfRule>
  </conditionalFormatting>
  <conditionalFormatting sqref="AN22">
    <cfRule type="cellIs" dxfId="1155" priority="1344" operator="equal">
      <formula>FALSE</formula>
    </cfRule>
  </conditionalFormatting>
  <conditionalFormatting sqref="AP22">
    <cfRule type="cellIs" dxfId="1154" priority="1343" operator="equal">
      <formula>"INVALID"</formula>
    </cfRule>
  </conditionalFormatting>
  <conditionalFormatting sqref="AJ22">
    <cfRule type="cellIs" dxfId="1153" priority="1342" operator="equal">
      <formula>"INVALID"</formula>
    </cfRule>
  </conditionalFormatting>
  <conditionalFormatting sqref="AK22">
    <cfRule type="cellIs" dxfId="1152" priority="1341" operator="equal">
      <formula>"INVALID"</formula>
    </cfRule>
  </conditionalFormatting>
  <conditionalFormatting sqref="AL22:AM22">
    <cfRule type="cellIs" dxfId="1151" priority="1340" operator="equal">
      <formula>"INVALID"</formula>
    </cfRule>
  </conditionalFormatting>
  <conditionalFormatting sqref="AK22">
    <cfRule type="cellIs" dxfId="1150" priority="1339" operator="equal">
      <formula>"INVALID"</formula>
    </cfRule>
  </conditionalFormatting>
  <conditionalFormatting sqref="AL22">
    <cfRule type="cellIs" dxfId="1149" priority="1338" operator="equal">
      <formula>"INVALID"</formula>
    </cfRule>
  </conditionalFormatting>
  <conditionalFormatting sqref="AM22">
    <cfRule type="cellIs" dxfId="1148" priority="1337" operator="equal">
      <formula>"INVALID"</formula>
    </cfRule>
  </conditionalFormatting>
  <conditionalFormatting sqref="AN22">
    <cfRule type="cellIs" dxfId="1147" priority="1336" operator="equal">
      <formula>"INVALID"</formula>
    </cfRule>
  </conditionalFormatting>
  <conditionalFormatting sqref="AQ22">
    <cfRule type="expression" dxfId="1146" priority="1335">
      <formula>NOT($AJ22)</formula>
    </cfRule>
    <cfRule type="expression" dxfId="1145" priority="1349">
      <formula>RIGHT($AQ22, 1)="*"</formula>
    </cfRule>
  </conditionalFormatting>
  <conditionalFormatting sqref="AS22">
    <cfRule type="expression" dxfId="1144" priority="1334">
      <formula>NOT($AN22)</formula>
    </cfRule>
  </conditionalFormatting>
  <conditionalFormatting sqref="AS22">
    <cfRule type="expression" dxfId="1143" priority="1333">
      <formula>NOT($AK22)</formula>
    </cfRule>
  </conditionalFormatting>
  <conditionalFormatting sqref="AO22">
    <cfRule type="cellIs" dxfId="1142" priority="1332" operator="equal">
      <formula>FALSE</formula>
    </cfRule>
  </conditionalFormatting>
  <conditionalFormatting sqref="AO22">
    <cfRule type="cellIs" dxfId="1141" priority="1331" operator="equal">
      <formula>"INVALID"</formula>
    </cfRule>
  </conditionalFormatting>
  <conditionalFormatting sqref="AO22">
    <cfRule type="cellIs" dxfId="1140" priority="1330" operator="equal">
      <formula>"INVALID"</formula>
    </cfRule>
  </conditionalFormatting>
  <conditionalFormatting sqref="AP30:AP33 AD30:AF33 AH30:AI33">
    <cfRule type="cellIs" dxfId="1139" priority="1329" operator="equal">
      <formula>"INVALID"</formula>
    </cfRule>
  </conditionalFormatting>
  <conditionalFormatting sqref="AR30:AR33">
    <cfRule type="cellIs" dxfId="1138" priority="1327" operator="equal">
      <formula>"Not Assigned"</formula>
    </cfRule>
  </conditionalFormatting>
  <conditionalFormatting sqref="AS30:AS33">
    <cfRule type="expression" dxfId="1137" priority="1326">
      <formula>EXACT(AF30, "INVALID")</formula>
    </cfRule>
  </conditionalFormatting>
  <conditionalFormatting sqref="AY30:AY33">
    <cfRule type="expression" dxfId="1136" priority="1325">
      <formula>AND(NOT(ISBLANK(AY30)), EXACT(AF30, "INVALID"))</formula>
    </cfRule>
  </conditionalFormatting>
  <conditionalFormatting sqref="AZ30:AZ33">
    <cfRule type="expression" dxfId="1135" priority="1324">
      <formula>AND(NOT(ISBLANK(AZ30)), EXACT(AF30, "INVALID"))</formula>
    </cfRule>
  </conditionalFormatting>
  <conditionalFormatting sqref="AR30:AR33">
    <cfRule type="expression" dxfId="1134" priority="1323">
      <formula>NOT($AL30)</formula>
    </cfRule>
  </conditionalFormatting>
  <conditionalFormatting sqref="AQ30:AQ33">
    <cfRule type="expression" dxfId="1133" priority="1328" stopIfTrue="1">
      <formula>REPLACE($AQ30,8,LEN($AQ30),"")="unused_"</formula>
    </cfRule>
  </conditionalFormatting>
  <conditionalFormatting sqref="AJ30:AJ33">
    <cfRule type="cellIs" dxfId="1132" priority="1321" operator="equal">
      <formula>FALSE</formula>
    </cfRule>
  </conditionalFormatting>
  <conditionalFormatting sqref="AK30:AK33">
    <cfRule type="cellIs" dxfId="1131" priority="1320" operator="equal">
      <formula>FALSE</formula>
    </cfRule>
  </conditionalFormatting>
  <conditionalFormatting sqref="AL30:AL33">
    <cfRule type="cellIs" dxfId="1130" priority="1319" operator="equal">
      <formula>FALSE</formula>
    </cfRule>
  </conditionalFormatting>
  <conditionalFormatting sqref="AM30:AM33">
    <cfRule type="cellIs" dxfId="1129" priority="1318" operator="equal">
      <formula>FALSE</formula>
    </cfRule>
  </conditionalFormatting>
  <conditionalFormatting sqref="AN30:AN33">
    <cfRule type="cellIs" dxfId="1128" priority="1317" operator="equal">
      <formula>FALSE</formula>
    </cfRule>
  </conditionalFormatting>
  <conditionalFormatting sqref="AQ30:AQ33">
    <cfRule type="expression" dxfId="1127" priority="1316">
      <formula>NOT($AJ30)</formula>
    </cfRule>
    <cfRule type="expression" dxfId="1126" priority="1322">
      <formula>RIGHT($AQ30, 1)="*"</formula>
    </cfRule>
  </conditionalFormatting>
  <conditionalFormatting sqref="AS30:AS33">
    <cfRule type="expression" dxfId="1125" priority="1315">
      <formula>NOT($AN30)</formula>
    </cfRule>
  </conditionalFormatting>
  <conditionalFormatting sqref="AS30:AS33">
    <cfRule type="expression" dxfId="1124" priority="1314">
      <formula>NOT($AK30)</formula>
    </cfRule>
  </conditionalFormatting>
  <conditionalFormatting sqref="AO30:AO33">
    <cfRule type="cellIs" dxfId="1123" priority="1313" operator="equal">
      <formula>FALSE</formula>
    </cfRule>
  </conditionalFormatting>
  <conditionalFormatting sqref="AD43:AF43 AH43:AI43">
    <cfRule type="cellIs" dxfId="1122" priority="1312" operator="equal">
      <formula>"INVALID"</formula>
    </cfRule>
  </conditionalFormatting>
  <conditionalFormatting sqref="AR43">
    <cfRule type="cellIs" dxfId="1121" priority="1310" operator="equal">
      <formula>"Not Assigned"</formula>
    </cfRule>
  </conditionalFormatting>
  <conditionalFormatting sqref="AS43">
    <cfRule type="expression" dxfId="1120" priority="1309">
      <formula>EXACT(AF43, "INVALID")</formula>
    </cfRule>
  </conditionalFormatting>
  <conditionalFormatting sqref="AY43">
    <cfRule type="expression" dxfId="1119" priority="1308">
      <formula>AND(NOT(ISBLANK(AY43)), EXACT(AF43, "INVALID"))</formula>
    </cfRule>
  </conditionalFormatting>
  <conditionalFormatting sqref="AZ43">
    <cfRule type="expression" dxfId="1118" priority="1307">
      <formula>AND(NOT(ISBLANK(AZ43)), EXACT(AF43, "INVALID"))</formula>
    </cfRule>
  </conditionalFormatting>
  <conditionalFormatting sqref="AR43">
    <cfRule type="expression" dxfId="1117" priority="1306">
      <formula>NOT($AL43)</formula>
    </cfRule>
  </conditionalFormatting>
  <conditionalFormatting sqref="AQ43">
    <cfRule type="expression" dxfId="1116" priority="1311" stopIfTrue="1">
      <formula>REPLACE($AQ43,8,LEN($AQ43),"")="unused_"</formula>
    </cfRule>
  </conditionalFormatting>
  <conditionalFormatting sqref="AJ43">
    <cfRule type="cellIs" dxfId="1115" priority="1304" operator="equal">
      <formula>FALSE</formula>
    </cfRule>
  </conditionalFormatting>
  <conditionalFormatting sqref="AK43">
    <cfRule type="cellIs" dxfId="1114" priority="1303" operator="equal">
      <formula>FALSE</formula>
    </cfRule>
  </conditionalFormatting>
  <conditionalFormatting sqref="AL43">
    <cfRule type="cellIs" dxfId="1113" priority="1302" operator="equal">
      <formula>FALSE</formula>
    </cfRule>
  </conditionalFormatting>
  <conditionalFormatting sqref="AM43">
    <cfRule type="cellIs" dxfId="1112" priority="1301" operator="equal">
      <formula>FALSE</formula>
    </cfRule>
  </conditionalFormatting>
  <conditionalFormatting sqref="AN43">
    <cfRule type="cellIs" dxfId="1111" priority="1300" operator="equal">
      <formula>FALSE</formula>
    </cfRule>
  </conditionalFormatting>
  <conditionalFormatting sqref="AP43">
    <cfRule type="cellIs" dxfId="1110" priority="1299" operator="equal">
      <formula>"INVALID"</formula>
    </cfRule>
  </conditionalFormatting>
  <conditionalFormatting sqref="AJ43">
    <cfRule type="cellIs" dxfId="1109" priority="1298" operator="equal">
      <formula>"INVALID"</formula>
    </cfRule>
  </conditionalFormatting>
  <conditionalFormatting sqref="AK43">
    <cfRule type="cellIs" dxfId="1108" priority="1297" operator="equal">
      <formula>"INVALID"</formula>
    </cfRule>
  </conditionalFormatting>
  <conditionalFormatting sqref="AL43:AM43">
    <cfRule type="cellIs" dxfId="1107" priority="1296" operator="equal">
      <formula>"INVALID"</formula>
    </cfRule>
  </conditionalFormatting>
  <conditionalFormatting sqref="AK43">
    <cfRule type="cellIs" dxfId="1106" priority="1295" operator="equal">
      <formula>"INVALID"</formula>
    </cfRule>
  </conditionalFormatting>
  <conditionalFormatting sqref="AL43">
    <cfRule type="cellIs" dxfId="1105" priority="1294" operator="equal">
      <formula>"INVALID"</formula>
    </cfRule>
  </conditionalFormatting>
  <conditionalFormatting sqref="AM43">
    <cfRule type="cellIs" dxfId="1104" priority="1293" operator="equal">
      <formula>"INVALID"</formula>
    </cfRule>
  </conditionalFormatting>
  <conditionalFormatting sqref="AN43">
    <cfRule type="cellIs" dxfId="1103" priority="1292" operator="equal">
      <formula>"INVALID"</formula>
    </cfRule>
  </conditionalFormatting>
  <conditionalFormatting sqref="AQ43">
    <cfRule type="expression" dxfId="1102" priority="1291">
      <formula>NOT($AJ43)</formula>
    </cfRule>
    <cfRule type="expression" dxfId="1101" priority="1305">
      <formula>RIGHT($AQ43, 1)="*"</formula>
    </cfRule>
  </conditionalFormatting>
  <conditionalFormatting sqref="AS43">
    <cfRule type="expression" dxfId="1100" priority="1290">
      <formula>NOT($AN43)</formula>
    </cfRule>
  </conditionalFormatting>
  <conditionalFormatting sqref="AS43">
    <cfRule type="expression" dxfId="1099" priority="1289">
      <formula>NOT($AK43)</formula>
    </cfRule>
  </conditionalFormatting>
  <conditionalFormatting sqref="AO43">
    <cfRule type="cellIs" dxfId="1098" priority="1288" operator="equal">
      <formula>FALSE</formula>
    </cfRule>
  </conditionalFormatting>
  <conditionalFormatting sqref="AO43">
    <cfRule type="cellIs" dxfId="1097" priority="1287" operator="equal">
      <formula>"INVALID"</formula>
    </cfRule>
  </conditionalFormatting>
  <conditionalFormatting sqref="AO43">
    <cfRule type="cellIs" dxfId="1096" priority="1286" operator="equal">
      <formula>"INVALID"</formula>
    </cfRule>
  </conditionalFormatting>
  <conditionalFormatting sqref="AR64">
    <cfRule type="cellIs" dxfId="1095" priority="1285" operator="equal">
      <formula>"Not Assigned"</formula>
    </cfRule>
  </conditionalFormatting>
  <conditionalFormatting sqref="AD64:AF64 AH64:AI64">
    <cfRule type="cellIs" dxfId="1094" priority="1284" operator="equal">
      <formula>"INVALID"</formula>
    </cfRule>
  </conditionalFormatting>
  <conditionalFormatting sqref="AS64">
    <cfRule type="expression" dxfId="1093" priority="1282">
      <formula>EXACT(AF64, "INVALID")</formula>
    </cfRule>
  </conditionalFormatting>
  <conditionalFormatting sqref="AY64">
    <cfRule type="expression" dxfId="1092" priority="1281">
      <formula>AND(NOT(ISBLANK(AY64)), EXACT(AF64, "INVALID"))</formula>
    </cfRule>
  </conditionalFormatting>
  <conditionalFormatting sqref="AZ64">
    <cfRule type="expression" dxfId="1091" priority="1280">
      <formula>AND(NOT(ISBLANK(AZ64)), EXACT(AF64, "INVALID"))</formula>
    </cfRule>
  </conditionalFormatting>
  <conditionalFormatting sqref="AR64">
    <cfRule type="expression" dxfId="1090" priority="1279">
      <formula>NOT($AL64)</formula>
    </cfRule>
  </conditionalFormatting>
  <conditionalFormatting sqref="AQ64">
    <cfRule type="expression" dxfId="1089" priority="1283" stopIfTrue="1">
      <formula>REPLACE($AQ64,8,LEN($AQ64),"")="unused_"</formula>
    </cfRule>
  </conditionalFormatting>
  <conditionalFormatting sqref="AJ64">
    <cfRule type="cellIs" dxfId="1088" priority="1277" operator="equal">
      <formula>FALSE</formula>
    </cfRule>
  </conditionalFormatting>
  <conditionalFormatting sqref="AK64">
    <cfRule type="cellIs" dxfId="1087" priority="1276" operator="equal">
      <formula>FALSE</formula>
    </cfRule>
  </conditionalFormatting>
  <conditionalFormatting sqref="AL64">
    <cfRule type="cellIs" dxfId="1086" priority="1275" operator="equal">
      <formula>FALSE</formula>
    </cfRule>
  </conditionalFormatting>
  <conditionalFormatting sqref="AM64">
    <cfRule type="cellIs" dxfId="1085" priority="1274" operator="equal">
      <formula>FALSE</formula>
    </cfRule>
  </conditionalFormatting>
  <conditionalFormatting sqref="AN64">
    <cfRule type="cellIs" dxfId="1084" priority="1273" operator="equal">
      <formula>FALSE</formula>
    </cfRule>
  </conditionalFormatting>
  <conditionalFormatting sqref="AP64">
    <cfRule type="cellIs" dxfId="1083" priority="1272" operator="equal">
      <formula>"INVALID"</formula>
    </cfRule>
  </conditionalFormatting>
  <conditionalFormatting sqref="AJ64">
    <cfRule type="cellIs" dxfId="1082" priority="1271" operator="equal">
      <formula>"INVALID"</formula>
    </cfRule>
  </conditionalFormatting>
  <conditionalFormatting sqref="AK64">
    <cfRule type="cellIs" dxfId="1081" priority="1270" operator="equal">
      <formula>"INVALID"</formula>
    </cfRule>
  </conditionalFormatting>
  <conditionalFormatting sqref="AL64:AM64">
    <cfRule type="cellIs" dxfId="1080" priority="1269" operator="equal">
      <formula>"INVALID"</formula>
    </cfRule>
  </conditionalFormatting>
  <conditionalFormatting sqref="AK64">
    <cfRule type="cellIs" dxfId="1079" priority="1268" operator="equal">
      <formula>"INVALID"</formula>
    </cfRule>
  </conditionalFormatting>
  <conditionalFormatting sqref="AL64">
    <cfRule type="cellIs" dxfId="1078" priority="1267" operator="equal">
      <formula>"INVALID"</formula>
    </cfRule>
  </conditionalFormatting>
  <conditionalFormatting sqref="AM64">
    <cfRule type="cellIs" dxfId="1077" priority="1266" operator="equal">
      <formula>"INVALID"</formula>
    </cfRule>
  </conditionalFormatting>
  <conditionalFormatting sqref="AN64">
    <cfRule type="cellIs" dxfId="1076" priority="1265" operator="equal">
      <formula>"INVALID"</formula>
    </cfRule>
  </conditionalFormatting>
  <conditionalFormatting sqref="AQ64">
    <cfRule type="expression" dxfId="1075" priority="1264">
      <formula>NOT($AJ64)</formula>
    </cfRule>
    <cfRule type="expression" dxfId="1074" priority="1278">
      <formula>RIGHT($AQ64, 1)="*"</formula>
    </cfRule>
  </conditionalFormatting>
  <conditionalFormatting sqref="AS64">
    <cfRule type="expression" dxfId="1073" priority="1263">
      <formula>NOT($AN64)</formula>
    </cfRule>
  </conditionalFormatting>
  <conditionalFormatting sqref="AS64">
    <cfRule type="expression" dxfId="1072" priority="1262">
      <formula>NOT($AK64)</formula>
    </cfRule>
  </conditionalFormatting>
  <conditionalFormatting sqref="AO64">
    <cfRule type="cellIs" dxfId="1071" priority="1261" operator="equal">
      <formula>FALSE</formula>
    </cfRule>
  </conditionalFormatting>
  <conditionalFormatting sqref="AO64">
    <cfRule type="cellIs" dxfId="1070" priority="1260" operator="equal">
      <formula>"INVALID"</formula>
    </cfRule>
  </conditionalFormatting>
  <conditionalFormatting sqref="AO64">
    <cfRule type="cellIs" dxfId="1069" priority="1259" operator="equal">
      <formula>"INVALID"</formula>
    </cfRule>
  </conditionalFormatting>
  <conditionalFormatting sqref="AD149:AF156 AH149:AH156">
    <cfRule type="cellIs" dxfId="1068" priority="1228" operator="equal">
      <formula>"INVALID"</formula>
    </cfRule>
  </conditionalFormatting>
  <conditionalFormatting sqref="AS149:AS156">
    <cfRule type="expression" dxfId="1067" priority="1226">
      <formula>EXACT(AF149, "INVALID")</formula>
    </cfRule>
  </conditionalFormatting>
  <conditionalFormatting sqref="AY149:AY156">
    <cfRule type="expression" dxfId="1066" priority="1225">
      <formula>AND(NOT(ISBLANK(AY149)), EXACT(AF149, "INVALID"))</formula>
    </cfRule>
  </conditionalFormatting>
  <conditionalFormatting sqref="AZ149:AZ156">
    <cfRule type="expression" dxfId="1065" priority="1224">
      <formula>AND(NOT(ISBLANK(AZ149)), EXACT(AF149, "INVALID"))</formula>
    </cfRule>
  </conditionalFormatting>
  <conditionalFormatting sqref="AR149:AR156">
    <cfRule type="expression" dxfId="1064" priority="1223">
      <formula>NOT($AL149)</formula>
    </cfRule>
  </conditionalFormatting>
  <conditionalFormatting sqref="AR149:AR156">
    <cfRule type="cellIs" dxfId="1063" priority="1222" operator="equal">
      <formula>"Not Assigned"</formula>
    </cfRule>
  </conditionalFormatting>
  <conditionalFormatting sqref="AQ149:AQ156">
    <cfRule type="expression" dxfId="1062" priority="1227" stopIfTrue="1">
      <formula>REPLACE($AQ149,8,LEN($AQ149),"")="unused_"</formula>
    </cfRule>
  </conditionalFormatting>
  <conditionalFormatting sqref="AJ149:AJ156">
    <cfRule type="cellIs" dxfId="1061" priority="1220" operator="equal">
      <formula>FALSE</formula>
    </cfRule>
  </conditionalFormatting>
  <conditionalFormatting sqref="AK149:AK156">
    <cfRule type="cellIs" dxfId="1060" priority="1219" operator="equal">
      <formula>FALSE</formula>
    </cfRule>
  </conditionalFormatting>
  <conditionalFormatting sqref="AL149:AL156">
    <cfRule type="cellIs" dxfId="1059" priority="1218" operator="equal">
      <formula>FALSE</formula>
    </cfRule>
  </conditionalFormatting>
  <conditionalFormatting sqref="AM149:AM156">
    <cfRule type="cellIs" dxfId="1058" priority="1217" operator="equal">
      <formula>FALSE</formula>
    </cfRule>
  </conditionalFormatting>
  <conditionalFormatting sqref="AN149:AN156">
    <cfRule type="cellIs" dxfId="1057" priority="1216" operator="equal">
      <formula>FALSE</formula>
    </cfRule>
  </conditionalFormatting>
  <conditionalFormatting sqref="AP149:AP156">
    <cfRule type="cellIs" dxfId="1056" priority="1215" operator="equal">
      <formula>"INVALID"</formula>
    </cfRule>
  </conditionalFormatting>
  <conditionalFormatting sqref="AJ149:AJ156">
    <cfRule type="cellIs" dxfId="1055" priority="1214" operator="equal">
      <formula>"INVALID"</formula>
    </cfRule>
  </conditionalFormatting>
  <conditionalFormatting sqref="AK149:AK156">
    <cfRule type="cellIs" dxfId="1054" priority="1213" operator="equal">
      <formula>"INVALID"</formula>
    </cfRule>
  </conditionalFormatting>
  <conditionalFormatting sqref="AL149:AM156">
    <cfRule type="cellIs" dxfId="1053" priority="1212" operator="equal">
      <formula>"INVALID"</formula>
    </cfRule>
  </conditionalFormatting>
  <conditionalFormatting sqref="AK149:AK156">
    <cfRule type="cellIs" dxfId="1052" priority="1211" operator="equal">
      <formula>"INVALID"</formula>
    </cfRule>
  </conditionalFormatting>
  <conditionalFormatting sqref="AL149:AL156">
    <cfRule type="cellIs" dxfId="1051" priority="1210" operator="equal">
      <formula>"INVALID"</formula>
    </cfRule>
  </conditionalFormatting>
  <conditionalFormatting sqref="AM149:AM156">
    <cfRule type="cellIs" dxfId="1050" priority="1209" operator="equal">
      <formula>"INVALID"</formula>
    </cfRule>
  </conditionalFormatting>
  <conditionalFormatting sqref="AN149:AN156">
    <cfRule type="cellIs" dxfId="1049" priority="1208" operator="equal">
      <formula>"INVALID"</formula>
    </cfRule>
  </conditionalFormatting>
  <conditionalFormatting sqref="AQ149:AQ156">
    <cfRule type="expression" dxfId="1048" priority="1207">
      <formula>NOT($AJ149)</formula>
    </cfRule>
    <cfRule type="expression" dxfId="1047" priority="1221">
      <formula>RIGHT($AQ149, 1)="*"</formula>
    </cfRule>
  </conditionalFormatting>
  <conditionalFormatting sqref="AY149:AZ156">
    <cfRule type="expression" dxfId="1046" priority="1206">
      <formula>NOT($AN149)</formula>
    </cfRule>
  </conditionalFormatting>
  <conditionalFormatting sqref="AS149:AS156">
    <cfRule type="expression" dxfId="1045" priority="1205">
      <formula>NOT($AK149)</formula>
    </cfRule>
  </conditionalFormatting>
  <conditionalFormatting sqref="AO149:AO156">
    <cfRule type="cellIs" dxfId="1044" priority="1204" operator="equal">
      <formula>FALSE</formula>
    </cfRule>
  </conditionalFormatting>
  <conditionalFormatting sqref="AO149:AO156">
    <cfRule type="cellIs" dxfId="1043" priority="1203" operator="equal">
      <formula>"INVALID"</formula>
    </cfRule>
  </conditionalFormatting>
  <conditionalFormatting sqref="AO149:AO156">
    <cfRule type="cellIs" dxfId="1042" priority="1202" operator="equal">
      <formula>"INVALID"</formula>
    </cfRule>
  </conditionalFormatting>
  <conditionalFormatting sqref="AI149:AI156">
    <cfRule type="cellIs" dxfId="1041" priority="1201" operator="equal">
      <formula>"INVALID"</formula>
    </cfRule>
  </conditionalFormatting>
  <conditionalFormatting sqref="AI149:AI156">
    <cfRule type="cellIs" dxfId="1040" priority="1200" operator="equal">
      <formula>"INVALID"</formula>
    </cfRule>
  </conditionalFormatting>
  <conditionalFormatting sqref="AI149:AI156">
    <cfRule type="cellIs" dxfId="1039" priority="1199" operator="equal">
      <formula>"INVALID"</formula>
    </cfRule>
  </conditionalFormatting>
  <conditionalFormatting sqref="AI149:AI156">
    <cfRule type="cellIs" dxfId="1038" priority="1198" operator="equal">
      <formula>"INVALID"</formula>
    </cfRule>
  </conditionalFormatting>
  <conditionalFormatting sqref="AS194:AS202">
    <cfRule type="expression" dxfId="1037" priority="1160">
      <formula>EXACT(AF194, "INVALID")</formula>
    </cfRule>
  </conditionalFormatting>
  <conditionalFormatting sqref="AY194:AY202">
    <cfRule type="expression" dxfId="1036" priority="1159">
      <formula>AND(NOT(ISBLANK(AY194)), EXACT(AF194, "INVALID"))</formula>
    </cfRule>
  </conditionalFormatting>
  <conditionalFormatting sqref="AZ194:AZ202">
    <cfRule type="expression" dxfId="1035" priority="1158">
      <formula>AND(NOT(ISBLANK(AZ194)), EXACT(AF194, "INVALID"))</formula>
    </cfRule>
  </conditionalFormatting>
  <conditionalFormatting sqref="AR194:AR202">
    <cfRule type="expression" dxfId="1034" priority="1157">
      <formula>NOT($AL194)</formula>
    </cfRule>
  </conditionalFormatting>
  <conditionalFormatting sqref="AQ194:AQ202">
    <cfRule type="expression" dxfId="1033" priority="1161" stopIfTrue="1">
      <formula>REPLACE($AQ194,8,LEN($AQ194),"")="unused_"</formula>
    </cfRule>
  </conditionalFormatting>
  <conditionalFormatting sqref="AD194:AF202 AH194:AH202">
    <cfRule type="cellIs" dxfId="1032" priority="1155" operator="equal">
      <formula>"INVALID"</formula>
    </cfRule>
  </conditionalFormatting>
  <conditionalFormatting sqref="AR194:AR202">
    <cfRule type="cellIs" dxfId="1031" priority="1154" operator="equal">
      <formula>"Not Assigned"</formula>
    </cfRule>
  </conditionalFormatting>
  <conditionalFormatting sqref="AJ194:AJ202">
    <cfRule type="cellIs" dxfId="1030" priority="1153" operator="equal">
      <formula>FALSE</formula>
    </cfRule>
  </conditionalFormatting>
  <conditionalFormatting sqref="AK194:AK202">
    <cfRule type="cellIs" dxfId="1029" priority="1152" operator="equal">
      <formula>FALSE</formula>
    </cfRule>
  </conditionalFormatting>
  <conditionalFormatting sqref="AL194:AL202">
    <cfRule type="cellIs" dxfId="1028" priority="1151" operator="equal">
      <formula>FALSE</formula>
    </cfRule>
  </conditionalFormatting>
  <conditionalFormatting sqref="AM194:AM202">
    <cfRule type="cellIs" dxfId="1027" priority="1150" operator="equal">
      <formula>FALSE</formula>
    </cfRule>
  </conditionalFormatting>
  <conditionalFormatting sqref="AN194:AN202">
    <cfRule type="cellIs" dxfId="1026" priority="1149" operator="equal">
      <formula>FALSE</formula>
    </cfRule>
  </conditionalFormatting>
  <conditionalFormatting sqref="AP194:AP202">
    <cfRule type="cellIs" dxfId="1025" priority="1148" operator="equal">
      <formula>"INVALID"</formula>
    </cfRule>
  </conditionalFormatting>
  <conditionalFormatting sqref="AJ194:AJ202">
    <cfRule type="cellIs" dxfId="1024" priority="1147" operator="equal">
      <formula>"INVALID"</formula>
    </cfRule>
  </conditionalFormatting>
  <conditionalFormatting sqref="AK194:AK202">
    <cfRule type="cellIs" dxfId="1023" priority="1146" operator="equal">
      <formula>"INVALID"</formula>
    </cfRule>
  </conditionalFormatting>
  <conditionalFormatting sqref="AL194:AM202">
    <cfRule type="cellIs" dxfId="1022" priority="1145" operator="equal">
      <formula>"INVALID"</formula>
    </cfRule>
  </conditionalFormatting>
  <conditionalFormatting sqref="AK194:AK202">
    <cfRule type="cellIs" dxfId="1021" priority="1144" operator="equal">
      <formula>"INVALID"</formula>
    </cfRule>
  </conditionalFormatting>
  <conditionalFormatting sqref="AL194:AL202">
    <cfRule type="cellIs" dxfId="1020" priority="1143" operator="equal">
      <formula>"INVALID"</formula>
    </cfRule>
  </conditionalFormatting>
  <conditionalFormatting sqref="AM194:AM202">
    <cfRule type="cellIs" dxfId="1019" priority="1142" operator="equal">
      <formula>"INVALID"</formula>
    </cfRule>
  </conditionalFormatting>
  <conditionalFormatting sqref="AN194:AN202">
    <cfRule type="cellIs" dxfId="1018" priority="1141" operator="equal">
      <formula>"INVALID"</formula>
    </cfRule>
  </conditionalFormatting>
  <conditionalFormatting sqref="AT202">
    <cfRule type="expression" dxfId="1017" priority="1140">
      <formula>NOT($AM202)</formula>
    </cfRule>
  </conditionalFormatting>
  <conditionalFormatting sqref="AQ194:AQ202">
    <cfRule type="expression" dxfId="1016" priority="1139">
      <formula>NOT($AJ194)</formula>
    </cfRule>
    <cfRule type="expression" dxfId="1015" priority="1156">
      <formula>RIGHT($AQ194, 1)="*"</formula>
    </cfRule>
  </conditionalFormatting>
  <conditionalFormatting sqref="AS194:AS202">
    <cfRule type="expression" dxfId="1014" priority="1138">
      <formula>NOT($AN194)</formula>
    </cfRule>
  </conditionalFormatting>
  <conditionalFormatting sqref="AS194:AS202">
    <cfRule type="expression" dxfId="1013" priority="1137">
      <formula>NOT($AK194)</formula>
    </cfRule>
  </conditionalFormatting>
  <conditionalFormatting sqref="AO194:AO202">
    <cfRule type="cellIs" dxfId="1012" priority="1136" operator="equal">
      <formula>FALSE</formula>
    </cfRule>
  </conditionalFormatting>
  <conditionalFormatting sqref="AO194:AO202">
    <cfRule type="cellIs" dxfId="1011" priority="1135" operator="equal">
      <formula>"INVALID"</formula>
    </cfRule>
  </conditionalFormatting>
  <conditionalFormatting sqref="AO194:AO202">
    <cfRule type="cellIs" dxfId="1010" priority="1134" operator="equal">
      <formula>"INVALID"</formula>
    </cfRule>
  </conditionalFormatting>
  <conditionalFormatting sqref="AI194:AI202">
    <cfRule type="cellIs" dxfId="1009" priority="1133" operator="equal">
      <formula>"INVALID"</formula>
    </cfRule>
  </conditionalFormatting>
  <conditionalFormatting sqref="AI194:AI202">
    <cfRule type="cellIs" dxfId="1008" priority="1132" operator="equal">
      <formula>"INVALID"</formula>
    </cfRule>
  </conditionalFormatting>
  <conditionalFormatting sqref="AI194:AI202">
    <cfRule type="cellIs" dxfId="1007" priority="1131" operator="equal">
      <formula>"INVALID"</formula>
    </cfRule>
  </conditionalFormatting>
  <conditionalFormatting sqref="AI194:AI202">
    <cfRule type="cellIs" dxfId="1006" priority="1130" operator="equal">
      <formula>"INVALID"</formula>
    </cfRule>
  </conditionalFormatting>
  <conditionalFormatting sqref="AS213 AS223:AS224">
    <cfRule type="expression" dxfId="1005" priority="1128">
      <formula>EXACT(AF213, "INVALID")</formula>
    </cfRule>
  </conditionalFormatting>
  <conditionalFormatting sqref="AY213">
    <cfRule type="expression" dxfId="1004" priority="1127">
      <formula>AND(NOT(ISBLANK(AY213)), EXACT(AF213, "INVALID"))</formula>
    </cfRule>
  </conditionalFormatting>
  <conditionalFormatting sqref="AZ213">
    <cfRule type="expression" dxfId="1003" priority="1126">
      <formula>AND(NOT(ISBLANK(AZ213)), EXACT(AF213, "INVALID"))</formula>
    </cfRule>
  </conditionalFormatting>
  <conditionalFormatting sqref="AR213">
    <cfRule type="expression" dxfId="1002" priority="1125">
      <formula>NOT($AL213)</formula>
    </cfRule>
  </conditionalFormatting>
  <conditionalFormatting sqref="AQ213">
    <cfRule type="expression" dxfId="1001" priority="1129" stopIfTrue="1">
      <formula>REPLACE($AQ213,8,LEN($AQ213),"")="unused_"</formula>
    </cfRule>
  </conditionalFormatting>
  <conditionalFormatting sqref="AD213:AF213 AD223:AF224 AH223:AH224 AH213">
    <cfRule type="cellIs" dxfId="1000" priority="1123" operator="equal">
      <formula>"INVALID"</formula>
    </cfRule>
  </conditionalFormatting>
  <conditionalFormatting sqref="AR213 AR223:AR224">
    <cfRule type="cellIs" dxfId="999" priority="1122" operator="equal">
      <formula>"Not Assigned"</formula>
    </cfRule>
  </conditionalFormatting>
  <conditionalFormatting sqref="AD212:AF212 AH212:AI212">
    <cfRule type="cellIs" dxfId="998" priority="1121" operator="equal">
      <formula>"INVALID"</formula>
    </cfRule>
  </conditionalFormatting>
  <conditionalFormatting sqref="AJ213 AJ223:AJ224">
    <cfRule type="cellIs" dxfId="997" priority="1120" operator="equal">
      <formula>FALSE</formula>
    </cfRule>
  </conditionalFormatting>
  <conditionalFormatting sqref="AK213 AK223:AK224">
    <cfRule type="cellIs" dxfId="996" priority="1119" operator="equal">
      <formula>FALSE</formula>
    </cfRule>
  </conditionalFormatting>
  <conditionalFormatting sqref="AL213 AL223:AL224">
    <cfRule type="cellIs" dxfId="995" priority="1118" operator="equal">
      <formula>FALSE</formula>
    </cfRule>
  </conditionalFormatting>
  <conditionalFormatting sqref="AM213 AM223:AM224">
    <cfRule type="cellIs" dxfId="994" priority="1117" operator="equal">
      <formula>FALSE</formula>
    </cfRule>
  </conditionalFormatting>
  <conditionalFormatting sqref="AN213 AN223:AN224">
    <cfRule type="cellIs" dxfId="993" priority="1116" operator="equal">
      <formula>FALSE</formula>
    </cfRule>
  </conditionalFormatting>
  <conditionalFormatting sqref="AP213 AP223:AP224">
    <cfRule type="cellIs" dxfId="992" priority="1115" operator="equal">
      <formula>"INVALID"</formula>
    </cfRule>
  </conditionalFormatting>
  <conditionalFormatting sqref="AJ213 AJ223:AJ224">
    <cfRule type="cellIs" dxfId="991" priority="1114" operator="equal">
      <formula>"INVALID"</formula>
    </cfRule>
  </conditionalFormatting>
  <conditionalFormatting sqref="AK213 AK223:AK224">
    <cfRule type="cellIs" dxfId="990" priority="1113" operator="equal">
      <formula>"INVALID"</formula>
    </cfRule>
  </conditionalFormatting>
  <conditionalFormatting sqref="AL213:AM213 AL223:AM224">
    <cfRule type="cellIs" dxfId="989" priority="1112" operator="equal">
      <formula>"INVALID"</formula>
    </cfRule>
  </conditionalFormatting>
  <conditionalFormatting sqref="AK213 AK223:AK224">
    <cfRule type="cellIs" dxfId="988" priority="1111" operator="equal">
      <formula>"INVALID"</formula>
    </cfRule>
  </conditionalFormatting>
  <conditionalFormatting sqref="AL213 AL223:AL224">
    <cfRule type="cellIs" dxfId="987" priority="1110" operator="equal">
      <formula>"INVALID"</formula>
    </cfRule>
  </conditionalFormatting>
  <conditionalFormatting sqref="AM213 AM223:AM224">
    <cfRule type="cellIs" dxfId="986" priority="1109" operator="equal">
      <formula>"INVALID"</formula>
    </cfRule>
  </conditionalFormatting>
  <conditionalFormatting sqref="AN213 AN223:AN224">
    <cfRule type="cellIs" dxfId="985" priority="1108" operator="equal">
      <formula>"INVALID"</formula>
    </cfRule>
  </conditionalFormatting>
  <conditionalFormatting sqref="AQ213">
    <cfRule type="expression" dxfId="984" priority="1107">
      <formula>NOT($AJ213)</formula>
    </cfRule>
    <cfRule type="expression" dxfId="983" priority="1124">
      <formula>RIGHT($AQ213, 1)="*"</formula>
    </cfRule>
  </conditionalFormatting>
  <conditionalFormatting sqref="AY213:AZ213">
    <cfRule type="expression" dxfId="982" priority="1106">
      <formula>NOT($AN213)</formula>
    </cfRule>
  </conditionalFormatting>
  <conditionalFormatting sqref="AS213">
    <cfRule type="expression" dxfId="981" priority="1105">
      <formula>NOT($AK213)</formula>
    </cfRule>
  </conditionalFormatting>
  <conditionalFormatting sqref="AO213 AO223:AO224">
    <cfRule type="cellIs" dxfId="980" priority="1104" operator="equal">
      <formula>FALSE</formula>
    </cfRule>
  </conditionalFormatting>
  <conditionalFormatting sqref="AO213 AO223:AO224">
    <cfRule type="cellIs" dxfId="979" priority="1103" operator="equal">
      <formula>"INVALID"</formula>
    </cfRule>
  </conditionalFormatting>
  <conditionalFormatting sqref="AO213 AO223:AO224">
    <cfRule type="cellIs" dxfId="978" priority="1102" operator="equal">
      <formula>"INVALID"</formula>
    </cfRule>
  </conditionalFormatting>
  <conditionalFormatting sqref="AI213 AI223:AI224">
    <cfRule type="cellIs" dxfId="977" priority="1101" operator="equal">
      <formula>"INVALID"</formula>
    </cfRule>
  </conditionalFormatting>
  <conditionalFormatting sqref="AI213 AI223:AI224">
    <cfRule type="cellIs" dxfId="976" priority="1100" operator="equal">
      <formula>"INVALID"</formula>
    </cfRule>
  </conditionalFormatting>
  <conditionalFormatting sqref="AI213 AI223:AI224">
    <cfRule type="cellIs" dxfId="975" priority="1099" operator="equal">
      <formula>"INVALID"</formula>
    </cfRule>
  </conditionalFormatting>
  <conditionalFormatting sqref="AI213 AI223:AI224">
    <cfRule type="cellIs" dxfId="974" priority="1098" operator="equal">
      <formula>"INVALID"</formula>
    </cfRule>
  </conditionalFormatting>
  <conditionalFormatting sqref="AS214:AS222">
    <cfRule type="expression" dxfId="973" priority="1096">
      <formula>EXACT(AF214, "INVALID")</formula>
    </cfRule>
  </conditionalFormatting>
  <conditionalFormatting sqref="AY214:AY222">
    <cfRule type="expression" dxfId="972" priority="1095">
      <formula>AND(NOT(ISBLANK(AY214)), EXACT(AF214, "INVALID"))</formula>
    </cfRule>
  </conditionalFormatting>
  <conditionalFormatting sqref="AZ214:AZ222">
    <cfRule type="expression" dxfId="971" priority="1094">
      <formula>AND(NOT(ISBLANK(AZ214)), EXACT(AF214, "INVALID"))</formula>
    </cfRule>
  </conditionalFormatting>
  <conditionalFormatting sqref="AR214:AR222">
    <cfRule type="expression" dxfId="970" priority="1093">
      <formula>NOT($AL214)</formula>
    </cfRule>
  </conditionalFormatting>
  <conditionalFormatting sqref="AQ214:AQ222">
    <cfRule type="expression" dxfId="969" priority="1097" stopIfTrue="1">
      <formula>REPLACE($AQ214,8,LEN($AQ214),"")="unused_"</formula>
    </cfRule>
  </conditionalFormatting>
  <conditionalFormatting sqref="AD214:AF222 AH214:AH222">
    <cfRule type="cellIs" dxfId="968" priority="1091" operator="equal">
      <formula>"INVALID"</formula>
    </cfRule>
  </conditionalFormatting>
  <conditionalFormatting sqref="AR214:AR222">
    <cfRule type="cellIs" dxfId="967" priority="1090" operator="equal">
      <formula>"Not Assigned"</formula>
    </cfRule>
  </conditionalFormatting>
  <conditionalFormatting sqref="AJ214:AJ222">
    <cfRule type="cellIs" dxfId="966" priority="1089" operator="equal">
      <formula>FALSE</formula>
    </cfRule>
  </conditionalFormatting>
  <conditionalFormatting sqref="AK214:AK222">
    <cfRule type="cellIs" dxfId="965" priority="1088" operator="equal">
      <formula>FALSE</formula>
    </cfRule>
  </conditionalFormatting>
  <conditionalFormatting sqref="AL214:AL222">
    <cfRule type="cellIs" dxfId="964" priority="1087" operator="equal">
      <formula>FALSE</formula>
    </cfRule>
  </conditionalFormatting>
  <conditionalFormatting sqref="AM214:AM222">
    <cfRule type="cellIs" dxfId="963" priority="1086" operator="equal">
      <formula>FALSE</formula>
    </cfRule>
  </conditionalFormatting>
  <conditionalFormatting sqref="AN214:AN222">
    <cfRule type="cellIs" dxfId="962" priority="1085" operator="equal">
      <formula>FALSE</formula>
    </cfRule>
  </conditionalFormatting>
  <conditionalFormatting sqref="AP214:AP222">
    <cfRule type="cellIs" dxfId="961" priority="1084" operator="equal">
      <formula>"INVALID"</formula>
    </cfRule>
  </conditionalFormatting>
  <conditionalFormatting sqref="AJ214:AJ222">
    <cfRule type="cellIs" dxfId="960" priority="1083" operator="equal">
      <formula>"INVALID"</formula>
    </cfRule>
  </conditionalFormatting>
  <conditionalFormatting sqref="AK214:AK222">
    <cfRule type="cellIs" dxfId="959" priority="1082" operator="equal">
      <formula>"INVALID"</formula>
    </cfRule>
  </conditionalFormatting>
  <conditionalFormatting sqref="AL214:AM222">
    <cfRule type="cellIs" dxfId="958" priority="1081" operator="equal">
      <formula>"INVALID"</formula>
    </cfRule>
  </conditionalFormatting>
  <conditionalFormatting sqref="AK214:AK222">
    <cfRule type="cellIs" dxfId="957" priority="1080" operator="equal">
      <formula>"INVALID"</formula>
    </cfRule>
  </conditionalFormatting>
  <conditionalFormatting sqref="AL214:AL222">
    <cfRule type="cellIs" dxfId="956" priority="1079" operator="equal">
      <formula>"INVALID"</formula>
    </cfRule>
  </conditionalFormatting>
  <conditionalFormatting sqref="AM214:AM222">
    <cfRule type="cellIs" dxfId="955" priority="1078" operator="equal">
      <formula>"INVALID"</formula>
    </cfRule>
  </conditionalFormatting>
  <conditionalFormatting sqref="AN214:AN222">
    <cfRule type="cellIs" dxfId="954" priority="1077" operator="equal">
      <formula>"INVALID"</formula>
    </cfRule>
  </conditionalFormatting>
  <conditionalFormatting sqref="AT217">
    <cfRule type="expression" dxfId="953" priority="1076">
      <formula>NOT($AM217)</formula>
    </cfRule>
  </conditionalFormatting>
  <conditionalFormatting sqref="AQ214:AQ222">
    <cfRule type="expression" dxfId="952" priority="1075">
      <formula>NOT($AJ214)</formula>
    </cfRule>
    <cfRule type="expression" dxfId="951" priority="1092">
      <formula>RIGHT($AQ214, 1)="*"</formula>
    </cfRule>
  </conditionalFormatting>
  <conditionalFormatting sqref="AS214:AS222">
    <cfRule type="expression" dxfId="950" priority="1074">
      <formula>NOT($AN214)</formula>
    </cfRule>
  </conditionalFormatting>
  <conditionalFormatting sqref="AS214:AS222">
    <cfRule type="expression" dxfId="949" priority="1073">
      <formula>NOT($AK214)</formula>
    </cfRule>
  </conditionalFormatting>
  <conditionalFormatting sqref="AO214:AO222">
    <cfRule type="cellIs" dxfId="948" priority="1072" operator="equal">
      <formula>FALSE</formula>
    </cfRule>
  </conditionalFormatting>
  <conditionalFormatting sqref="AO214:AO222">
    <cfRule type="cellIs" dxfId="947" priority="1071" operator="equal">
      <formula>"INVALID"</formula>
    </cfRule>
  </conditionalFormatting>
  <conditionalFormatting sqref="AO214:AO222">
    <cfRule type="cellIs" dxfId="946" priority="1070" operator="equal">
      <formula>"INVALID"</formula>
    </cfRule>
  </conditionalFormatting>
  <conditionalFormatting sqref="AI214:AI222">
    <cfRule type="cellIs" dxfId="945" priority="1069" operator="equal">
      <formula>"INVALID"</formula>
    </cfRule>
  </conditionalFormatting>
  <conditionalFormatting sqref="AI214:AI222">
    <cfRule type="cellIs" dxfId="944" priority="1068" operator="equal">
      <formula>"INVALID"</formula>
    </cfRule>
  </conditionalFormatting>
  <conditionalFormatting sqref="AI214:AI222">
    <cfRule type="cellIs" dxfId="943" priority="1067" operator="equal">
      <formula>"INVALID"</formula>
    </cfRule>
  </conditionalFormatting>
  <conditionalFormatting sqref="AI214:AI222">
    <cfRule type="cellIs" dxfId="942" priority="1066" operator="equal">
      <formula>"INVALID"</formula>
    </cfRule>
  </conditionalFormatting>
  <conditionalFormatting sqref="BC256:BC257">
    <cfRule type="cellIs" dxfId="941" priority="1065" operator="equal">
      <formula>"Not Assigned"</formula>
    </cfRule>
  </conditionalFormatting>
  <conditionalFormatting sqref="AQ256:AQ257">
    <cfRule type="expression" dxfId="940" priority="1064" stopIfTrue="1">
      <formula>REPLACE($AQ256,8,LEN($AQ256),"")="unused_"</formula>
    </cfRule>
  </conditionalFormatting>
  <conditionalFormatting sqref="BC268:BC269">
    <cfRule type="cellIs" dxfId="939" priority="1062" operator="equal">
      <formula>"Not Assigned"</formula>
    </cfRule>
  </conditionalFormatting>
  <conditionalFormatting sqref="AQ268:AQ269">
    <cfRule type="expression" dxfId="938" priority="1063" stopIfTrue="1">
      <formula>REPLACE($AQ268,8,LEN($AQ268),"")="unused_"</formula>
    </cfRule>
  </conditionalFormatting>
  <conditionalFormatting sqref="BC375">
    <cfRule type="cellIs" dxfId="937" priority="1060" operator="equal">
      <formula>"Not Assigned"</formula>
    </cfRule>
  </conditionalFormatting>
  <conditionalFormatting sqref="AQ375">
    <cfRule type="expression" dxfId="936" priority="1061" stopIfTrue="1">
      <formula>REPLACE($AQ375,8,LEN($AQ375),"")="unused_"</formula>
    </cfRule>
  </conditionalFormatting>
  <conditionalFormatting sqref="BC562:BC564 BC584:BC586 BC573:BC575 BC595:BC597 BC606:BC608 BC628:BC630 BC617:BC619 BC539:BC546 BC523:BC537 BC549:BC553 AR522">
    <cfRule type="cellIs" dxfId="935" priority="1059" operator="equal">
      <formula>"Not Assigned"</formula>
    </cfRule>
  </conditionalFormatting>
  <conditionalFormatting sqref="BC554:BC561 BC639:BC643 BC565:BC572 BC576:BC583 BC587:BC594">
    <cfRule type="cellIs" dxfId="934" priority="1058" operator="equal">
      <formula>"Not Assigned"</formula>
    </cfRule>
  </conditionalFormatting>
  <conditionalFormatting sqref="BC598:BC605 BC609:BC616 BC620:BC627 BC631:BC638">
    <cfRule type="cellIs" dxfId="933" priority="1056" operator="equal">
      <formula>"Not Assigned"</formula>
    </cfRule>
  </conditionalFormatting>
  <conditionalFormatting sqref="BC538">
    <cfRule type="cellIs" dxfId="932" priority="1055" operator="equal">
      <formula>"Not Assigned"</formula>
    </cfRule>
  </conditionalFormatting>
  <conditionalFormatting sqref="BC648:BC649">
    <cfRule type="cellIs" dxfId="931" priority="1054" operator="equal">
      <formula>"Not Assigned"</formula>
    </cfRule>
  </conditionalFormatting>
  <conditionalFormatting sqref="BC646:BC647">
    <cfRule type="cellIs" dxfId="930" priority="1053" operator="equal">
      <formula>"Not Assigned"</formula>
    </cfRule>
  </conditionalFormatting>
  <conditionalFormatting sqref="BC644:BC645">
    <cfRule type="cellIs" dxfId="929" priority="1052" operator="equal">
      <formula>"Not Assigned"</formula>
    </cfRule>
  </conditionalFormatting>
  <conditionalFormatting sqref="BC652">
    <cfRule type="cellIs" dxfId="928" priority="1051" operator="equal">
      <formula>"Not Assigned"</formula>
    </cfRule>
  </conditionalFormatting>
  <conditionalFormatting sqref="BC650:BC651">
    <cfRule type="cellIs" dxfId="927" priority="1050" operator="equal">
      <formula>"Not Assigned"</formula>
    </cfRule>
  </conditionalFormatting>
  <conditionalFormatting sqref="BC547:BC548">
    <cfRule type="cellIs" dxfId="926" priority="1049" operator="equal">
      <formula>"Not Assigned"</formula>
    </cfRule>
  </conditionalFormatting>
  <conditionalFormatting sqref="AQ522:AQ666">
    <cfRule type="expression" dxfId="925" priority="1057" stopIfTrue="1">
      <formula>REPLACE($AQ522,8,LEN($AQ522),"")="unused_"</formula>
    </cfRule>
  </conditionalFormatting>
  <conditionalFormatting sqref="BC659:BC663">
    <cfRule type="cellIs" dxfId="924" priority="1048" operator="equal">
      <formula>"Not Assigned"</formula>
    </cfRule>
  </conditionalFormatting>
  <conditionalFormatting sqref="BC653:BC658">
    <cfRule type="cellIs" dxfId="923" priority="1047" operator="equal">
      <formula>"Not Assigned"</formula>
    </cfRule>
  </conditionalFormatting>
  <conditionalFormatting sqref="BC666">
    <cfRule type="cellIs" dxfId="922" priority="1046" operator="equal">
      <formula>"Not Assigned"</formula>
    </cfRule>
  </conditionalFormatting>
  <conditionalFormatting sqref="BC664:BC665">
    <cfRule type="cellIs" dxfId="921" priority="1045" operator="equal">
      <formula>"Not Assigned"</formula>
    </cfRule>
  </conditionalFormatting>
  <conditionalFormatting sqref="AQ75:AQ78">
    <cfRule type="expression" dxfId="920" priority="1044" stopIfTrue="1">
      <formula>REPLACE($AQ75,8,LEN($AQ75),"")="unused_"</formula>
    </cfRule>
  </conditionalFormatting>
  <conditionalFormatting sqref="AQ75:AQ78">
    <cfRule type="expression" dxfId="919" priority="1042">
      <formula>NOT($AJ75)</formula>
    </cfRule>
    <cfRule type="expression" dxfId="918" priority="1043">
      <formula>RIGHT($AQ75, 1)="*"</formula>
    </cfRule>
  </conditionalFormatting>
  <conditionalFormatting sqref="AQ234">
    <cfRule type="expression" dxfId="917" priority="1041" stopIfTrue="1">
      <formula>REPLACE($AQ234,8,LEN($AQ234),"")="unused_"</formula>
    </cfRule>
  </conditionalFormatting>
  <conditionalFormatting sqref="AQ234">
    <cfRule type="expression" dxfId="916" priority="1039">
      <formula>NOT($AJ234)</formula>
    </cfRule>
    <cfRule type="expression" dxfId="915" priority="1040">
      <formula>RIGHT($AQ234, 1)="*"</formula>
    </cfRule>
  </conditionalFormatting>
  <conditionalFormatting sqref="AQ235:AQ243">
    <cfRule type="expression" dxfId="914" priority="1038" stopIfTrue="1">
      <formula>REPLACE($AQ235,8,LEN($AQ235),"")="unused_"</formula>
    </cfRule>
  </conditionalFormatting>
  <conditionalFormatting sqref="AQ235:AQ243">
    <cfRule type="expression" dxfId="913" priority="1036">
      <formula>NOT($AJ235)</formula>
    </cfRule>
    <cfRule type="expression" dxfId="912" priority="1037">
      <formula>RIGHT($AQ235, 1)="*"</formula>
    </cfRule>
  </conditionalFormatting>
  <conditionalFormatting sqref="AQ248">
    <cfRule type="expression" dxfId="911" priority="1035" stopIfTrue="1">
      <formula>REPLACE($AQ248,8,LEN($AQ248),"")="unused_"</formula>
    </cfRule>
  </conditionalFormatting>
  <conditionalFormatting sqref="AT39">
    <cfRule type="expression" dxfId="910" priority="1034">
      <formula>NOT($AM40)</formula>
    </cfRule>
  </conditionalFormatting>
  <conditionalFormatting sqref="AT177">
    <cfRule type="expression" dxfId="909" priority="1033">
      <formula>NOT($AM178)</formula>
    </cfRule>
  </conditionalFormatting>
  <conditionalFormatting sqref="AT193">
    <cfRule type="expression" dxfId="908" priority="1031">
      <formula>NOT($AM194)</formula>
    </cfRule>
  </conditionalFormatting>
  <conditionalFormatting sqref="AT196">
    <cfRule type="expression" dxfId="907" priority="1030">
      <formula>NOT($AM197)</formula>
    </cfRule>
  </conditionalFormatting>
  <conditionalFormatting sqref="AT198">
    <cfRule type="expression" dxfId="906" priority="1029">
      <formula>NOT($AM199)</formula>
    </cfRule>
  </conditionalFormatting>
  <conditionalFormatting sqref="AT201">
    <cfRule type="expression" dxfId="905" priority="1028">
      <formula>NOT($AM202)</formula>
    </cfRule>
  </conditionalFormatting>
  <conditionalFormatting sqref="AT203">
    <cfRule type="expression" dxfId="904" priority="1027">
      <formula>NOT($AM203)</formula>
    </cfRule>
  </conditionalFormatting>
  <conditionalFormatting sqref="AT204">
    <cfRule type="expression" dxfId="903" priority="1026">
      <formula>NOT($AM204)</formula>
    </cfRule>
  </conditionalFormatting>
  <conditionalFormatting sqref="AT205">
    <cfRule type="expression" dxfId="902" priority="1025">
      <formula>NOT($AM205)</formula>
    </cfRule>
  </conditionalFormatting>
  <conditionalFormatting sqref="AT209">
    <cfRule type="expression" dxfId="901" priority="1024">
      <formula>NOT($AM209)</formula>
    </cfRule>
  </conditionalFormatting>
  <conditionalFormatting sqref="AT213:AT216">
    <cfRule type="expression" dxfId="900" priority="1023">
      <formula>NOT($AM213)</formula>
    </cfRule>
  </conditionalFormatting>
  <conditionalFormatting sqref="AT218">
    <cfRule type="expression" dxfId="899" priority="1022">
      <formula>NOT($AM218)</formula>
    </cfRule>
  </conditionalFormatting>
  <conditionalFormatting sqref="AT220:AT224">
    <cfRule type="expression" dxfId="898" priority="1021">
      <formula>NOT($AM220)</formula>
    </cfRule>
  </conditionalFormatting>
  <conditionalFormatting sqref="AT236">
    <cfRule type="expression" dxfId="897" priority="1020">
      <formula>NOT($AM236)</formula>
    </cfRule>
  </conditionalFormatting>
  <conditionalFormatting sqref="AT239">
    <cfRule type="expression" dxfId="896" priority="1019">
      <formula>NOT($AM239)</formula>
    </cfRule>
  </conditionalFormatting>
  <conditionalFormatting sqref="AT240">
    <cfRule type="expression" dxfId="895" priority="1018">
      <formula>NOT($AM240)</formula>
    </cfRule>
  </conditionalFormatting>
  <conditionalFormatting sqref="AT243">
    <cfRule type="expression" dxfId="894" priority="1017">
      <formula>NOT($AM243)</formula>
    </cfRule>
  </conditionalFormatting>
  <conditionalFormatting sqref="AY180">
    <cfRule type="expression" dxfId="893" priority="1016">
      <formula>AND(NOT(ISBLANK(AY180)), EXACT(AF180, "INVALID"))</formula>
    </cfRule>
  </conditionalFormatting>
  <conditionalFormatting sqref="AZ180">
    <cfRule type="expression" dxfId="892" priority="1015">
      <formula>AND(NOT(ISBLANK(AZ180)), EXACT(AF180, "INVALID"))</formula>
    </cfRule>
  </conditionalFormatting>
  <conditionalFormatting sqref="AY157">
    <cfRule type="expression" dxfId="891" priority="1014">
      <formula>AND(NOT(ISBLANK(AY157)), EXACT(AF157, "INVALID"))</formula>
    </cfRule>
  </conditionalFormatting>
  <conditionalFormatting sqref="AZ157">
    <cfRule type="expression" dxfId="890" priority="1013">
      <formula>AND(NOT(ISBLANK(AZ157)), EXACT(AF157, "INVALID"))</formula>
    </cfRule>
  </conditionalFormatting>
  <conditionalFormatting sqref="AT109">
    <cfRule type="expression" dxfId="889" priority="994">
      <formula>NOT($AM109)</formula>
    </cfRule>
  </conditionalFormatting>
  <conditionalFormatting sqref="AY157:AZ157">
    <cfRule type="expression" dxfId="888" priority="1012">
      <formula>NOT($AN157)</formula>
    </cfRule>
  </conditionalFormatting>
  <conditionalFormatting sqref="AT15">
    <cfRule type="expression" dxfId="887" priority="1011">
      <formula>NOT($AM15)</formula>
    </cfRule>
  </conditionalFormatting>
  <conditionalFormatting sqref="AT17">
    <cfRule type="expression" dxfId="886" priority="1010">
      <formula>NOT($AM17)</formula>
    </cfRule>
  </conditionalFormatting>
  <conditionalFormatting sqref="AT23">
    <cfRule type="expression" dxfId="885" priority="1009">
      <formula>NOT($AM23)</formula>
    </cfRule>
  </conditionalFormatting>
  <conditionalFormatting sqref="AT30">
    <cfRule type="expression" dxfId="884" priority="1008">
      <formula>NOT($AM30)</formula>
    </cfRule>
  </conditionalFormatting>
  <conditionalFormatting sqref="AT31">
    <cfRule type="expression" dxfId="883" priority="1007">
      <formula>NOT($AM31)</formula>
    </cfRule>
  </conditionalFormatting>
  <conditionalFormatting sqref="AT32">
    <cfRule type="expression" dxfId="882" priority="1006">
      <formula>NOT($AM32)</formula>
    </cfRule>
  </conditionalFormatting>
  <conditionalFormatting sqref="AT33">
    <cfRule type="expression" dxfId="881" priority="1005">
      <formula>NOT($AM33)</formula>
    </cfRule>
  </conditionalFormatting>
  <conditionalFormatting sqref="AT50">
    <cfRule type="expression" dxfId="880" priority="1004">
      <formula>NOT($AM50)</formula>
    </cfRule>
  </conditionalFormatting>
  <conditionalFormatting sqref="AT52">
    <cfRule type="expression" dxfId="879" priority="1003">
      <formula>NOT($AM52)</formula>
    </cfRule>
  </conditionalFormatting>
  <conditionalFormatting sqref="AT65">
    <cfRule type="expression" dxfId="878" priority="1002">
      <formula>NOT($AM65)</formula>
    </cfRule>
  </conditionalFormatting>
  <conditionalFormatting sqref="AT71">
    <cfRule type="expression" dxfId="877" priority="1001">
      <formula>NOT($AM71)</formula>
    </cfRule>
  </conditionalFormatting>
  <conditionalFormatting sqref="AT72">
    <cfRule type="expression" dxfId="876" priority="1000">
      <formula>NOT($AM72)</formula>
    </cfRule>
  </conditionalFormatting>
  <conditionalFormatting sqref="AT73">
    <cfRule type="expression" dxfId="875" priority="999">
      <formula>NOT($AM73)</formula>
    </cfRule>
  </conditionalFormatting>
  <conditionalFormatting sqref="AT85">
    <cfRule type="expression" dxfId="874" priority="998">
      <formula>NOT($AM85)</formula>
    </cfRule>
  </conditionalFormatting>
  <conditionalFormatting sqref="AT127">
    <cfRule type="expression" dxfId="873" priority="992">
      <formula>NOT($AM127)</formula>
    </cfRule>
  </conditionalFormatting>
  <conditionalFormatting sqref="AT128">
    <cfRule type="expression" dxfId="872" priority="991">
      <formula>NOT($AM128)</formula>
    </cfRule>
  </conditionalFormatting>
  <conditionalFormatting sqref="AT129">
    <cfRule type="expression" dxfId="871" priority="990">
      <formula>NOT($AM129)</formula>
    </cfRule>
  </conditionalFormatting>
  <conditionalFormatting sqref="AT130">
    <cfRule type="expression" dxfId="870" priority="989">
      <formula>NOT($AM130)</formula>
    </cfRule>
  </conditionalFormatting>
  <conditionalFormatting sqref="AT137">
    <cfRule type="expression" dxfId="869" priority="988">
      <formula>NOT($AM137)</formula>
    </cfRule>
  </conditionalFormatting>
  <conditionalFormatting sqref="AT140">
    <cfRule type="expression" dxfId="868" priority="987">
      <formula>NOT($AM140)</formula>
    </cfRule>
  </conditionalFormatting>
  <conditionalFormatting sqref="AT141">
    <cfRule type="expression" dxfId="867" priority="986">
      <formula>NOT($AM141)</formula>
    </cfRule>
  </conditionalFormatting>
  <conditionalFormatting sqref="AT143">
    <cfRule type="expression" dxfId="866" priority="985">
      <formula>NOT($AM143)</formula>
    </cfRule>
  </conditionalFormatting>
  <conditionalFormatting sqref="AT145">
    <cfRule type="expression" dxfId="865" priority="984">
      <formula>NOT($AM145)</formula>
    </cfRule>
  </conditionalFormatting>
  <conditionalFormatting sqref="AT147">
    <cfRule type="expression" dxfId="864" priority="983">
      <formula>NOT($AM147)</formula>
    </cfRule>
  </conditionalFormatting>
  <conditionalFormatting sqref="AT152">
    <cfRule type="expression" dxfId="863" priority="982">
      <formula>NOT($AM152)</formula>
    </cfRule>
  </conditionalFormatting>
  <conditionalFormatting sqref="AT156">
    <cfRule type="expression" dxfId="862" priority="981">
      <formula>NOT($AM156)</formula>
    </cfRule>
  </conditionalFormatting>
  <conditionalFormatting sqref="AT157">
    <cfRule type="expression" dxfId="861" priority="980">
      <formula>NOT($AM157)</formula>
    </cfRule>
  </conditionalFormatting>
  <conditionalFormatting sqref="AT158">
    <cfRule type="expression" dxfId="860" priority="979">
      <formula>NOT($AM158)</formula>
    </cfRule>
  </conditionalFormatting>
  <conditionalFormatting sqref="AT159">
    <cfRule type="expression" dxfId="859" priority="978">
      <formula>NOT($AM159)</formula>
    </cfRule>
  </conditionalFormatting>
  <conditionalFormatting sqref="AT162">
    <cfRule type="expression" dxfId="858" priority="977">
      <formula>NOT($AM162)</formula>
    </cfRule>
  </conditionalFormatting>
  <conditionalFormatting sqref="AT163">
    <cfRule type="expression" dxfId="857" priority="976">
      <formula>NOT($AM163)</formula>
    </cfRule>
  </conditionalFormatting>
  <conditionalFormatting sqref="AT165">
    <cfRule type="expression" dxfId="856" priority="975">
      <formula>NOT($AM165)</formula>
    </cfRule>
  </conditionalFormatting>
  <conditionalFormatting sqref="AT167">
    <cfRule type="expression" dxfId="855" priority="974">
      <formula>NOT($AM167)</formula>
    </cfRule>
  </conditionalFormatting>
  <conditionalFormatting sqref="AT168">
    <cfRule type="expression" dxfId="854" priority="973">
      <formula>NOT($AM168)</formula>
    </cfRule>
  </conditionalFormatting>
  <conditionalFormatting sqref="AT169">
    <cfRule type="expression" dxfId="853" priority="972">
      <formula>NOT($AM169)</formula>
    </cfRule>
  </conditionalFormatting>
  <conditionalFormatting sqref="AR157">
    <cfRule type="expression" dxfId="852" priority="970">
      <formula>NOT($AL157)</formula>
    </cfRule>
  </conditionalFormatting>
  <conditionalFormatting sqref="AR157">
    <cfRule type="cellIs" dxfId="851" priority="969" operator="equal">
      <formula>"Not Assigned"</formula>
    </cfRule>
  </conditionalFormatting>
  <conditionalFormatting sqref="AQ157">
    <cfRule type="expression" dxfId="850" priority="971" stopIfTrue="1">
      <formula>REPLACE($AQ157,8,LEN($AQ157),"")="unused_"</formula>
    </cfRule>
  </conditionalFormatting>
  <conditionalFormatting sqref="AQ157">
    <cfRule type="expression" dxfId="849" priority="967">
      <formula>NOT($AJ157)</formula>
    </cfRule>
    <cfRule type="expression" dxfId="848" priority="968">
      <formula>RIGHT($AQ157, 1)="*"</formula>
    </cfRule>
  </conditionalFormatting>
  <conditionalFormatting sqref="AR180">
    <cfRule type="cellIs" dxfId="847" priority="966" operator="equal">
      <formula>"Not Assigned"</formula>
    </cfRule>
  </conditionalFormatting>
  <conditionalFormatting sqref="AF192">
    <cfRule type="cellIs" dxfId="846" priority="963" operator="equal">
      <formula>"INVALID"</formula>
    </cfRule>
  </conditionalFormatting>
  <conditionalFormatting sqref="AR246">
    <cfRule type="cellIs" dxfId="845" priority="962" operator="equal">
      <formula>"Not Assigned"</formula>
    </cfRule>
  </conditionalFormatting>
  <conditionalFormatting sqref="AD246:AF246 AH246">
    <cfRule type="cellIs" dxfId="844" priority="961" operator="equal">
      <formula>"INVALID"</formula>
    </cfRule>
  </conditionalFormatting>
  <conditionalFormatting sqref="AS246">
    <cfRule type="expression" dxfId="843" priority="960">
      <formula>EXACT(AF246, "INVALID")</formula>
    </cfRule>
  </conditionalFormatting>
  <conditionalFormatting sqref="AY246">
    <cfRule type="expression" dxfId="842" priority="959">
      <formula>AND(NOT(ISBLANK(AY246)), EXACT(AF246, "INVALID"))</formula>
    </cfRule>
  </conditionalFormatting>
  <conditionalFormatting sqref="AZ246">
    <cfRule type="expression" dxfId="841" priority="958">
      <formula>AND(NOT(ISBLANK(AZ246)), EXACT(AF246, "INVALID"))</formula>
    </cfRule>
  </conditionalFormatting>
  <conditionalFormatting sqref="AR246">
    <cfRule type="expression" dxfId="840" priority="957">
      <formula>NOT($AL246)</formula>
    </cfRule>
  </conditionalFormatting>
  <conditionalFormatting sqref="AJ246">
    <cfRule type="cellIs" dxfId="839" priority="956" operator="equal">
      <formula>FALSE</formula>
    </cfRule>
  </conditionalFormatting>
  <conditionalFormatting sqref="AK246">
    <cfRule type="cellIs" dxfId="838" priority="955" operator="equal">
      <formula>FALSE</formula>
    </cfRule>
  </conditionalFormatting>
  <conditionalFormatting sqref="AL246">
    <cfRule type="cellIs" dxfId="837" priority="954" operator="equal">
      <formula>FALSE</formula>
    </cfRule>
  </conditionalFormatting>
  <conditionalFormatting sqref="AM246">
    <cfRule type="cellIs" dxfId="836" priority="953" operator="equal">
      <formula>FALSE</formula>
    </cfRule>
  </conditionalFormatting>
  <conditionalFormatting sqref="AN246">
    <cfRule type="cellIs" dxfId="835" priority="952" operator="equal">
      <formula>FALSE</formula>
    </cfRule>
  </conditionalFormatting>
  <conditionalFormatting sqref="AP246">
    <cfRule type="cellIs" dxfId="834" priority="951" operator="equal">
      <formula>"INVALID"</formula>
    </cfRule>
  </conditionalFormatting>
  <conditionalFormatting sqref="AJ246">
    <cfRule type="cellIs" dxfId="833" priority="950" operator="equal">
      <formula>"INVALID"</formula>
    </cfRule>
  </conditionalFormatting>
  <conditionalFormatting sqref="AK246">
    <cfRule type="cellIs" dxfId="832" priority="949" operator="equal">
      <formula>"INVALID"</formula>
    </cfRule>
  </conditionalFormatting>
  <conditionalFormatting sqref="AL246:AM246">
    <cfRule type="cellIs" dxfId="831" priority="948" operator="equal">
      <formula>"INVALID"</formula>
    </cfRule>
  </conditionalFormatting>
  <conditionalFormatting sqref="AK246">
    <cfRule type="cellIs" dxfId="830" priority="947" operator="equal">
      <formula>"INVALID"</formula>
    </cfRule>
  </conditionalFormatting>
  <conditionalFormatting sqref="AL246">
    <cfRule type="cellIs" dxfId="829" priority="946" operator="equal">
      <formula>"INVALID"</formula>
    </cfRule>
  </conditionalFormatting>
  <conditionalFormatting sqref="AM246">
    <cfRule type="cellIs" dxfId="828" priority="945" operator="equal">
      <formula>"INVALID"</formula>
    </cfRule>
  </conditionalFormatting>
  <conditionalFormatting sqref="AN246">
    <cfRule type="cellIs" dxfId="827" priority="944" operator="equal">
      <formula>"INVALID"</formula>
    </cfRule>
  </conditionalFormatting>
  <conditionalFormatting sqref="AY246:AZ246">
    <cfRule type="expression" dxfId="826" priority="943">
      <formula>NOT($AN246)</formula>
    </cfRule>
  </conditionalFormatting>
  <conditionalFormatting sqref="AS246">
    <cfRule type="expression" dxfId="825" priority="942">
      <formula>NOT($AK246)</formula>
    </cfRule>
  </conditionalFormatting>
  <conditionalFormatting sqref="AO246">
    <cfRule type="cellIs" dxfId="824" priority="941" operator="equal">
      <formula>FALSE</formula>
    </cfRule>
  </conditionalFormatting>
  <conditionalFormatting sqref="AO246">
    <cfRule type="cellIs" dxfId="823" priority="940" operator="equal">
      <formula>"INVALID"</formula>
    </cfRule>
  </conditionalFormatting>
  <conditionalFormatting sqref="AO246">
    <cfRule type="cellIs" dxfId="822" priority="939" operator="equal">
      <formula>"INVALID"</formula>
    </cfRule>
  </conditionalFormatting>
  <conditionalFormatting sqref="AI246">
    <cfRule type="cellIs" dxfId="821" priority="938" operator="equal">
      <formula>"INVALID"</formula>
    </cfRule>
  </conditionalFormatting>
  <conditionalFormatting sqref="AI246">
    <cfRule type="cellIs" dxfId="820" priority="937" operator="equal">
      <formula>"INVALID"</formula>
    </cfRule>
  </conditionalFormatting>
  <conditionalFormatting sqref="AI246">
    <cfRule type="cellIs" dxfId="819" priority="936" operator="equal">
      <formula>"INVALID"</formula>
    </cfRule>
  </conditionalFormatting>
  <conditionalFormatting sqref="AI246">
    <cfRule type="cellIs" dxfId="818" priority="935" operator="equal">
      <formula>"INVALID"</formula>
    </cfRule>
  </conditionalFormatting>
  <conditionalFormatting sqref="AQ246">
    <cfRule type="expression" dxfId="817" priority="934" stopIfTrue="1">
      <formula>REPLACE($AQ246,8,LEN($AQ246),"")="unused_"</formula>
    </cfRule>
  </conditionalFormatting>
  <conditionalFormatting sqref="AQ246">
    <cfRule type="expression" dxfId="816" priority="932">
      <formula>NOT($AJ246)</formula>
    </cfRule>
    <cfRule type="expression" dxfId="815" priority="933">
      <formula>RIGHT($AQ246, 1)="*"</formula>
    </cfRule>
  </conditionalFormatting>
  <conditionalFormatting sqref="AR247">
    <cfRule type="cellIs" dxfId="814" priority="931" operator="equal">
      <formula>"Not Assigned"</formula>
    </cfRule>
  </conditionalFormatting>
  <conditionalFormatting sqref="AD247:AF247 AH247">
    <cfRule type="cellIs" dxfId="813" priority="930" operator="equal">
      <formula>"INVALID"</formula>
    </cfRule>
  </conditionalFormatting>
  <conditionalFormatting sqref="AS247">
    <cfRule type="expression" dxfId="812" priority="929">
      <formula>EXACT(AF247, "INVALID")</formula>
    </cfRule>
  </conditionalFormatting>
  <conditionalFormatting sqref="AY247">
    <cfRule type="expression" dxfId="811" priority="928">
      <formula>AND(NOT(ISBLANK(AY247)), EXACT(AF247, "INVALID"))</formula>
    </cfRule>
  </conditionalFormatting>
  <conditionalFormatting sqref="AZ247">
    <cfRule type="expression" dxfId="810" priority="927">
      <formula>AND(NOT(ISBLANK(AZ247)), EXACT(AF247, "INVALID"))</formula>
    </cfRule>
  </conditionalFormatting>
  <conditionalFormatting sqref="AR247">
    <cfRule type="expression" dxfId="809" priority="926">
      <formula>NOT($AL247)</formula>
    </cfRule>
  </conditionalFormatting>
  <conditionalFormatting sqref="AJ247">
    <cfRule type="cellIs" dxfId="808" priority="925" operator="equal">
      <formula>FALSE</formula>
    </cfRule>
  </conditionalFormatting>
  <conditionalFormatting sqref="AK247">
    <cfRule type="cellIs" dxfId="807" priority="924" operator="equal">
      <formula>FALSE</formula>
    </cfRule>
  </conditionalFormatting>
  <conditionalFormatting sqref="AL247">
    <cfRule type="cellIs" dxfId="806" priority="923" operator="equal">
      <formula>FALSE</formula>
    </cfRule>
  </conditionalFormatting>
  <conditionalFormatting sqref="AM247">
    <cfRule type="cellIs" dxfId="805" priority="922" operator="equal">
      <formula>FALSE</formula>
    </cfRule>
  </conditionalFormatting>
  <conditionalFormatting sqref="AN247">
    <cfRule type="cellIs" dxfId="804" priority="921" operator="equal">
      <formula>FALSE</formula>
    </cfRule>
  </conditionalFormatting>
  <conditionalFormatting sqref="AP247">
    <cfRule type="cellIs" dxfId="803" priority="920" operator="equal">
      <formula>"INVALID"</formula>
    </cfRule>
  </conditionalFormatting>
  <conditionalFormatting sqref="AJ247">
    <cfRule type="cellIs" dxfId="802" priority="919" operator="equal">
      <formula>"INVALID"</formula>
    </cfRule>
  </conditionalFormatting>
  <conditionalFormatting sqref="AK247">
    <cfRule type="cellIs" dxfId="801" priority="918" operator="equal">
      <formula>"INVALID"</formula>
    </cfRule>
  </conditionalFormatting>
  <conditionalFormatting sqref="AL247:AM247">
    <cfRule type="cellIs" dxfId="800" priority="917" operator="equal">
      <formula>"INVALID"</formula>
    </cfRule>
  </conditionalFormatting>
  <conditionalFormatting sqref="AK247">
    <cfRule type="cellIs" dxfId="799" priority="916" operator="equal">
      <formula>"INVALID"</formula>
    </cfRule>
  </conditionalFormatting>
  <conditionalFormatting sqref="AL247">
    <cfRule type="cellIs" dxfId="798" priority="915" operator="equal">
      <formula>"INVALID"</formula>
    </cfRule>
  </conditionalFormatting>
  <conditionalFormatting sqref="AM247">
    <cfRule type="cellIs" dxfId="797" priority="914" operator="equal">
      <formula>"INVALID"</formula>
    </cfRule>
  </conditionalFormatting>
  <conditionalFormatting sqref="AN247">
    <cfRule type="cellIs" dxfId="796" priority="913" operator="equal">
      <formula>"INVALID"</formula>
    </cfRule>
  </conditionalFormatting>
  <conditionalFormatting sqref="AY247:AZ247">
    <cfRule type="expression" dxfId="795" priority="912">
      <formula>NOT($AN247)</formula>
    </cfRule>
  </conditionalFormatting>
  <conditionalFormatting sqref="AS247">
    <cfRule type="expression" dxfId="794" priority="911">
      <formula>NOT($AK247)</formula>
    </cfRule>
  </conditionalFormatting>
  <conditionalFormatting sqref="AO247">
    <cfRule type="cellIs" dxfId="793" priority="910" operator="equal">
      <formula>FALSE</formula>
    </cfRule>
  </conditionalFormatting>
  <conditionalFormatting sqref="AO247">
    <cfRule type="cellIs" dxfId="792" priority="909" operator="equal">
      <formula>"INVALID"</formula>
    </cfRule>
  </conditionalFormatting>
  <conditionalFormatting sqref="AO247">
    <cfRule type="cellIs" dxfId="791" priority="908" operator="equal">
      <formula>"INVALID"</formula>
    </cfRule>
  </conditionalFormatting>
  <conditionalFormatting sqref="AI247">
    <cfRule type="cellIs" dxfId="790" priority="907" operator="equal">
      <formula>"INVALID"</formula>
    </cfRule>
  </conditionalFormatting>
  <conditionalFormatting sqref="AI247">
    <cfRule type="cellIs" dxfId="789" priority="906" operator="equal">
      <formula>"INVALID"</formula>
    </cfRule>
  </conditionalFormatting>
  <conditionalFormatting sqref="AI247">
    <cfRule type="cellIs" dxfId="788" priority="905" operator="equal">
      <formula>"INVALID"</formula>
    </cfRule>
  </conditionalFormatting>
  <conditionalFormatting sqref="AI247">
    <cfRule type="cellIs" dxfId="787" priority="904" operator="equal">
      <formula>"INVALID"</formula>
    </cfRule>
  </conditionalFormatting>
  <conditionalFormatting sqref="AQ247">
    <cfRule type="expression" dxfId="786" priority="903" stopIfTrue="1">
      <formula>REPLACE($AQ247,8,LEN($AQ247),"")="unused_"</formula>
    </cfRule>
  </conditionalFormatting>
  <conditionalFormatting sqref="AQ247">
    <cfRule type="expression" dxfId="785" priority="901">
      <formula>NOT($AJ247)</formula>
    </cfRule>
    <cfRule type="expression" dxfId="784" priority="902">
      <formula>RIGHT($AQ247, 1)="*"</formula>
    </cfRule>
  </conditionalFormatting>
  <conditionalFormatting sqref="AV22">
    <cfRule type="expression" dxfId="783" priority="900">
      <formula>NOT($AO22)</formula>
    </cfRule>
  </conditionalFormatting>
  <conditionalFormatting sqref="AV23">
    <cfRule type="expression" dxfId="782" priority="899">
      <formula>NOT($AO23)</formula>
    </cfRule>
  </conditionalFormatting>
  <conditionalFormatting sqref="AV64">
    <cfRule type="expression" dxfId="781" priority="898">
      <formula>NOT($AO64)</formula>
    </cfRule>
  </conditionalFormatting>
  <conditionalFormatting sqref="AV65">
    <cfRule type="expression" dxfId="780" priority="897">
      <formula>NOT($AO65)</formula>
    </cfRule>
  </conditionalFormatting>
  <conditionalFormatting sqref="AV67">
    <cfRule type="expression" dxfId="779" priority="896">
      <formula>NOT($AO67)</formula>
    </cfRule>
  </conditionalFormatting>
  <conditionalFormatting sqref="AV68">
    <cfRule type="expression" dxfId="778" priority="895">
      <formula>NOT($AO68)</formula>
    </cfRule>
  </conditionalFormatting>
  <conditionalFormatting sqref="AV69">
    <cfRule type="expression" dxfId="777" priority="894">
      <formula>NOT($AO69)</formula>
    </cfRule>
  </conditionalFormatting>
  <conditionalFormatting sqref="AV70">
    <cfRule type="expression" dxfId="776" priority="893">
      <formula>NOT($AO70)</formula>
    </cfRule>
  </conditionalFormatting>
  <conditionalFormatting sqref="AV71">
    <cfRule type="expression" dxfId="775" priority="892">
      <formula>NOT($AO71)</formula>
    </cfRule>
  </conditionalFormatting>
  <conditionalFormatting sqref="AV72">
    <cfRule type="expression" dxfId="774" priority="891">
      <formula>NOT($AO72)</formula>
    </cfRule>
  </conditionalFormatting>
  <conditionalFormatting sqref="AV73">
    <cfRule type="expression" dxfId="773" priority="890">
      <formula>NOT($AO73)</formula>
    </cfRule>
  </conditionalFormatting>
  <conditionalFormatting sqref="AV142">
    <cfRule type="expression" dxfId="772" priority="889">
      <formula>NOT($AO142)</formula>
    </cfRule>
  </conditionalFormatting>
  <conditionalFormatting sqref="AV143">
    <cfRule type="expression" dxfId="771" priority="888">
      <formula>NOT($AO143)</formula>
    </cfRule>
  </conditionalFormatting>
  <conditionalFormatting sqref="AV164">
    <cfRule type="expression" dxfId="770" priority="887">
      <formula>NOT($AO164)</formula>
    </cfRule>
  </conditionalFormatting>
  <conditionalFormatting sqref="AV165">
    <cfRule type="expression" dxfId="769" priority="886">
      <formula>NOT($AO165)</formula>
    </cfRule>
  </conditionalFormatting>
  <conditionalFormatting sqref="AV166">
    <cfRule type="expression" dxfId="768" priority="885">
      <formula>NOT($AO166)</formula>
    </cfRule>
  </conditionalFormatting>
  <conditionalFormatting sqref="AV167">
    <cfRule type="expression" dxfId="767" priority="884">
      <formula>NOT($AO167)</formula>
    </cfRule>
  </conditionalFormatting>
  <conditionalFormatting sqref="AV168">
    <cfRule type="expression" dxfId="766" priority="883">
      <formula>NOT($AO168)</formula>
    </cfRule>
  </conditionalFormatting>
  <conditionalFormatting sqref="AV169">
    <cfRule type="expression" dxfId="765" priority="882">
      <formula>NOT($AO169)</formula>
    </cfRule>
  </conditionalFormatting>
  <conditionalFormatting sqref="AV197">
    <cfRule type="expression" dxfId="764" priority="881">
      <formula>NOT($AO197)</formula>
    </cfRule>
  </conditionalFormatting>
  <conditionalFormatting sqref="AV198">
    <cfRule type="expression" dxfId="763" priority="880">
      <formula>NOT($AO198)</formula>
    </cfRule>
  </conditionalFormatting>
  <conditionalFormatting sqref="AV209">
    <cfRule type="expression" dxfId="762" priority="879">
      <formula>NOT($AO209)</formula>
    </cfRule>
  </conditionalFormatting>
  <conditionalFormatting sqref="AV210">
    <cfRule type="expression" dxfId="761" priority="878">
      <formula>NOT($AO210)</formula>
    </cfRule>
  </conditionalFormatting>
  <conditionalFormatting sqref="AV236">
    <cfRule type="expression" dxfId="760" priority="877">
      <formula>NOT($AO236)</formula>
    </cfRule>
  </conditionalFormatting>
  <conditionalFormatting sqref="AV240">
    <cfRule type="expression" dxfId="759" priority="876">
      <formula>NOT($AO240)</formula>
    </cfRule>
  </conditionalFormatting>
  <conditionalFormatting sqref="AV239">
    <cfRule type="expression" dxfId="758" priority="875">
      <formula>NOT($AO239)</formula>
    </cfRule>
  </conditionalFormatting>
  <conditionalFormatting sqref="AR8">
    <cfRule type="cellIs" dxfId="757" priority="874" operator="equal">
      <formula>"Not Assigned"</formula>
    </cfRule>
  </conditionalFormatting>
  <conditionalFormatting sqref="AQ8">
    <cfRule type="expression" dxfId="756" priority="873" stopIfTrue="1">
      <formula>REPLACE($AQ8,8,LEN($AQ8),"")="unused_"</formula>
    </cfRule>
  </conditionalFormatting>
  <conditionalFormatting sqref="Q186">
    <cfRule type="cellIs" dxfId="755" priority="872" operator="equal">
      <formula>"INVALID"</formula>
    </cfRule>
  </conditionalFormatting>
  <conditionalFormatting sqref="R186">
    <cfRule type="cellIs" dxfId="754" priority="871" operator="equal">
      <formula>"INVALID"</formula>
    </cfRule>
  </conditionalFormatting>
  <conditionalFormatting sqref="S186">
    <cfRule type="cellIs" dxfId="753" priority="870" operator="equal">
      <formula>"INVALID"</formula>
    </cfRule>
  </conditionalFormatting>
  <conditionalFormatting sqref="T186">
    <cfRule type="cellIs" dxfId="752" priority="869" operator="equal">
      <formula>"INVALID"</formula>
    </cfRule>
  </conditionalFormatting>
  <conditionalFormatting sqref="U186:V186">
    <cfRule type="cellIs" dxfId="751" priority="868" operator="equal">
      <formula>"INVALID"</formula>
    </cfRule>
  </conditionalFormatting>
  <conditionalFormatting sqref="Q171">
    <cfRule type="cellIs" dxfId="750" priority="867" operator="equal">
      <formula>"INVALID"</formula>
    </cfRule>
  </conditionalFormatting>
  <conditionalFormatting sqref="R171">
    <cfRule type="cellIs" dxfId="749" priority="866" operator="equal">
      <formula>"INVALID"</formula>
    </cfRule>
  </conditionalFormatting>
  <conditionalFormatting sqref="S171">
    <cfRule type="cellIs" dxfId="748" priority="865" operator="equal">
      <formula>"INVALID"</formula>
    </cfRule>
  </conditionalFormatting>
  <conditionalFormatting sqref="T171">
    <cfRule type="cellIs" dxfId="747" priority="864" operator="equal">
      <formula>"INVALID"</formula>
    </cfRule>
  </conditionalFormatting>
  <conditionalFormatting sqref="U171">
    <cfRule type="cellIs" dxfId="746" priority="863" operator="equal">
      <formula>"INVALID"</formula>
    </cfRule>
  </conditionalFormatting>
  <conditionalFormatting sqref="Q179">
    <cfRule type="cellIs" dxfId="745" priority="862" operator="equal">
      <formula>"INVALID"</formula>
    </cfRule>
  </conditionalFormatting>
  <conditionalFormatting sqref="R179">
    <cfRule type="cellIs" dxfId="744" priority="861" operator="equal">
      <formula>"INVALID"</formula>
    </cfRule>
  </conditionalFormatting>
  <conditionalFormatting sqref="S179">
    <cfRule type="cellIs" dxfId="743" priority="860" operator="equal">
      <formula>"INVALID"</formula>
    </cfRule>
  </conditionalFormatting>
  <conditionalFormatting sqref="T179">
    <cfRule type="cellIs" dxfId="742" priority="859" operator="equal">
      <formula>"INVALID"</formula>
    </cfRule>
  </conditionalFormatting>
  <conditionalFormatting sqref="U179">
    <cfRule type="cellIs" dxfId="741" priority="858" operator="equal">
      <formula>"INVALID"</formula>
    </cfRule>
  </conditionalFormatting>
  <conditionalFormatting sqref="Q180">
    <cfRule type="cellIs" dxfId="740" priority="857" operator="equal">
      <formula>"INVALID"</formula>
    </cfRule>
  </conditionalFormatting>
  <conditionalFormatting sqref="R180">
    <cfRule type="cellIs" dxfId="739" priority="856" operator="equal">
      <formula>"INVALID"</formula>
    </cfRule>
  </conditionalFormatting>
  <conditionalFormatting sqref="S180">
    <cfRule type="cellIs" dxfId="738" priority="855" operator="equal">
      <formula>"INVALID"</formula>
    </cfRule>
  </conditionalFormatting>
  <conditionalFormatting sqref="T180">
    <cfRule type="cellIs" dxfId="737" priority="854" operator="equal">
      <formula>"INVALID"</formula>
    </cfRule>
  </conditionalFormatting>
  <conditionalFormatting sqref="U180">
    <cfRule type="cellIs" dxfId="736" priority="853" operator="equal">
      <formula>"INVALID"</formula>
    </cfRule>
  </conditionalFormatting>
  <conditionalFormatting sqref="Q146">
    <cfRule type="cellIs" dxfId="735" priority="852" operator="equal">
      <formula>"INVALID"</formula>
    </cfRule>
  </conditionalFormatting>
  <conditionalFormatting sqref="R146">
    <cfRule type="cellIs" dxfId="734" priority="851" operator="equal">
      <formula>"INVALID"</formula>
    </cfRule>
  </conditionalFormatting>
  <conditionalFormatting sqref="S146">
    <cfRule type="cellIs" dxfId="733" priority="850" operator="equal">
      <formula>"INVALID"</formula>
    </cfRule>
  </conditionalFormatting>
  <conditionalFormatting sqref="T146">
    <cfRule type="cellIs" dxfId="732" priority="849" operator="equal">
      <formula>"INVALID"</formula>
    </cfRule>
  </conditionalFormatting>
  <conditionalFormatting sqref="U146:V146">
    <cfRule type="cellIs" dxfId="731" priority="848" operator="equal">
      <formula>"INVALID"</formula>
    </cfRule>
  </conditionalFormatting>
  <conditionalFormatting sqref="Q147">
    <cfRule type="cellIs" dxfId="730" priority="847" operator="equal">
      <formula>"INVALID"</formula>
    </cfRule>
  </conditionalFormatting>
  <conditionalFormatting sqref="R147">
    <cfRule type="cellIs" dxfId="729" priority="846" operator="equal">
      <formula>"INVALID"</formula>
    </cfRule>
  </conditionalFormatting>
  <conditionalFormatting sqref="S147">
    <cfRule type="cellIs" dxfId="728" priority="845" operator="equal">
      <formula>"INVALID"</formula>
    </cfRule>
  </conditionalFormatting>
  <conditionalFormatting sqref="T147">
    <cfRule type="cellIs" dxfId="727" priority="844" operator="equal">
      <formula>"INVALID"</formula>
    </cfRule>
  </conditionalFormatting>
  <conditionalFormatting sqref="U147:V147">
    <cfRule type="cellIs" dxfId="726" priority="843" operator="equal">
      <formula>"INVALID"</formula>
    </cfRule>
  </conditionalFormatting>
  <conditionalFormatting sqref="Q144">
    <cfRule type="cellIs" dxfId="725" priority="842" operator="equal">
      <formula>"INVALID"</formula>
    </cfRule>
  </conditionalFormatting>
  <conditionalFormatting sqref="R144">
    <cfRule type="cellIs" dxfId="724" priority="841" operator="equal">
      <formula>"INVALID"</formula>
    </cfRule>
  </conditionalFormatting>
  <conditionalFormatting sqref="S144">
    <cfRule type="cellIs" dxfId="723" priority="840" operator="equal">
      <formula>"INVALID"</formula>
    </cfRule>
  </conditionalFormatting>
  <conditionalFormatting sqref="T144">
    <cfRule type="cellIs" dxfId="722" priority="839" operator="equal">
      <formula>"INVALID"</formula>
    </cfRule>
  </conditionalFormatting>
  <conditionalFormatting sqref="U144:V144">
    <cfRule type="cellIs" dxfId="721" priority="838" operator="equal">
      <formula>"INVALID"</formula>
    </cfRule>
  </conditionalFormatting>
  <conditionalFormatting sqref="Q139">
    <cfRule type="cellIs" dxfId="720" priority="837" operator="equal">
      <formula>"INVALID"</formula>
    </cfRule>
  </conditionalFormatting>
  <conditionalFormatting sqref="R139">
    <cfRule type="cellIs" dxfId="719" priority="836" operator="equal">
      <formula>"INVALID"</formula>
    </cfRule>
  </conditionalFormatting>
  <conditionalFormatting sqref="S139">
    <cfRule type="cellIs" dxfId="718" priority="835" operator="equal">
      <formula>"INVALID"</formula>
    </cfRule>
  </conditionalFormatting>
  <conditionalFormatting sqref="T139">
    <cfRule type="cellIs" dxfId="717" priority="834" operator="equal">
      <formula>"INVALID"</formula>
    </cfRule>
  </conditionalFormatting>
  <conditionalFormatting sqref="U139:V139">
    <cfRule type="cellIs" dxfId="716" priority="833" operator="equal">
      <formula>"INVALID"</formula>
    </cfRule>
  </conditionalFormatting>
  <conditionalFormatting sqref="Q138">
    <cfRule type="cellIs" dxfId="715" priority="832" operator="equal">
      <formula>"INVALID"</formula>
    </cfRule>
  </conditionalFormatting>
  <conditionalFormatting sqref="R138">
    <cfRule type="cellIs" dxfId="714" priority="831" operator="equal">
      <formula>"INVALID"</formula>
    </cfRule>
  </conditionalFormatting>
  <conditionalFormatting sqref="S138">
    <cfRule type="cellIs" dxfId="713" priority="830" operator="equal">
      <formula>"INVALID"</formula>
    </cfRule>
  </conditionalFormatting>
  <conditionalFormatting sqref="T138">
    <cfRule type="cellIs" dxfId="712" priority="829" operator="equal">
      <formula>"INVALID"</formula>
    </cfRule>
  </conditionalFormatting>
  <conditionalFormatting sqref="U138:V138">
    <cfRule type="cellIs" dxfId="711" priority="828" operator="equal">
      <formula>"INVALID"</formula>
    </cfRule>
  </conditionalFormatting>
  <conditionalFormatting sqref="Q232">
    <cfRule type="cellIs" dxfId="710" priority="827" operator="equal">
      <formula>"INVALID"</formula>
    </cfRule>
  </conditionalFormatting>
  <conditionalFormatting sqref="R232">
    <cfRule type="cellIs" dxfId="709" priority="826" operator="equal">
      <formula>"INVALID"</formula>
    </cfRule>
  </conditionalFormatting>
  <conditionalFormatting sqref="S232">
    <cfRule type="cellIs" dxfId="708" priority="825" operator="equal">
      <formula>"INVALID"</formula>
    </cfRule>
  </conditionalFormatting>
  <conditionalFormatting sqref="T232">
    <cfRule type="cellIs" dxfId="707" priority="824" operator="equal">
      <formula>"INVALID"</formula>
    </cfRule>
  </conditionalFormatting>
  <conditionalFormatting sqref="U232:V232">
    <cfRule type="cellIs" dxfId="706" priority="823" operator="equal">
      <formula>"INVALID"</formula>
    </cfRule>
  </conditionalFormatting>
  <conditionalFormatting sqref="Q234">
    <cfRule type="cellIs" dxfId="705" priority="822" operator="equal">
      <formula>"INVALID"</formula>
    </cfRule>
  </conditionalFormatting>
  <conditionalFormatting sqref="R234">
    <cfRule type="cellIs" dxfId="704" priority="821" operator="equal">
      <formula>"INVALID"</formula>
    </cfRule>
  </conditionalFormatting>
  <conditionalFormatting sqref="S234">
    <cfRule type="cellIs" dxfId="703" priority="820" operator="equal">
      <formula>"INVALID"</formula>
    </cfRule>
  </conditionalFormatting>
  <conditionalFormatting sqref="T234">
    <cfRule type="cellIs" dxfId="702" priority="819" operator="equal">
      <formula>"INVALID"</formula>
    </cfRule>
  </conditionalFormatting>
  <conditionalFormatting sqref="U234:V234 V235:V244">
    <cfRule type="cellIs" dxfId="701" priority="818" operator="equal">
      <formula>"INVALID"</formula>
    </cfRule>
  </conditionalFormatting>
  <conditionalFormatting sqref="Q235">
    <cfRule type="cellIs" dxfId="700" priority="817" operator="equal">
      <formula>"INVALID"</formula>
    </cfRule>
  </conditionalFormatting>
  <conditionalFormatting sqref="R235">
    <cfRule type="cellIs" dxfId="699" priority="816" operator="equal">
      <formula>"INVALID"</formula>
    </cfRule>
  </conditionalFormatting>
  <conditionalFormatting sqref="S235">
    <cfRule type="cellIs" dxfId="698" priority="815" operator="equal">
      <formula>"INVALID"</formula>
    </cfRule>
  </conditionalFormatting>
  <conditionalFormatting sqref="T235">
    <cfRule type="cellIs" dxfId="697" priority="814" operator="equal">
      <formula>"INVALID"</formula>
    </cfRule>
  </conditionalFormatting>
  <conditionalFormatting sqref="U235:V235">
    <cfRule type="cellIs" dxfId="696" priority="813" operator="equal">
      <formula>"INVALID"</formula>
    </cfRule>
  </conditionalFormatting>
  <conditionalFormatting sqref="Q237">
    <cfRule type="cellIs" dxfId="695" priority="812" operator="equal">
      <formula>"INVALID"</formula>
    </cfRule>
  </conditionalFormatting>
  <conditionalFormatting sqref="R237">
    <cfRule type="cellIs" dxfId="694" priority="811" operator="equal">
      <formula>"INVALID"</formula>
    </cfRule>
  </conditionalFormatting>
  <conditionalFormatting sqref="S237">
    <cfRule type="cellIs" dxfId="693" priority="810" operator="equal">
      <formula>"INVALID"</formula>
    </cfRule>
  </conditionalFormatting>
  <conditionalFormatting sqref="T237">
    <cfRule type="cellIs" dxfId="692" priority="809" operator="equal">
      <formula>"INVALID"</formula>
    </cfRule>
  </conditionalFormatting>
  <conditionalFormatting sqref="U237:V237">
    <cfRule type="cellIs" dxfId="691" priority="808" operator="equal">
      <formula>"INVALID"</formula>
    </cfRule>
  </conditionalFormatting>
  <conditionalFormatting sqref="Q238">
    <cfRule type="cellIs" dxfId="690" priority="807" operator="equal">
      <formula>"INVALID"</formula>
    </cfRule>
  </conditionalFormatting>
  <conditionalFormatting sqref="R238">
    <cfRule type="cellIs" dxfId="689" priority="806" operator="equal">
      <formula>"INVALID"</formula>
    </cfRule>
  </conditionalFormatting>
  <conditionalFormatting sqref="S238">
    <cfRule type="cellIs" dxfId="688" priority="805" operator="equal">
      <formula>"INVALID"</formula>
    </cfRule>
  </conditionalFormatting>
  <conditionalFormatting sqref="T238">
    <cfRule type="cellIs" dxfId="687" priority="804" operator="equal">
      <formula>"INVALID"</formula>
    </cfRule>
  </conditionalFormatting>
  <conditionalFormatting sqref="U238:V238">
    <cfRule type="cellIs" dxfId="686" priority="803" operator="equal">
      <formula>"INVALID"</formula>
    </cfRule>
  </conditionalFormatting>
  <conditionalFormatting sqref="AD138">
    <cfRule type="cellIs" dxfId="685" priority="802" operator="equal">
      <formula>"INVALID"</formula>
    </cfRule>
  </conditionalFormatting>
  <conditionalFormatting sqref="AD138">
    <cfRule type="cellIs" dxfId="684" priority="801" operator="equal">
      <formula>"INVALID"</formula>
    </cfRule>
  </conditionalFormatting>
  <conditionalFormatting sqref="AD139">
    <cfRule type="cellIs" dxfId="683" priority="800" operator="equal">
      <formula>"INVALID"</formula>
    </cfRule>
  </conditionalFormatting>
  <conditionalFormatting sqref="AD139">
    <cfRule type="cellIs" dxfId="682" priority="799" operator="equal">
      <formula>"INVALID"</formula>
    </cfRule>
  </conditionalFormatting>
  <conditionalFormatting sqref="AD144">
    <cfRule type="cellIs" dxfId="681" priority="798" operator="equal">
      <formula>"INVALID"</formula>
    </cfRule>
  </conditionalFormatting>
  <conditionalFormatting sqref="AD144">
    <cfRule type="cellIs" dxfId="680" priority="797" operator="equal">
      <formula>"INVALID"</formula>
    </cfRule>
  </conditionalFormatting>
  <conditionalFormatting sqref="AD146:AD147">
    <cfRule type="cellIs" dxfId="679" priority="796" operator="equal">
      <formula>"INVALID"</formula>
    </cfRule>
  </conditionalFormatting>
  <conditionalFormatting sqref="AD146:AD147">
    <cfRule type="cellIs" dxfId="678" priority="795" operator="equal">
      <formula>"INVALID"</formula>
    </cfRule>
  </conditionalFormatting>
  <conditionalFormatting sqref="AD147">
    <cfRule type="cellIs" dxfId="677" priority="794" operator="equal">
      <formula>"INVALID"</formula>
    </cfRule>
  </conditionalFormatting>
  <conditionalFormatting sqref="AD147">
    <cfRule type="cellIs" dxfId="676" priority="793" operator="equal">
      <formula>"INVALID"</formula>
    </cfRule>
  </conditionalFormatting>
  <conditionalFormatting sqref="AD171">
    <cfRule type="cellIs" dxfId="675" priority="792" operator="equal">
      <formula>"INVALID"</formula>
    </cfRule>
  </conditionalFormatting>
  <conditionalFormatting sqref="AD171">
    <cfRule type="cellIs" dxfId="674" priority="791" operator="equal">
      <formula>"INVALID"</formula>
    </cfRule>
  </conditionalFormatting>
  <conditionalFormatting sqref="AD179">
    <cfRule type="cellIs" dxfId="673" priority="790" operator="equal">
      <formula>"INVALID"</formula>
    </cfRule>
  </conditionalFormatting>
  <conditionalFormatting sqref="AD179">
    <cfRule type="cellIs" dxfId="672" priority="789" operator="equal">
      <formula>"INVALID"</formula>
    </cfRule>
  </conditionalFormatting>
  <conditionalFormatting sqref="AD180">
    <cfRule type="cellIs" dxfId="671" priority="788" operator="equal">
      <formula>"INVALID"</formula>
    </cfRule>
  </conditionalFormatting>
  <conditionalFormatting sqref="AD180">
    <cfRule type="cellIs" dxfId="670" priority="787" operator="equal">
      <formula>"INVALID"</formula>
    </cfRule>
  </conditionalFormatting>
  <conditionalFormatting sqref="AD186">
    <cfRule type="cellIs" dxfId="669" priority="786" operator="equal">
      <formula>"INVALID"</formula>
    </cfRule>
  </conditionalFormatting>
  <conditionalFormatting sqref="AD186">
    <cfRule type="cellIs" dxfId="668" priority="785" operator="equal">
      <formula>"INVALID"</formula>
    </cfRule>
  </conditionalFormatting>
  <conditionalFormatting sqref="AD234">
    <cfRule type="cellIs" dxfId="667" priority="784" operator="equal">
      <formula>"INVALID"</formula>
    </cfRule>
  </conditionalFormatting>
  <conditionalFormatting sqref="AD235">
    <cfRule type="cellIs" dxfId="666" priority="783" operator="equal">
      <formula>"INVALID"</formula>
    </cfRule>
  </conditionalFormatting>
  <conditionalFormatting sqref="AD232">
    <cfRule type="cellIs" dxfId="665" priority="782" operator="equal">
      <formula>"INVALID"</formula>
    </cfRule>
  </conditionalFormatting>
  <conditionalFormatting sqref="AD237">
    <cfRule type="cellIs" dxfId="664" priority="781" operator="equal">
      <formula>"INVALID"</formula>
    </cfRule>
  </conditionalFormatting>
  <conditionalFormatting sqref="AD238">
    <cfRule type="cellIs" dxfId="663" priority="780" operator="equal">
      <formula>"INVALID"</formula>
    </cfRule>
  </conditionalFormatting>
  <conditionalFormatting sqref="AR79:AR80">
    <cfRule type="cellIs" dxfId="662" priority="778" operator="equal">
      <formula>"Not Assigned"</formula>
    </cfRule>
  </conditionalFormatting>
  <conditionalFormatting sqref="AD79:AF80 AH79:AI80">
    <cfRule type="cellIs" dxfId="661" priority="777" operator="equal">
      <formula>"INVALID"</formula>
    </cfRule>
  </conditionalFormatting>
  <conditionalFormatting sqref="AS79:AS80">
    <cfRule type="expression" dxfId="660" priority="776">
      <formula>EXACT(AF79, "INVALID")</formula>
    </cfRule>
  </conditionalFormatting>
  <conditionalFormatting sqref="AY79:AY80">
    <cfRule type="expression" dxfId="659" priority="775">
      <formula>AND(NOT(ISBLANK(AY79)), EXACT(AF79, "INVALID"))</formula>
    </cfRule>
  </conditionalFormatting>
  <conditionalFormatting sqref="AZ79:AZ80">
    <cfRule type="expression" dxfId="658" priority="774">
      <formula>AND(NOT(ISBLANK(AZ79)), EXACT(AF79, "INVALID"))</formula>
    </cfRule>
  </conditionalFormatting>
  <conditionalFormatting sqref="AR79:AR80">
    <cfRule type="expression" dxfId="657" priority="773">
      <formula>NOT($AL79)</formula>
    </cfRule>
  </conditionalFormatting>
  <conditionalFormatting sqref="AJ79:AJ80">
    <cfRule type="cellIs" dxfId="656" priority="772" operator="equal">
      <formula>FALSE</formula>
    </cfRule>
  </conditionalFormatting>
  <conditionalFormatting sqref="AK79:AK80">
    <cfRule type="cellIs" dxfId="655" priority="771" operator="equal">
      <formula>FALSE</formula>
    </cfRule>
  </conditionalFormatting>
  <conditionalFormatting sqref="AL79:AL80">
    <cfRule type="cellIs" dxfId="654" priority="770" operator="equal">
      <formula>FALSE</formula>
    </cfRule>
  </conditionalFormatting>
  <conditionalFormatting sqref="AM79:AM80">
    <cfRule type="cellIs" dxfId="653" priority="769" operator="equal">
      <formula>FALSE</formula>
    </cfRule>
  </conditionalFormatting>
  <conditionalFormatting sqref="AN79:AN80">
    <cfRule type="cellIs" dxfId="652" priority="768" operator="equal">
      <formula>FALSE</formula>
    </cfRule>
  </conditionalFormatting>
  <conditionalFormatting sqref="AP79:AP80">
    <cfRule type="cellIs" dxfId="651" priority="767" operator="equal">
      <formula>"INVALID"</formula>
    </cfRule>
  </conditionalFormatting>
  <conditionalFormatting sqref="AJ79:AJ80">
    <cfRule type="cellIs" dxfId="650" priority="766" operator="equal">
      <formula>"INVALID"</formula>
    </cfRule>
  </conditionalFormatting>
  <conditionalFormatting sqref="AK79:AK80">
    <cfRule type="cellIs" dxfId="649" priority="765" operator="equal">
      <formula>"INVALID"</formula>
    </cfRule>
  </conditionalFormatting>
  <conditionalFormatting sqref="AL79:AM80">
    <cfRule type="cellIs" dxfId="648" priority="764" operator="equal">
      <formula>"INVALID"</formula>
    </cfRule>
  </conditionalFormatting>
  <conditionalFormatting sqref="AK79:AK80">
    <cfRule type="cellIs" dxfId="647" priority="763" operator="equal">
      <formula>"INVALID"</formula>
    </cfRule>
  </conditionalFormatting>
  <conditionalFormatting sqref="AL79:AL80">
    <cfRule type="cellIs" dxfId="646" priority="762" operator="equal">
      <formula>"INVALID"</formula>
    </cfRule>
  </conditionalFormatting>
  <conditionalFormatting sqref="AM79:AM80">
    <cfRule type="cellIs" dxfId="645" priority="761" operator="equal">
      <formula>"INVALID"</formula>
    </cfRule>
  </conditionalFormatting>
  <conditionalFormatting sqref="AN79:AN80">
    <cfRule type="cellIs" dxfId="644" priority="760" operator="equal">
      <formula>"INVALID"</formula>
    </cfRule>
  </conditionalFormatting>
  <conditionalFormatting sqref="AS79:AS80">
    <cfRule type="expression" dxfId="643" priority="759">
      <formula>NOT($AN79)</formula>
    </cfRule>
  </conditionalFormatting>
  <conditionalFormatting sqref="AS79:AS80">
    <cfRule type="expression" dxfId="642" priority="758">
      <formula>NOT($AK79)</formula>
    </cfRule>
  </conditionalFormatting>
  <conditionalFormatting sqref="AO79:AO80">
    <cfRule type="cellIs" dxfId="641" priority="757" operator="equal">
      <formula>FALSE</formula>
    </cfRule>
  </conditionalFormatting>
  <conditionalFormatting sqref="AO79:AO80">
    <cfRule type="cellIs" dxfId="640" priority="756" operator="equal">
      <formula>"INVALID"</formula>
    </cfRule>
  </conditionalFormatting>
  <conditionalFormatting sqref="AO79:AO80">
    <cfRule type="cellIs" dxfId="639" priority="755" operator="equal">
      <formula>"INVALID"</formula>
    </cfRule>
  </conditionalFormatting>
  <conditionalFormatting sqref="AQ79:AQ80">
    <cfRule type="expression" dxfId="638" priority="754" stopIfTrue="1">
      <formula>REPLACE($AQ79,8,LEN($AQ79),"")="unused_"</formula>
    </cfRule>
  </conditionalFormatting>
  <conditionalFormatting sqref="AQ79:AQ80">
    <cfRule type="expression" dxfId="637" priority="752">
      <formula>NOT($AJ79)</formula>
    </cfRule>
    <cfRule type="expression" dxfId="636" priority="753">
      <formula>RIGHT($AQ79, 1)="*"</formula>
    </cfRule>
  </conditionalFormatting>
  <conditionalFormatting sqref="V246:V247">
    <cfRule type="cellIs" dxfId="635" priority="751" operator="equal">
      <formula>"INVALID"</formula>
    </cfRule>
  </conditionalFormatting>
  <conditionalFormatting sqref="V246:V247">
    <cfRule type="cellIs" dxfId="634" priority="750" operator="equal">
      <formula>"INVALID"</formula>
    </cfRule>
  </conditionalFormatting>
  <conditionalFormatting sqref="V250:V311">
    <cfRule type="cellIs" dxfId="633" priority="749" operator="equal">
      <formula>"INVALID"</formula>
    </cfRule>
  </conditionalFormatting>
  <conditionalFormatting sqref="V250:V311">
    <cfRule type="cellIs" dxfId="632" priority="748" operator="equal">
      <formula>"INVALID"</formula>
    </cfRule>
  </conditionalFormatting>
  <conditionalFormatting sqref="V313:V322">
    <cfRule type="cellIs" dxfId="631" priority="747" operator="equal">
      <formula>"INVALID"</formula>
    </cfRule>
  </conditionalFormatting>
  <conditionalFormatting sqref="V313:V322">
    <cfRule type="cellIs" dxfId="630" priority="746" operator="equal">
      <formula>"INVALID"</formula>
    </cfRule>
  </conditionalFormatting>
  <conditionalFormatting sqref="V324:V333">
    <cfRule type="cellIs" dxfId="629" priority="745" operator="equal">
      <formula>"INVALID"</formula>
    </cfRule>
  </conditionalFormatting>
  <conditionalFormatting sqref="V324:V333">
    <cfRule type="cellIs" dxfId="628" priority="744" operator="equal">
      <formula>"INVALID"</formula>
    </cfRule>
  </conditionalFormatting>
  <conditionalFormatting sqref="V335:V337">
    <cfRule type="cellIs" dxfId="627" priority="743" operator="equal">
      <formula>"INVALID"</formula>
    </cfRule>
  </conditionalFormatting>
  <conditionalFormatting sqref="V335:V337">
    <cfRule type="cellIs" dxfId="626" priority="742" operator="equal">
      <formula>"INVALID"</formula>
    </cfRule>
  </conditionalFormatting>
  <conditionalFormatting sqref="V339:V345">
    <cfRule type="cellIs" dxfId="625" priority="741" operator="equal">
      <formula>"INVALID"</formula>
    </cfRule>
  </conditionalFormatting>
  <conditionalFormatting sqref="V339:V345">
    <cfRule type="cellIs" dxfId="624" priority="740" operator="equal">
      <formula>"INVALID"</formula>
    </cfRule>
  </conditionalFormatting>
  <conditionalFormatting sqref="V347:V376">
    <cfRule type="cellIs" dxfId="623" priority="739" operator="equal">
      <formula>"INVALID"</formula>
    </cfRule>
  </conditionalFormatting>
  <conditionalFormatting sqref="V347:V376">
    <cfRule type="cellIs" dxfId="622" priority="738" operator="equal">
      <formula>"INVALID"</formula>
    </cfRule>
  </conditionalFormatting>
  <conditionalFormatting sqref="V378:V521">
    <cfRule type="cellIs" dxfId="621" priority="737" operator="equal">
      <formula>"INVALID"</formula>
    </cfRule>
  </conditionalFormatting>
  <conditionalFormatting sqref="V378:V521">
    <cfRule type="cellIs" dxfId="620" priority="736" operator="equal">
      <formula>"INVALID"</formula>
    </cfRule>
  </conditionalFormatting>
  <conditionalFormatting sqref="V523:V666">
    <cfRule type="cellIs" dxfId="619" priority="735" operator="equal">
      <formula>"INVALID"</formula>
    </cfRule>
  </conditionalFormatting>
  <conditionalFormatting sqref="V523:V666">
    <cfRule type="cellIs" dxfId="618" priority="734" operator="equal">
      <formula>"INVALID"</formula>
    </cfRule>
  </conditionalFormatting>
  <conditionalFormatting sqref="V668:V669">
    <cfRule type="cellIs" dxfId="617" priority="733" operator="equal">
      <formula>"INVALID"</formula>
    </cfRule>
  </conditionalFormatting>
  <conditionalFormatting sqref="V668:V669">
    <cfRule type="cellIs" dxfId="616" priority="732" operator="equal">
      <formula>"INVALID"</formula>
    </cfRule>
  </conditionalFormatting>
  <conditionalFormatting sqref="AE107:AE110">
    <cfRule type="cellIs" dxfId="615" priority="730" operator="equal">
      <formula>"INVALID"</formula>
    </cfRule>
  </conditionalFormatting>
  <conditionalFormatting sqref="AE107:AE110">
    <cfRule type="cellIs" dxfId="614" priority="729" operator="equal">
      <formula>"INVALID"</formula>
    </cfRule>
  </conditionalFormatting>
  <conditionalFormatting sqref="AE107:AE110">
    <cfRule type="cellIs" dxfId="613" priority="728" operator="equal">
      <formula>"INVALID"</formula>
    </cfRule>
  </conditionalFormatting>
  <conditionalFormatting sqref="AE106">
    <cfRule type="cellIs" dxfId="612" priority="727" operator="equal">
      <formula>"INVALID"</formula>
    </cfRule>
  </conditionalFormatting>
  <conditionalFormatting sqref="AE106">
    <cfRule type="cellIs" dxfId="611" priority="726" operator="equal">
      <formula>"INVALID"</formula>
    </cfRule>
  </conditionalFormatting>
  <conditionalFormatting sqref="AE106">
    <cfRule type="cellIs" dxfId="610" priority="725" operator="equal">
      <formula>"INVALID"</formula>
    </cfRule>
  </conditionalFormatting>
  <conditionalFormatting sqref="AR232">
    <cfRule type="expression" dxfId="609" priority="721">
      <formula>NOT($AL232)</formula>
    </cfRule>
  </conditionalFormatting>
  <conditionalFormatting sqref="AS232">
    <cfRule type="expression" dxfId="608" priority="720">
      <formula>NOT($AN232)</formula>
    </cfRule>
  </conditionalFormatting>
  <conditionalFormatting sqref="AS232">
    <cfRule type="expression" dxfId="607" priority="719">
      <formula>NOT($AK232)</formula>
    </cfRule>
  </conditionalFormatting>
  <conditionalFormatting sqref="AG157:AG180 AG233:AG244 AG225 AG25:AG33 AG35:AG44 AG46:AG53 AG55:AG65 AG67:AG73 AG75:AG88 AG182:AG191 AG105:AG112 AG90:AG91 AG126:AG148">
    <cfRule type="cellIs" dxfId="606" priority="718" operator="equal">
      <formula>"INVALID"</formula>
    </cfRule>
  </conditionalFormatting>
  <conditionalFormatting sqref="AG241:AG243">
    <cfRule type="cellIs" dxfId="605" priority="717" operator="equal">
      <formula>"INVALID"</formula>
    </cfRule>
  </conditionalFormatting>
  <conditionalFormatting sqref="AG242:AG243">
    <cfRule type="cellIs" dxfId="604" priority="716" operator="equal">
      <formula>"INVALID"</formula>
    </cfRule>
  </conditionalFormatting>
  <conditionalFormatting sqref="AG181">
    <cfRule type="cellIs" dxfId="603" priority="708" operator="equal">
      <formula>"INVALID"</formula>
    </cfRule>
  </conditionalFormatting>
  <conditionalFormatting sqref="AG193:AG211">
    <cfRule type="cellIs" dxfId="602" priority="707" operator="equal">
      <formula>"INVALID"</formula>
    </cfRule>
  </conditionalFormatting>
  <conditionalFormatting sqref="AG192">
    <cfRule type="cellIs" dxfId="601" priority="706" operator="equal">
      <formula>"INVALID"</formula>
    </cfRule>
  </conditionalFormatting>
  <conditionalFormatting sqref="AG231:AG232">
    <cfRule type="cellIs" dxfId="600" priority="705" operator="equal">
      <formula>"INVALID"</formula>
    </cfRule>
  </conditionalFormatting>
  <conditionalFormatting sqref="AG226:AG232">
    <cfRule type="cellIs" dxfId="599" priority="704" operator="equal">
      <formula>"INVALID"</formula>
    </cfRule>
  </conditionalFormatting>
  <conditionalFormatting sqref="AG106:AG111">
    <cfRule type="cellIs" dxfId="598" priority="701" operator="equal">
      <formula>"INVALID"</formula>
    </cfRule>
  </conditionalFormatting>
  <conditionalFormatting sqref="AG182:AG191">
    <cfRule type="cellIs" dxfId="597" priority="700" operator="equal">
      <formula>"INVALID"</formula>
    </cfRule>
  </conditionalFormatting>
  <conditionalFormatting sqref="AG182:AG191">
    <cfRule type="cellIs" dxfId="596" priority="699" operator="equal">
      <formula>"INVALID"</formula>
    </cfRule>
  </conditionalFormatting>
  <conditionalFormatting sqref="AG10:AG23">
    <cfRule type="cellIs" dxfId="595" priority="681" operator="equal">
      <formula>"INVALID"</formula>
    </cfRule>
  </conditionalFormatting>
  <conditionalFormatting sqref="AG106:AG111">
    <cfRule type="cellIs" dxfId="594" priority="702" operator="equal">
      <formula>"INVALID"</formula>
    </cfRule>
  </conditionalFormatting>
  <conditionalFormatting sqref="AG193:AG211">
    <cfRule type="cellIs" dxfId="593" priority="698" operator="equal">
      <formula>"INVALID"</formula>
    </cfRule>
  </conditionalFormatting>
  <conditionalFormatting sqref="AG193:AG211">
    <cfRule type="cellIs" dxfId="592" priority="697" operator="equal">
      <formula>"INVALID"</formula>
    </cfRule>
  </conditionalFormatting>
  <conditionalFormatting sqref="AG193:AG211">
    <cfRule type="cellIs" dxfId="591" priority="696" operator="equal">
      <formula>"INVALID"</formula>
    </cfRule>
  </conditionalFormatting>
  <conditionalFormatting sqref="AG226:AG232">
    <cfRule type="cellIs" dxfId="590" priority="695" operator="equal">
      <formula>"INVALID"</formula>
    </cfRule>
  </conditionalFormatting>
  <conditionalFormatting sqref="AG226:AG232">
    <cfRule type="cellIs" dxfId="589" priority="694" operator="equal">
      <formula>"INVALID"</formula>
    </cfRule>
  </conditionalFormatting>
  <conditionalFormatting sqref="AG226:AG232">
    <cfRule type="cellIs" dxfId="588" priority="693" operator="equal">
      <formula>"INVALID"</formula>
    </cfRule>
  </conditionalFormatting>
  <conditionalFormatting sqref="AG226:AG232">
    <cfRule type="cellIs" dxfId="587" priority="692" operator="equal">
      <formula>"INVALID"</formula>
    </cfRule>
  </conditionalFormatting>
  <conditionalFormatting sqref="AG226:AG232">
    <cfRule type="cellIs" dxfId="586" priority="691" operator="equal">
      <formula>"INVALID"</formula>
    </cfRule>
  </conditionalFormatting>
  <conditionalFormatting sqref="AG226:AG232">
    <cfRule type="cellIs" dxfId="585" priority="690" operator="equal">
      <formula>"INVALID"</formula>
    </cfRule>
  </conditionalFormatting>
  <conditionalFormatting sqref="AG234:AG244">
    <cfRule type="cellIs" dxfId="584" priority="689" operator="equal">
      <formula>"INVALID"</formula>
    </cfRule>
  </conditionalFormatting>
  <conditionalFormatting sqref="AG234:AG244">
    <cfRule type="cellIs" dxfId="583" priority="688" operator="equal">
      <formula>"INVALID"</formula>
    </cfRule>
  </conditionalFormatting>
  <conditionalFormatting sqref="AG234:AG244">
    <cfRule type="cellIs" dxfId="582" priority="687" operator="equal">
      <formula>"INVALID"</formula>
    </cfRule>
  </conditionalFormatting>
  <conditionalFormatting sqref="AG234:AG244">
    <cfRule type="cellIs" dxfId="581" priority="686" operator="equal">
      <formula>"INVALID"</formula>
    </cfRule>
  </conditionalFormatting>
  <conditionalFormatting sqref="AG234:AG244">
    <cfRule type="cellIs" dxfId="580" priority="685" operator="equal">
      <formula>"INVALID"</formula>
    </cfRule>
  </conditionalFormatting>
  <conditionalFormatting sqref="AG234:AG244">
    <cfRule type="cellIs" dxfId="579" priority="684" operator="equal">
      <formula>"INVALID"</formula>
    </cfRule>
  </conditionalFormatting>
  <conditionalFormatting sqref="AG234:AG244">
    <cfRule type="cellIs" dxfId="578" priority="683" operator="equal">
      <formula>"INVALID"</formula>
    </cfRule>
  </conditionalFormatting>
  <conditionalFormatting sqref="AG137:AG141">
    <cfRule type="cellIs" dxfId="577" priority="682" operator="equal">
      <formula>"INVALID"</formula>
    </cfRule>
  </conditionalFormatting>
  <conditionalFormatting sqref="AG23 AG19:AG21">
    <cfRule type="cellIs" dxfId="576" priority="680" operator="equal">
      <formula>"INVALID"</formula>
    </cfRule>
  </conditionalFormatting>
  <conditionalFormatting sqref="AG22">
    <cfRule type="cellIs" dxfId="575" priority="679" operator="equal">
      <formula>"INVALID"</formula>
    </cfRule>
  </conditionalFormatting>
  <conditionalFormatting sqref="AG30:AG33">
    <cfRule type="cellIs" dxfId="574" priority="678" operator="equal">
      <formula>"INVALID"</formula>
    </cfRule>
  </conditionalFormatting>
  <conditionalFormatting sqref="AG43">
    <cfRule type="cellIs" dxfId="573" priority="677" operator="equal">
      <formula>"INVALID"</formula>
    </cfRule>
  </conditionalFormatting>
  <conditionalFormatting sqref="AG64">
    <cfRule type="cellIs" dxfId="572" priority="676" operator="equal">
      <formula>"INVALID"</formula>
    </cfRule>
  </conditionalFormatting>
  <conditionalFormatting sqref="AG179 AG157:AG167">
    <cfRule type="cellIs" dxfId="571" priority="672" operator="equal">
      <formula>"INVALID"</formula>
    </cfRule>
  </conditionalFormatting>
  <conditionalFormatting sqref="AG149:AG180">
    <cfRule type="cellIs" dxfId="570" priority="671" operator="equal">
      <formula>"INVALID"</formula>
    </cfRule>
  </conditionalFormatting>
  <conditionalFormatting sqref="AG149:AG180">
    <cfRule type="cellIs" dxfId="569" priority="670" operator="equal">
      <formula>"INVALID"</formula>
    </cfRule>
  </conditionalFormatting>
  <conditionalFormatting sqref="AG149:AG180">
    <cfRule type="cellIs" dxfId="568" priority="669" operator="equal">
      <formula>"INVALID"</formula>
    </cfRule>
  </conditionalFormatting>
  <conditionalFormatting sqref="AG194:AG202">
    <cfRule type="cellIs" dxfId="567" priority="665" operator="equal">
      <formula>"INVALID"</formula>
    </cfRule>
  </conditionalFormatting>
  <conditionalFormatting sqref="AG194:AG202">
    <cfRule type="cellIs" dxfId="566" priority="664" operator="equal">
      <formula>"INVALID"</formula>
    </cfRule>
  </conditionalFormatting>
  <conditionalFormatting sqref="AG194:AG202">
    <cfRule type="cellIs" dxfId="565" priority="663" operator="equal">
      <formula>"INVALID"</formula>
    </cfRule>
  </conditionalFormatting>
  <conditionalFormatting sqref="AG194:AG202">
    <cfRule type="cellIs" dxfId="564" priority="662" operator="equal">
      <formula>"INVALID"</formula>
    </cfRule>
  </conditionalFormatting>
  <conditionalFormatting sqref="AG223:AG224 AG213">
    <cfRule type="cellIs" dxfId="563" priority="661" operator="equal">
      <formula>"INVALID"</formula>
    </cfRule>
  </conditionalFormatting>
  <conditionalFormatting sqref="AG212">
    <cfRule type="cellIs" dxfId="562" priority="660" operator="equal">
      <formula>"INVALID"</formula>
    </cfRule>
  </conditionalFormatting>
  <conditionalFormatting sqref="AG213 AG223:AG224">
    <cfRule type="cellIs" dxfId="561" priority="659" operator="equal">
      <formula>"INVALID"</formula>
    </cfRule>
  </conditionalFormatting>
  <conditionalFormatting sqref="AG213 AG223:AG224">
    <cfRule type="cellIs" dxfId="560" priority="658" operator="equal">
      <formula>"INVALID"</formula>
    </cfRule>
  </conditionalFormatting>
  <conditionalFormatting sqref="AG213 AG223:AG224">
    <cfRule type="cellIs" dxfId="559" priority="657" operator="equal">
      <formula>"INVALID"</formula>
    </cfRule>
  </conditionalFormatting>
  <conditionalFormatting sqref="AG214:AG222">
    <cfRule type="cellIs" dxfId="558" priority="656" operator="equal">
      <formula>"INVALID"</formula>
    </cfRule>
  </conditionalFormatting>
  <conditionalFormatting sqref="AG214:AG222">
    <cfRule type="cellIs" dxfId="557" priority="655" operator="equal">
      <formula>"INVALID"</formula>
    </cfRule>
  </conditionalFormatting>
  <conditionalFormatting sqref="AG214:AG222">
    <cfRule type="cellIs" dxfId="556" priority="654" operator="equal">
      <formula>"INVALID"</formula>
    </cfRule>
  </conditionalFormatting>
  <conditionalFormatting sqref="AG214:AG222">
    <cfRule type="cellIs" dxfId="555" priority="653" operator="equal">
      <formula>"INVALID"</formula>
    </cfRule>
  </conditionalFormatting>
  <conditionalFormatting sqref="AG79:AG80">
    <cfRule type="cellIs" dxfId="554" priority="651" operator="equal">
      <formula>"INVALID"</formula>
    </cfRule>
  </conditionalFormatting>
  <conditionalFormatting sqref="AG25:AG33">
    <cfRule type="cellIs" dxfId="553" priority="650" operator="equal">
      <formula>"INVALID"</formula>
    </cfRule>
  </conditionalFormatting>
  <conditionalFormatting sqref="AG25:AG33">
    <cfRule type="cellIs" dxfId="552" priority="649" operator="equal">
      <formula>"INVALID"</formula>
    </cfRule>
  </conditionalFormatting>
  <conditionalFormatting sqref="AG35:AG44">
    <cfRule type="cellIs" dxfId="551" priority="648" operator="equal">
      <formula>"INVALID"</formula>
    </cfRule>
  </conditionalFormatting>
  <conditionalFormatting sqref="AG35:AG44">
    <cfRule type="cellIs" dxfId="550" priority="647" operator="equal">
      <formula>"INVALID"</formula>
    </cfRule>
  </conditionalFormatting>
  <conditionalFormatting sqref="AG35:AG44">
    <cfRule type="cellIs" dxfId="549" priority="646" operator="equal">
      <formula>"INVALID"</formula>
    </cfRule>
  </conditionalFormatting>
  <conditionalFormatting sqref="AG46:AG53">
    <cfRule type="cellIs" dxfId="548" priority="645" operator="equal">
      <formula>"INVALID"</formula>
    </cfRule>
  </conditionalFormatting>
  <conditionalFormatting sqref="AG46:AG53">
    <cfRule type="cellIs" dxfId="547" priority="644" operator="equal">
      <formula>"INVALID"</formula>
    </cfRule>
  </conditionalFormatting>
  <conditionalFormatting sqref="AG46:AG53">
    <cfRule type="cellIs" dxfId="546" priority="643" operator="equal">
      <formula>"INVALID"</formula>
    </cfRule>
  </conditionalFormatting>
  <conditionalFormatting sqref="AG55:AG65">
    <cfRule type="cellIs" dxfId="545" priority="642" operator="equal">
      <formula>"INVALID"</formula>
    </cfRule>
  </conditionalFormatting>
  <conditionalFormatting sqref="AG55:AG65">
    <cfRule type="cellIs" dxfId="544" priority="641" operator="equal">
      <formula>"INVALID"</formula>
    </cfRule>
  </conditionalFormatting>
  <conditionalFormatting sqref="AG55:AG65">
    <cfRule type="cellIs" dxfId="543" priority="640" operator="equal">
      <formula>"INVALID"</formula>
    </cfRule>
  </conditionalFormatting>
  <conditionalFormatting sqref="AG67:AG73">
    <cfRule type="cellIs" dxfId="542" priority="639" operator="equal">
      <formula>"INVALID"</formula>
    </cfRule>
  </conditionalFormatting>
  <conditionalFormatting sqref="AG67:AG73">
    <cfRule type="cellIs" dxfId="541" priority="638" operator="equal">
      <formula>"INVALID"</formula>
    </cfRule>
  </conditionalFormatting>
  <conditionalFormatting sqref="AG67:AG73">
    <cfRule type="cellIs" dxfId="540" priority="637" operator="equal">
      <formula>"INVALID"</formula>
    </cfRule>
  </conditionalFormatting>
  <conditionalFormatting sqref="AG75:AG80">
    <cfRule type="cellIs" dxfId="539" priority="636" operator="equal">
      <formula>"INVALID"</formula>
    </cfRule>
  </conditionalFormatting>
  <conditionalFormatting sqref="AG75:AG80">
    <cfRule type="cellIs" dxfId="538" priority="635" operator="equal">
      <formula>"INVALID"</formula>
    </cfRule>
  </conditionalFormatting>
  <conditionalFormatting sqref="AG75:AG80">
    <cfRule type="cellIs" dxfId="537" priority="634" operator="equal">
      <formula>"INVALID"</formula>
    </cfRule>
  </conditionalFormatting>
  <conditionalFormatting sqref="AG82:AG87">
    <cfRule type="cellIs" dxfId="536" priority="633" operator="equal">
      <formula>"INVALID"</formula>
    </cfRule>
  </conditionalFormatting>
  <conditionalFormatting sqref="AG82:AG87">
    <cfRule type="cellIs" dxfId="535" priority="632" operator="equal">
      <formula>"INVALID"</formula>
    </cfRule>
  </conditionalFormatting>
  <conditionalFormatting sqref="AG82:AG87">
    <cfRule type="cellIs" dxfId="534" priority="631" operator="equal">
      <formula>"INVALID"</formula>
    </cfRule>
  </conditionalFormatting>
  <conditionalFormatting sqref="AG82:AG87">
    <cfRule type="cellIs" dxfId="533" priority="630" operator="equal">
      <formula>"INVALID"</formula>
    </cfRule>
  </conditionalFormatting>
  <conditionalFormatting sqref="AG106:AG111">
    <cfRule type="cellIs" dxfId="532" priority="624" operator="equal">
      <formula>"INVALID"</formula>
    </cfRule>
  </conditionalFormatting>
  <conditionalFormatting sqref="AG106:AG111">
    <cfRule type="cellIs" dxfId="531" priority="623" operator="equal">
      <formula>"INVALID"</formula>
    </cfRule>
  </conditionalFormatting>
  <conditionalFormatting sqref="AG106:AG111">
    <cfRule type="cellIs" dxfId="530" priority="620" operator="equal">
      <formula>"INVALID"</formula>
    </cfRule>
  </conditionalFormatting>
  <conditionalFormatting sqref="AG106:AG111">
    <cfRule type="cellIs" dxfId="529" priority="622" operator="equal">
      <formula>"INVALID"</formula>
    </cfRule>
  </conditionalFormatting>
  <conditionalFormatting sqref="AG106:AG111">
    <cfRule type="cellIs" dxfId="528" priority="621" operator="equal">
      <formula>"INVALID"</formula>
    </cfRule>
  </conditionalFormatting>
  <conditionalFormatting sqref="AG106:AG111">
    <cfRule type="cellIs" dxfId="527" priority="619" operator="equal">
      <formula>"INVALID"</formula>
    </cfRule>
  </conditionalFormatting>
  <conditionalFormatting sqref="AG106:AG111">
    <cfRule type="cellIs" dxfId="526" priority="618" operator="equal">
      <formula>"INVALID"</formula>
    </cfRule>
  </conditionalFormatting>
  <conditionalFormatting sqref="AG106:AG111">
    <cfRule type="cellIs" dxfId="525" priority="617" operator="equal">
      <formula>"INVALID"</formula>
    </cfRule>
  </conditionalFormatting>
  <conditionalFormatting sqref="AG106:AG111">
    <cfRule type="cellIs" dxfId="524" priority="616" operator="equal">
      <formula>"INVALID"</formula>
    </cfRule>
  </conditionalFormatting>
  <conditionalFormatting sqref="AG106:AG111">
    <cfRule type="cellIs" dxfId="523" priority="615" operator="equal">
      <formula>"INVALID"</formula>
    </cfRule>
  </conditionalFormatting>
  <conditionalFormatting sqref="AG127:AG147">
    <cfRule type="cellIs" dxfId="522" priority="602" operator="equal">
      <formula>"INVALID"</formula>
    </cfRule>
  </conditionalFormatting>
  <conditionalFormatting sqref="AG127:AG147">
    <cfRule type="cellIs" dxfId="521" priority="601" operator="equal">
      <formula>"INVALID"</formula>
    </cfRule>
  </conditionalFormatting>
  <conditionalFormatting sqref="AG127:AG147">
    <cfRule type="cellIs" dxfId="520" priority="599" operator="equal">
      <formula>"INVALID"</formula>
    </cfRule>
  </conditionalFormatting>
  <conditionalFormatting sqref="AG127:AG147">
    <cfRule type="cellIs" dxfId="519" priority="600" operator="equal">
      <formula>"INVALID"</formula>
    </cfRule>
  </conditionalFormatting>
  <conditionalFormatting sqref="AG127:AG147">
    <cfRule type="cellIs" dxfId="518" priority="598" operator="equal">
      <formula>"INVALID"</formula>
    </cfRule>
  </conditionalFormatting>
  <conditionalFormatting sqref="AG127:AG147">
    <cfRule type="cellIs" dxfId="517" priority="597" operator="equal">
      <formula>"INVALID"</formula>
    </cfRule>
  </conditionalFormatting>
  <conditionalFormatting sqref="AG127:AG147">
    <cfRule type="cellIs" dxfId="516" priority="594" operator="equal">
      <formula>"INVALID"</formula>
    </cfRule>
  </conditionalFormatting>
  <conditionalFormatting sqref="AG127:AG147">
    <cfRule type="cellIs" dxfId="515" priority="596" operator="equal">
      <formula>"INVALID"</formula>
    </cfRule>
  </conditionalFormatting>
  <conditionalFormatting sqref="AG127:AG147">
    <cfRule type="cellIs" dxfId="514" priority="595" operator="equal">
      <formula>"INVALID"</formula>
    </cfRule>
  </conditionalFormatting>
  <conditionalFormatting sqref="AG127:AG147">
    <cfRule type="cellIs" dxfId="513" priority="593" operator="equal">
      <formula>"INVALID"</formula>
    </cfRule>
  </conditionalFormatting>
  <conditionalFormatting sqref="AG127:AG147">
    <cfRule type="cellIs" dxfId="512" priority="592" operator="equal">
      <formula>"INVALID"</formula>
    </cfRule>
  </conditionalFormatting>
  <conditionalFormatting sqref="AG127:AG147">
    <cfRule type="cellIs" dxfId="511" priority="591" operator="equal">
      <formula>"INVALID"</formula>
    </cfRule>
  </conditionalFormatting>
  <conditionalFormatting sqref="AG127:AG147">
    <cfRule type="cellIs" dxfId="510" priority="590" operator="equal">
      <formula>"INVALID"</formula>
    </cfRule>
  </conditionalFormatting>
  <conditionalFormatting sqref="AG127:AG147">
    <cfRule type="cellIs" dxfId="509" priority="589" operator="equal">
      <formula>"INVALID"</formula>
    </cfRule>
  </conditionalFormatting>
  <conditionalFormatting sqref="AG149:AG180">
    <cfRule type="cellIs" dxfId="508" priority="588" operator="equal">
      <formula>"INVALID"</formula>
    </cfRule>
  </conditionalFormatting>
  <conditionalFormatting sqref="AG149:AG180">
    <cfRule type="cellIs" dxfId="507" priority="587" operator="equal">
      <formula>"INVALID"</formula>
    </cfRule>
  </conditionalFormatting>
  <conditionalFormatting sqref="AG149:AG180">
    <cfRule type="cellIs" dxfId="506" priority="586" operator="equal">
      <formula>"INVALID"</formula>
    </cfRule>
  </conditionalFormatting>
  <conditionalFormatting sqref="AG149:AG180">
    <cfRule type="cellIs" dxfId="505" priority="584" operator="equal">
      <formula>"INVALID"</formula>
    </cfRule>
  </conditionalFormatting>
  <conditionalFormatting sqref="AG149:AG180">
    <cfRule type="cellIs" dxfId="504" priority="585" operator="equal">
      <formula>"INVALID"</formula>
    </cfRule>
  </conditionalFormatting>
  <conditionalFormatting sqref="AG149:AG180">
    <cfRule type="cellIs" dxfId="503" priority="583" operator="equal">
      <formula>"INVALID"</formula>
    </cfRule>
  </conditionalFormatting>
  <conditionalFormatting sqref="AG149:AG180">
    <cfRule type="cellIs" dxfId="502" priority="582" operator="equal">
      <formula>"INVALID"</formula>
    </cfRule>
  </conditionalFormatting>
  <conditionalFormatting sqref="AG149:AG180">
    <cfRule type="cellIs" dxfId="501" priority="579" operator="equal">
      <formula>"INVALID"</formula>
    </cfRule>
  </conditionalFormatting>
  <conditionalFormatting sqref="AG149:AG180">
    <cfRule type="cellIs" dxfId="500" priority="581" operator="equal">
      <formula>"INVALID"</formula>
    </cfRule>
  </conditionalFormatting>
  <conditionalFormatting sqref="AG149:AG180">
    <cfRule type="cellIs" dxfId="499" priority="580" operator="equal">
      <formula>"INVALID"</formula>
    </cfRule>
  </conditionalFormatting>
  <conditionalFormatting sqref="AG149:AG180">
    <cfRule type="cellIs" dxfId="498" priority="578" operator="equal">
      <formula>"INVALID"</formula>
    </cfRule>
  </conditionalFormatting>
  <conditionalFormatting sqref="AG149:AG180">
    <cfRule type="cellIs" dxfId="497" priority="577" operator="equal">
      <formula>"INVALID"</formula>
    </cfRule>
  </conditionalFormatting>
  <conditionalFormatting sqref="AG149:AG180">
    <cfRule type="cellIs" dxfId="496" priority="576" operator="equal">
      <formula>"INVALID"</formula>
    </cfRule>
  </conditionalFormatting>
  <conditionalFormatting sqref="AG149:AG180">
    <cfRule type="cellIs" dxfId="495" priority="575" operator="equal">
      <formula>"INVALID"</formula>
    </cfRule>
  </conditionalFormatting>
  <conditionalFormatting sqref="AG149:AG180">
    <cfRule type="cellIs" dxfId="494" priority="574" operator="equal">
      <formula>"INVALID"</formula>
    </cfRule>
  </conditionalFormatting>
  <conditionalFormatting sqref="AG182:AG191">
    <cfRule type="cellIs" dxfId="493" priority="573" operator="equal">
      <formula>"INVALID"</formula>
    </cfRule>
  </conditionalFormatting>
  <conditionalFormatting sqref="AG182:AG191">
    <cfRule type="cellIs" dxfId="492" priority="572" operator="equal">
      <formula>"INVALID"</formula>
    </cfRule>
  </conditionalFormatting>
  <conditionalFormatting sqref="AG182:AG191">
    <cfRule type="cellIs" dxfId="491" priority="571" operator="equal">
      <formula>"INVALID"</formula>
    </cfRule>
  </conditionalFormatting>
  <conditionalFormatting sqref="AG182:AG191">
    <cfRule type="cellIs" dxfId="490" priority="570" operator="equal">
      <formula>"INVALID"</formula>
    </cfRule>
  </conditionalFormatting>
  <conditionalFormatting sqref="AG182:AG191">
    <cfRule type="cellIs" dxfId="489" priority="569" operator="equal">
      <formula>"INVALID"</formula>
    </cfRule>
  </conditionalFormatting>
  <conditionalFormatting sqref="AG182:AG191">
    <cfRule type="cellIs" dxfId="488" priority="568" operator="equal">
      <formula>"INVALID"</formula>
    </cfRule>
  </conditionalFormatting>
  <conditionalFormatting sqref="AG182:AG191">
    <cfRule type="cellIs" dxfId="487" priority="566" operator="equal">
      <formula>"INVALID"</formula>
    </cfRule>
  </conditionalFormatting>
  <conditionalFormatting sqref="AG182:AG191">
    <cfRule type="cellIs" dxfId="486" priority="567" operator="equal">
      <formula>"INVALID"</formula>
    </cfRule>
  </conditionalFormatting>
  <conditionalFormatting sqref="AG182:AG191">
    <cfRule type="cellIs" dxfId="485" priority="565" operator="equal">
      <formula>"INVALID"</formula>
    </cfRule>
  </conditionalFormatting>
  <conditionalFormatting sqref="AG182:AG191">
    <cfRule type="cellIs" dxfId="484" priority="564" operator="equal">
      <formula>"INVALID"</formula>
    </cfRule>
  </conditionalFormatting>
  <conditionalFormatting sqref="AG182:AG191">
    <cfRule type="cellIs" dxfId="483" priority="561" operator="equal">
      <formula>"INVALID"</formula>
    </cfRule>
  </conditionalFormatting>
  <conditionalFormatting sqref="AG182:AG191">
    <cfRule type="cellIs" dxfId="482" priority="563" operator="equal">
      <formula>"INVALID"</formula>
    </cfRule>
  </conditionalFormatting>
  <conditionalFormatting sqref="AG182:AG191">
    <cfRule type="cellIs" dxfId="481" priority="562" operator="equal">
      <formula>"INVALID"</formula>
    </cfRule>
  </conditionalFormatting>
  <conditionalFormatting sqref="AG182:AG191">
    <cfRule type="cellIs" dxfId="480" priority="560" operator="equal">
      <formula>"INVALID"</formula>
    </cfRule>
  </conditionalFormatting>
  <conditionalFormatting sqref="AG182:AG191">
    <cfRule type="cellIs" dxfId="479" priority="559" operator="equal">
      <formula>"INVALID"</formula>
    </cfRule>
  </conditionalFormatting>
  <conditionalFormatting sqref="AG182:AG191">
    <cfRule type="cellIs" dxfId="478" priority="558" operator="equal">
      <formula>"INVALID"</formula>
    </cfRule>
  </conditionalFormatting>
  <conditionalFormatting sqref="AG182:AG191">
    <cfRule type="cellIs" dxfId="477" priority="557" operator="equal">
      <formula>"INVALID"</formula>
    </cfRule>
  </conditionalFormatting>
  <conditionalFormatting sqref="AG182:AG191">
    <cfRule type="cellIs" dxfId="476" priority="556" operator="equal">
      <formula>"INVALID"</formula>
    </cfRule>
  </conditionalFormatting>
  <conditionalFormatting sqref="AG193:AG211">
    <cfRule type="cellIs" dxfId="475" priority="555" operator="equal">
      <formula>"INVALID"</formula>
    </cfRule>
  </conditionalFormatting>
  <conditionalFormatting sqref="AG193:AG211">
    <cfRule type="cellIs" dxfId="474" priority="554" operator="equal">
      <formula>"INVALID"</formula>
    </cfRule>
  </conditionalFormatting>
  <conditionalFormatting sqref="AG193:AG211">
    <cfRule type="cellIs" dxfId="473" priority="553" operator="equal">
      <formula>"INVALID"</formula>
    </cfRule>
  </conditionalFormatting>
  <conditionalFormatting sqref="AG193:AG211">
    <cfRule type="cellIs" dxfId="472" priority="552" operator="equal">
      <formula>"INVALID"</formula>
    </cfRule>
  </conditionalFormatting>
  <conditionalFormatting sqref="AG193:AG211">
    <cfRule type="cellIs" dxfId="471" priority="551" operator="equal">
      <formula>"INVALID"</formula>
    </cfRule>
  </conditionalFormatting>
  <conditionalFormatting sqref="AG193:AG211">
    <cfRule type="cellIs" dxfId="470" priority="550" operator="equal">
      <formula>"INVALID"</formula>
    </cfRule>
  </conditionalFormatting>
  <conditionalFormatting sqref="AG193:AG211">
    <cfRule type="cellIs" dxfId="469" priority="549" operator="equal">
      <formula>"INVALID"</formula>
    </cfRule>
  </conditionalFormatting>
  <conditionalFormatting sqref="AG193:AG211">
    <cfRule type="cellIs" dxfId="468" priority="548" operator="equal">
      <formula>"INVALID"</formula>
    </cfRule>
  </conditionalFormatting>
  <conditionalFormatting sqref="AG193:AG211">
    <cfRule type="cellIs" dxfId="467" priority="547" operator="equal">
      <formula>"INVALID"</formula>
    </cfRule>
  </conditionalFormatting>
  <conditionalFormatting sqref="AG193:AG211">
    <cfRule type="cellIs" dxfId="466" priority="546" operator="equal">
      <formula>"INVALID"</formula>
    </cfRule>
  </conditionalFormatting>
  <conditionalFormatting sqref="AG193:AG211">
    <cfRule type="cellIs" dxfId="465" priority="545" operator="equal">
      <formula>"INVALID"</formula>
    </cfRule>
  </conditionalFormatting>
  <conditionalFormatting sqref="AG193:AG211">
    <cfRule type="cellIs" dxfId="464" priority="544" operator="equal">
      <formula>"INVALID"</formula>
    </cfRule>
  </conditionalFormatting>
  <conditionalFormatting sqref="AG193:AG211">
    <cfRule type="cellIs" dxfId="463" priority="542" operator="equal">
      <formula>"INVALID"</formula>
    </cfRule>
  </conditionalFormatting>
  <conditionalFormatting sqref="AG193:AG211">
    <cfRule type="cellIs" dxfId="462" priority="543" operator="equal">
      <formula>"INVALID"</formula>
    </cfRule>
  </conditionalFormatting>
  <conditionalFormatting sqref="AG193:AG211">
    <cfRule type="cellIs" dxfId="461" priority="541" operator="equal">
      <formula>"INVALID"</formula>
    </cfRule>
  </conditionalFormatting>
  <conditionalFormatting sqref="AG193:AG211">
    <cfRule type="cellIs" dxfId="460" priority="540" operator="equal">
      <formula>"INVALID"</formula>
    </cfRule>
  </conditionalFormatting>
  <conditionalFormatting sqref="AG193:AG211">
    <cfRule type="cellIs" dxfId="459" priority="537" operator="equal">
      <formula>"INVALID"</formula>
    </cfRule>
  </conditionalFormatting>
  <conditionalFormatting sqref="AG193:AG211">
    <cfRule type="cellIs" dxfId="458" priority="539" operator="equal">
      <formula>"INVALID"</formula>
    </cfRule>
  </conditionalFormatting>
  <conditionalFormatting sqref="AG193:AG211">
    <cfRule type="cellIs" dxfId="457" priority="538" operator="equal">
      <formula>"INVALID"</formula>
    </cfRule>
  </conditionalFormatting>
  <conditionalFormatting sqref="AG193:AG211">
    <cfRule type="cellIs" dxfId="456" priority="536" operator="equal">
      <formula>"INVALID"</formula>
    </cfRule>
  </conditionalFormatting>
  <conditionalFormatting sqref="AG193:AG211">
    <cfRule type="cellIs" dxfId="455" priority="535" operator="equal">
      <formula>"INVALID"</formula>
    </cfRule>
  </conditionalFormatting>
  <conditionalFormatting sqref="AG193:AG211">
    <cfRule type="cellIs" dxfId="454" priority="534" operator="equal">
      <formula>"INVALID"</formula>
    </cfRule>
  </conditionalFormatting>
  <conditionalFormatting sqref="AG193:AG211">
    <cfRule type="cellIs" dxfId="453" priority="533" operator="equal">
      <formula>"INVALID"</formula>
    </cfRule>
  </conditionalFormatting>
  <conditionalFormatting sqref="AG193:AG211">
    <cfRule type="cellIs" dxfId="452" priority="532" operator="equal">
      <formula>"INVALID"</formula>
    </cfRule>
  </conditionalFormatting>
  <conditionalFormatting sqref="AG213:AG224">
    <cfRule type="cellIs" dxfId="451" priority="531" operator="equal">
      <formula>"INVALID"</formula>
    </cfRule>
  </conditionalFormatting>
  <conditionalFormatting sqref="AG213:AG224">
    <cfRule type="cellIs" dxfId="450" priority="530" operator="equal">
      <formula>"INVALID"</formula>
    </cfRule>
  </conditionalFormatting>
  <conditionalFormatting sqref="AG213:AG224">
    <cfRule type="cellIs" dxfId="449" priority="529" operator="equal">
      <formula>"INVALID"</formula>
    </cfRule>
  </conditionalFormatting>
  <conditionalFormatting sqref="AG213:AG224">
    <cfRule type="cellIs" dxfId="448" priority="528" operator="equal">
      <formula>"INVALID"</formula>
    </cfRule>
  </conditionalFormatting>
  <conditionalFormatting sqref="AG213:AG224">
    <cfRule type="cellIs" dxfId="447" priority="527" operator="equal">
      <formula>"INVALID"</formula>
    </cfRule>
  </conditionalFormatting>
  <conditionalFormatting sqref="AG213:AG224">
    <cfRule type="cellIs" dxfId="446" priority="526" operator="equal">
      <formula>"INVALID"</formula>
    </cfRule>
  </conditionalFormatting>
  <conditionalFormatting sqref="AG213:AG224">
    <cfRule type="cellIs" dxfId="445" priority="525" operator="equal">
      <formula>"INVALID"</formula>
    </cfRule>
  </conditionalFormatting>
  <conditionalFormatting sqref="AG213:AG224">
    <cfRule type="cellIs" dxfId="444" priority="524" operator="equal">
      <formula>"INVALID"</formula>
    </cfRule>
  </conditionalFormatting>
  <conditionalFormatting sqref="AG213:AG224">
    <cfRule type="cellIs" dxfId="443" priority="523" operator="equal">
      <formula>"INVALID"</formula>
    </cfRule>
  </conditionalFormatting>
  <conditionalFormatting sqref="AG213:AG224">
    <cfRule type="cellIs" dxfId="442" priority="522" operator="equal">
      <formula>"INVALID"</formula>
    </cfRule>
  </conditionalFormatting>
  <conditionalFormatting sqref="AG213:AG224">
    <cfRule type="cellIs" dxfId="441" priority="521" operator="equal">
      <formula>"INVALID"</formula>
    </cfRule>
  </conditionalFormatting>
  <conditionalFormatting sqref="AG213:AG224">
    <cfRule type="cellIs" dxfId="440" priority="520" operator="equal">
      <formula>"INVALID"</formula>
    </cfRule>
  </conditionalFormatting>
  <conditionalFormatting sqref="AG213:AG224">
    <cfRule type="cellIs" dxfId="439" priority="519" operator="equal">
      <formula>"INVALID"</formula>
    </cfRule>
  </conditionalFormatting>
  <conditionalFormatting sqref="AG213:AG224">
    <cfRule type="cellIs" dxfId="438" priority="518" operator="equal">
      <formula>"INVALID"</formula>
    </cfRule>
  </conditionalFormatting>
  <conditionalFormatting sqref="AG213:AG224">
    <cfRule type="cellIs" dxfId="437" priority="517" operator="equal">
      <formula>"INVALID"</formula>
    </cfRule>
  </conditionalFormatting>
  <conditionalFormatting sqref="AG213:AG224">
    <cfRule type="cellIs" dxfId="436" priority="516" operator="equal">
      <formula>"INVALID"</formula>
    </cfRule>
  </conditionalFormatting>
  <conditionalFormatting sqref="AG213:AG224">
    <cfRule type="cellIs" dxfId="435" priority="514" operator="equal">
      <formula>"INVALID"</formula>
    </cfRule>
  </conditionalFormatting>
  <conditionalFormatting sqref="AG213:AG224">
    <cfRule type="cellIs" dxfId="434" priority="515" operator="equal">
      <formula>"INVALID"</formula>
    </cfRule>
  </conditionalFormatting>
  <conditionalFormatting sqref="AG213:AG224">
    <cfRule type="cellIs" dxfId="433" priority="513" operator="equal">
      <formula>"INVALID"</formula>
    </cfRule>
  </conditionalFormatting>
  <conditionalFormatting sqref="AG213:AG224">
    <cfRule type="cellIs" dxfId="432" priority="512" operator="equal">
      <formula>"INVALID"</formula>
    </cfRule>
  </conditionalFormatting>
  <conditionalFormatting sqref="AG213:AG224">
    <cfRule type="cellIs" dxfId="431" priority="509" operator="equal">
      <formula>"INVALID"</formula>
    </cfRule>
  </conditionalFormatting>
  <conditionalFormatting sqref="AG213:AG224">
    <cfRule type="cellIs" dxfId="430" priority="511" operator="equal">
      <formula>"INVALID"</formula>
    </cfRule>
  </conditionalFormatting>
  <conditionalFormatting sqref="AG213:AG224">
    <cfRule type="cellIs" dxfId="429" priority="510" operator="equal">
      <formula>"INVALID"</formula>
    </cfRule>
  </conditionalFormatting>
  <conditionalFormatting sqref="AG213:AG224">
    <cfRule type="cellIs" dxfId="428" priority="508" operator="equal">
      <formula>"INVALID"</formula>
    </cfRule>
  </conditionalFormatting>
  <conditionalFormatting sqref="AG213:AG224">
    <cfRule type="cellIs" dxfId="427" priority="507" operator="equal">
      <formula>"INVALID"</formula>
    </cfRule>
  </conditionalFormatting>
  <conditionalFormatting sqref="AG213:AG224">
    <cfRule type="cellIs" dxfId="426" priority="506" operator="equal">
      <formula>"INVALID"</formula>
    </cfRule>
  </conditionalFormatting>
  <conditionalFormatting sqref="AG213:AG224">
    <cfRule type="cellIs" dxfId="425" priority="505" operator="equal">
      <formula>"INVALID"</formula>
    </cfRule>
  </conditionalFormatting>
  <conditionalFormatting sqref="AG213:AG224">
    <cfRule type="cellIs" dxfId="424" priority="504" operator="equal">
      <formula>"INVALID"</formula>
    </cfRule>
  </conditionalFormatting>
  <conditionalFormatting sqref="AG226:AG232">
    <cfRule type="cellIs" dxfId="423" priority="503" operator="equal">
      <formula>"INVALID"</formula>
    </cfRule>
  </conditionalFormatting>
  <conditionalFormatting sqref="AG226:AG232">
    <cfRule type="cellIs" dxfId="422" priority="502" operator="equal">
      <formula>"INVALID"</formula>
    </cfRule>
  </conditionalFormatting>
  <conditionalFormatting sqref="AG226:AG232">
    <cfRule type="cellIs" dxfId="421" priority="501" operator="equal">
      <formula>"INVALID"</formula>
    </cfRule>
  </conditionalFormatting>
  <conditionalFormatting sqref="AG226:AG232">
    <cfRule type="cellIs" dxfId="420" priority="500" operator="equal">
      <formula>"INVALID"</formula>
    </cfRule>
  </conditionalFormatting>
  <conditionalFormatting sqref="AG226:AG232">
    <cfRule type="cellIs" dxfId="419" priority="499" operator="equal">
      <formula>"INVALID"</formula>
    </cfRule>
  </conditionalFormatting>
  <conditionalFormatting sqref="AG226:AG232">
    <cfRule type="cellIs" dxfId="418" priority="498" operator="equal">
      <formula>"INVALID"</formula>
    </cfRule>
  </conditionalFormatting>
  <conditionalFormatting sqref="AG226:AG232">
    <cfRule type="cellIs" dxfId="417" priority="497" operator="equal">
      <formula>"INVALID"</formula>
    </cfRule>
  </conditionalFormatting>
  <conditionalFormatting sqref="AG226:AG232">
    <cfRule type="cellIs" dxfId="416" priority="496" operator="equal">
      <formula>"INVALID"</formula>
    </cfRule>
  </conditionalFormatting>
  <conditionalFormatting sqref="AG226:AG232">
    <cfRule type="cellIs" dxfId="415" priority="495" operator="equal">
      <formula>"INVALID"</formula>
    </cfRule>
  </conditionalFormatting>
  <conditionalFormatting sqref="AG226:AG232">
    <cfRule type="cellIs" dxfId="414" priority="494" operator="equal">
      <formula>"INVALID"</formula>
    </cfRule>
  </conditionalFormatting>
  <conditionalFormatting sqref="AG226:AG232">
    <cfRule type="cellIs" dxfId="413" priority="493" operator="equal">
      <formula>"INVALID"</formula>
    </cfRule>
  </conditionalFormatting>
  <conditionalFormatting sqref="AG226:AG232">
    <cfRule type="cellIs" dxfId="412" priority="492" operator="equal">
      <formula>"INVALID"</formula>
    </cfRule>
  </conditionalFormatting>
  <conditionalFormatting sqref="AG226:AG232">
    <cfRule type="cellIs" dxfId="411" priority="491" operator="equal">
      <formula>"INVALID"</formula>
    </cfRule>
  </conditionalFormatting>
  <conditionalFormatting sqref="AG226:AG232">
    <cfRule type="cellIs" dxfId="410" priority="490" operator="equal">
      <formula>"INVALID"</formula>
    </cfRule>
  </conditionalFormatting>
  <conditionalFormatting sqref="AG226:AG232">
    <cfRule type="cellIs" dxfId="409" priority="489" operator="equal">
      <formula>"INVALID"</formula>
    </cfRule>
  </conditionalFormatting>
  <conditionalFormatting sqref="AG226:AG232">
    <cfRule type="cellIs" dxfId="408" priority="488" operator="equal">
      <formula>"INVALID"</formula>
    </cfRule>
  </conditionalFormatting>
  <conditionalFormatting sqref="AG226:AG232">
    <cfRule type="cellIs" dxfId="407" priority="487" operator="equal">
      <formula>"INVALID"</formula>
    </cfRule>
  </conditionalFormatting>
  <conditionalFormatting sqref="AG226:AG232">
    <cfRule type="cellIs" dxfId="406" priority="486" operator="equal">
      <formula>"INVALID"</formula>
    </cfRule>
  </conditionalFormatting>
  <conditionalFormatting sqref="AG226:AG232">
    <cfRule type="cellIs" dxfId="405" priority="485" operator="equal">
      <formula>"INVALID"</formula>
    </cfRule>
  </conditionalFormatting>
  <conditionalFormatting sqref="AG226:AG232">
    <cfRule type="cellIs" dxfId="404" priority="484" operator="equal">
      <formula>"INVALID"</formula>
    </cfRule>
  </conditionalFormatting>
  <conditionalFormatting sqref="AG226:AG232">
    <cfRule type="cellIs" dxfId="403" priority="482" operator="equal">
      <formula>"INVALID"</formula>
    </cfRule>
  </conditionalFormatting>
  <conditionalFormatting sqref="AG226:AG232">
    <cfRule type="cellIs" dxfId="402" priority="483" operator="equal">
      <formula>"INVALID"</formula>
    </cfRule>
  </conditionalFormatting>
  <conditionalFormatting sqref="AG226:AG232">
    <cfRule type="cellIs" dxfId="401" priority="481" operator="equal">
      <formula>"INVALID"</formula>
    </cfRule>
  </conditionalFormatting>
  <conditionalFormatting sqref="AG226:AG232">
    <cfRule type="cellIs" dxfId="400" priority="480" operator="equal">
      <formula>"INVALID"</formula>
    </cfRule>
  </conditionalFormatting>
  <conditionalFormatting sqref="AG226:AG232">
    <cfRule type="cellIs" dxfId="399" priority="477" operator="equal">
      <formula>"INVALID"</formula>
    </cfRule>
  </conditionalFormatting>
  <conditionalFormatting sqref="AG226:AG232">
    <cfRule type="cellIs" dxfId="398" priority="479" operator="equal">
      <formula>"INVALID"</formula>
    </cfRule>
  </conditionalFormatting>
  <conditionalFormatting sqref="AG226:AG232">
    <cfRule type="cellIs" dxfId="397" priority="478" operator="equal">
      <formula>"INVALID"</formula>
    </cfRule>
  </conditionalFormatting>
  <conditionalFormatting sqref="AG226:AG232">
    <cfRule type="cellIs" dxfId="396" priority="476" operator="equal">
      <formula>"INVALID"</formula>
    </cfRule>
  </conditionalFormatting>
  <conditionalFormatting sqref="AG226:AG232">
    <cfRule type="cellIs" dxfId="395" priority="475" operator="equal">
      <formula>"INVALID"</formula>
    </cfRule>
  </conditionalFormatting>
  <conditionalFormatting sqref="AG226:AG232">
    <cfRule type="cellIs" dxfId="394" priority="474" operator="equal">
      <formula>"INVALID"</formula>
    </cfRule>
  </conditionalFormatting>
  <conditionalFormatting sqref="AG226:AG232">
    <cfRule type="cellIs" dxfId="393" priority="473" operator="equal">
      <formula>"INVALID"</formula>
    </cfRule>
  </conditionalFormatting>
  <conditionalFormatting sqref="AG226:AG232">
    <cfRule type="cellIs" dxfId="392" priority="472" operator="equal">
      <formula>"INVALID"</formula>
    </cfRule>
  </conditionalFormatting>
  <conditionalFormatting sqref="AG234:AG244">
    <cfRule type="cellIs" dxfId="391" priority="471" operator="equal">
      <formula>"INVALID"</formula>
    </cfRule>
  </conditionalFormatting>
  <conditionalFormatting sqref="AG234:AG244">
    <cfRule type="cellIs" dxfId="390" priority="470" operator="equal">
      <formula>"INVALID"</formula>
    </cfRule>
  </conditionalFormatting>
  <conditionalFormatting sqref="AG234:AG244">
    <cfRule type="cellIs" dxfId="389" priority="469" operator="equal">
      <formula>"INVALID"</formula>
    </cfRule>
  </conditionalFormatting>
  <conditionalFormatting sqref="AG234:AG244">
    <cfRule type="cellIs" dxfId="388" priority="468" operator="equal">
      <formula>"INVALID"</formula>
    </cfRule>
  </conditionalFormatting>
  <conditionalFormatting sqref="AG234:AG244">
    <cfRule type="cellIs" dxfId="387" priority="467" operator="equal">
      <formula>"INVALID"</formula>
    </cfRule>
  </conditionalFormatting>
  <conditionalFormatting sqref="AG234:AG244">
    <cfRule type="cellIs" dxfId="386" priority="466" operator="equal">
      <formula>"INVALID"</formula>
    </cfRule>
  </conditionalFormatting>
  <conditionalFormatting sqref="AG234:AG244">
    <cfRule type="cellIs" dxfId="385" priority="465" operator="equal">
      <formula>"INVALID"</formula>
    </cfRule>
  </conditionalFormatting>
  <conditionalFormatting sqref="AG234:AG244">
    <cfRule type="cellIs" dxfId="384" priority="464" operator="equal">
      <formula>"INVALID"</formula>
    </cfRule>
  </conditionalFormatting>
  <conditionalFormatting sqref="AG234:AG244">
    <cfRule type="cellIs" dxfId="383" priority="463" operator="equal">
      <formula>"INVALID"</formula>
    </cfRule>
  </conditionalFormatting>
  <conditionalFormatting sqref="AG234:AG244">
    <cfRule type="cellIs" dxfId="382" priority="462" operator="equal">
      <formula>"INVALID"</formula>
    </cfRule>
  </conditionalFormatting>
  <conditionalFormatting sqref="AG234:AG244">
    <cfRule type="cellIs" dxfId="381" priority="461" operator="equal">
      <formula>"INVALID"</formula>
    </cfRule>
  </conditionalFormatting>
  <conditionalFormatting sqref="AG234:AG244">
    <cfRule type="cellIs" dxfId="380" priority="460" operator="equal">
      <formula>"INVALID"</formula>
    </cfRule>
  </conditionalFormatting>
  <conditionalFormatting sqref="AG234:AG244">
    <cfRule type="cellIs" dxfId="379" priority="459" operator="equal">
      <formula>"INVALID"</formula>
    </cfRule>
  </conditionalFormatting>
  <conditionalFormatting sqref="AG234:AG244">
    <cfRule type="cellIs" dxfId="378" priority="458" operator="equal">
      <formula>"INVALID"</formula>
    </cfRule>
  </conditionalFormatting>
  <conditionalFormatting sqref="AG234:AG244">
    <cfRule type="cellIs" dxfId="377" priority="457" operator="equal">
      <formula>"INVALID"</formula>
    </cfRule>
  </conditionalFormatting>
  <conditionalFormatting sqref="AG234:AG244">
    <cfRule type="cellIs" dxfId="376" priority="456" operator="equal">
      <formula>"INVALID"</formula>
    </cfRule>
  </conditionalFormatting>
  <conditionalFormatting sqref="AG234:AG244">
    <cfRule type="cellIs" dxfId="375" priority="455" operator="equal">
      <formula>"INVALID"</formula>
    </cfRule>
  </conditionalFormatting>
  <conditionalFormatting sqref="AG234:AG244">
    <cfRule type="cellIs" dxfId="374" priority="454" operator="equal">
      <formula>"INVALID"</formula>
    </cfRule>
  </conditionalFormatting>
  <conditionalFormatting sqref="AG234:AG244">
    <cfRule type="cellIs" dxfId="373" priority="453" operator="equal">
      <formula>"INVALID"</formula>
    </cfRule>
  </conditionalFormatting>
  <conditionalFormatting sqref="AG234:AG244">
    <cfRule type="cellIs" dxfId="372" priority="452" operator="equal">
      <formula>"INVALID"</formula>
    </cfRule>
  </conditionalFormatting>
  <conditionalFormatting sqref="AG234:AG244">
    <cfRule type="cellIs" dxfId="371" priority="451" operator="equal">
      <formula>"INVALID"</formula>
    </cfRule>
  </conditionalFormatting>
  <conditionalFormatting sqref="AG234:AG244">
    <cfRule type="cellIs" dxfId="370" priority="450" operator="equal">
      <formula>"INVALID"</formula>
    </cfRule>
  </conditionalFormatting>
  <conditionalFormatting sqref="AG234:AG244">
    <cfRule type="cellIs" dxfId="369" priority="449" operator="equal">
      <formula>"INVALID"</formula>
    </cfRule>
  </conditionalFormatting>
  <conditionalFormatting sqref="AG234:AG244">
    <cfRule type="cellIs" dxfId="368" priority="448" operator="equal">
      <formula>"INVALID"</formula>
    </cfRule>
  </conditionalFormatting>
  <conditionalFormatting sqref="AG234:AG244">
    <cfRule type="cellIs" dxfId="367" priority="447" operator="equal">
      <formula>"INVALID"</formula>
    </cfRule>
  </conditionalFormatting>
  <conditionalFormatting sqref="AG234:AG244">
    <cfRule type="cellIs" dxfId="366" priority="446" operator="equal">
      <formula>"INVALID"</formula>
    </cfRule>
  </conditionalFormatting>
  <conditionalFormatting sqref="AG234:AG244">
    <cfRule type="cellIs" dxfId="365" priority="445" operator="equal">
      <formula>"INVALID"</formula>
    </cfRule>
  </conditionalFormatting>
  <conditionalFormatting sqref="AG234:AG244">
    <cfRule type="cellIs" dxfId="364" priority="444" operator="equal">
      <formula>"INVALID"</formula>
    </cfRule>
  </conditionalFormatting>
  <conditionalFormatting sqref="AG234:AG244">
    <cfRule type="cellIs" dxfId="363" priority="442" operator="equal">
      <formula>"INVALID"</formula>
    </cfRule>
  </conditionalFormatting>
  <conditionalFormatting sqref="AG234:AG244">
    <cfRule type="cellIs" dxfId="362" priority="443" operator="equal">
      <formula>"INVALID"</formula>
    </cfRule>
  </conditionalFormatting>
  <conditionalFormatting sqref="AG234:AG244">
    <cfRule type="cellIs" dxfId="361" priority="441" operator="equal">
      <formula>"INVALID"</formula>
    </cfRule>
  </conditionalFormatting>
  <conditionalFormatting sqref="AG234:AG244">
    <cfRule type="cellIs" dxfId="360" priority="440" operator="equal">
      <formula>"INVALID"</formula>
    </cfRule>
  </conditionalFormatting>
  <conditionalFormatting sqref="AG234:AG244">
    <cfRule type="cellIs" dxfId="359" priority="437" operator="equal">
      <formula>"INVALID"</formula>
    </cfRule>
  </conditionalFormatting>
  <conditionalFormatting sqref="AG234:AG244">
    <cfRule type="cellIs" dxfId="358" priority="439" operator="equal">
      <formula>"INVALID"</formula>
    </cfRule>
  </conditionalFormatting>
  <conditionalFormatting sqref="AG234:AG244">
    <cfRule type="cellIs" dxfId="357" priority="438" operator="equal">
      <formula>"INVALID"</formula>
    </cfRule>
  </conditionalFormatting>
  <conditionalFormatting sqref="AG234:AG244">
    <cfRule type="cellIs" dxfId="356" priority="436" operator="equal">
      <formula>"INVALID"</formula>
    </cfRule>
  </conditionalFormatting>
  <conditionalFormatting sqref="AG234:AG244">
    <cfRule type="cellIs" dxfId="355" priority="435" operator="equal">
      <formula>"INVALID"</formula>
    </cfRule>
  </conditionalFormatting>
  <conditionalFormatting sqref="AG234:AG244">
    <cfRule type="cellIs" dxfId="354" priority="434" operator="equal">
      <formula>"INVALID"</formula>
    </cfRule>
  </conditionalFormatting>
  <conditionalFormatting sqref="AG234:AG244">
    <cfRule type="cellIs" dxfId="353" priority="433" operator="equal">
      <formula>"INVALID"</formula>
    </cfRule>
  </conditionalFormatting>
  <conditionalFormatting sqref="AG234:AG244">
    <cfRule type="cellIs" dxfId="352" priority="432" operator="equal">
      <formula>"INVALID"</formula>
    </cfRule>
  </conditionalFormatting>
  <conditionalFormatting sqref="AG246:AG247">
    <cfRule type="cellIs" dxfId="351" priority="431" operator="equal">
      <formula>"INVALID"</formula>
    </cfRule>
  </conditionalFormatting>
  <conditionalFormatting sqref="AG246:AG247">
    <cfRule type="cellIs" dxfId="350" priority="430" operator="equal">
      <formula>"INVALID"</formula>
    </cfRule>
  </conditionalFormatting>
  <conditionalFormatting sqref="AG246:AG247">
    <cfRule type="cellIs" dxfId="349" priority="429" operator="equal">
      <formula>"INVALID"</formula>
    </cfRule>
  </conditionalFormatting>
  <conditionalFormatting sqref="AG246:AG247">
    <cfRule type="cellIs" dxfId="348" priority="428" operator="equal">
      <formula>"INVALID"</formula>
    </cfRule>
  </conditionalFormatting>
  <conditionalFormatting sqref="AG246:AG247">
    <cfRule type="cellIs" dxfId="347" priority="427" operator="equal">
      <formula>"INVALID"</formula>
    </cfRule>
  </conditionalFormatting>
  <conditionalFormatting sqref="AG246:AG247">
    <cfRule type="cellIs" dxfId="346" priority="426" operator="equal">
      <formula>"INVALID"</formula>
    </cfRule>
  </conditionalFormatting>
  <conditionalFormatting sqref="AG246:AG247">
    <cfRule type="cellIs" dxfId="345" priority="425" operator="equal">
      <formula>"INVALID"</formula>
    </cfRule>
  </conditionalFormatting>
  <conditionalFormatting sqref="AG246:AG247">
    <cfRule type="cellIs" dxfId="344" priority="424" operator="equal">
      <formula>"INVALID"</formula>
    </cfRule>
  </conditionalFormatting>
  <conditionalFormatting sqref="AG246:AG247">
    <cfRule type="cellIs" dxfId="343" priority="423" operator="equal">
      <formula>"INVALID"</formula>
    </cfRule>
  </conditionalFormatting>
  <conditionalFormatting sqref="AG246:AG247">
    <cfRule type="cellIs" dxfId="342" priority="422" operator="equal">
      <formula>"INVALID"</formula>
    </cfRule>
  </conditionalFormatting>
  <conditionalFormatting sqref="AG246:AG247">
    <cfRule type="cellIs" dxfId="341" priority="421" operator="equal">
      <formula>"INVALID"</formula>
    </cfRule>
  </conditionalFormatting>
  <conditionalFormatting sqref="AG246:AG247">
    <cfRule type="cellIs" dxfId="340" priority="420" operator="equal">
      <formula>"INVALID"</formula>
    </cfRule>
  </conditionalFormatting>
  <conditionalFormatting sqref="AG246:AG247">
    <cfRule type="cellIs" dxfId="339" priority="419" operator="equal">
      <formula>"INVALID"</formula>
    </cfRule>
  </conditionalFormatting>
  <conditionalFormatting sqref="AG246:AG247">
    <cfRule type="cellIs" dxfId="338" priority="418" operator="equal">
      <formula>"INVALID"</formula>
    </cfRule>
  </conditionalFormatting>
  <conditionalFormatting sqref="AG246:AG247">
    <cfRule type="cellIs" dxfId="337" priority="417" operator="equal">
      <formula>"INVALID"</formula>
    </cfRule>
  </conditionalFormatting>
  <conditionalFormatting sqref="AG246:AG247">
    <cfRule type="cellIs" dxfId="336" priority="416" operator="equal">
      <formula>"INVALID"</formula>
    </cfRule>
  </conditionalFormatting>
  <conditionalFormatting sqref="AG246:AG247">
    <cfRule type="cellIs" dxfId="335" priority="415" operator="equal">
      <formula>"INVALID"</formula>
    </cfRule>
  </conditionalFormatting>
  <conditionalFormatting sqref="AG246:AG247">
    <cfRule type="cellIs" dxfId="334" priority="414" operator="equal">
      <formula>"INVALID"</formula>
    </cfRule>
  </conditionalFormatting>
  <conditionalFormatting sqref="AG246:AG247">
    <cfRule type="cellIs" dxfId="333" priority="413" operator="equal">
      <formula>"INVALID"</formula>
    </cfRule>
  </conditionalFormatting>
  <conditionalFormatting sqref="AG246:AG247">
    <cfRule type="cellIs" dxfId="332" priority="412" operator="equal">
      <formula>"INVALID"</formula>
    </cfRule>
  </conditionalFormatting>
  <conditionalFormatting sqref="AG246:AG247">
    <cfRule type="cellIs" dxfId="331" priority="411" operator="equal">
      <formula>"INVALID"</formula>
    </cfRule>
  </conditionalFormatting>
  <conditionalFormatting sqref="AG246:AG247">
    <cfRule type="cellIs" dxfId="330" priority="410" operator="equal">
      <formula>"INVALID"</formula>
    </cfRule>
  </conditionalFormatting>
  <conditionalFormatting sqref="AG246:AG247">
    <cfRule type="cellIs" dxfId="329" priority="409" operator="equal">
      <formula>"INVALID"</formula>
    </cfRule>
  </conditionalFormatting>
  <conditionalFormatting sqref="AG246:AG247">
    <cfRule type="cellIs" dxfId="328" priority="408" operator="equal">
      <formula>"INVALID"</formula>
    </cfRule>
  </conditionalFormatting>
  <conditionalFormatting sqref="AG246:AG247">
    <cfRule type="cellIs" dxfId="327" priority="407" operator="equal">
      <formula>"INVALID"</formula>
    </cfRule>
  </conditionalFormatting>
  <conditionalFormatting sqref="AG246:AG247">
    <cfRule type="cellIs" dxfId="326" priority="406" operator="equal">
      <formula>"INVALID"</formula>
    </cfRule>
  </conditionalFormatting>
  <conditionalFormatting sqref="AG246:AG247">
    <cfRule type="cellIs" dxfId="325" priority="405" operator="equal">
      <formula>"INVALID"</formula>
    </cfRule>
  </conditionalFormatting>
  <conditionalFormatting sqref="AG246:AG247">
    <cfRule type="cellIs" dxfId="324" priority="404" operator="equal">
      <formula>"INVALID"</formula>
    </cfRule>
  </conditionalFormatting>
  <conditionalFormatting sqref="AG246:AG247">
    <cfRule type="cellIs" dxfId="323" priority="403" operator="equal">
      <formula>"INVALID"</formula>
    </cfRule>
  </conditionalFormatting>
  <conditionalFormatting sqref="AG246:AG247">
    <cfRule type="cellIs" dxfId="322" priority="402" operator="equal">
      <formula>"INVALID"</formula>
    </cfRule>
  </conditionalFormatting>
  <conditionalFormatting sqref="AG246:AG247">
    <cfRule type="cellIs" dxfId="321" priority="401" operator="equal">
      <formula>"INVALID"</formula>
    </cfRule>
  </conditionalFormatting>
  <conditionalFormatting sqref="AG246:AG247">
    <cfRule type="cellIs" dxfId="320" priority="400" operator="equal">
      <formula>"INVALID"</formula>
    </cfRule>
  </conditionalFormatting>
  <conditionalFormatting sqref="AG246:AG247">
    <cfRule type="cellIs" dxfId="319" priority="399" operator="equal">
      <formula>"INVALID"</formula>
    </cfRule>
  </conditionalFormatting>
  <conditionalFormatting sqref="AG246:AG247">
    <cfRule type="cellIs" dxfId="318" priority="398" operator="equal">
      <formula>"INVALID"</formula>
    </cfRule>
  </conditionalFormatting>
  <conditionalFormatting sqref="AG246:AG247">
    <cfRule type="cellIs" dxfId="317" priority="397" operator="equal">
      <formula>"INVALID"</formula>
    </cfRule>
  </conditionalFormatting>
  <conditionalFormatting sqref="AG246:AG247">
    <cfRule type="cellIs" dxfId="316" priority="396" operator="equal">
      <formula>"INVALID"</formula>
    </cfRule>
  </conditionalFormatting>
  <conditionalFormatting sqref="AG246:AG247">
    <cfRule type="cellIs" dxfId="315" priority="394" operator="equal">
      <formula>"INVALID"</formula>
    </cfRule>
  </conditionalFormatting>
  <conditionalFormatting sqref="AG246:AG247">
    <cfRule type="cellIs" dxfId="314" priority="395" operator="equal">
      <formula>"INVALID"</formula>
    </cfRule>
  </conditionalFormatting>
  <conditionalFormatting sqref="AG246:AG247">
    <cfRule type="cellIs" dxfId="313" priority="393" operator="equal">
      <formula>"INVALID"</formula>
    </cfRule>
  </conditionalFormatting>
  <conditionalFormatting sqref="AG246:AG247">
    <cfRule type="cellIs" dxfId="312" priority="392" operator="equal">
      <formula>"INVALID"</formula>
    </cfRule>
  </conditionalFormatting>
  <conditionalFormatting sqref="AG246:AG247">
    <cfRule type="cellIs" dxfId="311" priority="389" operator="equal">
      <formula>"INVALID"</formula>
    </cfRule>
  </conditionalFormatting>
  <conditionalFormatting sqref="AG246:AG247">
    <cfRule type="cellIs" dxfId="310" priority="391" operator="equal">
      <formula>"INVALID"</formula>
    </cfRule>
  </conditionalFormatting>
  <conditionalFormatting sqref="AG246:AG247">
    <cfRule type="cellIs" dxfId="309" priority="390" operator="equal">
      <formula>"INVALID"</formula>
    </cfRule>
  </conditionalFormatting>
  <conditionalFormatting sqref="AG246:AG247">
    <cfRule type="cellIs" dxfId="308" priority="388" operator="equal">
      <formula>"INVALID"</formula>
    </cfRule>
  </conditionalFormatting>
  <conditionalFormatting sqref="AG246:AG247">
    <cfRule type="cellIs" dxfId="307" priority="387" operator="equal">
      <formula>"INVALID"</formula>
    </cfRule>
  </conditionalFormatting>
  <conditionalFormatting sqref="AG246:AG247">
    <cfRule type="cellIs" dxfId="306" priority="386" operator="equal">
      <formula>"INVALID"</formula>
    </cfRule>
  </conditionalFormatting>
  <conditionalFormatting sqref="AG246:AG247">
    <cfRule type="cellIs" dxfId="305" priority="385" operator="equal">
      <formula>"INVALID"</formula>
    </cfRule>
  </conditionalFormatting>
  <conditionalFormatting sqref="AG246:AG247">
    <cfRule type="cellIs" dxfId="304" priority="384" operator="equal">
      <formula>"INVALID"</formula>
    </cfRule>
  </conditionalFormatting>
  <conditionalFormatting sqref="AV243">
    <cfRule type="expression" dxfId="303" priority="381">
      <formula>NOT($AO243)</formula>
    </cfRule>
  </conditionalFormatting>
  <conditionalFormatting sqref="AW10:AW23 AW25:AW33 AW55:AW65 AW67:AW73 AW127:AW137 AW139:AW147 AW149:AW178 AW182:AW185 AW193:AW211 AW236 AW239:AW244">
    <cfRule type="expression" dxfId="302" priority="382">
      <formula>NOT(#REF!)</formula>
    </cfRule>
  </conditionalFormatting>
  <conditionalFormatting sqref="AX82">
    <cfRule type="expression" dxfId="301" priority="369">
      <formula>NOT($AO82)</formula>
    </cfRule>
  </conditionalFormatting>
  <conditionalFormatting sqref="AX106">
    <cfRule type="expression" dxfId="300" priority="368">
      <formula>NOT($AO106)</formula>
    </cfRule>
  </conditionalFormatting>
  <conditionalFormatting sqref="AX228">
    <cfRule type="expression" dxfId="299" priority="367">
      <formula>NOT(#REF!)</formula>
    </cfRule>
  </conditionalFormatting>
  <conditionalFormatting sqref="AD92:AF93 AH92:AI93">
    <cfRule type="cellIs" dxfId="298" priority="366" operator="equal">
      <formula>"INVALID"</formula>
    </cfRule>
  </conditionalFormatting>
  <conditionalFormatting sqref="AQ92:AQ93">
    <cfRule type="expression" dxfId="297" priority="365" stopIfTrue="1">
      <formula>REPLACE($AQ92,8,LEN($AQ92),"")="unused_"</formula>
    </cfRule>
  </conditionalFormatting>
  <conditionalFormatting sqref="AJ92:AJ93">
    <cfRule type="cellIs" dxfId="296" priority="362" operator="equal">
      <formula>FALSE</formula>
    </cfRule>
  </conditionalFormatting>
  <conditionalFormatting sqref="AK92:AK93">
    <cfRule type="cellIs" dxfId="295" priority="361" operator="equal">
      <formula>FALSE</formula>
    </cfRule>
  </conditionalFormatting>
  <conditionalFormatting sqref="AL92:AL93">
    <cfRule type="cellIs" dxfId="294" priority="360" operator="equal">
      <formula>FALSE</formula>
    </cfRule>
  </conditionalFormatting>
  <conditionalFormatting sqref="AM92:AM93">
    <cfRule type="cellIs" dxfId="293" priority="359" operator="equal">
      <formula>FALSE</formula>
    </cfRule>
  </conditionalFormatting>
  <conditionalFormatting sqref="AN92:AN93">
    <cfRule type="cellIs" dxfId="292" priority="358" operator="equal">
      <formula>FALSE</formula>
    </cfRule>
  </conditionalFormatting>
  <conditionalFormatting sqref="AP92:AP93">
    <cfRule type="cellIs" dxfId="291" priority="357" operator="equal">
      <formula>"INVALID"</formula>
    </cfRule>
  </conditionalFormatting>
  <conditionalFormatting sqref="AJ92:AJ93">
    <cfRule type="cellIs" dxfId="290" priority="356" operator="equal">
      <formula>"INVALID"</formula>
    </cfRule>
  </conditionalFormatting>
  <conditionalFormatting sqref="AK92:AK93">
    <cfRule type="cellIs" dxfId="289" priority="355" operator="equal">
      <formula>"INVALID"</formula>
    </cfRule>
  </conditionalFormatting>
  <conditionalFormatting sqref="AL92:AM93">
    <cfRule type="cellIs" dxfId="288" priority="354" operator="equal">
      <formula>"INVALID"</formula>
    </cfRule>
  </conditionalFormatting>
  <conditionalFormatting sqref="AK92:AK93">
    <cfRule type="cellIs" dxfId="287" priority="353" operator="equal">
      <formula>"INVALID"</formula>
    </cfRule>
  </conditionalFormatting>
  <conditionalFormatting sqref="AL92:AL93">
    <cfRule type="cellIs" dxfId="286" priority="352" operator="equal">
      <formula>"INVALID"</formula>
    </cfRule>
  </conditionalFormatting>
  <conditionalFormatting sqref="AM92:AM93">
    <cfRule type="cellIs" dxfId="285" priority="351" operator="equal">
      <formula>"INVALID"</formula>
    </cfRule>
  </conditionalFormatting>
  <conditionalFormatting sqref="AN92:AN93">
    <cfRule type="cellIs" dxfId="284" priority="350" operator="equal">
      <formula>"INVALID"</formula>
    </cfRule>
  </conditionalFormatting>
  <conditionalFormatting sqref="AQ92:AQ93">
    <cfRule type="expression" dxfId="283" priority="349">
      <formula>NOT($AJ92)</formula>
    </cfRule>
    <cfRule type="expression" dxfId="282" priority="363">
      <formula>RIGHT($AQ92, 1)="*"</formula>
    </cfRule>
  </conditionalFormatting>
  <conditionalFormatting sqref="AY92:AZ93">
    <cfRule type="expression" dxfId="281" priority="348">
      <formula>NOT($AN92)</formula>
    </cfRule>
  </conditionalFormatting>
  <conditionalFormatting sqref="AO92:AO93">
    <cfRule type="cellIs" dxfId="280" priority="346" operator="equal">
      <formula>FALSE</formula>
    </cfRule>
  </conditionalFormatting>
  <conditionalFormatting sqref="AO92:AO93">
    <cfRule type="cellIs" dxfId="279" priority="345" operator="equal">
      <formula>"INVALID"</formula>
    </cfRule>
  </conditionalFormatting>
  <conditionalFormatting sqref="AO92:AO93">
    <cfRule type="cellIs" dxfId="278" priority="344" operator="equal">
      <formula>"INVALID"</formula>
    </cfRule>
  </conditionalFormatting>
  <conditionalFormatting sqref="AG92:AG93">
    <cfRule type="cellIs" dxfId="277" priority="343" operator="equal">
      <formula>"INVALID"</formula>
    </cfRule>
  </conditionalFormatting>
  <conditionalFormatting sqref="AD94:AF95 AH94:AI95">
    <cfRule type="cellIs" dxfId="276" priority="342" operator="equal">
      <formula>"INVALID"</formula>
    </cfRule>
  </conditionalFormatting>
  <conditionalFormatting sqref="AQ94:AQ95">
    <cfRule type="expression" dxfId="275" priority="341" stopIfTrue="1">
      <formula>REPLACE($AQ94,8,LEN($AQ94),"")="unused_"</formula>
    </cfRule>
  </conditionalFormatting>
  <conditionalFormatting sqref="AJ94:AJ95">
    <cfRule type="cellIs" dxfId="274" priority="338" operator="equal">
      <formula>FALSE</formula>
    </cfRule>
  </conditionalFormatting>
  <conditionalFormatting sqref="AK94:AK95">
    <cfRule type="cellIs" dxfId="273" priority="337" operator="equal">
      <formula>FALSE</formula>
    </cfRule>
  </conditionalFormatting>
  <conditionalFormatting sqref="AL94:AL95">
    <cfRule type="cellIs" dxfId="272" priority="336" operator="equal">
      <formula>FALSE</formula>
    </cfRule>
  </conditionalFormatting>
  <conditionalFormatting sqref="AM94:AM95">
    <cfRule type="cellIs" dxfId="271" priority="335" operator="equal">
      <formula>FALSE</formula>
    </cfRule>
  </conditionalFormatting>
  <conditionalFormatting sqref="AN94:AN95">
    <cfRule type="cellIs" dxfId="270" priority="334" operator="equal">
      <formula>FALSE</formula>
    </cfRule>
  </conditionalFormatting>
  <conditionalFormatting sqref="AP94:AP95">
    <cfRule type="cellIs" dxfId="269" priority="333" operator="equal">
      <formula>"INVALID"</formula>
    </cfRule>
  </conditionalFormatting>
  <conditionalFormatting sqref="AJ94:AJ95">
    <cfRule type="cellIs" dxfId="268" priority="332" operator="equal">
      <formula>"INVALID"</formula>
    </cfRule>
  </conditionalFormatting>
  <conditionalFormatting sqref="AK94:AK95">
    <cfRule type="cellIs" dxfId="267" priority="331" operator="equal">
      <formula>"INVALID"</formula>
    </cfRule>
  </conditionalFormatting>
  <conditionalFormatting sqref="AL94:AM95">
    <cfRule type="cellIs" dxfId="266" priority="330" operator="equal">
      <formula>"INVALID"</formula>
    </cfRule>
  </conditionalFormatting>
  <conditionalFormatting sqref="AK94:AK95">
    <cfRule type="cellIs" dxfId="265" priority="329" operator="equal">
      <formula>"INVALID"</formula>
    </cfRule>
  </conditionalFormatting>
  <conditionalFormatting sqref="AL94:AL95">
    <cfRule type="cellIs" dxfId="264" priority="328" operator="equal">
      <formula>"INVALID"</formula>
    </cfRule>
  </conditionalFormatting>
  <conditionalFormatting sqref="AM94:AM95">
    <cfRule type="cellIs" dxfId="263" priority="327" operator="equal">
      <formula>"INVALID"</formula>
    </cfRule>
  </conditionalFormatting>
  <conditionalFormatting sqref="AN94:AN95">
    <cfRule type="cellIs" dxfId="262" priority="326" operator="equal">
      <formula>"INVALID"</formula>
    </cfRule>
  </conditionalFormatting>
  <conditionalFormatting sqref="AQ94:AQ95">
    <cfRule type="expression" dxfId="261" priority="325">
      <formula>NOT($AJ94)</formula>
    </cfRule>
    <cfRule type="expression" dxfId="260" priority="339">
      <formula>RIGHT($AQ94, 1)="*"</formula>
    </cfRule>
  </conditionalFormatting>
  <conditionalFormatting sqref="AY94:AZ95">
    <cfRule type="expression" dxfId="259" priority="324">
      <formula>NOT($AN94)</formula>
    </cfRule>
  </conditionalFormatting>
  <conditionalFormatting sqref="AO94:AO95">
    <cfRule type="cellIs" dxfId="258" priority="322" operator="equal">
      <formula>FALSE</formula>
    </cfRule>
  </conditionalFormatting>
  <conditionalFormatting sqref="AO94:AO95">
    <cfRule type="cellIs" dxfId="257" priority="321" operator="equal">
      <formula>"INVALID"</formula>
    </cfRule>
  </conditionalFormatting>
  <conditionalFormatting sqref="AO94:AO95">
    <cfRule type="cellIs" dxfId="256" priority="320" operator="equal">
      <formula>"INVALID"</formula>
    </cfRule>
  </conditionalFormatting>
  <conditionalFormatting sqref="AG94:AG95">
    <cfRule type="cellIs" dxfId="255" priority="319" operator="equal">
      <formula>"INVALID"</formula>
    </cfRule>
  </conditionalFormatting>
  <conditionalFormatting sqref="AD96:AF97 AH96:AI97">
    <cfRule type="cellIs" dxfId="254" priority="318" operator="equal">
      <formula>"INVALID"</formula>
    </cfRule>
  </conditionalFormatting>
  <conditionalFormatting sqref="AQ96:AQ97">
    <cfRule type="expression" dxfId="253" priority="317" stopIfTrue="1">
      <formula>REPLACE($AQ96,8,LEN($AQ96),"")="unused_"</formula>
    </cfRule>
  </conditionalFormatting>
  <conditionalFormatting sqref="AJ96:AJ97">
    <cfRule type="cellIs" dxfId="252" priority="314" operator="equal">
      <formula>FALSE</formula>
    </cfRule>
  </conditionalFormatting>
  <conditionalFormatting sqref="AK96:AK97">
    <cfRule type="cellIs" dxfId="251" priority="313" operator="equal">
      <formula>FALSE</formula>
    </cfRule>
  </conditionalFormatting>
  <conditionalFormatting sqref="AL96:AL97">
    <cfRule type="cellIs" dxfId="250" priority="312" operator="equal">
      <formula>FALSE</formula>
    </cfRule>
  </conditionalFormatting>
  <conditionalFormatting sqref="AM96:AM97">
    <cfRule type="cellIs" dxfId="249" priority="311" operator="equal">
      <formula>FALSE</formula>
    </cfRule>
  </conditionalFormatting>
  <conditionalFormatting sqref="AN96:AN97">
    <cfRule type="cellIs" dxfId="248" priority="310" operator="equal">
      <formula>FALSE</formula>
    </cfRule>
  </conditionalFormatting>
  <conditionalFormatting sqref="AP96:AP97">
    <cfRule type="cellIs" dxfId="247" priority="309" operator="equal">
      <formula>"INVALID"</formula>
    </cfRule>
  </conditionalFormatting>
  <conditionalFormatting sqref="AJ96:AJ97">
    <cfRule type="cellIs" dxfId="246" priority="308" operator="equal">
      <formula>"INVALID"</formula>
    </cfRule>
  </conditionalFormatting>
  <conditionalFormatting sqref="AK96:AK97">
    <cfRule type="cellIs" dxfId="245" priority="307" operator="equal">
      <formula>"INVALID"</formula>
    </cfRule>
  </conditionalFormatting>
  <conditionalFormatting sqref="AL96:AM97">
    <cfRule type="cellIs" dxfId="244" priority="306" operator="equal">
      <formula>"INVALID"</formula>
    </cfRule>
  </conditionalFormatting>
  <conditionalFormatting sqref="AK96:AK97">
    <cfRule type="cellIs" dxfId="243" priority="305" operator="equal">
      <formula>"INVALID"</formula>
    </cfRule>
  </conditionalFormatting>
  <conditionalFormatting sqref="AL96:AL97">
    <cfRule type="cellIs" dxfId="242" priority="304" operator="equal">
      <formula>"INVALID"</formula>
    </cfRule>
  </conditionalFormatting>
  <conditionalFormatting sqref="AM96:AM97">
    <cfRule type="cellIs" dxfId="241" priority="303" operator="equal">
      <formula>"INVALID"</formula>
    </cfRule>
  </conditionalFormatting>
  <conditionalFormatting sqref="AN96:AN97">
    <cfRule type="cellIs" dxfId="240" priority="302" operator="equal">
      <formula>"INVALID"</formula>
    </cfRule>
  </conditionalFormatting>
  <conditionalFormatting sqref="AQ96:AQ97">
    <cfRule type="expression" dxfId="239" priority="301">
      <formula>NOT($AJ96)</formula>
    </cfRule>
    <cfRule type="expression" dxfId="238" priority="315">
      <formula>RIGHT($AQ96, 1)="*"</formula>
    </cfRule>
  </conditionalFormatting>
  <conditionalFormatting sqref="AY96:AZ97">
    <cfRule type="expression" dxfId="237" priority="300">
      <formula>NOT($AN96)</formula>
    </cfRule>
  </conditionalFormatting>
  <conditionalFormatting sqref="AO96:AO97">
    <cfRule type="cellIs" dxfId="236" priority="298" operator="equal">
      <formula>FALSE</formula>
    </cfRule>
  </conditionalFormatting>
  <conditionalFormatting sqref="AO96:AO97">
    <cfRule type="cellIs" dxfId="235" priority="297" operator="equal">
      <formula>"INVALID"</formula>
    </cfRule>
  </conditionalFormatting>
  <conditionalFormatting sqref="AO96:AO97">
    <cfRule type="cellIs" dxfId="234" priority="296" operator="equal">
      <formula>"INVALID"</formula>
    </cfRule>
  </conditionalFormatting>
  <conditionalFormatting sqref="AG96:AG97">
    <cfRule type="cellIs" dxfId="233" priority="295" operator="equal">
      <formula>"INVALID"</formula>
    </cfRule>
  </conditionalFormatting>
  <conditionalFormatting sqref="AH98:AI99 AD98:AF99">
    <cfRule type="cellIs" dxfId="232" priority="294" operator="equal">
      <formula>"INVALID"</formula>
    </cfRule>
  </conditionalFormatting>
  <conditionalFormatting sqref="AQ98:AQ99">
    <cfRule type="expression" dxfId="231" priority="293" stopIfTrue="1">
      <formula>REPLACE($AQ98,8,LEN($AQ98),"")="unused_"</formula>
    </cfRule>
  </conditionalFormatting>
  <conditionalFormatting sqref="AJ98:AJ99">
    <cfRule type="cellIs" dxfId="230" priority="290" operator="equal">
      <formula>FALSE</formula>
    </cfRule>
  </conditionalFormatting>
  <conditionalFormatting sqref="AK98:AK99">
    <cfRule type="cellIs" dxfId="229" priority="289" operator="equal">
      <formula>FALSE</formula>
    </cfRule>
  </conditionalFormatting>
  <conditionalFormatting sqref="AL98:AL99">
    <cfRule type="cellIs" dxfId="228" priority="288" operator="equal">
      <formula>FALSE</formula>
    </cfRule>
  </conditionalFormatting>
  <conditionalFormatting sqref="AM98:AM99">
    <cfRule type="cellIs" dxfId="227" priority="287" operator="equal">
      <formula>FALSE</formula>
    </cfRule>
  </conditionalFormatting>
  <conditionalFormatting sqref="AN98:AN99">
    <cfRule type="cellIs" dxfId="226" priority="286" operator="equal">
      <formula>FALSE</formula>
    </cfRule>
  </conditionalFormatting>
  <conditionalFormatting sqref="AP98:AP99">
    <cfRule type="cellIs" dxfId="225" priority="285" operator="equal">
      <formula>"INVALID"</formula>
    </cfRule>
  </conditionalFormatting>
  <conditionalFormatting sqref="AJ98:AJ99">
    <cfRule type="cellIs" dxfId="224" priority="284" operator="equal">
      <formula>"INVALID"</formula>
    </cfRule>
  </conditionalFormatting>
  <conditionalFormatting sqref="AK98:AK99">
    <cfRule type="cellIs" dxfId="223" priority="283" operator="equal">
      <formula>"INVALID"</formula>
    </cfRule>
  </conditionalFormatting>
  <conditionalFormatting sqref="AL98:AM99">
    <cfRule type="cellIs" dxfId="222" priority="282" operator="equal">
      <formula>"INVALID"</formula>
    </cfRule>
  </conditionalFormatting>
  <conditionalFormatting sqref="AK98:AK99">
    <cfRule type="cellIs" dxfId="221" priority="281" operator="equal">
      <formula>"INVALID"</formula>
    </cfRule>
  </conditionalFormatting>
  <conditionalFormatting sqref="AL98:AL99">
    <cfRule type="cellIs" dxfId="220" priority="280" operator="equal">
      <formula>"INVALID"</formula>
    </cfRule>
  </conditionalFormatting>
  <conditionalFormatting sqref="AM98:AM99">
    <cfRule type="cellIs" dxfId="219" priority="279" operator="equal">
      <formula>"INVALID"</formula>
    </cfRule>
  </conditionalFormatting>
  <conditionalFormatting sqref="AN98:AN99">
    <cfRule type="cellIs" dxfId="218" priority="278" operator="equal">
      <formula>"INVALID"</formula>
    </cfRule>
  </conditionalFormatting>
  <conditionalFormatting sqref="AQ98:AQ99">
    <cfRule type="expression" dxfId="217" priority="277">
      <formula>NOT($AJ98)</formula>
    </cfRule>
    <cfRule type="expression" dxfId="216" priority="291">
      <formula>RIGHT($AQ98, 1)="*"</formula>
    </cfRule>
  </conditionalFormatting>
  <conditionalFormatting sqref="AY98:AZ99">
    <cfRule type="expression" dxfId="215" priority="276">
      <formula>NOT($AN98)</formula>
    </cfRule>
  </conditionalFormatting>
  <conditionalFormatting sqref="AO98:AO99">
    <cfRule type="cellIs" dxfId="214" priority="274" operator="equal">
      <formula>FALSE</formula>
    </cfRule>
  </conditionalFormatting>
  <conditionalFormatting sqref="AO98:AO99">
    <cfRule type="cellIs" dxfId="213" priority="273" operator="equal">
      <formula>"INVALID"</formula>
    </cfRule>
  </conditionalFormatting>
  <conditionalFormatting sqref="AO98:AO99">
    <cfRule type="cellIs" dxfId="212" priority="272" operator="equal">
      <formula>"INVALID"</formula>
    </cfRule>
  </conditionalFormatting>
  <conditionalFormatting sqref="AG98:AG99">
    <cfRule type="cellIs" dxfId="211" priority="271" operator="equal">
      <formula>"INVALID"</formula>
    </cfRule>
  </conditionalFormatting>
  <conditionalFormatting sqref="AD100:AF101 AH100:AI101">
    <cfRule type="cellIs" dxfId="210" priority="270" operator="equal">
      <formula>"INVALID"</formula>
    </cfRule>
  </conditionalFormatting>
  <conditionalFormatting sqref="AQ100:AQ101">
    <cfRule type="expression" dxfId="209" priority="269" stopIfTrue="1">
      <formula>REPLACE($AQ100,8,LEN($AQ100),"")="unused_"</formula>
    </cfRule>
  </conditionalFormatting>
  <conditionalFormatting sqref="AJ100:AJ101">
    <cfRule type="cellIs" dxfId="208" priority="266" operator="equal">
      <formula>FALSE</formula>
    </cfRule>
  </conditionalFormatting>
  <conditionalFormatting sqref="AK100:AK101">
    <cfRule type="cellIs" dxfId="207" priority="265" operator="equal">
      <formula>FALSE</formula>
    </cfRule>
  </conditionalFormatting>
  <conditionalFormatting sqref="AL100:AL101">
    <cfRule type="cellIs" dxfId="206" priority="264" operator="equal">
      <formula>FALSE</formula>
    </cfRule>
  </conditionalFormatting>
  <conditionalFormatting sqref="AM100:AM101">
    <cfRule type="cellIs" dxfId="205" priority="263" operator="equal">
      <formula>FALSE</formula>
    </cfRule>
  </conditionalFormatting>
  <conditionalFormatting sqref="AN100:AN101">
    <cfRule type="cellIs" dxfId="204" priority="262" operator="equal">
      <formula>FALSE</formula>
    </cfRule>
  </conditionalFormatting>
  <conditionalFormatting sqref="AP100:AP101">
    <cfRule type="cellIs" dxfId="203" priority="261" operator="equal">
      <formula>"INVALID"</formula>
    </cfRule>
  </conditionalFormatting>
  <conditionalFormatting sqref="AJ100:AJ101">
    <cfRule type="cellIs" dxfId="202" priority="260" operator="equal">
      <formula>"INVALID"</formula>
    </cfRule>
  </conditionalFormatting>
  <conditionalFormatting sqref="AK100:AK101">
    <cfRule type="cellIs" dxfId="201" priority="259" operator="equal">
      <formula>"INVALID"</formula>
    </cfRule>
  </conditionalFormatting>
  <conditionalFormatting sqref="AL100:AM101">
    <cfRule type="cellIs" dxfId="200" priority="258" operator="equal">
      <formula>"INVALID"</formula>
    </cfRule>
  </conditionalFormatting>
  <conditionalFormatting sqref="AK100:AK101">
    <cfRule type="cellIs" dxfId="199" priority="257" operator="equal">
      <formula>"INVALID"</formula>
    </cfRule>
  </conditionalFormatting>
  <conditionalFormatting sqref="AL100:AL101">
    <cfRule type="cellIs" dxfId="198" priority="256" operator="equal">
      <formula>"INVALID"</formula>
    </cfRule>
  </conditionalFormatting>
  <conditionalFormatting sqref="AM100:AM101">
    <cfRule type="cellIs" dxfId="197" priority="255" operator="equal">
      <formula>"INVALID"</formula>
    </cfRule>
  </conditionalFormatting>
  <conditionalFormatting sqref="AN100:AN101">
    <cfRule type="cellIs" dxfId="196" priority="254" operator="equal">
      <formula>"INVALID"</formula>
    </cfRule>
  </conditionalFormatting>
  <conditionalFormatting sqref="AQ100:AQ101">
    <cfRule type="expression" dxfId="195" priority="253">
      <formula>NOT($AJ100)</formula>
    </cfRule>
    <cfRule type="expression" dxfId="194" priority="267">
      <formula>RIGHT($AQ100, 1)="*"</formula>
    </cfRule>
  </conditionalFormatting>
  <conditionalFormatting sqref="AY100:AZ101">
    <cfRule type="expression" dxfId="193" priority="252">
      <formula>NOT($AN100)</formula>
    </cfRule>
  </conditionalFormatting>
  <conditionalFormatting sqref="AO100:AO101">
    <cfRule type="cellIs" dxfId="192" priority="250" operator="equal">
      <formula>FALSE</formula>
    </cfRule>
  </conditionalFormatting>
  <conditionalFormatting sqref="AO100:AO101">
    <cfRule type="cellIs" dxfId="191" priority="249" operator="equal">
      <formula>"INVALID"</formula>
    </cfRule>
  </conditionalFormatting>
  <conditionalFormatting sqref="AO100:AO101">
    <cfRule type="cellIs" dxfId="190" priority="248" operator="equal">
      <formula>"INVALID"</formula>
    </cfRule>
  </conditionalFormatting>
  <conditionalFormatting sqref="AG100:AG101">
    <cfRule type="cellIs" dxfId="189" priority="247" operator="equal">
      <formula>"INVALID"</formula>
    </cfRule>
  </conditionalFormatting>
  <conditionalFormatting sqref="AD102:AF103 AH102:AI103">
    <cfRule type="cellIs" dxfId="188" priority="246" operator="equal">
      <formula>"INVALID"</formula>
    </cfRule>
  </conditionalFormatting>
  <conditionalFormatting sqref="AQ102:AQ103">
    <cfRule type="expression" dxfId="187" priority="245" stopIfTrue="1">
      <formula>REPLACE($AQ102,8,LEN($AQ102),"")="unused_"</formula>
    </cfRule>
  </conditionalFormatting>
  <conditionalFormatting sqref="AJ102:AJ103">
    <cfRule type="cellIs" dxfId="186" priority="242" operator="equal">
      <formula>FALSE</formula>
    </cfRule>
  </conditionalFormatting>
  <conditionalFormatting sqref="AK102:AK103">
    <cfRule type="cellIs" dxfId="185" priority="241" operator="equal">
      <formula>FALSE</formula>
    </cfRule>
  </conditionalFormatting>
  <conditionalFormatting sqref="AL102:AL103">
    <cfRule type="cellIs" dxfId="184" priority="240" operator="equal">
      <formula>FALSE</formula>
    </cfRule>
  </conditionalFormatting>
  <conditionalFormatting sqref="AM102:AM103">
    <cfRule type="cellIs" dxfId="183" priority="239" operator="equal">
      <formula>FALSE</formula>
    </cfRule>
  </conditionalFormatting>
  <conditionalFormatting sqref="AN102:AN103">
    <cfRule type="cellIs" dxfId="182" priority="238" operator="equal">
      <formula>FALSE</formula>
    </cfRule>
  </conditionalFormatting>
  <conditionalFormatting sqref="AP102:AP103">
    <cfRule type="cellIs" dxfId="181" priority="237" operator="equal">
      <formula>"INVALID"</formula>
    </cfRule>
  </conditionalFormatting>
  <conditionalFormatting sqref="AJ102:AJ103">
    <cfRule type="cellIs" dxfId="180" priority="236" operator="equal">
      <formula>"INVALID"</formula>
    </cfRule>
  </conditionalFormatting>
  <conditionalFormatting sqref="AK102:AK103">
    <cfRule type="cellIs" dxfId="179" priority="235" operator="equal">
      <formula>"INVALID"</formula>
    </cfRule>
  </conditionalFormatting>
  <conditionalFormatting sqref="AL102:AM103">
    <cfRule type="cellIs" dxfId="178" priority="234" operator="equal">
      <formula>"INVALID"</formula>
    </cfRule>
  </conditionalFormatting>
  <conditionalFormatting sqref="AK102:AK103">
    <cfRule type="cellIs" dxfId="177" priority="233" operator="equal">
      <formula>"INVALID"</formula>
    </cfRule>
  </conditionalFormatting>
  <conditionalFormatting sqref="AL102:AL103">
    <cfRule type="cellIs" dxfId="176" priority="232" operator="equal">
      <formula>"INVALID"</formula>
    </cfRule>
  </conditionalFormatting>
  <conditionalFormatting sqref="AM102:AM103">
    <cfRule type="cellIs" dxfId="175" priority="231" operator="equal">
      <formula>"INVALID"</formula>
    </cfRule>
  </conditionalFormatting>
  <conditionalFormatting sqref="AN102:AN103">
    <cfRule type="cellIs" dxfId="174" priority="230" operator="equal">
      <formula>"INVALID"</formula>
    </cfRule>
  </conditionalFormatting>
  <conditionalFormatting sqref="AQ102:AQ103">
    <cfRule type="expression" dxfId="173" priority="229">
      <formula>NOT($AJ102)</formula>
    </cfRule>
    <cfRule type="expression" dxfId="172" priority="243">
      <formula>RIGHT($AQ102, 1)="*"</formula>
    </cfRule>
  </conditionalFormatting>
  <conditionalFormatting sqref="AY102:AZ103">
    <cfRule type="expression" dxfId="171" priority="228">
      <formula>NOT($AN102)</formula>
    </cfRule>
  </conditionalFormatting>
  <conditionalFormatting sqref="AO102:AO103">
    <cfRule type="cellIs" dxfId="170" priority="226" operator="equal">
      <formula>FALSE</formula>
    </cfRule>
  </conditionalFormatting>
  <conditionalFormatting sqref="AO102:AO103">
    <cfRule type="cellIs" dxfId="169" priority="225" operator="equal">
      <formula>"INVALID"</formula>
    </cfRule>
  </conditionalFormatting>
  <conditionalFormatting sqref="AO102:AO103">
    <cfRule type="cellIs" dxfId="168" priority="224" operator="equal">
      <formula>"INVALID"</formula>
    </cfRule>
  </conditionalFormatting>
  <conditionalFormatting sqref="AG102:AG103">
    <cfRule type="cellIs" dxfId="167" priority="223" operator="equal">
      <formula>"INVALID"</formula>
    </cfRule>
  </conditionalFormatting>
  <conditionalFormatting sqref="AD104:AF104 AH104:AI104">
    <cfRule type="cellIs" dxfId="166" priority="222" operator="equal">
      <formula>"INVALID"</formula>
    </cfRule>
  </conditionalFormatting>
  <conditionalFormatting sqref="AJ104">
    <cfRule type="cellIs" dxfId="165" priority="218" operator="equal">
      <formula>FALSE</formula>
    </cfRule>
  </conditionalFormatting>
  <conditionalFormatting sqref="AK104">
    <cfRule type="cellIs" dxfId="164" priority="217" operator="equal">
      <formula>FALSE</formula>
    </cfRule>
  </conditionalFormatting>
  <conditionalFormatting sqref="AL104">
    <cfRule type="cellIs" dxfId="163" priority="216" operator="equal">
      <formula>FALSE</formula>
    </cfRule>
  </conditionalFormatting>
  <conditionalFormatting sqref="AM104">
    <cfRule type="cellIs" dxfId="162" priority="215" operator="equal">
      <formula>FALSE</formula>
    </cfRule>
  </conditionalFormatting>
  <conditionalFormatting sqref="AN104">
    <cfRule type="cellIs" dxfId="161" priority="214" operator="equal">
      <formula>FALSE</formula>
    </cfRule>
  </conditionalFormatting>
  <conditionalFormatting sqref="AP104">
    <cfRule type="cellIs" dxfId="160" priority="213" operator="equal">
      <formula>"INVALID"</formula>
    </cfRule>
  </conditionalFormatting>
  <conditionalFormatting sqref="AJ104">
    <cfRule type="cellIs" dxfId="159" priority="212" operator="equal">
      <formula>"INVALID"</formula>
    </cfRule>
  </conditionalFormatting>
  <conditionalFormatting sqref="AK104">
    <cfRule type="cellIs" dxfId="158" priority="211" operator="equal">
      <formula>"INVALID"</formula>
    </cfRule>
  </conditionalFormatting>
  <conditionalFormatting sqref="AL104:AM104">
    <cfRule type="cellIs" dxfId="157" priority="210" operator="equal">
      <formula>"INVALID"</formula>
    </cfRule>
  </conditionalFormatting>
  <conditionalFormatting sqref="AK104">
    <cfRule type="cellIs" dxfId="156" priority="209" operator="equal">
      <formula>"INVALID"</formula>
    </cfRule>
  </conditionalFormatting>
  <conditionalFormatting sqref="AL104">
    <cfRule type="cellIs" dxfId="155" priority="208" operator="equal">
      <formula>"INVALID"</formula>
    </cfRule>
  </conditionalFormatting>
  <conditionalFormatting sqref="AM104">
    <cfRule type="cellIs" dxfId="154" priority="207" operator="equal">
      <formula>"INVALID"</formula>
    </cfRule>
  </conditionalFormatting>
  <conditionalFormatting sqref="AN104">
    <cfRule type="cellIs" dxfId="153" priority="206" operator="equal">
      <formula>"INVALID"</formula>
    </cfRule>
  </conditionalFormatting>
  <conditionalFormatting sqref="AO104">
    <cfRule type="cellIs" dxfId="152" priority="202" operator="equal">
      <formula>FALSE</formula>
    </cfRule>
  </conditionalFormatting>
  <conditionalFormatting sqref="AO104">
    <cfRule type="cellIs" dxfId="151" priority="201" operator="equal">
      <formula>"INVALID"</formula>
    </cfRule>
  </conditionalFormatting>
  <conditionalFormatting sqref="AO104">
    <cfRule type="cellIs" dxfId="150" priority="200" operator="equal">
      <formula>"INVALID"</formula>
    </cfRule>
  </conditionalFormatting>
  <conditionalFormatting sqref="AG104">
    <cfRule type="cellIs" dxfId="149" priority="199" operator="equal">
      <formula>"INVALID"</formula>
    </cfRule>
  </conditionalFormatting>
  <conditionalFormatting sqref="AH89:AI89 AD89:AF89">
    <cfRule type="cellIs" dxfId="148" priority="198" operator="equal">
      <formula>"INVALID"</formula>
    </cfRule>
  </conditionalFormatting>
  <conditionalFormatting sqref="AG89">
    <cfRule type="cellIs" dxfId="147" priority="197" operator="equal">
      <formula>"INVALID"</formula>
    </cfRule>
  </conditionalFormatting>
  <conditionalFormatting sqref="AX99">
    <cfRule type="expression" dxfId="146" priority="196">
      <formula>NOT($AO99)</formula>
    </cfRule>
  </conditionalFormatting>
  <conditionalFormatting sqref="AT93">
    <cfRule type="expression" dxfId="145" priority="195">
      <formula>NOT($AM93)</formula>
    </cfRule>
  </conditionalFormatting>
  <conditionalFormatting sqref="AT100">
    <cfRule type="expression" dxfId="144" priority="194">
      <formula>NOT($AM100)</formula>
    </cfRule>
  </conditionalFormatting>
  <conditionalFormatting sqref="AT102">
    <cfRule type="expression" dxfId="143" priority="193">
      <formula>NOT($AM102)</formula>
    </cfRule>
  </conditionalFormatting>
  <conditionalFormatting sqref="AR90:AR103">
    <cfRule type="cellIs" dxfId="142" priority="192" operator="equal">
      <formula>"Not Assigned"</formula>
    </cfRule>
  </conditionalFormatting>
  <conditionalFormatting sqref="AR90:AR103">
    <cfRule type="expression" dxfId="141" priority="191">
      <formula>NOT($AL90)</formula>
    </cfRule>
  </conditionalFormatting>
  <conditionalFormatting sqref="AS90:AS103">
    <cfRule type="expression" dxfId="140" priority="188">
      <formula>NOT($AK90)</formula>
    </cfRule>
  </conditionalFormatting>
  <conditionalFormatting sqref="AS90:AS103">
    <cfRule type="expression" dxfId="139" priority="190">
      <formula>EXACT(AF90, "INVALID")</formula>
    </cfRule>
  </conditionalFormatting>
  <conditionalFormatting sqref="AS90:AS103">
    <cfRule type="expression" dxfId="138" priority="189">
      <formula>NOT($AN90)</formula>
    </cfRule>
  </conditionalFormatting>
  <conditionalFormatting sqref="AH114:AI115 AD114:AF115">
    <cfRule type="cellIs" dxfId="137" priority="187" operator="equal">
      <formula>"INVALID"</formula>
    </cfRule>
  </conditionalFormatting>
  <conditionalFormatting sqref="AQ114:AQ115">
    <cfRule type="expression" dxfId="136" priority="186" stopIfTrue="1">
      <formula>REPLACE($AQ114,8,LEN($AQ114),"")="unused_"</formula>
    </cfRule>
  </conditionalFormatting>
  <conditionalFormatting sqref="AJ114:AJ115">
    <cfRule type="cellIs" dxfId="135" priority="183" operator="equal">
      <formula>FALSE</formula>
    </cfRule>
  </conditionalFormatting>
  <conditionalFormatting sqref="AK114:AK115">
    <cfRule type="cellIs" dxfId="134" priority="182" operator="equal">
      <formula>FALSE</formula>
    </cfRule>
  </conditionalFormatting>
  <conditionalFormatting sqref="AL114:AL115">
    <cfRule type="cellIs" dxfId="133" priority="181" operator="equal">
      <formula>FALSE</formula>
    </cfRule>
  </conditionalFormatting>
  <conditionalFormatting sqref="AM114:AM115">
    <cfRule type="cellIs" dxfId="132" priority="180" operator="equal">
      <formula>FALSE</formula>
    </cfRule>
  </conditionalFormatting>
  <conditionalFormatting sqref="AN114:AN115">
    <cfRule type="cellIs" dxfId="131" priority="179" operator="equal">
      <formula>FALSE</formula>
    </cfRule>
  </conditionalFormatting>
  <conditionalFormatting sqref="AP114:AP115">
    <cfRule type="cellIs" dxfId="130" priority="178" operator="equal">
      <formula>"INVALID"</formula>
    </cfRule>
  </conditionalFormatting>
  <conditionalFormatting sqref="AJ114:AJ115">
    <cfRule type="cellIs" dxfId="129" priority="177" operator="equal">
      <formula>"INVALID"</formula>
    </cfRule>
  </conditionalFormatting>
  <conditionalFormatting sqref="AK114:AK115">
    <cfRule type="cellIs" dxfId="128" priority="176" operator="equal">
      <formula>"INVALID"</formula>
    </cfRule>
  </conditionalFormatting>
  <conditionalFormatting sqref="AL114:AM115">
    <cfRule type="cellIs" dxfId="127" priority="175" operator="equal">
      <formula>"INVALID"</formula>
    </cfRule>
  </conditionalFormatting>
  <conditionalFormatting sqref="AK114:AK115">
    <cfRule type="cellIs" dxfId="126" priority="174" operator="equal">
      <formula>"INVALID"</formula>
    </cfRule>
  </conditionalFormatting>
  <conditionalFormatting sqref="AL114:AL115">
    <cfRule type="cellIs" dxfId="125" priority="173" operator="equal">
      <formula>"INVALID"</formula>
    </cfRule>
  </conditionalFormatting>
  <conditionalFormatting sqref="AM114:AM115">
    <cfRule type="cellIs" dxfId="124" priority="172" operator="equal">
      <formula>"INVALID"</formula>
    </cfRule>
  </conditionalFormatting>
  <conditionalFormatting sqref="AN114:AN115">
    <cfRule type="cellIs" dxfId="123" priority="171" operator="equal">
      <formula>"INVALID"</formula>
    </cfRule>
  </conditionalFormatting>
  <conditionalFormatting sqref="AQ114:AQ115">
    <cfRule type="expression" dxfId="122" priority="170">
      <formula>NOT($AJ114)</formula>
    </cfRule>
    <cfRule type="expression" dxfId="121" priority="184">
      <formula>RIGHT($AQ114, 1)="*"</formula>
    </cfRule>
  </conditionalFormatting>
  <conditionalFormatting sqref="AY114:AZ115">
    <cfRule type="expression" dxfId="120" priority="169">
      <formula>NOT($AN114)</formula>
    </cfRule>
  </conditionalFormatting>
  <conditionalFormatting sqref="AO114:AO115">
    <cfRule type="cellIs" dxfId="119" priority="167" operator="equal">
      <formula>FALSE</formula>
    </cfRule>
  </conditionalFormatting>
  <conditionalFormatting sqref="AO114:AO115">
    <cfRule type="cellIs" dxfId="118" priority="166" operator="equal">
      <formula>"INVALID"</formula>
    </cfRule>
  </conditionalFormatting>
  <conditionalFormatting sqref="AO114:AO115">
    <cfRule type="cellIs" dxfId="117" priority="165" operator="equal">
      <formula>"INVALID"</formula>
    </cfRule>
  </conditionalFormatting>
  <conditionalFormatting sqref="AG114:AG115">
    <cfRule type="cellIs" dxfId="116" priority="164" operator="equal">
      <formula>"INVALID"</formula>
    </cfRule>
  </conditionalFormatting>
  <conditionalFormatting sqref="AD116:AF117 AH116:AI117">
    <cfRule type="cellIs" dxfId="115" priority="163" operator="equal">
      <formula>"INVALID"</formula>
    </cfRule>
  </conditionalFormatting>
  <conditionalFormatting sqref="AQ116:AQ117">
    <cfRule type="expression" dxfId="114" priority="162" stopIfTrue="1">
      <formula>REPLACE($AQ116,8,LEN($AQ116),"")="unused_"</formula>
    </cfRule>
  </conditionalFormatting>
  <conditionalFormatting sqref="AJ116:AJ117">
    <cfRule type="cellIs" dxfId="113" priority="160" operator="equal">
      <formula>FALSE</formula>
    </cfRule>
  </conditionalFormatting>
  <conditionalFormatting sqref="AK116:AK117">
    <cfRule type="cellIs" dxfId="112" priority="159" operator="equal">
      <formula>FALSE</formula>
    </cfRule>
  </conditionalFormatting>
  <conditionalFormatting sqref="AL116:AL117">
    <cfRule type="cellIs" dxfId="111" priority="158" operator="equal">
      <formula>FALSE</formula>
    </cfRule>
  </conditionalFormatting>
  <conditionalFormatting sqref="AM116:AM117">
    <cfRule type="cellIs" dxfId="110" priority="157" operator="equal">
      <formula>FALSE</formula>
    </cfRule>
  </conditionalFormatting>
  <conditionalFormatting sqref="AN116:AN117">
    <cfRule type="cellIs" dxfId="109" priority="156" operator="equal">
      <formula>FALSE</formula>
    </cfRule>
  </conditionalFormatting>
  <conditionalFormatting sqref="AP116:AP117">
    <cfRule type="cellIs" dxfId="108" priority="155" operator="equal">
      <formula>"INVALID"</formula>
    </cfRule>
  </conditionalFormatting>
  <conditionalFormatting sqref="AJ116:AJ117">
    <cfRule type="cellIs" dxfId="107" priority="154" operator="equal">
      <formula>"INVALID"</formula>
    </cfRule>
  </conditionalFormatting>
  <conditionalFormatting sqref="AK116:AK117">
    <cfRule type="cellIs" dxfId="106" priority="153" operator="equal">
      <formula>"INVALID"</formula>
    </cfRule>
  </conditionalFormatting>
  <conditionalFormatting sqref="AL116:AM117">
    <cfRule type="cellIs" dxfId="105" priority="152" operator="equal">
      <formula>"INVALID"</formula>
    </cfRule>
  </conditionalFormatting>
  <conditionalFormatting sqref="AK116:AK117">
    <cfRule type="cellIs" dxfId="104" priority="151" operator="equal">
      <formula>"INVALID"</formula>
    </cfRule>
  </conditionalFormatting>
  <conditionalFormatting sqref="AL116:AL117">
    <cfRule type="cellIs" dxfId="103" priority="150" operator="equal">
      <formula>"INVALID"</formula>
    </cfRule>
  </conditionalFormatting>
  <conditionalFormatting sqref="AM116:AM117">
    <cfRule type="cellIs" dxfId="102" priority="149" operator="equal">
      <formula>"INVALID"</formula>
    </cfRule>
  </conditionalFormatting>
  <conditionalFormatting sqref="AN116:AN117">
    <cfRule type="cellIs" dxfId="101" priority="148" operator="equal">
      <formula>"INVALID"</formula>
    </cfRule>
  </conditionalFormatting>
  <conditionalFormatting sqref="AQ116:AQ117">
    <cfRule type="expression" dxfId="100" priority="147">
      <formula>NOT($AJ116)</formula>
    </cfRule>
    <cfRule type="expression" dxfId="99" priority="161">
      <formula>RIGHT($AQ116, 1)="*"</formula>
    </cfRule>
  </conditionalFormatting>
  <conditionalFormatting sqref="AY116:AZ117">
    <cfRule type="expression" dxfId="98" priority="146">
      <formula>NOT($AN116)</formula>
    </cfRule>
  </conditionalFormatting>
  <conditionalFormatting sqref="AO116:AO117">
    <cfRule type="cellIs" dxfId="97" priority="145" operator="equal">
      <formula>FALSE</formula>
    </cfRule>
  </conditionalFormatting>
  <conditionalFormatting sqref="AO116:AO117">
    <cfRule type="cellIs" dxfId="96" priority="144" operator="equal">
      <formula>"INVALID"</formula>
    </cfRule>
  </conditionalFormatting>
  <conditionalFormatting sqref="AO116:AO117">
    <cfRule type="cellIs" dxfId="95" priority="143" operator="equal">
      <formula>"INVALID"</formula>
    </cfRule>
  </conditionalFormatting>
  <conditionalFormatting sqref="AG116:AG117">
    <cfRule type="cellIs" dxfId="94" priority="142" operator="equal">
      <formula>"INVALID"</formula>
    </cfRule>
  </conditionalFormatting>
  <conditionalFormatting sqref="AD118:AF119 AH118:AI119">
    <cfRule type="cellIs" dxfId="93" priority="141" operator="equal">
      <formula>"INVALID"</formula>
    </cfRule>
  </conditionalFormatting>
  <conditionalFormatting sqref="AQ118:AQ119">
    <cfRule type="expression" dxfId="92" priority="140" stopIfTrue="1">
      <formula>REPLACE($AQ118,8,LEN($AQ118),"")="unused_"</formula>
    </cfRule>
  </conditionalFormatting>
  <conditionalFormatting sqref="AJ118:AJ119">
    <cfRule type="cellIs" dxfId="91" priority="138" operator="equal">
      <formula>FALSE</formula>
    </cfRule>
  </conditionalFormatting>
  <conditionalFormatting sqref="AK118:AK119">
    <cfRule type="cellIs" dxfId="90" priority="137" operator="equal">
      <formula>FALSE</formula>
    </cfRule>
  </conditionalFormatting>
  <conditionalFormatting sqref="AL118:AL119">
    <cfRule type="cellIs" dxfId="89" priority="136" operator="equal">
      <formula>FALSE</formula>
    </cfRule>
  </conditionalFormatting>
  <conditionalFormatting sqref="AM118:AM119">
    <cfRule type="cellIs" dxfId="88" priority="135" operator="equal">
      <formula>FALSE</formula>
    </cfRule>
  </conditionalFormatting>
  <conditionalFormatting sqref="AN118:AN119">
    <cfRule type="cellIs" dxfId="87" priority="134" operator="equal">
      <formula>FALSE</formula>
    </cfRule>
  </conditionalFormatting>
  <conditionalFormatting sqref="AP118:AP119">
    <cfRule type="cellIs" dxfId="86" priority="133" operator="equal">
      <formula>"INVALID"</formula>
    </cfRule>
  </conditionalFormatting>
  <conditionalFormatting sqref="AJ118:AJ119">
    <cfRule type="cellIs" dxfId="85" priority="132" operator="equal">
      <formula>"INVALID"</formula>
    </cfRule>
  </conditionalFormatting>
  <conditionalFormatting sqref="AK118:AK119">
    <cfRule type="cellIs" dxfId="84" priority="131" operator="equal">
      <formula>"INVALID"</formula>
    </cfRule>
  </conditionalFormatting>
  <conditionalFormatting sqref="AL118:AM119">
    <cfRule type="cellIs" dxfId="83" priority="130" operator="equal">
      <formula>"INVALID"</formula>
    </cfRule>
  </conditionalFormatting>
  <conditionalFormatting sqref="AK118:AK119">
    <cfRule type="cellIs" dxfId="82" priority="129" operator="equal">
      <formula>"INVALID"</formula>
    </cfRule>
  </conditionalFormatting>
  <conditionalFormatting sqref="AL118:AL119">
    <cfRule type="cellIs" dxfId="81" priority="128" operator="equal">
      <formula>"INVALID"</formula>
    </cfRule>
  </conditionalFormatting>
  <conditionalFormatting sqref="AM118:AM119">
    <cfRule type="cellIs" dxfId="80" priority="127" operator="equal">
      <formula>"INVALID"</formula>
    </cfRule>
  </conditionalFormatting>
  <conditionalFormatting sqref="AN118:AN119">
    <cfRule type="cellIs" dxfId="79" priority="126" operator="equal">
      <formula>"INVALID"</formula>
    </cfRule>
  </conditionalFormatting>
  <conditionalFormatting sqref="AQ118:AQ119">
    <cfRule type="expression" dxfId="78" priority="125">
      <formula>NOT($AJ118)</formula>
    </cfRule>
    <cfRule type="expression" dxfId="77" priority="139">
      <formula>RIGHT($AQ118, 1)="*"</formula>
    </cfRule>
  </conditionalFormatting>
  <conditionalFormatting sqref="AY118:AZ119">
    <cfRule type="expression" dxfId="76" priority="124">
      <formula>NOT($AN118)</formula>
    </cfRule>
  </conditionalFormatting>
  <conditionalFormatting sqref="AO118:AO119">
    <cfRule type="cellIs" dxfId="75" priority="123" operator="equal">
      <formula>FALSE</formula>
    </cfRule>
  </conditionalFormatting>
  <conditionalFormatting sqref="AO118:AO119">
    <cfRule type="cellIs" dxfId="74" priority="122" operator="equal">
      <formula>"INVALID"</formula>
    </cfRule>
  </conditionalFormatting>
  <conditionalFormatting sqref="AO118:AO119">
    <cfRule type="cellIs" dxfId="73" priority="121" operator="equal">
      <formula>"INVALID"</formula>
    </cfRule>
  </conditionalFormatting>
  <conditionalFormatting sqref="AG118:AG119">
    <cfRule type="cellIs" dxfId="72" priority="120" operator="equal">
      <formula>"INVALID"</formula>
    </cfRule>
  </conditionalFormatting>
  <conditionalFormatting sqref="AD120:AF121 AH120:AI121">
    <cfRule type="cellIs" dxfId="71" priority="119" operator="equal">
      <formula>"INVALID"</formula>
    </cfRule>
  </conditionalFormatting>
  <conditionalFormatting sqref="AQ120:AQ121">
    <cfRule type="expression" dxfId="70" priority="118" stopIfTrue="1">
      <formula>REPLACE($AQ120,8,LEN($AQ120),"")="unused_"</formula>
    </cfRule>
  </conditionalFormatting>
  <conditionalFormatting sqref="AJ120:AJ121">
    <cfRule type="cellIs" dxfId="69" priority="116" operator="equal">
      <formula>FALSE</formula>
    </cfRule>
  </conditionalFormatting>
  <conditionalFormatting sqref="AK120:AK121">
    <cfRule type="cellIs" dxfId="68" priority="115" operator="equal">
      <formula>FALSE</formula>
    </cfRule>
  </conditionalFormatting>
  <conditionalFormatting sqref="AL120:AL121">
    <cfRule type="cellIs" dxfId="67" priority="114" operator="equal">
      <formula>FALSE</formula>
    </cfRule>
  </conditionalFormatting>
  <conditionalFormatting sqref="AM120:AM121">
    <cfRule type="cellIs" dxfId="66" priority="113" operator="equal">
      <formula>FALSE</formula>
    </cfRule>
  </conditionalFormatting>
  <conditionalFormatting sqref="AN120:AN121">
    <cfRule type="cellIs" dxfId="65" priority="112" operator="equal">
      <formula>FALSE</formula>
    </cfRule>
  </conditionalFormatting>
  <conditionalFormatting sqref="AP120:AP121">
    <cfRule type="cellIs" dxfId="64" priority="111" operator="equal">
      <formula>"INVALID"</formula>
    </cfRule>
  </conditionalFormatting>
  <conditionalFormatting sqref="AJ120:AJ121">
    <cfRule type="cellIs" dxfId="63" priority="110" operator="equal">
      <formula>"INVALID"</formula>
    </cfRule>
  </conditionalFormatting>
  <conditionalFormatting sqref="AK120:AK121">
    <cfRule type="cellIs" dxfId="62" priority="109" operator="equal">
      <formula>"INVALID"</formula>
    </cfRule>
  </conditionalFormatting>
  <conditionalFormatting sqref="AL120:AM121">
    <cfRule type="cellIs" dxfId="61" priority="108" operator="equal">
      <formula>"INVALID"</formula>
    </cfRule>
  </conditionalFormatting>
  <conditionalFormatting sqref="AK120:AK121">
    <cfRule type="cellIs" dxfId="60" priority="107" operator="equal">
      <formula>"INVALID"</formula>
    </cfRule>
  </conditionalFormatting>
  <conditionalFormatting sqref="AL120:AL121">
    <cfRule type="cellIs" dxfId="59" priority="106" operator="equal">
      <formula>"INVALID"</formula>
    </cfRule>
  </conditionalFormatting>
  <conditionalFormatting sqref="AM120:AM121">
    <cfRule type="cellIs" dxfId="58" priority="105" operator="equal">
      <formula>"INVALID"</formula>
    </cfRule>
  </conditionalFormatting>
  <conditionalFormatting sqref="AN120:AN121">
    <cfRule type="cellIs" dxfId="57" priority="104" operator="equal">
      <formula>"INVALID"</formula>
    </cfRule>
  </conditionalFormatting>
  <conditionalFormatting sqref="AQ120:AQ121">
    <cfRule type="expression" dxfId="56" priority="103">
      <formula>NOT($AJ120)</formula>
    </cfRule>
    <cfRule type="expression" dxfId="55" priority="117">
      <formula>RIGHT($AQ120, 1)="*"</formula>
    </cfRule>
  </conditionalFormatting>
  <conditionalFormatting sqref="AY120:AZ121">
    <cfRule type="expression" dxfId="54" priority="102">
      <formula>NOT($AN120)</formula>
    </cfRule>
  </conditionalFormatting>
  <conditionalFormatting sqref="AO120:AO121">
    <cfRule type="cellIs" dxfId="53" priority="101" operator="equal">
      <formula>FALSE</formula>
    </cfRule>
  </conditionalFormatting>
  <conditionalFormatting sqref="AO120:AO121">
    <cfRule type="cellIs" dxfId="52" priority="100" operator="equal">
      <formula>"INVALID"</formula>
    </cfRule>
  </conditionalFormatting>
  <conditionalFormatting sqref="AO120:AO121">
    <cfRule type="cellIs" dxfId="51" priority="99" operator="equal">
      <formula>"INVALID"</formula>
    </cfRule>
  </conditionalFormatting>
  <conditionalFormatting sqref="AG120:AG121">
    <cfRule type="cellIs" dxfId="50" priority="98" operator="equal">
      <formula>"INVALID"</formula>
    </cfRule>
  </conditionalFormatting>
  <conditionalFormatting sqref="AH122:AI123 AD122:AF123">
    <cfRule type="cellIs" dxfId="49" priority="97" operator="equal">
      <formula>"INVALID"</formula>
    </cfRule>
  </conditionalFormatting>
  <conditionalFormatting sqref="AQ122:AQ123">
    <cfRule type="expression" dxfId="48" priority="96" stopIfTrue="1">
      <formula>REPLACE($AQ122,8,LEN($AQ122),"")="unused_"</formula>
    </cfRule>
  </conditionalFormatting>
  <conditionalFormatting sqref="AJ122:AJ123">
    <cfRule type="cellIs" dxfId="47" priority="94" operator="equal">
      <formula>FALSE</formula>
    </cfRule>
  </conditionalFormatting>
  <conditionalFormatting sqref="AK122:AK123">
    <cfRule type="cellIs" dxfId="46" priority="93" operator="equal">
      <formula>FALSE</formula>
    </cfRule>
  </conditionalFormatting>
  <conditionalFormatting sqref="AL122:AL123">
    <cfRule type="cellIs" dxfId="45" priority="92" operator="equal">
      <formula>FALSE</formula>
    </cfRule>
  </conditionalFormatting>
  <conditionalFormatting sqref="AM122:AM123">
    <cfRule type="cellIs" dxfId="44" priority="91" operator="equal">
      <formula>FALSE</formula>
    </cfRule>
  </conditionalFormatting>
  <conditionalFormatting sqref="AN122:AN123">
    <cfRule type="cellIs" dxfId="43" priority="90" operator="equal">
      <formula>FALSE</formula>
    </cfRule>
  </conditionalFormatting>
  <conditionalFormatting sqref="AP122:AP123">
    <cfRule type="cellIs" dxfId="42" priority="89" operator="equal">
      <formula>"INVALID"</formula>
    </cfRule>
  </conditionalFormatting>
  <conditionalFormatting sqref="AJ122:AJ123">
    <cfRule type="cellIs" dxfId="41" priority="88" operator="equal">
      <formula>"INVALID"</formula>
    </cfRule>
  </conditionalFormatting>
  <conditionalFormatting sqref="AK122:AK123">
    <cfRule type="cellIs" dxfId="40" priority="87" operator="equal">
      <formula>"INVALID"</formula>
    </cfRule>
  </conditionalFormatting>
  <conditionalFormatting sqref="AL122:AM123">
    <cfRule type="cellIs" dxfId="39" priority="86" operator="equal">
      <formula>"INVALID"</formula>
    </cfRule>
  </conditionalFormatting>
  <conditionalFormatting sqref="AK122:AK123">
    <cfRule type="cellIs" dxfId="38" priority="85" operator="equal">
      <formula>"INVALID"</formula>
    </cfRule>
  </conditionalFormatting>
  <conditionalFormatting sqref="AL122:AL123">
    <cfRule type="cellIs" dxfId="37" priority="84" operator="equal">
      <formula>"INVALID"</formula>
    </cfRule>
  </conditionalFormatting>
  <conditionalFormatting sqref="AM122:AM123">
    <cfRule type="cellIs" dxfId="36" priority="83" operator="equal">
      <formula>"INVALID"</formula>
    </cfRule>
  </conditionalFormatting>
  <conditionalFormatting sqref="AN122:AN123">
    <cfRule type="cellIs" dxfId="35" priority="82" operator="equal">
      <formula>"INVALID"</formula>
    </cfRule>
  </conditionalFormatting>
  <conditionalFormatting sqref="AQ122:AQ123">
    <cfRule type="expression" dxfId="34" priority="81">
      <formula>NOT($AJ122)</formula>
    </cfRule>
    <cfRule type="expression" dxfId="33" priority="95">
      <formula>RIGHT($AQ122, 1)="*"</formula>
    </cfRule>
  </conditionalFormatting>
  <conditionalFormatting sqref="AY122:AZ123">
    <cfRule type="expression" dxfId="32" priority="80">
      <formula>NOT($AN122)</formula>
    </cfRule>
  </conditionalFormatting>
  <conditionalFormatting sqref="AO122:AO123">
    <cfRule type="cellIs" dxfId="31" priority="79" operator="equal">
      <formula>FALSE</formula>
    </cfRule>
  </conditionalFormatting>
  <conditionalFormatting sqref="AO122:AO123">
    <cfRule type="cellIs" dxfId="30" priority="78" operator="equal">
      <formula>"INVALID"</formula>
    </cfRule>
  </conditionalFormatting>
  <conditionalFormatting sqref="AO122:AO123">
    <cfRule type="cellIs" dxfId="29" priority="77" operator="equal">
      <formula>"INVALID"</formula>
    </cfRule>
  </conditionalFormatting>
  <conditionalFormatting sqref="AG122:AG123">
    <cfRule type="cellIs" dxfId="28" priority="76" operator="equal">
      <formula>"INVALID"</formula>
    </cfRule>
  </conditionalFormatting>
  <conditionalFormatting sqref="AD124:AF125 AH124:AI125">
    <cfRule type="cellIs" dxfId="27" priority="75" operator="equal">
      <formula>"INVALID"</formula>
    </cfRule>
  </conditionalFormatting>
  <conditionalFormatting sqref="AQ124:AQ125">
    <cfRule type="expression" dxfId="26" priority="74" stopIfTrue="1">
      <formula>REPLACE($AQ124,8,LEN($AQ124),"")="unused_"</formula>
    </cfRule>
  </conditionalFormatting>
  <conditionalFormatting sqref="AJ124:AJ125">
    <cfRule type="cellIs" dxfId="25" priority="72" operator="equal">
      <formula>FALSE</formula>
    </cfRule>
  </conditionalFormatting>
  <conditionalFormatting sqref="AK124:AK125">
    <cfRule type="cellIs" dxfId="24" priority="71" operator="equal">
      <formula>FALSE</formula>
    </cfRule>
  </conditionalFormatting>
  <conditionalFormatting sqref="AL124:AL125">
    <cfRule type="cellIs" dxfId="23" priority="70" operator="equal">
      <formula>FALSE</formula>
    </cfRule>
  </conditionalFormatting>
  <conditionalFormatting sqref="AM124:AM125">
    <cfRule type="cellIs" dxfId="22" priority="69" operator="equal">
      <formula>FALSE</formula>
    </cfRule>
  </conditionalFormatting>
  <conditionalFormatting sqref="AN124:AN125">
    <cfRule type="cellIs" dxfId="21" priority="68" operator="equal">
      <formula>FALSE</formula>
    </cfRule>
  </conditionalFormatting>
  <conditionalFormatting sqref="AP124:AP125">
    <cfRule type="cellIs" dxfId="20" priority="67" operator="equal">
      <formula>"INVALID"</formula>
    </cfRule>
  </conditionalFormatting>
  <conditionalFormatting sqref="AJ124:AJ125">
    <cfRule type="cellIs" dxfId="19" priority="66" operator="equal">
      <formula>"INVALID"</formula>
    </cfRule>
  </conditionalFormatting>
  <conditionalFormatting sqref="AK124:AK125">
    <cfRule type="cellIs" dxfId="18" priority="65" operator="equal">
      <formula>"INVALID"</formula>
    </cfRule>
  </conditionalFormatting>
  <conditionalFormatting sqref="AL124:AM125">
    <cfRule type="cellIs" dxfId="17" priority="64" operator="equal">
      <formula>"INVALID"</formula>
    </cfRule>
  </conditionalFormatting>
  <conditionalFormatting sqref="AK124:AK125">
    <cfRule type="cellIs" dxfId="16" priority="63" operator="equal">
      <formula>"INVALID"</formula>
    </cfRule>
  </conditionalFormatting>
  <conditionalFormatting sqref="AL124:AL125">
    <cfRule type="cellIs" dxfId="15" priority="62" operator="equal">
      <formula>"INVALID"</formula>
    </cfRule>
  </conditionalFormatting>
  <conditionalFormatting sqref="AM124:AM125">
    <cfRule type="cellIs" dxfId="14" priority="61" operator="equal">
      <formula>"INVALID"</formula>
    </cfRule>
  </conditionalFormatting>
  <conditionalFormatting sqref="AN124:AN125">
    <cfRule type="cellIs" dxfId="13" priority="60" operator="equal">
      <formula>"INVALID"</formula>
    </cfRule>
  </conditionalFormatting>
  <conditionalFormatting sqref="AQ124:AQ125">
    <cfRule type="expression" dxfId="12" priority="59">
      <formula>NOT($AJ124)</formula>
    </cfRule>
    <cfRule type="expression" dxfId="11" priority="73">
      <formula>RIGHT($AQ124, 1)="*"</formula>
    </cfRule>
  </conditionalFormatting>
  <conditionalFormatting sqref="AY124:AZ125">
    <cfRule type="expression" dxfId="10" priority="58">
      <formula>NOT($AN124)</formula>
    </cfRule>
  </conditionalFormatting>
  <conditionalFormatting sqref="AO124:AO125">
    <cfRule type="cellIs" dxfId="9" priority="57" operator="equal">
      <formula>FALSE</formula>
    </cfRule>
  </conditionalFormatting>
  <conditionalFormatting sqref="AO124:AO125">
    <cfRule type="cellIs" dxfId="8" priority="56" operator="equal">
      <formula>"INVALID"</formula>
    </cfRule>
  </conditionalFormatting>
  <conditionalFormatting sqref="AO124:AO125">
    <cfRule type="cellIs" dxfId="7" priority="55" operator="equal">
      <formula>"INVALID"</formula>
    </cfRule>
  </conditionalFormatting>
  <conditionalFormatting sqref="AG124:AG125">
    <cfRule type="cellIs" dxfId="6" priority="54" operator="equal">
      <formula>"INVALID"</formula>
    </cfRule>
  </conditionalFormatting>
  <conditionalFormatting sqref="AH113:AI113 AD113:AF113">
    <cfRule type="cellIs" dxfId="5" priority="13" operator="equal">
      <formula>"INVALID"</formula>
    </cfRule>
  </conditionalFormatting>
  <conditionalFormatting sqref="AG113">
    <cfRule type="cellIs" dxfId="4" priority="12" operator="equal">
      <formula>"INVALID"</formula>
    </cfRule>
  </conditionalFormatting>
  <conditionalFormatting sqref="AT117">
    <cfRule type="expression" dxfId="3" priority="10">
      <formula>NOT($AM117)</formula>
    </cfRule>
  </conditionalFormatting>
  <conditionalFormatting sqref="AR114:AR125">
    <cfRule type="cellIs" dxfId="2" priority="7" operator="equal">
      <formula>"Not Assigned"</formula>
    </cfRule>
  </conditionalFormatting>
  <conditionalFormatting sqref="AT246">
    <cfRule type="expression" dxfId="1" priority="2">
      <formula>NOT($AM246)</formula>
    </cfRule>
  </conditionalFormatting>
  <conditionalFormatting sqref="AV246">
    <cfRule type="expression" dxfId="0" priority="1">
      <formula>NOT($AO246)</formula>
    </cfRule>
  </conditionalFormatting>
  <dataValidations count="13">
    <dataValidation type="list" allowBlank="1" showInputMessage="1" showErrorMessage="1" sqref="BB245">
      <formula1>"OFF, 1.8V, 1.2V"</formula1>
    </dataValidation>
    <dataValidation type="list" showInputMessage="1" showErrorMessage="1" sqref="AT50 AT71:AT73 AT213:AT224 AT65 AT109 AT196 AT127:AT130 AT140:AT141 AT143 AT145 AT137 AT152 AT156:AT159 AT201:AT206 AT229 AT13 AT17 AT239:AT240 AT23 AT15 AT39 AT30:AT33 AT52 AT85 AT147 AT162:AT163 AT165 AT167:AT169 AT193 AT198 AT209 AT236 AT243 AT177:AT178 AT93 AT100 AT102 AT117 AT246">
      <formula1>"No, Yes"</formula1>
    </dataValidation>
    <dataValidation type="list" allowBlank="1" showInputMessage="1" showErrorMessage="1" sqref="BB312 BB346 BB323">
      <formula1>"OFF, 1.05V"</formula1>
    </dataValidation>
    <dataValidation type="list" allowBlank="1" showInputMessage="1" showErrorMessage="1" sqref="BB81 BB105 BB89 BB113">
      <formula1>"OFF,1.8V, 3.3V, 1.8V/3.3V"</formula1>
    </dataValidation>
    <dataValidation type="list" allowBlank="1" showInputMessage="1" showErrorMessage="1" sqref="AV22:AW23 AV209:AV210 AV197:AV198 AV142:AV143 AV164:AV169 AV236:AW236 AV64:AV65 AV243:AW243 AW10:AW21 AW25:AW33 AW55:AW65 AV67:AW73 AW127:AW137 AW139:AW147 AW149:AW178 AW182:AW185 AW193:AW211 AV239:AW240 AW241:AW242 AW244 AX82 AX106 AX228 AX99 AV246">
      <formula1>"Disable, Enable"</formula1>
    </dataValidation>
    <dataValidation type="list" showInputMessage="1" showErrorMessage="1" sqref="AQ523:AQ666 AR670:BA675 BC671:BC675 AQ668:AQ675 AQ324:AQ333 AQ75:AQ80 AQ10:AQ23 AQ25:AQ33 AQ46:AQ53 AQ55:AQ65 AQ90:AQ104 AQ246:AQ247 AQ127:AQ147 AQ149:AQ180 AQ313:AQ322 AQ335:AQ337 AQ35:AQ44 AQ67:AQ73 AQ193:AQ211 AQ213:AQ224 AQ226:AQ232 AQ250:AQ311 AQ339:AQ345 AQ347:AQ376 AQ378:AQ521 AQ234:AQ244 AQ182:AQ191 AQ82:AQ88 AQ106:AQ112 AQ114:AQ125">
      <formula1>$F10:$K10</formula1>
    </dataValidation>
    <dataValidation type="list" allowBlank="1" showInputMessage="1" showErrorMessage="1" sqref="AR106:AR111 AR149:AR180 AR10:AR23 AR25:AR33 AR46:AR53 AR35:AR44 AR55:AR65 AR82:AR87 AR246:AR247 AR127:AR147 AR182:AR191 AR75:AR80 AR213:AR224 AR67:AR73 AR193:AR211 AR234:AR244 AR226:AR231 AR90:AR103 AR114:AR125">
      <formula1>"Not Assigned, Input, Output, Bidirectional, Open-Drain, N/A"</formula1>
    </dataValidation>
    <dataValidation type="list" showInputMessage="1" showErrorMessage="1" sqref="BA106:BA111 AS75:AS80 AS106:AS111 AS25:AS33 BA10:BA23 BA25:BA33 BA46:BA53 AS46:AS53 AS35:AS44 AS55:AS65 AS82:AS87 BA82:BA87 AS149:AS180 AS246:AS247 BA127:BA147 BA182:BA191 AS182:AS191 BA75:BA80 BA234:BA244 BA213:BA224 AS10:AS23 BA35:BA44 BA55:BA65 BA67:BA73 AS67:AS73 AS127:AS147 AS226:AS231 AS193:AS211 BA193:BA211 AS213:AS224 AS234:AS244 BA246:BA247 BA149:BA180 BA226:BA231 AS90:AS103 AS114:AS125">
      <formula1>"Z, Int PU, Int PD, Drive 0, Drive 1, N/A"</formula1>
    </dataValidation>
    <dataValidation type="list" allowBlank="1" showInputMessage="1" showErrorMessage="1" sqref="BB24 BB74 BB126 BB9 BB54 BB66 BB181 BB148 BB233 BB192 BB225 BB34">
      <formula1>"OFF, 1.8V"</formula1>
    </dataValidation>
    <dataValidation type="list" allowBlank="1" showInputMessage="1" showErrorMessage="1" sqref="BB377 BB522">
      <formula1>"OFF, 1.1V,  1.2V, 1.35V"</formula1>
    </dataValidation>
    <dataValidation type="list" allowBlank="1" showInputMessage="1" showErrorMessage="1" sqref="BB334 BB249">
      <formula1>"OFF, 1.2V"</formula1>
    </dataValidation>
    <dataValidation type="list" allowBlank="1" showInputMessage="1" showErrorMessage="1" sqref="BB338 BB212">
      <formula1>"OFF, 3.3V"</formula1>
    </dataValidation>
    <dataValidation type="list" allowBlank="1" showInputMessage="1" showErrorMessage="1" sqref="BB45">
      <formula1>"OFF, 1.8V, 3.3V"</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vt:i4>
      </vt:variant>
      <vt:variant>
        <vt:lpstr>命名范围</vt:lpstr>
      </vt:variant>
      <vt:variant>
        <vt:i4>44</vt:i4>
      </vt:variant>
    </vt:vector>
  </HeadingPairs>
  <TitlesOfParts>
    <vt:vector size="46" baseType="lpstr">
      <vt:lpstr>Customer-Readme</vt:lpstr>
      <vt:lpstr>Jetson-TX2-Config-Template</vt:lpstr>
      <vt:lpstr>'Jetson-TX2-Config-Template'!AllowedPinDirection_GPIO</vt:lpstr>
      <vt:lpstr>'Jetson-TX2-Config-Template'!AllowedPinDirection_SFIO0</vt:lpstr>
      <vt:lpstr>'Jetson-TX2-Config-Template'!AllowedPinDirection_SFIO1</vt:lpstr>
      <vt:lpstr>'Jetson-TX2-Config-Template'!AllowedPinDirection_SFIO2</vt:lpstr>
      <vt:lpstr>'Jetson-TX2-Config-Template'!AllowedPinDirection_SFIO3</vt:lpstr>
      <vt:lpstr>'Jetson-TX2-Config-Template'!ConfigFirstCell</vt:lpstr>
      <vt:lpstr>'Jetson-TX2-Config-Template'!ConfigLastCell</vt:lpstr>
      <vt:lpstr>'Jetson-TX2-Config-Template'!Customer_Usage</vt:lpstr>
      <vt:lpstr>'Jetson-TX2-Config-Template'!Customer_Usage_Checker</vt:lpstr>
      <vt:lpstr>'Jetson-TX2-Config-Template'!E_Input</vt:lpstr>
      <vt:lpstr>'Jetson-TX2-Config-Template'!EQOS_LPBK_Enable</vt:lpstr>
      <vt:lpstr>'Jetson-TX2-Config-Template'!Error_Check</vt:lpstr>
      <vt:lpstr>'Jetson-TX2-Config-Template'!Ext_Pull_Down</vt:lpstr>
      <vt:lpstr>'Jetson-TX2-Config-Template'!Ext_Pull_Up</vt:lpstr>
      <vt:lpstr>'Jetson-TX2-Config-Template'!FirstMPIO</vt:lpstr>
      <vt:lpstr>'Jetson-TX2-Config-Template'!FirstPadVoltageConfig</vt:lpstr>
      <vt:lpstr>'Jetson-TX2-Config-Template'!FirstPinMuxingOption</vt:lpstr>
      <vt:lpstr>'Jetson-TX2-Config-Template'!Function_0</vt:lpstr>
      <vt:lpstr>'Jetson-TX2-Config-Template'!Function_Safe</vt:lpstr>
      <vt:lpstr>'Jetson-TX2-Config-Template'!GPIO_Init_Value</vt:lpstr>
      <vt:lpstr>'Jetson-TX2-Config-Template'!Initial_State</vt:lpstr>
      <vt:lpstr>'Jetson-TX2-Config-Template'!Initial_State_Checker</vt:lpstr>
      <vt:lpstr>'Jetson-TX2-Config-Template'!LastMPIO</vt:lpstr>
      <vt:lpstr>'Jetson-TX2-Config-Template'!LastPadVoltageConfig</vt:lpstr>
      <vt:lpstr>'Jetson-TX2-Config-Template'!Lock</vt:lpstr>
      <vt:lpstr>'Jetson-TX2-Config-Template'!LPDR_Enable</vt:lpstr>
      <vt:lpstr>'Jetson-TX2-Config-Template'!MPIOName</vt:lpstr>
      <vt:lpstr>'Jetson-TX2-Config-Template'!PadVoltageConfig</vt:lpstr>
      <vt:lpstr>'Jetson-TX2-Config-Template'!Pin_Direction</vt:lpstr>
      <vt:lpstr>'Jetson-TX2-Config-Template'!Pin_Direction_Checker</vt:lpstr>
      <vt:lpstr>'Jetson-TX2-Config-Template'!Pin_Group</vt:lpstr>
      <vt:lpstr>'Jetson-TX2-Config-Template'!Pinmux_GPIO</vt:lpstr>
      <vt:lpstr>'Jetson-TX2-Config-Template'!Pinmux_SFIO0</vt:lpstr>
      <vt:lpstr>'Jetson-TX2-Config-Template'!Pinmux_SFIO1</vt:lpstr>
      <vt:lpstr>'Jetson-TX2-Config-Template'!Pinmux_SFIO2</vt:lpstr>
      <vt:lpstr>'Jetson-TX2-Config-Template'!Pinmux_SFIO3</vt:lpstr>
      <vt:lpstr>'Jetson-TX2-Config-Template'!Pinmux_Unused</vt:lpstr>
      <vt:lpstr>'Jetson-TX2-Config-Template'!PUPD</vt:lpstr>
      <vt:lpstr>'Jetson-TX2-Config-Template'!RCV_SEL</vt:lpstr>
      <vt:lpstr>'Jetson-TX2-Config-Template'!RCV_SEL_Checker</vt:lpstr>
      <vt:lpstr>'Jetson-TX2-Config-Template'!Resistor_Checker</vt:lpstr>
      <vt:lpstr>'Jetson-TX2-Config-Template'!Tristate</vt:lpstr>
      <vt:lpstr>'Jetson-TX2-Config-Template'!Wake_Checker</vt:lpstr>
      <vt:lpstr>'Jetson-TX2-Config-Template'!Wake_Pin</vt:lpstr>
    </vt:vector>
  </TitlesOfParts>
  <Company>NVIDIA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skyway</cp:lastModifiedBy>
  <cp:lastPrinted>2012-04-03T22:50:50Z</cp:lastPrinted>
  <dcterms:created xsi:type="dcterms:W3CDTF">2011-01-18T21:59:40Z</dcterms:created>
  <dcterms:modified xsi:type="dcterms:W3CDTF">2018-07-26T04:08:01Z</dcterms:modified>
</cp:coreProperties>
</file>